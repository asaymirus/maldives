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Coverage" sheetId="1" state="visible" r:id="rId3"/>
    <sheet name="Documents" sheetId="2" state="visible" r:id="rId4"/>
    <sheet name="Pages" sheetId="3" state="visible" r:id="rId5"/>
    <sheet name="Sources" sheetId="4" state="visible" r:id="rId6"/>
    <sheet name="Extra resorts" sheetId="5" state="visible" r:id="rId7"/>
    <sheet name="Blocked" sheetId="6" state="visible" r:id="rId8"/>
    <sheet name="Log"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<sst xmlns="http://schemas.openxmlformats.org/spreadsheetml/2006/main" count="35443" uniqueCount="11918">
  <si>
    <t xml:space="preserve">#</t>
  </si>
  <si>
    <t xml:space="preserve">Resort</t>
  </si>
  <si>
    <t xml:space="preserve">Official site status</t>
  </si>
  <si>
    <t xml:space="preserve">factsheet (latest yr)</t>
  </si>
  <si>
    <t xml:space="preserve">wedding (latest yr)</t>
  </si>
  <si>
    <t xml:space="preserve">events (latest yr)</t>
  </si>
  <si>
    <t xml:space="preserve">map (latest yr)</t>
  </si>
  <si>
    <t xml:space="preserve">dive_map (latest yr)</t>
  </si>
  <si>
    <t xml:space="preserve">spa_menu (latest yr)</t>
  </si>
  <si>
    <t xml:space="preserve">dining_menu (latest yr)</t>
  </si>
  <si>
    <t xml:space="preserve">dive_prices (latest yr)</t>
  </si>
  <si>
    <t xml:space="preserve">excursions (latest yr)</t>
  </si>
  <si>
    <t xml:space="preserve">kids (latest yr)</t>
  </si>
  <si>
    <t xml:space="preserve">villa_plans (latest yr)</t>
  </si>
  <si>
    <t xml:space="preserve">all_inclusive (latest yr)</t>
  </si>
  <si>
    <t xml:space="preserve">sustainability (latest yr)</t>
  </si>
  <si>
    <t xml:space="preserve">calendar (latest yr)</t>
  </si>
  <si>
    <t xml:space="preserve">brochure (latest yr)</t>
  </si>
  <si>
    <t xml:space="preserve">press_kit (latest yr)</t>
  </si>
  <si>
    <t xml:space="preserve">other (latest yr)</t>
  </si>
  <si>
    <t xml:space="preserve">obsolete (latest yr)</t>
  </si>
  <si>
    <t xml:space="preserve">Total docs</t>
  </si>
  <si>
    <t xml:space="preserve">Current docs</t>
  </si>
  <si>
    <t xml:space="preserve">Latest factsheet</t>
  </si>
  <si>
    <t xml:space="preserve">Gaps (priority 1)</t>
  </si>
  <si>
    <t xml:space="preserve">Rename notes</t>
  </si>
  <si>
    <t xml:space="preserve">Six Senses Laamu</t>
  </si>
  <si>
    <t xml:space="preserve">blocked</t>
  </si>
  <si>
    <t xml:space="preserve">wedding, events</t>
  </si>
  <si>
    <t xml:space="preserve">Filitheyo Island Resort</t>
  </si>
  <si>
    <t xml:space="preserve">unverified</t>
  </si>
  <si>
    <t xml:space="preserve">factsheet, wedding, events</t>
  </si>
  <si>
    <t xml:space="preserve">Adaaran Select Hudhuranfushi</t>
  </si>
  <si>
    <t xml:space="preserve">ok</t>
  </si>
  <si>
    <t xml:space="preserve">Ayada Maldives</t>
  </si>
  <si>
    <t xml:space="preserve">events</t>
  </si>
  <si>
    <t xml:space="preserve">Bolifushi Island Resort</t>
  </si>
  <si>
    <t xml:space="preserve">OZEN Reserve Bolifushi (confirm)</t>
  </si>
  <si>
    <t xml:space="preserve">Joali Being Bodufushi</t>
  </si>
  <si>
    <t xml:space="preserve">unreachable</t>
  </si>
  <si>
    <t xml:space="preserve">Joali Muravandhoo</t>
  </si>
  <si>
    <t xml:space="preserve">Hilton Maldives Amingiri Resort &amp; Spa</t>
  </si>
  <si>
    <t xml:space="preserve">Amilla Fushi</t>
  </si>
  <si>
    <t xml:space="preserve">Dreamland - The Unique Sea &amp; Lake Resort/Spa</t>
  </si>
  <si>
    <t xml:space="preserve">Angaga Island Resort and Spa</t>
  </si>
  <si>
    <t xml:space="preserve">Thulhagiri Island Resort &amp; Spa</t>
  </si>
  <si>
    <t xml:space="preserve">factsheet, events</t>
  </si>
  <si>
    <t xml:space="preserve">Sandies Bathala</t>
  </si>
  <si>
    <t xml:space="preserve">factsheet, wedding</t>
  </si>
  <si>
    <t xml:space="preserve">Baglioni Resort Maldives</t>
  </si>
  <si>
    <t xml:space="preserve">Alila Kothaifaru Maldives</t>
  </si>
  <si>
    <t xml:space="preserve">JW Marriott Kaafu Atoll Island Resort</t>
  </si>
  <si>
    <t xml:space="preserve">Rihiveli Maldives Resort</t>
  </si>
  <si>
    <t xml:space="preserve">site redirects to expireddomains.com</t>
  </si>
  <si>
    <t xml:space="preserve">JW Marriott Maldives Resort &amp; Spa</t>
  </si>
  <si>
    <t xml:space="preserve">The Residence Maldives</t>
  </si>
  <si>
    <t xml:space="preserve">factsheet</t>
  </si>
  <si>
    <t xml:space="preserve">The Residence Maldives At Dhigurah</t>
  </si>
  <si>
    <t xml:space="preserve">Brennia Kottefaru</t>
  </si>
  <si>
    <t xml:space="preserve">Barceló Whale Lagoon Maldives</t>
  </si>
  <si>
    <t xml:space="preserve">Meliá Whale Lagoon Maldives</t>
  </si>
  <si>
    <t xml:space="preserve">Nooe Maldives Kunavashi</t>
  </si>
  <si>
    <t xml:space="preserve">Canareef Resort Maldives</t>
  </si>
  <si>
    <t xml:space="preserve">Raffles Maldives Meradhoo Resort</t>
  </si>
  <si>
    <t xml:space="preserve">Halcyon Maldives</t>
  </si>
  <si>
    <t xml:space="preserve">Centara Ras Fushi Resort &amp; Spa</t>
  </si>
  <si>
    <t xml:space="preserve">Grand Park Kodhipparu Maldives</t>
  </si>
  <si>
    <t xml:space="preserve">Kudadoo Maldives Private island</t>
  </si>
  <si>
    <t xml:space="preserve">Dheruhfinolhu by Jawakara Islands Maldives</t>
  </si>
  <si>
    <t xml:space="preserve">Jawakara Islands (shared documents)</t>
  </si>
  <si>
    <t xml:space="preserve">Hurawalhi Island Resort</t>
  </si>
  <si>
    <t xml:space="preserve">Innahura Maldives Resort</t>
  </si>
  <si>
    <t xml:space="preserve">Cocoon Maldives</t>
  </si>
  <si>
    <t xml:space="preserve">Dhigali Maldives</t>
  </si>
  <si>
    <t xml:space="preserve">NIVA Dhigali; site redirects to www.nivadhigali.com</t>
  </si>
  <si>
    <t xml:space="preserve">Adaaran Select Meedhupparu</t>
  </si>
  <si>
    <t xml:space="preserve">Heritance Aarah</t>
  </si>
  <si>
    <t xml:space="preserve">Coastline Residences</t>
  </si>
  <si>
    <t xml:space="preserve">The Ritz Carlton Maldives Fari Islands</t>
  </si>
  <si>
    <t xml:space="preserve">Veligandu Maldives Resort Island</t>
  </si>
  <si>
    <t xml:space="preserve">'Veli' in Crown &amp; Champa filenames</t>
  </si>
  <si>
    <t xml:space="preserve">NH Collection Maldives Havodda Resort</t>
  </si>
  <si>
    <t xml:space="preserve">Amari Havodda (older name)</t>
  </si>
  <si>
    <t xml:space="preserve">Le Méridien Maldives Resort and Spa</t>
  </si>
  <si>
    <t xml:space="preserve">Ozen By Atmosphere At Maadhoo</t>
  </si>
  <si>
    <t xml:space="preserve">OZEN Life Maadhoo</t>
  </si>
  <si>
    <t xml:space="preserve">Dhiggiri Tourist Resort</t>
  </si>
  <si>
    <t xml:space="preserve">Dhigufaru Island Resort</t>
  </si>
  <si>
    <t xml:space="preserve">Hard Rock Hotel Maldives</t>
  </si>
  <si>
    <t xml:space="preserve">site redirects to hotel.hardrock.com</t>
  </si>
  <si>
    <t xml:space="preserve">Saii Lagoon Maldives</t>
  </si>
  <si>
    <t xml:space="preserve">wedding</t>
  </si>
  <si>
    <t xml:space="preserve">site redirects to www.saiihotels.com</t>
  </si>
  <si>
    <t xml:space="preserve">SO/ Maldives</t>
  </si>
  <si>
    <t xml:space="preserve">Park Hyatt Maldives, Hadahaa</t>
  </si>
  <si>
    <t xml:space="preserve">Dusit Thani Maldives</t>
  </si>
  <si>
    <t xml:space="preserve">Vakkaru Maldives</t>
  </si>
  <si>
    <t xml:space="preserve">Sun Siyam Olhuveli Maldives</t>
  </si>
  <si>
    <t xml:space="preserve">Olhuveli Beach &amp; Spa, file code SSO</t>
  </si>
  <si>
    <t xml:space="preserve">Emerald Maldives Resort &amp; Spa Fasmendho</t>
  </si>
  <si>
    <t xml:space="preserve">Eri Maldives</t>
  </si>
  <si>
    <t xml:space="preserve">Cinnamon Hakuraa Huraa Maldives</t>
  </si>
  <si>
    <t xml:space="preserve">Emerald Faarufushi Resort &amp; Spa</t>
  </si>
  <si>
    <t xml:space="preserve">Fihaalhohi Maldives</t>
  </si>
  <si>
    <t xml:space="preserve">Four Seasons Resort Maldives at Kuda Huraa</t>
  </si>
  <si>
    <t xml:space="preserve">Fushifaru Maldives</t>
  </si>
  <si>
    <t xml:space="preserve">blocked-partial</t>
  </si>
  <si>
    <t xml:space="preserve">Sirru Fen Fushi</t>
  </si>
  <si>
    <t xml:space="preserve">Fairmont Maldives Sirru Fen Fushi</t>
  </si>
  <si>
    <t xml:space="preserve">Jumeirah Maldives Olhahali Island</t>
  </si>
  <si>
    <t xml:space="preserve">Reethi Beach Resort</t>
  </si>
  <si>
    <t xml:space="preserve">Equator Village</t>
  </si>
  <si>
    <t xml:space="preserve">not crawled</t>
  </si>
  <si>
    <t xml:space="preserve">Cora Cora Maldives</t>
  </si>
  <si>
    <t xml:space="preserve">Hondaafushi Island Resort</t>
  </si>
  <si>
    <t xml:space="preserve">Radisson Blu Resort Maldives</t>
  </si>
  <si>
    <t xml:space="preserve">Cheval Blanc Randheli</t>
  </si>
  <si>
    <t xml:space="preserve">Como Maalifushi</t>
  </si>
  <si>
    <t xml:space="preserve">Waldorf Astoria Maldives Ithaafushi</t>
  </si>
  <si>
    <t xml:space="preserve">JA Manafaru</t>
  </si>
  <si>
    <t xml:space="preserve">Adaaran Club Rannalhi</t>
  </si>
  <si>
    <t xml:space="preserve">Joy Island</t>
  </si>
  <si>
    <t xml:space="preserve">Kagi Maldives Resort and Spa</t>
  </si>
  <si>
    <t xml:space="preserve">Embudhu Village</t>
  </si>
  <si>
    <t xml:space="preserve">Summer Island Maldives</t>
  </si>
  <si>
    <t xml:space="preserve">Kandolhu Island Maldives</t>
  </si>
  <si>
    <t xml:space="preserve">Kandima Maldives</t>
  </si>
  <si>
    <t xml:space="preserve">Hideaway Beach Resort and Spa at Dhonakulhi Island Maldives</t>
  </si>
  <si>
    <t xml:space="preserve">Atmosphere Kanifushi Maldives</t>
  </si>
  <si>
    <t xml:space="preserve">Meeru Maldives Resort Island</t>
  </si>
  <si>
    <t xml:space="preserve">Komandoo Island Resort</t>
  </si>
  <si>
    <t xml:space="preserve">Raaya by Atmosphere</t>
  </si>
  <si>
    <t xml:space="preserve">Kuredu Island Resort</t>
  </si>
  <si>
    <t xml:space="preserve">Ifuru Island Maldives</t>
  </si>
  <si>
    <t xml:space="preserve">Mabinhura by Jawakara Islands Maldives</t>
  </si>
  <si>
    <t xml:space="preserve">Alimatha Aquatic Resort</t>
  </si>
  <si>
    <t xml:space="preserve">Centara Mirage Lagoon Maldives &amp; Centara Grand Lagoon Maldives</t>
  </si>
  <si>
    <t xml:space="preserve">two resorts sharing one entry</t>
  </si>
  <si>
    <t xml:space="preserve">Four Seasons Private Island Maldives at Voavah</t>
  </si>
  <si>
    <t xml:space="preserve">Four Seasons Resort Maldives at Landaa Giraavaru</t>
  </si>
  <si>
    <t xml:space="preserve">Holiday Inn Resort Kandooma Maldives</t>
  </si>
  <si>
    <t xml:space="preserve">Inter Continental Maldives Maamunagau</t>
  </si>
  <si>
    <t xml:space="preserve">Six Senses Kanuhura</t>
  </si>
  <si>
    <t xml:space="preserve">Lily Beach Resort</t>
  </si>
  <si>
    <t xml:space="preserve">Amaya Kuda Rah Maldives</t>
  </si>
  <si>
    <t xml:space="preserve">NH Maldives Kuda Rah</t>
  </si>
  <si>
    <t xml:space="preserve">Maayafushi Tourist Resort</t>
  </si>
  <si>
    <t xml:space="preserve">Reethi Faru Resort</t>
  </si>
  <si>
    <t xml:space="preserve">Malahini Kuda Bandos</t>
  </si>
  <si>
    <t xml:space="preserve">Dhawa Ihuru</t>
  </si>
  <si>
    <t xml:space="preserve">Angsana Ihuru (older name), file code DHMVIH</t>
  </si>
  <si>
    <t xml:space="preserve">Angsana Resort &amp; Spa Maldives - Velavaru</t>
  </si>
  <si>
    <t xml:space="preserve">Madifushi Private Island</t>
  </si>
  <si>
    <t xml:space="preserve">Conrad Maldives Rangali Island</t>
  </si>
  <si>
    <t xml:space="preserve">Club Med Kanifinolhu</t>
  </si>
  <si>
    <t xml:space="preserve">Club Med Finolhu Villas</t>
  </si>
  <si>
    <t xml:space="preserve">W Maldives</t>
  </si>
  <si>
    <t xml:space="preserve">Sheraton Maldives Full Moon Resort &amp; Spa</t>
  </si>
  <si>
    <t xml:space="preserve">Medhufushi Island Resort</t>
  </si>
  <si>
    <t xml:space="preserve">Kuda Villingili Resort Maldives</t>
  </si>
  <si>
    <t xml:space="preserve">Anantara Kihavah Villas</t>
  </si>
  <si>
    <t xml:space="preserve">The Westin Maldives Miriandhoo Resort</t>
  </si>
  <si>
    <t xml:space="preserve">Rahaa Resort</t>
  </si>
  <si>
    <t xml:space="preserve">Constance Moofushi Resort</t>
  </si>
  <si>
    <t xml:space="preserve">Furaveri Island Resort &amp; Spa</t>
  </si>
  <si>
    <t xml:space="preserve">Huvafenfushi Maldives</t>
  </si>
  <si>
    <t xml:space="preserve">Nika Island Resort and Spa</t>
  </si>
  <si>
    <t xml:space="preserve">Mercure Maldives Kooddoo</t>
  </si>
  <si>
    <t xml:space="preserve">Gangehi Island Resort</t>
  </si>
  <si>
    <t xml:space="preserve">Oblu Select by Atmosphere at Sangeli</t>
  </si>
  <si>
    <t xml:space="preserve">Nova Maldives</t>
  </si>
  <si>
    <t xml:space="preserve">Niyama Maldives</t>
  </si>
  <si>
    <t xml:space="preserve">Sun Siyam Iru Veli Maldives</t>
  </si>
  <si>
    <t xml:space="preserve">Outrigger Maldives Maafushivaru Resort</t>
  </si>
  <si>
    <t xml:space="preserve">Lti Maafushivaru (older name)</t>
  </si>
  <si>
    <t xml:space="preserve">Bandos Maldives</t>
  </si>
  <si>
    <t xml:space="preserve">Cocoa Island</t>
  </si>
  <si>
    <t xml:space="preserve">Avani + Fares Maldives</t>
  </si>
  <si>
    <t xml:space="preserve">Pullman Maldives Maamutaa Resort</t>
  </si>
  <si>
    <t xml:space="preserve">Aanugandu Island Resort</t>
  </si>
  <si>
    <t xml:space="preserve">Gili Lankanfushi</t>
  </si>
  <si>
    <t xml:space="preserve">Centara Grand Island Resort &amp; Spa Maldives</t>
  </si>
  <si>
    <t xml:space="preserve">Oaga Art Resort</t>
  </si>
  <si>
    <t xml:space="preserve">One &amp; Only Reethi Rah, Maldives</t>
  </si>
  <si>
    <t xml:space="preserve">Riu Atoll and Riu Palace Maldivas</t>
  </si>
  <si>
    <t xml:space="preserve">Robinson Noonu</t>
  </si>
  <si>
    <t xml:space="preserve">Robinson Maldives</t>
  </si>
  <si>
    <t xml:space="preserve">Noku Maldives</t>
  </si>
  <si>
    <t xml:space="preserve">Oblu By Atmosphere at Helengeli</t>
  </si>
  <si>
    <t xml:space="preserve">OBLU Nature Helengeli by Sentido</t>
  </si>
  <si>
    <t xml:space="preserve">The St. Regis Vommuli Resort, Maldives</t>
  </si>
  <si>
    <t xml:space="preserve">Diamonds Thudufushi Beach and Water Villas</t>
  </si>
  <si>
    <t xml:space="preserve">Finolhu Baa Atoll Maldives</t>
  </si>
  <si>
    <t xml:space="preserve">Soneva Secret</t>
  </si>
  <si>
    <t xml:space="preserve">Varu Island Resort</t>
  </si>
  <si>
    <t xml:space="preserve">Kudafushi Resort &amp; Spa</t>
  </si>
  <si>
    <t xml:space="preserve">The Standard Huruvalhi Maldives</t>
  </si>
  <si>
    <t xml:space="preserve">Soneva Fushi Resort</t>
  </si>
  <si>
    <t xml:space="preserve">Safari Island</t>
  </si>
  <si>
    <t xml:space="preserve">Soneva Jani</t>
  </si>
  <si>
    <t xml:space="preserve">South Palm Resort Maldives</t>
  </si>
  <si>
    <t xml:space="preserve">Anantara Resort and Spa Maldives</t>
  </si>
  <si>
    <t xml:space="preserve">Anantara Veli and Naladhu</t>
  </si>
  <si>
    <t xml:space="preserve">Sun Siyam Vilu Reef Maldives</t>
  </si>
  <si>
    <t xml:space="preserve">Sun Siyam Iru Fushi Maldives</t>
  </si>
  <si>
    <t xml:space="preserve">The Sun Siyam Iru Fushi, file code TSSI</t>
  </si>
  <si>
    <t xml:space="preserve">Biyaadhoo Island Resort</t>
  </si>
  <si>
    <t xml:space="preserve">Coco Bodu Hithi</t>
  </si>
  <si>
    <t xml:space="preserve">Coco Palm Dhunikolhu</t>
  </si>
  <si>
    <t xml:space="preserve">Makunudu Island</t>
  </si>
  <si>
    <t xml:space="preserve">Taj Coral Reef Resort and Spa</t>
  </si>
  <si>
    <t xml:space="preserve">Taj Exotica Resort &amp; Spa Maldives</t>
  </si>
  <si>
    <t xml:space="preserve">Constance Halaveli Resort</t>
  </si>
  <si>
    <t xml:space="preserve">file code CHRG</t>
  </si>
  <si>
    <t xml:space="preserve">Drift Theluveliga Retreat</t>
  </si>
  <si>
    <t xml:space="preserve">The Nautilus Maldives</t>
  </si>
  <si>
    <t xml:space="preserve">Patina Maldives, Fari Islands</t>
  </si>
  <si>
    <t xml:space="preserve">Cinnamon Dhonveli Maldives</t>
  </si>
  <si>
    <t xml:space="preserve">Cinnamon Velifushi Maldives</t>
  </si>
  <si>
    <t xml:space="preserve">Ellaidhoo Maldives By Cinnamon</t>
  </si>
  <si>
    <t xml:space="preserve">The Marina at Crossroads Maldives</t>
  </si>
  <si>
    <t xml:space="preserve">Adaaran Prestige Vadoo</t>
  </si>
  <si>
    <t xml:space="preserve">Baros Maldives</t>
  </si>
  <si>
    <t xml:space="preserve">Velassaru Maldives</t>
  </si>
  <si>
    <t xml:space="preserve">NIVA Velassaru</t>
  </si>
  <si>
    <t xml:space="preserve">Kuramathi Maldives</t>
  </si>
  <si>
    <t xml:space="preserve">Milaidhoo Island Maldives</t>
  </si>
  <si>
    <t xml:space="preserve">You &amp; Me Maldives</t>
  </si>
  <si>
    <t xml:space="preserve">You &amp; Me by Cocoon</t>
  </si>
  <si>
    <t xml:space="preserve">Banyan Tree Maldives Vabbinfaru</t>
  </si>
  <si>
    <t xml:space="preserve">Cocogiri Island Resort</t>
  </si>
  <si>
    <t xml:space="preserve">Velaa Private Island Maldives</t>
  </si>
  <si>
    <t xml:space="preserve">Mirihi Island Resort</t>
  </si>
  <si>
    <t xml:space="preserve">Kurumba Maldives</t>
  </si>
  <si>
    <t xml:space="preserve">Vilamendhoo Island Resort</t>
  </si>
  <si>
    <t xml:space="preserve">Villa Nautica Paradise Island</t>
  </si>
  <si>
    <t xml:space="preserve">Paradise Island Resort</t>
  </si>
  <si>
    <t xml:space="preserve">Villa Park Sun Island</t>
  </si>
  <si>
    <t xml:space="preserve">Royal Island Resort and Spa</t>
  </si>
  <si>
    <t xml:space="preserve">Diamonds Athuruga Beach &amp; Water Villas</t>
  </si>
  <si>
    <t xml:space="preserve">Siyam World Maldives</t>
  </si>
  <si>
    <t xml:space="preserve">Lux* South Ari Atoll, Maldives</t>
  </si>
  <si>
    <t xml:space="preserve">Yash Nature Resort</t>
  </si>
  <si>
    <t xml:space="preserve">Kuredhivaru Resort and Spa</t>
  </si>
  <si>
    <t xml:space="preserve">resort_id</t>
  </si>
  <si>
    <t xml:space="preserve">resort_name</t>
  </si>
  <si>
    <t xml:space="preserve">doc_type</t>
  </si>
  <si>
    <t xml:space="preserve">file_name</t>
  </si>
  <si>
    <t xml:space="preserve">edition_year</t>
  </si>
  <si>
    <t xml:space="preserve">valid_from</t>
  </si>
  <si>
    <t xml:space="preserve">valid_to</t>
  </si>
  <si>
    <t xml:space="preserve">pages</t>
  </si>
  <si>
    <t xml:space="preserve">size_kb</t>
  </si>
  <si>
    <t xml:space="preserve">text_layer</t>
  </si>
  <si>
    <t xml:space="preserve">source</t>
  </si>
  <si>
    <t xml:space="preserve">source_type</t>
  </si>
  <si>
    <t xml:space="preserve">url</t>
  </si>
  <si>
    <t xml:space="preserve">all_urls</t>
  </si>
  <si>
    <t xml:space="preserve">sha256</t>
  </si>
  <si>
    <t xml:space="preserve">local_path</t>
  </si>
  <si>
    <t xml:space="preserve">r2_key</t>
  </si>
  <si>
    <t xml:space="preserve">status</t>
  </si>
  <si>
    <t xml:space="preserve">is_latest</t>
  </si>
  <si>
    <t xml:space="preserve">match_status</t>
  </si>
  <si>
    <t xml:space="preserve">checked_on</t>
  </si>
  <si>
    <t xml:space="preserve">notes</t>
  </si>
  <si>
    <t xml:space="preserve">dining_menu</t>
  </si>
  <si>
    <t xml:space="preserve">2026_Six-Senses-Laamu.pdf</t>
  </si>
  <si>
    <t xml:space="preserve">Y</t>
  </si>
  <si>
    <t xml:space="preserve">awesomegetawaymaldives.com</t>
  </si>
  <si>
    <t xml:space="preserve">dmc-agency</t>
  </si>
  <si>
    <t xml:space="preserve">https://awesomegetawaymaldives.com/wp-content/uploads/2026/03/Six-Senses-Laamu.pdf</t>
  </si>
  <si>
    <t xml:space="preserve">https://awesomegetawaymaldives.com/wp-content/uploads/2026/03/Six-Senses-Laamu.pdf | https://awesomegetawaymaldives.com/wp-content/uploads/2026/03/Six-Senses-Laamu-Factsheet.pdf</t>
  </si>
  <si>
    <t xml:space="preserve">06a9a0ae443b6ea55981779328c88d8e67c92b51c888cd9a65834cca112f0d39</t>
  </si>
  <si>
    <t xml:space="preserve">library/001_six-senses-laamu/dining_menu/2026_Six-Senses-Laamu.pdf</t>
  </si>
  <si>
    <t xml:space="preserve">current</t>
  </si>
  <si>
    <t xml:space="preserve">matched</t>
  </si>
  <si>
    <t xml:space="preserve">2026-10-04</t>
  </si>
  <si>
    <t xml:space="preserve">sustainability</t>
  </si>
  <si>
    <t xml:space="preserve">2024_IMPACT-REPORT-2024-1.pdf</t>
  </si>
  <si>
    <t xml:space="preserve">secretparadise.mv</t>
  </si>
  <si>
    <t xml:space="preserve">https://secretparadise.mv/wp-content/uploads/2025/07/IMPACT-REPORT-2024-1.pdf</t>
  </si>
  <si>
    <t xml:space="preserve">1977ebd75c32a848703e24a0dd29f0adee9f105b311297687576486944d9b5fe</t>
  </si>
  <si>
    <t xml:space="preserve">library/001_six-senses-laamu/sustainability/2024_IMPACT-REPORT-2024-1.pdf</t>
  </si>
  <si>
    <t xml:space="preserve">outdated</t>
  </si>
  <si>
    <t xml:space="preserve">2022_Blue_Green_Laamu_November_2022_.pdf</t>
  </si>
  <si>
    <t xml:space="preserve">letsgomaldives.com</t>
  </si>
  <si>
    <t xml:space="preserve">https://letsgomaldives.com/wp-content/uploads/2022/12/Blue_Green_Laamu_November_2022_.pdf</t>
  </si>
  <si>
    <t xml:space="preserve">4d8f3dc1676eff4a9174860c3a0f7d1f6d1785831e6438a06bc9fa5baed3a2b9</t>
  </si>
  <si>
    <t xml:space="preserve">library/001_six-senses-laamu/sustainability/2022_Blue_Green_Laamu_November_2022_.pdf</t>
  </si>
  <si>
    <t xml:space="preserve">N</t>
  </si>
  <si>
    <t xml:space="preserve">2026_document.pdf</t>
  </si>
  <si>
    <t xml:space="preserve">adaaran.com</t>
  </si>
  <si>
    <t xml:space="preserve">official</t>
  </si>
  <si>
    <t xml:space="preserve">https://www.adaaran.com/selecthudhuranfushi/view-download/?id=menu-16</t>
  </si>
  <si>
    <t xml:space="preserve">3764e1af8a14180ba61928a2b2f8faa8745f53e9b9eab3dd5023e29f457e7be2</t>
  </si>
  <si>
    <t xml:space="preserve">library/003_adaaran-select-hudhuranfushi/factsheet/2026_document.pdf</t>
  </si>
  <si>
    <t xml:space="preserve">2023_Fact-Sheet-Adaaran-Select-Hudhuran-Fushi.pdf</t>
  </si>
  <si>
    <t xml:space="preserve">neoscapesmaldives.com</t>
  </si>
  <si>
    <t xml:space="preserve">https://www.neoscapesmaldives.com/wp-content/uploads/Fact-Sheet-Adaaran-Select-Hudhuran-Fushi.pdf</t>
  </si>
  <si>
    <t xml:space="preserve">c016ce75c6f518d6c8407fd70776be116b10d20e4460ac665533378ed48c4676</t>
  </si>
  <si>
    <t xml:space="preserve">library/003_adaaran-select-hudhuranfushi/factsheet/2023_Fact-Sheet-Adaaran-Select-Hudhuran-Fushi.pdf</t>
  </si>
  <si>
    <t xml:space="preserve">2027_document.pdf</t>
  </si>
  <si>
    <t xml:space="preserve">https://www.adaaran.com/selecthudhuranfushi/view-download/?id=ASHW</t>
  </si>
  <si>
    <t xml:space="preserve">a53763cc618ed5a2dc139042880884ff710382cc026cf836a2f16fba4c261c79</t>
  </si>
  <si>
    <t xml:space="preserve">library/003_adaaran-select-hudhuranfushi/wedding/2027_document.pdf</t>
  </si>
  <si>
    <t xml:space="preserve">https://www.adaaran.com/selecthudhuranfushi/view-download/?id=hrf-mice</t>
  </si>
  <si>
    <t xml:space="preserve">20d39ba0f4494c88cba4056f12e54ceb279d40a8e5252404b0ae3655fe8bb61f</t>
  </si>
  <si>
    <t xml:space="preserve">library/003_adaaran-select-hudhuranfushi/events/2027_document.pdf</t>
  </si>
  <si>
    <t xml:space="preserve">map</t>
  </si>
  <si>
    <t xml:space="preserve">2025_Adaaran-Resorts-_-Sustainability-Management-Plan.pdf</t>
  </si>
  <si>
    <t xml:space="preserve">https://adaaran.eme-devops.com/2025/08/Adaaran-Resorts-%E2%80%93-Sustainability-Management-Plan.pdf</t>
  </si>
  <si>
    <t xml:space="preserve">22b587766b38f4dab0abdd6311fd68bf96e97d0eb2ea82372c9062243cf71ba2</t>
  </si>
  <si>
    <t xml:space="preserve">library/003_adaaran-select-hudhuranfushi/map/2025_Adaaran-Resorts-_-Sustainability-Management-Plan.pdf</t>
  </si>
  <si>
    <t xml:space="preserve">needs-review</t>
  </si>
  <si>
    <t xml:space="preserve">ambiguous match [3]</t>
  </si>
  <si>
    <t xml:space="preserve">2020_Adaaran-Select-Huduran-Fushi-Map.pdf</t>
  </si>
  <si>
    <t xml:space="preserve">https://www.neoscapesmaldives.com/wp-content/uploads/Adaaran-Select-Huduran-Fushi-Map.pdf</t>
  </si>
  <si>
    <t xml:space="preserve">51b89df5cc8ab34fb1230a701df04d08ff70235e31cdbf37ac3e916ad6166a59</t>
  </si>
  <si>
    <t xml:space="preserve">library/003_adaaran-select-hudhuranfushi/map/2020_Adaaran-Select-Huduran-Fushi-Map.pdf</t>
  </si>
  <si>
    <t xml:space="preserve">2025_document.pdf</t>
  </si>
  <si>
    <t xml:space="preserve">https://www.adaaran.com/selecthudhuranfushi/view-download/?id=menu-13</t>
  </si>
  <si>
    <t xml:space="preserve">bc2eb63f728d8b23951b121041a9916e3b4d00d538ce0f180ad38b8eb85ff137</t>
  </si>
  <si>
    <t xml:space="preserve">library/003_adaaran-select-hudhuranfushi/dining_menu/2025_document.pdf</t>
  </si>
  <si>
    <t xml:space="preserve">dive_prices</t>
  </si>
  <si>
    <t xml:space="preserve">https://www.adaaran.com/selecthudhuranfushi/view-download/?id=surf%20price%20list</t>
  </si>
  <si>
    <t xml:space="preserve">e984a7ddc4341386ceae04dd4b7532f902551c3e086d6ee9205a19cba6e67d89</t>
  </si>
  <si>
    <t xml:space="preserve">library/003_adaaran-select-hudhuranfushi/dive_prices/2026_document.pdf</t>
  </si>
  <si>
    <t xml:space="preserve">2026_c84951ec_document.pdf</t>
  </si>
  <si>
    <t xml:space="preserve">https://www.adaaran.com/selecthudhuranfushi/view-download/?id=Menu-10</t>
  </si>
  <si>
    <t xml:space="preserve">c84951ec4cc57cad023b025b343054d9f6c6e617337d0973f53881919ce9abd0</t>
  </si>
  <si>
    <t xml:space="preserve">library/003_adaaran-select-hudhuranfushi/dive_prices/2026_c84951ec_document.pdf</t>
  </si>
  <si>
    <t xml:space="preserve">https://www.adaaran.com/selecthudhuranfushi/view-download/?id=menu-11</t>
  </si>
  <si>
    <t xml:space="preserve">ed51097d2e77cb469e68326f76f30b19293bcdb5393c422b9ee5c5f0cd68e535</t>
  </si>
  <si>
    <t xml:space="preserve">library/003_adaaran-select-hudhuranfushi/dive_prices/2025_document.pdf</t>
  </si>
  <si>
    <t xml:space="preserve">excursions</t>
  </si>
  <si>
    <t xml:space="preserve">https://www.adaaran.com/selecthudhuranfushi/view-download/?id=menu-15</t>
  </si>
  <si>
    <t xml:space="preserve">8b81dce618011a47650c0660914d33cf70f84170631babc4c60be23dbf29f59e</t>
  </si>
  <si>
    <t xml:space="preserve">library/003_adaaran-select-hudhuranfushi/excursions/2026_document.pdf</t>
  </si>
  <si>
    <t xml:space="preserve">2026_9e49ed08_document.pdf</t>
  </si>
  <si>
    <t xml:space="preserve">https://www.adaaran.com/selecthudhuranfushi/view-download/?id=hrf-excursion</t>
  </si>
  <si>
    <t xml:space="preserve">9e49ed088aebad320d2e0209a00998df2a7ed33100944f9af2a8d9a94d11454e</t>
  </si>
  <si>
    <t xml:space="preserve">library/003_adaaran-select-hudhuranfushi/excursions/2026_9e49ed08_document.pdf</t>
  </si>
  <si>
    <t xml:space="preserve">2026_2026-Environment-Policy-Adaaran-Resorts-Maldives.pdf</t>
  </si>
  <si>
    <t xml:space="preserve">https://adaaran.eme-devops.com/2026/06/2026-Environment-Policy-Adaaran-Resorts-Maldives.pdf</t>
  </si>
  <si>
    <t xml:space="preserve">5b43ab1ac5eaf17e810421d364db68b9a624f6d16903fda4452dc00ca9f38505</t>
  </si>
  <si>
    <t xml:space="preserve">library/003_adaaran-select-hudhuranfushi/sustainability/2026_2026-Environment-Policy-Adaaran-Resorts-Maldives.pdf</t>
  </si>
  <si>
    <t xml:space="preserve">2026_Adaaran-Resorts-SMP-2026-.pdf</t>
  </si>
  <si>
    <t xml:space="preserve">https://adaaran.eme-devops.com/2026/06/Adaaran-Resorts-SMP-2026-.pdf</t>
  </si>
  <si>
    <t xml:space="preserve">b79763f6347abc842dc59415c85b301658a9015637b1f44f509e7e1f600d38df</t>
  </si>
  <si>
    <t xml:space="preserve">library/003_adaaran-select-hudhuranfushi/sustainability/2026_Adaaran-Resorts-SMP-2026-.pdf</t>
  </si>
  <si>
    <t xml:space="preserve">2025_Sustainabilty-Report-ASH-2025-26_compressed.pdf</t>
  </si>
  <si>
    <t xml:space="preserve">https://adaaran.eme-devops.com/2026/05/Sustainabilty-Report-ASH-2025-26_compressed.pdf</t>
  </si>
  <si>
    <t xml:space="preserve">69a359fd09709c1e9054954395bdaa7e4807d5ed38598e81d9a25c8d4ec89b0f</t>
  </si>
  <si>
    <t xml:space="preserve">library/003_adaaran-select-hudhuranfushi/sustainability/2025_Sustainabilty-Report-ASH-2025-26_compressed.pdf</t>
  </si>
  <si>
    <t xml:space="preserve">2025_Adaaran-Resorts-_-Sustainability-Policy.pdf</t>
  </si>
  <si>
    <t xml:space="preserve">https://adaaran.eme-devops.com/2025/08/Adaaran-Resorts-%E2%80%93-Sustainability-Policy.pdf</t>
  </si>
  <si>
    <t xml:space="preserve">957954fce422f65bf83fec81ee12552964da033300e4db181bdec241ca17287f</t>
  </si>
  <si>
    <t xml:space="preserve">library/003_adaaran-select-hudhuranfushi/sustainability/2025_Adaaran-Resorts-_-Sustainability-Policy.pdf</t>
  </si>
  <si>
    <t xml:space="preserve">2025_Adaaran-Select-Hudhuran-Fushi-_-Sustainability-Report-2024-2025.pdf</t>
  </si>
  <si>
    <t xml:space="preserve">https://adaaran.eme-devops.com/2025/08/Adaaran-Select-Hudhuran-Fushi-%E2%80%93-Sustainability-Report-2024-2025.pdf</t>
  </si>
  <si>
    <t xml:space="preserve">15e27309fe69d1384476bca7a347cdc7a22b5277358a34a49b6466261a123f35</t>
  </si>
  <si>
    <t xml:space="preserve">library/003_adaaran-select-hudhuranfushi/sustainability/2025_Adaaran-Select-Hudhuran-Fushi-_-Sustainability-Report-2024-2025.pdf</t>
  </si>
  <si>
    <t xml:space="preserve">2023_Adaaran-Select-Hudhuranfushi-Sustainability-Report-2023-24.pdf</t>
  </si>
  <si>
    <t xml:space="preserve">https://adaaran.eme-devops.com/2025/08/Adaaran-Select-Hudhuranfushi-Sustainability-Report-2023-24.pdf</t>
  </si>
  <si>
    <t xml:space="preserve">3ce908f23d54e644eacb1fab2bae24ee0ed7266ecc1e2e8aec7cae30ae59e7ad</t>
  </si>
  <si>
    <t xml:space="preserve">library/003_adaaran-select-hudhuranfushi/sustainability/2023_Adaaran-Select-Hudhuranfushi-Sustainability-Report-2023-24.pdf</t>
  </si>
  <si>
    <t xml:space="preserve">2022_Adaaran-Select-Hudhuranfushi-Sustainability-Report-2022-23.pdf</t>
  </si>
  <si>
    <t xml:space="preserve">https://adaaran.eme-devops.com/2025/08/Adaaran-Select-Hudhuranfushi-Sustainability-Report-2022-23.pdf</t>
  </si>
  <si>
    <t xml:space="preserve">1a940a12891c464608ca25e4a73fbfe1469cc5bb591e1918c7386a4a8408450e</t>
  </si>
  <si>
    <t xml:space="preserve">library/003_adaaran-select-hudhuranfushi/sustainability/2022_Adaaran-Select-Hudhuranfushi-Sustainability-Report-2022-23.pdf</t>
  </si>
  <si>
    <t xml:space="preserve">2021_Adaaran-Select-Hudhuranfushi-Sustainability-Report-2021-22.pdf</t>
  </si>
  <si>
    <t xml:space="preserve">https://adaaran.eme-devops.com/2025/08/Adaaran-Select-Hudhuranfushi-Sustainability-Report-2021-22.pdf</t>
  </si>
  <si>
    <t xml:space="preserve">d310fd2fb311577c9ba0f38180b792a7e1b8c8a84570964f165d426be895e8ea</t>
  </si>
  <si>
    <t xml:space="preserve">library/003_adaaran-select-hudhuranfushi/sustainability/2021_Adaaran-Select-Hudhuranfushi-Sustainability-Report-2021-22.pdf</t>
  </si>
  <si>
    <t xml:space="preserve">2019_Adaaran-Select-Hudhuranfushi-Sustainability-Report-2019-20-21.pdf</t>
  </si>
  <si>
    <t xml:space="preserve">https://adaaran.eme-devops.com/2025/08/Adaaran-Select-Hudhuranfushi-Sustainability-Report-2019-20-21.pdf</t>
  </si>
  <si>
    <t xml:space="preserve">544f09afa7e35999efe785602e91b5ac9b55243b626e9557c6c8a0f65eeb874e</t>
  </si>
  <si>
    <t xml:space="preserve">library/003_adaaran-select-hudhuranfushi/sustainability/2019_Adaaran-Select-Hudhuranfushi-Sustainability-Report-2019-20-21.pdf</t>
  </si>
  <si>
    <t xml:space="preserve">2024_Ayada-Maldives-Factsheet.pdf</t>
  </si>
  <si>
    <t xml:space="preserve">https://www.neoscapesmaldives.com/wp-content/uploads/Ayada-Maldives-Factsheet.pdf</t>
  </si>
  <si>
    <t xml:space="preserve">19b02051f838b69028909773e22e302bf07da75a4c7b3814532d31d99b99689b</t>
  </si>
  <si>
    <t xml:space="preserve">library/004_ayada-maldives/factsheet/2024_Ayada-Maldives-Factsheet.pdf</t>
  </si>
  <si>
    <t xml:space="preserve">2024_Ayada-Maldives-Wedding-Package-2024.pdf</t>
  </si>
  <si>
    <t xml:space="preserve">ayadamaldives.com</t>
  </si>
  <si>
    <t xml:space="preserve">https://www.ayadamaldives.com/s/Ayada-Maldives-Wedding-Package-2024.pdf</t>
  </si>
  <si>
    <t xml:space="preserve">6393fde676a95714b524b2051379a2317881bf2a14b9821d15247f38d73a0350</t>
  </si>
  <si>
    <t xml:space="preserve">library/004_ayada-maldives/wedding/2024_Ayada-Maldives-Wedding-Package-2024.pdf</t>
  </si>
  <si>
    <t xml:space="preserve">2024_CH-Bev-List.pdf</t>
  </si>
  <si>
    <t xml:space="preserve">https://www.ayadamaldives.com/s/CH-Bev-List.pdf</t>
  </si>
  <si>
    <t xml:space="preserve">7066a36fd8272d652962db727a0c622485e7558367863b6a5ac1cad4ac72cee0</t>
  </si>
  <si>
    <t xml:space="preserve">library/004_ayada-maldives/dining_menu/2024_CH-Bev-List.pdf</t>
  </si>
  <si>
    <t xml:space="preserve">2024_Wine-List-2024-russian.pdf</t>
  </si>
  <si>
    <t xml:space="preserve">https://www.ayadamaldives.com/s/Wine-List-2024-russian.pdf</t>
  </si>
  <si>
    <t xml:space="preserve">6241fb078a6b38a94889f3acedc4c4e9b7466ba7198a373eee756ab8c9d298fd</t>
  </si>
  <si>
    <t xml:space="preserve">library/004_ayada-maldives/dining_menu/2024_Wine-List-2024-russian.pdf</t>
  </si>
  <si>
    <t xml:space="preserve">2024_Wine-List-2024.pdf</t>
  </si>
  <si>
    <t xml:space="preserve">https://www.ayadamaldives.com/s/Wine-List-2024.pdf</t>
  </si>
  <si>
    <t xml:space="preserve">e8afbac975a711457b75da281377a2f797ebdd303b39fb3294d54da5809c5061</t>
  </si>
  <si>
    <t xml:space="preserve">library/004_ayada-maldives/dining_menu/2024_Wine-List-2024.pdf</t>
  </si>
  <si>
    <t xml:space="preserve">2024_Eng-Bev-List.pdf</t>
  </si>
  <si>
    <t xml:space="preserve">https://www.ayadamaldives.com/s/Eng-Bev-List.pdf</t>
  </si>
  <si>
    <t xml:space="preserve">5db2fbe56312d1c7924162b009be0c635809700ffeccb360f81d74116ecef420</t>
  </si>
  <si>
    <t xml:space="preserve">library/004_ayada-maldives/dining_menu/2024_Eng-Bev-List.pdf</t>
  </si>
  <si>
    <t xml:space="preserve">2024_RU-Bev-List.pdf</t>
  </si>
  <si>
    <t xml:space="preserve">https://www.ayadamaldives.com/s/RU-Bev-List.pdf</t>
  </si>
  <si>
    <t xml:space="preserve">2feccd92e690e001116c38de71f8ece41aea48a2261ef7a733949a67ca12205a</t>
  </si>
  <si>
    <t xml:space="preserve">library/004_ayada-maldives/dining_menu/2024_RU-Bev-List.pdf</t>
  </si>
  <si>
    <t xml:space="preserve">2024_Wine-List-2024-chinese.pdf</t>
  </si>
  <si>
    <t xml:space="preserve">https://www.ayadamaldives.com/s/Wine-List-2024-chinese.pdf</t>
  </si>
  <si>
    <t xml:space="preserve">66021ce4c6422cb1e357ac0dde8148bc1133e9a567521d331fd112872d2f4d78</t>
  </si>
  <si>
    <t xml:space="preserve">library/004_ayada-maldives/dining_menu/2024_Wine-List-2024-chinese.pdf</t>
  </si>
  <si>
    <t xml:space="preserve">2024_CigarMenu2pdf-onlynames-1.pdf</t>
  </si>
  <si>
    <t xml:space="preserve">https://www.ayadamaldives.com/s/CigarMenu2pdf-onlynames-1.pdf</t>
  </si>
  <si>
    <t xml:space="preserve">af0837caf02917d64e4503c3b97a72abffd86bd8d384a299ccfe6fa8f1fd6c8b</t>
  </si>
  <si>
    <t xml:space="preserve">library/004_ayada-maldives/dining_menu/2024_CigarMenu2pdf-onlynames-1.pdf</t>
  </si>
  <si>
    <t xml:space="preserve">2023_In-Villa-Dinning-Menu-24hrs-English.pdf</t>
  </si>
  <si>
    <t xml:space="preserve">https://www.ayadamaldives.com/s/In-Villa-Dinning-Menu-24hrs-English.pdf</t>
  </si>
  <si>
    <t xml:space="preserve">b574fe01ad0cc2cf1333f5bc3b94d6cab24ceb16f08abfd7fd778b3c03491bb7</t>
  </si>
  <si>
    <t xml:space="preserve">library/004_ayada-maldives/dining_menu/2023_In-Villa-Dinning-Menu-24hrs-English.pdf</t>
  </si>
  <si>
    <t xml:space="preserve">2023_Sea-Salt-new-menu-Russian-re3m.pdf</t>
  </si>
  <si>
    <t xml:space="preserve">https://www.ayadamaldives.com/s/Sea-Salt-new-menu-Russian-re3m.pdf</t>
  </si>
  <si>
    <t xml:space="preserve">421a0b9258b977d3d57c52a89fcb1acc29c64cd30950b6cc6203a68c024fb0e0</t>
  </si>
  <si>
    <t xml:space="preserve">library/004_ayada-maldives/dining_menu/2023_Sea-Salt-new-menu-Russian-re3m.pdf</t>
  </si>
  <si>
    <t xml:space="preserve">2023_Sea-Salt-new-menu-p7pe.pdf</t>
  </si>
  <si>
    <t xml:space="preserve">https://www.ayadamaldives.com/s/Sea-Salt-new-menu-p7pe.pdf</t>
  </si>
  <si>
    <t xml:space="preserve">547fbf548f962acaaf39a52f5dd4b83e5e110f0bc6bb1773d1eb59db6ce4bc6b</t>
  </si>
  <si>
    <t xml:space="preserve">library/004_ayada-maldives/dining_menu/2023_Sea-Salt-new-menu-p7pe.pdf</t>
  </si>
  <si>
    <t xml:space="preserve">2023_Sea-Salt-new-menu-Chinese-mfnc.pdf</t>
  </si>
  <si>
    <t xml:space="preserve">https://www.ayadamaldives.com/s/Sea-Salt-new-menu-Chinese-mfnc.pdf</t>
  </si>
  <si>
    <t xml:space="preserve">cae35e5f758b161a4f5a2a301fe4eccb255a675b34e99d0856f3c951e3cb2840</t>
  </si>
  <si>
    <t xml:space="preserve">library/004_ayada-maldives/dining_menu/2023_Sea-Salt-new-menu-Chinese-mfnc.pdf</t>
  </si>
  <si>
    <t xml:space="preserve">2022_IDJ-Bin-end-List-2022-English.pdf</t>
  </si>
  <si>
    <t xml:space="preserve">https://www.ayadamaldives.com/s/IDJ-Bin-end-List-2022-English.pdf</t>
  </si>
  <si>
    <t xml:space="preserve">2d082c4de6baa295551a709e3f3fe21cfbbf6f47f205f62afacbb96e6d88a542</t>
  </si>
  <si>
    <t xml:space="preserve">library/004_ayada-maldives/dining_menu/2022_IDJ-Bin-end-List-2022-English.pdf</t>
  </si>
  <si>
    <t xml:space="preserve">2022_Mizu-Menu-2022-ds72.pdf</t>
  </si>
  <si>
    <t xml:space="preserve">https://www.ayadamaldives.com/s/Mizu-Menu-2022-ds72.pdf</t>
  </si>
  <si>
    <t xml:space="preserve">02cdfa0e31f1c7a9a8c6892002577af260a8ab63149311448be967c052929c0d</t>
  </si>
  <si>
    <t xml:space="preserve">library/004_ayada-maldives/dining_menu/2022_Mizu-Menu-2022-ds72.pdf</t>
  </si>
  <si>
    <t xml:space="preserve">2022_Private-Dining-Menu-ca8b.pdf</t>
  </si>
  <si>
    <t xml:space="preserve">https://www.ayadamaldives.com/s/Private-Dining-Menu-ca8b.pdf</t>
  </si>
  <si>
    <t xml:space="preserve">8c794155f4129755f88ee3971e388236b792bac0109c0d35eba11412c0b3c04a</t>
  </si>
  <si>
    <t xml:space="preserve">library/004_ayada-maldives/dining_menu/2022_Private-Dining-Menu-ca8b.pdf</t>
  </si>
  <si>
    <t xml:space="preserve">2020_Beverage-List-Russian.pdf</t>
  </si>
  <si>
    <t xml:space="preserve">https://www.ayadamaldives.com/s/Beverage-List-Russian.pdf</t>
  </si>
  <si>
    <t xml:space="preserve">97a588b88659b836f4e2d3fe35d53a42fca10829b93f977181421dce0aba3b97</t>
  </si>
  <si>
    <t xml:space="preserve">library/004_ayada-maldives/dining_menu/2020_Beverage-List-Russian.pdf</t>
  </si>
  <si>
    <t xml:space="preserve">2020_Kai-Menu-October-Russian.pdf</t>
  </si>
  <si>
    <t xml:space="preserve">https://www.ayadamaldives.com/s/Kai-Menu-October-Russian.pdf</t>
  </si>
  <si>
    <t xml:space="preserve">4583c25fcac701cf7a69ddd895698d5f4d120014e177f638081b144dfecb2b22</t>
  </si>
  <si>
    <t xml:space="preserve">library/004_ayada-maldives/dining_menu/2020_Kai-Menu-October-Russian.pdf</t>
  </si>
  <si>
    <t xml:space="preserve">2020_ZD-October-Menu-Russian-FINAL.pdf</t>
  </si>
  <si>
    <t xml:space="preserve">https://www.ayadamaldives.com/s/ZD-October-Menu-Russian-FINAL.pdf</t>
  </si>
  <si>
    <t xml:space="preserve">00a4cde4aac5c7a9b18edd288eba1f4b520f051111b370148c49c16dd913104f</t>
  </si>
  <si>
    <t xml:space="preserve">library/004_ayada-maldives/dining_menu/2020_ZD-October-Menu-Russian-FINAL.pdf</t>
  </si>
  <si>
    <t xml:space="preserve">2020_Russian-Beach-BBQ-Menu.pdf</t>
  </si>
  <si>
    <t xml:space="preserve">https://www.ayadamaldives.com/s/Russian-Beach-BBQ-Menu.pdf</t>
  </si>
  <si>
    <t xml:space="preserve">781f790a26fa07bc599e04e417d10c65ab9646716cd55bf5c30494f2deab34c1</t>
  </si>
  <si>
    <t xml:space="preserve">library/004_ayada-maldives/dining_menu/2020_Russian-Beach-BBQ-Menu.pdf</t>
  </si>
  <si>
    <t xml:space="preserve">2020_Ocean-Breeze-Russian-Menu-October-FINAL.pdf</t>
  </si>
  <si>
    <t xml:space="preserve">https://www.ayadamaldives.com/s/Ocean-Breeze-Russian-Menu-October-FINAL.pdf</t>
  </si>
  <si>
    <t xml:space="preserve">9e1c4155be3a2ae955dd7f4e0aa538ab36cd5aa54e718bc7365663b884efd89f</t>
  </si>
  <si>
    <t xml:space="preserve">library/004_ayada-maldives/dining_menu/2020_Ocean-Breeze-Russian-Menu-October-FINAL.pdf</t>
  </si>
  <si>
    <t xml:space="preserve">2019_WineCheesepdf.pdf</t>
  </si>
  <si>
    <t xml:space="preserve">https://www.ayadamaldives.com/s/WineCheesepdf.pdf</t>
  </si>
  <si>
    <t xml:space="preserve">a70a63874e27d4f867e4d100e0fd56f81598e12b8f6749adcb8d413baba3050b</t>
  </si>
  <si>
    <t xml:space="preserve">library/004_ayada-maldives/dining_menu/2019_WineCheesepdf.pdf</t>
  </si>
  <si>
    <t xml:space="preserve">2025_Watersports-_Prices_2025-2.pdf</t>
  </si>
  <si>
    <t xml:space="preserve">https://www.ayadamaldives.com/s/Watersports-_Prices_2025-2.pdf</t>
  </si>
  <si>
    <t xml:space="preserve">ded0ba0e00cbbe402086857b7bb2fbf3e121d204b3b1d086ea2fb4b640491ce0</t>
  </si>
  <si>
    <t xml:space="preserve">library/004_ayada-maldives/dive_prices/2025_Watersports-_Prices_2025-2.pdf</t>
  </si>
  <si>
    <t xml:space="preserve">2022_Safety-Information.pdf</t>
  </si>
  <si>
    <t xml:space="preserve">https://www.ayadamaldives.com/s/Safety-Information.pdf</t>
  </si>
  <si>
    <t xml:space="preserve">49fed3f5e9e0cf235e9cce18c9e3a56a7d47577101c89e511300609a6f4ea443</t>
  </si>
  <si>
    <t xml:space="preserve">library/004_ayada-maldives/dive_prices/2022_Safety-Information.pdf</t>
  </si>
  <si>
    <t xml:space="preserve">2024_Jet-Car-zytf.pdf</t>
  </si>
  <si>
    <t xml:space="preserve">https://www.ayadamaldives.com/s/Jet-Car-zytf.pdf</t>
  </si>
  <si>
    <t xml:space="preserve">a5a17131ac1daf4087229fd2bc638a9d2c765d311f86c45b4c62b35d36f4caf5</t>
  </si>
  <si>
    <t xml:space="preserve">library/004_ayada-maldives/excursions/2024_Jet-Car-zytf.pdf</t>
  </si>
  <si>
    <t xml:space="preserve">all_inclusive</t>
  </si>
  <si>
    <t xml:space="preserve">2025_Photography2025.pdf</t>
  </si>
  <si>
    <t xml:space="preserve">https://www.ayadamaldives.com/s/Photography2025.pdf</t>
  </si>
  <si>
    <t xml:space="preserve">733b3493a7d6c9d29bb404b740cb51448fc2851e57df7b9ec5c7c0e02547c6cb</t>
  </si>
  <si>
    <t xml:space="preserve">library/004_ayada-maldives/all_inclusive/2025_Photography2025.pdf</t>
  </si>
  <si>
    <t xml:space="preserve">2021_Diamond-All-Inclusive.pdf</t>
  </si>
  <si>
    <t xml:space="preserve">https://ayada2.squarespace.com/s/Diamond-All-Inclusive.pdf</t>
  </si>
  <si>
    <t xml:space="preserve">ee423ef4674887941b9f0022a63001786843f0a02362696538a54cd620263d73</t>
  </si>
  <si>
    <t xml:space="preserve">library/004_ayada-maldives/all_inclusive/2021_Diamond-All-Inclusive.pdf</t>
  </si>
  <si>
    <t xml:space="preserve">brochure</t>
  </si>
  <si>
    <t xml:space="preserve">2021_Ayada-Reopening-Guidelines-Revised.pdf</t>
  </si>
  <si>
    <t xml:space="preserve">https://www.ayadamaldives.com/s/Ayada-Reopening-Guidelines-Revised.pdf</t>
  </si>
  <si>
    <t xml:space="preserve">275e7380109c3b7d6c9d54e332ef2f283cece6b69d80e760e217b8036bdb5c72</t>
  </si>
  <si>
    <t xml:space="preserve">library/004_ayada-maldives/brochure/2021_Ayada-Reopening-Guidelines-Revised.pdf</t>
  </si>
  <si>
    <t xml:space="preserve">press_kit</t>
  </si>
  <si>
    <t xml:space="preserve">2023_OttomanBevList-Eng_compressed.pdf</t>
  </si>
  <si>
    <t xml:space="preserve">https://www.ayadamaldives.com/s/OttomanBevList-Eng_compressed.pdf</t>
  </si>
  <si>
    <t xml:space="preserve">https://www.ayadamaldives.com/s/OttomanBevList-Eng_compressed.pdf | https://www.ayadamaldives.com/s/Ottoman-Bev-List-Eng_compressed.pdf</t>
  </si>
  <si>
    <t xml:space="preserve">0509a538702e6003e43ce3a5cadd04b5a6041bd668038e6865491c1cff751345</t>
  </si>
  <si>
    <t xml:space="preserve">library/004_ayada-maldives/press_kit/2023_OttomanBevList-Eng_compressed.pdf</t>
  </si>
  <si>
    <t xml:space="preserve">other</t>
  </si>
  <si>
    <t xml:space="preserve">2024_Jet-Car-Russian.pdf</t>
  </si>
  <si>
    <t xml:space="preserve">https://www.ayadamaldives.com/s/Jet-Car-Russian.pdf</t>
  </si>
  <si>
    <t xml:space="preserve">aefc0aa8f91be2517c276bc4659c932706511fd0897171e11cb65a49152b8167</t>
  </si>
  <si>
    <t xml:space="preserve">library/004_ayada-maldives/other/2024_Jet-Car-Russian.pdf</t>
  </si>
  <si>
    <t xml:space="preserve">2023_OZEN-RESERVE-BOLIFUSHI-Fact-Sheet.pdf</t>
  </si>
  <si>
    <t xml:space="preserve">https://www.neoscapesmaldives.com/wp-content/uploads/OZEN-RESERVE-BOLIFUSHI-Fact-Sheet.pdf</t>
  </si>
  <si>
    <t xml:space="preserve">7ed1921719e7da56c5cbd60a08b4d7caaa3c7c7d8e4ddfe5d9f707be2f6e5c18</t>
  </si>
  <si>
    <t xml:space="preserve">library/005_bolifushi-island-resort/factsheet/2023_OZEN-RESERVE-BOLIFUSHI-Fact-Sheet.pdf</t>
  </si>
  <si>
    <t xml:space="preserve">2023_OZEN-RESERVE-BOLIFUSHI-Resort-Map-1.pdf</t>
  </si>
  <si>
    <t xml:space="preserve">https://www.neoscapesmaldives.com/wp-content/uploads/OZEN-RESERVE-BOLIFUSHI-Resort-Map-1.pdf</t>
  </si>
  <si>
    <t xml:space="preserve">2dbf84410d5c1fcd345ba54a1a8db59029d55fba891f362311f8f475b03f3ef6</t>
  </si>
  <si>
    <t xml:space="preserve">library/005_bolifushi-island-resort/map/2023_OZEN-RESERVE-BOLIFUSHI-Resort-Map-1.pdf</t>
  </si>
  <si>
    <t xml:space="preserve">2025_JoaliBeing_Factsheet_V13.pdf</t>
  </si>
  <si>
    <t xml:space="preserve">https://www.neoscapesmaldives.com/wp-content/uploads/JoaliBeing_Factsheet_V13.pdf</t>
  </si>
  <si>
    <t xml:space="preserve">9ad07a852c3410a087dd9af50cffcddaa1341e032690482fb80ead824656d515</t>
  </si>
  <si>
    <t xml:space="preserve">library/006_joali-being-bodufushi/factsheet/2025_JoaliBeing_Factsheet_V13.pdf</t>
  </si>
  <si>
    <t xml:space="preserve">2024_Map_25x30_V3.pdf</t>
  </si>
  <si>
    <t xml:space="preserve">https://www.neoscapesmaldives.com/wp-content/uploads/Map_25x30_V3.pdf</t>
  </si>
  <si>
    <t xml:space="preserve">44d13728557e1bd7adf711a79098f565301e93d297f5e61dbfcfc6f8af309e51</t>
  </si>
  <si>
    <t xml:space="preserve">library/006_joali-being-bodufushi/map/2024_Map_25x30_V3.pdf</t>
  </si>
  <si>
    <t xml:space="preserve">ambiguous match [6]</t>
  </si>
  <si>
    <t xml:space="preserve">2023_JOALI-Maldives-Factsheet.pdf</t>
  </si>
  <si>
    <t xml:space="preserve">https://www.neoscapesmaldives.com/wp-content/uploads/JOALI-Maldives-Factsheet.pdf</t>
  </si>
  <si>
    <t xml:space="preserve">6bae9d01e36b8840ecdec117eb478c8c9420eb0389239e53aeec1022b734028d</t>
  </si>
  <si>
    <t xml:space="preserve">library/007_joali-muravandhoo/factsheet/2023_JOALI-Maldives-Factsheet.pdf</t>
  </si>
  <si>
    <t xml:space="preserve">2023_JOALI-Maldives-Island-Map.pdf</t>
  </si>
  <si>
    <t xml:space="preserve">https://www.neoscapesmaldives.com/wp-content/uploads/JOALI-Maldives-Island-Map.pdf</t>
  </si>
  <si>
    <t xml:space="preserve">3510c6fa7c7effb2c089f422de3f188b7a6fd8effe0a3b37cd057cd784d18a0f</t>
  </si>
  <si>
    <t xml:space="preserve">library/007_joali-muravandhoo/map/2023_JOALI-Maldives-Island-Map.pdf</t>
  </si>
  <si>
    <t xml:space="preserve">villa_plans</t>
  </si>
  <si>
    <t xml:space="preserve">2026_Joali-Maldives.pdf</t>
  </si>
  <si>
    <t xml:space="preserve">https://awesomegetawaymaldives.com/wp-content/uploads/2026/03/Joali-Maldives.pdf</t>
  </si>
  <si>
    <t xml:space="preserve">https://awesomegetawaymaldives.com/wp-content/uploads/2026/03/Joali-Maldives.pdf | https://awesomegetawaymaldives.com/wp-content/uploads/2026/03/joali-factsheet.pdf</t>
  </si>
  <si>
    <t xml:space="preserve">fb90b5a3f1c9362b2f5250893a034dcea2af5eeabe75e724fe646e0b74d55f41</t>
  </si>
  <si>
    <t xml:space="preserve">library/007_joali-muravandhoo/villa_plans/2026_Joali-Maldives.pdf</t>
  </si>
  <si>
    <t xml:space="preserve">2026_so_sotogrande_press-release_green-key_ES.pdf</t>
  </si>
  <si>
    <t xml:space="preserve">so-hotels.com</t>
  </si>
  <si>
    <t xml:space="preserve">https://so-hotels.com/wp-content/uploads/sites/19/2026/01/so_sotogrande_press-release_green-key_ES.pdf</t>
  </si>
  <si>
    <t xml:space="preserve">9b506f6f364cfbdeb8e595905b7a296c9bdd9a13d28003ac14a08d84c89d66bb</t>
  </si>
  <si>
    <t xml:space="preserve">library/007_joali-muravandhoo/sustainability/2026_so_sotogrande_press-release_green-key_ES.pdf</t>
  </si>
  <si>
    <t xml:space="preserve">2026_Joali-Eid-Al-Fitr-Digital-Flyer_V2-002-1.pdf</t>
  </si>
  <si>
    <t xml:space="preserve">https://letsgomaldives.com/wp-content/uploads/2026/03/Joali-Eid-Al-Fitr-Digital-Flyer_V2-002-1.pdf</t>
  </si>
  <si>
    <t xml:space="preserve">d472420236e62656e0c44572aac50b84217d954c951d7b82e455b7607a62d87d</t>
  </si>
  <si>
    <t xml:space="preserve">library/007_joali-muravandhoo/brochure/2026_Joali-Eid-Al-Fitr-Digital-Flyer_V2-002-1.pdf</t>
  </si>
  <si>
    <t xml:space="preserve">2025_MLEAI_Factsheet-March-2025.pdf</t>
  </si>
  <si>
    <t xml:space="preserve">https://www.neoscapesmaldives.com/wp-content/uploads/MLEAI_Factsheet-March-2025.pdf</t>
  </si>
  <si>
    <t xml:space="preserve">51b24e8c0b5a444c26b336cca78a0fc740bbc207e6a34b0ba0491150fb079a55</t>
  </si>
  <si>
    <t xml:space="preserve">library/008_hilton-maldives-amingiri-resort-spa/factsheet/2025_MLEAI_Factsheet-March-2025.pdf</t>
  </si>
  <si>
    <t xml:space="preserve">2025_2025-Hilton-Maldives-Amingiri-Resort-_-Spa-Map.pdf</t>
  </si>
  <si>
    <t xml:space="preserve">https://www.neoscapesmaldives.com/wp-content/uploads/2025-Hilton-Maldives-Amingiri-Resort-_-Spa-Map.pdf</t>
  </si>
  <si>
    <t xml:space="preserve">4825c21a657592a7077412dd1beabaa7c1a0373f1160e7b8434c0c757b211393</t>
  </si>
  <si>
    <t xml:space="preserve">library/008_hilton-maldives-amingiri-resort-spa/map/2025_2025-Hilton-Maldives-Amingiri-Resort-_-Spa-Map.pdf</t>
  </si>
  <si>
    <t xml:space="preserve">2022_Hilton-Maldives-Amingiri-Resort-Spa-Map.pdf</t>
  </si>
  <si>
    <t xml:space="preserve">https://letsgomaldives.com/wp-content/uploads/2023/06/Hilton-Maldives-Amingiri-Resort-Spa-Map.pdf</t>
  </si>
  <si>
    <t xml:space="preserve">c0261d4e03d9c1028e7d997c3ccb58cf7c18282ca977000ced0162b972e6ac52</t>
  </si>
  <si>
    <t xml:space="preserve">library/008_hilton-maldives-amingiri-resort-spa/map/2022_Hilton-Maldives-Amingiri-Resort-Spa-Map.pdf</t>
  </si>
  <si>
    <t xml:space="preserve">2026_Amilla-Maldives_Fact-Sheet_2026.pdf</t>
  </si>
  <si>
    <t xml:space="preserve">amilla.com</t>
  </si>
  <si>
    <t xml:space="preserve">https://amilla.com/wp-content/uploads/Amilla-Maldives_Fact-Sheet_2026.pdf</t>
  </si>
  <si>
    <t xml:space="preserve">55c3d64c2e4bd1a4b767e8b0bc371ce254898ff8a114450cce3bc0f9307dd3be</t>
  </si>
  <si>
    <t xml:space="preserve">library/009_amilla-fushi/factsheet/2026_Amilla-Maldives_Fact-Sheet_2026.pdf</t>
  </si>
  <si>
    <t xml:space="preserve">2023_Amilla-Maldives-Resort-Residences-Fact-Sheet.pdf</t>
  </si>
  <si>
    <t xml:space="preserve">https://amilla.com/wp-content/uploads/2023/05/Amilla-Maldives-Resort-Residences-Fact-Sheet.pdf</t>
  </si>
  <si>
    <t xml:space="preserve">9a5a8207ac7acf1a8f114401cd9fcc960981b3a8a7378f009a59fa514e02be1b</t>
  </si>
  <si>
    <t xml:space="preserve">library/009_amilla-fushi/factsheet/2023_Amilla-Maldives-Resort-Residences-Fact-Sheet.pdf</t>
  </si>
  <si>
    <t xml:space="preserve">2021_Amilla-Maldives-Resort-and-Residences_Villas_Fact_Sheet.pdf</t>
  </si>
  <si>
    <t xml:space="preserve">https://letsgomaldives.com/wp-content/uploads/2017/07/Amilla-Maldives-Resort-and-Residences_Villas_Fact_Sheet.pdf</t>
  </si>
  <si>
    <t xml:space="preserve">15eb1f174d8f4699b70a8fcdc9e7c3ba69d14db397c26430c0a07fee5fe08822</t>
  </si>
  <si>
    <t xml:space="preserve">library/009_amilla-fushi/factsheet/2021_Amilla-Maldives-Resort-and-Residences_Villas_Fact_Sheet.pdf</t>
  </si>
  <si>
    <t xml:space="preserve">2024_Football-Camp-with-Mikael-Silvestre.pdf</t>
  </si>
  <si>
    <t xml:space="preserve">https://amilla.com/wp-content/uploads/Football-Camp-with-Mikael-Silvestre.pdf</t>
  </si>
  <si>
    <t xml:space="preserve">d294a688db2c5eba9a9f2df90f75a268d9b1c44b451140c90bc2a388dc1f3ce4</t>
  </si>
  <si>
    <t xml:space="preserve">library/009_amilla-fushi/wedding/2024_Football-Camp-with-Mikael-Silvestre.pdf</t>
  </si>
  <si>
    <t xml:space="preserve">2024_Football-camp-with-Teddy-Sheringham-2024.pdf</t>
  </si>
  <si>
    <t xml:space="preserve">https://amilla.com/wp-content/uploads/Football-camp-with-Teddy-Sheringham-2024.pdf</t>
  </si>
  <si>
    <t xml:space="preserve">31bc94cf68093d6626384afbfd2e46689db77b8f82c2f33175be467469e3964d</t>
  </si>
  <si>
    <t xml:space="preserve">library/009_amilla-fushi/wedding/2024_Football-camp-with-Teddy-Sheringham-2024.pdf</t>
  </si>
  <si>
    <t xml:space="preserve">2024_Resort-Map-2024_Updated_LR.pdf</t>
  </si>
  <si>
    <t xml:space="preserve">https://amilla.com/wp-content/uploads/2023/04/Resort-Map-2024_Updated_LR.pdf</t>
  </si>
  <si>
    <t xml:space="preserve">c6126df98b7665fd3ad9a243e7d4cce80c0d5d6f25c918e04cb5d9e5a4de315e</t>
  </si>
  <si>
    <t xml:space="preserve">library/009_amilla-fushi/map/2024_Resort-Map-2024_Updated_LR.pdf</t>
  </si>
  <si>
    <t xml:space="preserve">2019_Amilla-Resort-Map.pdf</t>
  </si>
  <si>
    <t xml:space="preserve">https://www.neoscapesmaldives.com/wp-content/uploads/Amilla-Resort-Map.pdf</t>
  </si>
  <si>
    <t xml:space="preserve">ccb74f3d025b7ac4fa42b815e7428b9bd43082913f65dc5953a33e093c29dc5b</t>
  </si>
  <si>
    <t xml:space="preserve">library/009_amilla-fushi/map/2019_Amilla-Resort-Map.pdf</t>
  </si>
  <si>
    <t xml:space="preserve">spa_menu</t>
  </si>
  <si>
    <t xml:space="preserve">2026_International-Yoga-Day-2026.pdf</t>
  </si>
  <si>
    <t xml:space="preserve">https://amilla.com/wp-content/uploads/International-Yoga-Day-2026.pdf</t>
  </si>
  <si>
    <t xml:space="preserve">13a5ece2a73f38e2f9e1b617c5a5bc00ddeacbf3b90d7147770ba8ddea9579c2</t>
  </si>
  <si>
    <t xml:space="preserve">library/009_amilla-fushi/spa_menu/2026_International-Yoga-Day-2026.pdf</t>
  </si>
  <si>
    <t xml:space="preserve">2026_Global-Wellness-Day.pdf</t>
  </si>
  <si>
    <t xml:space="preserve">https://amilla.com/wp-content/uploads/Global-Wellness-Day.pdf</t>
  </si>
  <si>
    <t xml:space="preserve">20f8cef18f949295945ee5798e1add033df0f3bdfad9fd49016f8e6cb0ad20df</t>
  </si>
  <si>
    <t xml:space="preserve">library/009_amilla-fushi/spa_menu/2026_Global-Wellness-Day.pdf</t>
  </si>
  <si>
    <t xml:space="preserve">2026_Mothers-Day_2026.pdf</t>
  </si>
  <si>
    <t xml:space="preserve">https://amilla.com/wp-content/uploads/Mothers-Day_2026.pdf</t>
  </si>
  <si>
    <t xml:space="preserve">b0e6fe529bbeca1b8e0e2e2df8e3f0a69537c20d72e5724f37cd67e2fc634781</t>
  </si>
  <si>
    <t xml:space="preserve">library/009_amilla-fushi/spa_menu/2026_Mothers-Day_2026.pdf</t>
  </si>
  <si>
    <t xml:space="preserve">2024_Javvu-Spa-Menu_October2024_v2.pdf</t>
  </si>
  <si>
    <t xml:space="preserve">https://amilla.com/wp-content/uploads/Javvu-Spa-Menu_October2024_v2.pdf</t>
  </si>
  <si>
    <t xml:space="preserve">1e36b525946f3b33dcddd20e490ebb273f4a401252ab29ed38e84a34ec413d0d</t>
  </si>
  <si>
    <t xml:space="preserve">library/009_amilla-fushi/spa_menu/2024_Javvu-Spa-Menu_October2024_v2.pdf</t>
  </si>
  <si>
    <t xml:space="preserve">2024_Claire-OSullivan-July-VP.pdf</t>
  </si>
  <si>
    <t xml:space="preserve">https://amilla.com/wp-content/uploads/Claire-OSullivan-July-VP.pdf</t>
  </si>
  <si>
    <t xml:space="preserve">a508b7213ba08258f69d1624b4b7957432ef079a1d6d88da3cec7c14616172cb</t>
  </si>
  <si>
    <t xml:space="preserve">library/009_amilla-fushi/spa_menu/2024_Claire-OSullivan-July-VP.pdf</t>
  </si>
  <si>
    <t xml:space="preserve">2024_Consuelo-Sayoran-August-2024.pdf</t>
  </si>
  <si>
    <t xml:space="preserve">https://amilla.com/wp-content/uploads/Consuelo-Sayoran-August-2024.pdf</t>
  </si>
  <si>
    <t xml:space="preserve">d85db066b8706b13cc52de294624eb7c84e6da96ae4bc7ae4a34b97c78812c5b</t>
  </si>
  <si>
    <t xml:space="preserve">library/009_amilla-fushi/spa_menu/2024_Consuelo-Sayoran-August-2024.pdf</t>
  </si>
  <si>
    <t xml:space="preserve">2024_AmillaMaldives_Javvu-Spa-Menu-2024.pdf</t>
  </si>
  <si>
    <t xml:space="preserve">https://amilla.com/wp-content/uploads/AmillaMaldives_Javvu-Spa-Menu-2024.pdf</t>
  </si>
  <si>
    <t xml:space="preserve">05e6a9324a90c6ffac3a16f8076ef754d6f4a00636ba13607f99d7707c297d21</t>
  </si>
  <si>
    <t xml:space="preserve">library/009_amilla-fushi/spa_menu/2024_AmillaMaldives_Javvu-Spa-Menu-2024.pdf</t>
  </si>
  <si>
    <t xml:space="preserve">2024_Master-Sifu-Aniket-Visiting-Practitioner.pdf</t>
  </si>
  <si>
    <t xml:space="preserve">https://amilla.com/wp-content/uploads/Master-Sifu-Aniket-Visiting-Practitioner.pdf</t>
  </si>
  <si>
    <t xml:space="preserve">faaf2eacd99edf4233d97d0b8f6be3e77bb21748f959b58acfa53bfe6916e63a</t>
  </si>
  <si>
    <t xml:space="preserve">library/009_amilla-fushi/spa_menu/2024_Master-Sifu-Aniket-Visiting-Practitioner.pdf</t>
  </si>
  <si>
    <t xml:space="preserve">2024_Jang-Kanlayanee.pdf</t>
  </si>
  <si>
    <t xml:space="preserve">https://amilla.com/wp-content/uploads/Jang-Kanlayanee.pdf</t>
  </si>
  <si>
    <t xml:space="preserve">387e7c78d444418e5c96d391188dabc1650e149157b07c55f31795955c53b7d5</t>
  </si>
  <si>
    <t xml:space="preserve">library/009_amilla-fushi/spa_menu/2024_Jang-Kanlayanee.pdf</t>
  </si>
  <si>
    <t xml:space="preserve">2024_Shyam.K.C.pdf</t>
  </si>
  <si>
    <t xml:space="preserve">https://amilla.com/wp-content/uploads/Shyam.K.C.pdf</t>
  </si>
  <si>
    <t xml:space="preserve">6fd718e05875e109de5752c8966d03e371832f51ef716a41c0e5c0a58416c848</t>
  </si>
  <si>
    <t xml:space="preserve">library/009_amilla-fushi/spa_menu/2024_Shyam.K.C.pdf</t>
  </si>
  <si>
    <t xml:space="preserve">2024_Valentines-Day-at-Javvu-Spa-1.pdf</t>
  </si>
  <si>
    <t xml:space="preserve">https://amilla.com/wp-content/uploads/Valentines-Day-at-Javvu-Spa-1.pdf</t>
  </si>
  <si>
    <t xml:space="preserve">c7406d3de8a4656f684530e00b19750d8b83090ca7f0328b928c32a5d91fc52b</t>
  </si>
  <si>
    <t xml:space="preserve">library/009_amilla-fushi/spa_menu/2024_Valentines-Day-at-Javvu-Spa-1.pdf</t>
  </si>
  <si>
    <t xml:space="preserve">2024_Dr.-Fabio-Massimo-Paciucci-.pdf</t>
  </si>
  <si>
    <t xml:space="preserve">https://amilla.com/wp-content/uploads/Dr.-Fabio-Massimo-Paciucci-.pdf</t>
  </si>
  <si>
    <t xml:space="preserve">39d4b4f98a7839c1ea4e7b5e77c0a1cdfde45cc1fdc3749019a57d9532f744a2</t>
  </si>
  <si>
    <t xml:space="preserve">library/009_amilla-fushi/spa_menu/2024_Dr.-Fabio-Massimo-Paciucci-.pdf</t>
  </si>
  <si>
    <t xml:space="preserve">2024_Katrina-Valente.pdf</t>
  </si>
  <si>
    <t xml:space="preserve">https://amilla.com/wp-content/uploads/Katrina-Valente.pdf</t>
  </si>
  <si>
    <t xml:space="preserve">59e3abb4ed57202a7a183a01287a4788a176c65e040e08063a367a9e10238bf9</t>
  </si>
  <si>
    <t xml:space="preserve">library/009_amilla-fushi/spa_menu/2024_Katrina-Valente.pdf</t>
  </si>
  <si>
    <t xml:space="preserve">2023_Tridendra-Shayak.pdf</t>
  </si>
  <si>
    <t xml:space="preserve">https://amilla.com/wp-content/uploads/Tridendra-Shayak.pdf</t>
  </si>
  <si>
    <t xml:space="preserve">0ec88840a60bda1cddefdce25c6906433f8e7375b7b70957415059242d256742</t>
  </si>
  <si>
    <t xml:space="preserve">library/009_amilla-fushi/spa_menu/2023_Tridendra-Shayak.pdf</t>
  </si>
  <si>
    <t xml:space="preserve">2023_Paul-Emery.pdf</t>
  </si>
  <si>
    <t xml:space="preserve">https://amilla.com/wp-content/uploads/Paul-Emery.pdf</t>
  </si>
  <si>
    <t xml:space="preserve">a62a859c09a5dcacb16a717567794b258fa0f1f1374cd62640c03fe7eadc22fc</t>
  </si>
  <si>
    <t xml:space="preserve">library/009_amilla-fushi/spa_menu/2023_Paul-Emery.pdf</t>
  </si>
  <si>
    <t xml:space="preserve">2023_George-Kleopas.pdf</t>
  </si>
  <si>
    <t xml:space="preserve">https://amilla.com/wp-content/uploads/George-Kleopas.pdf</t>
  </si>
  <si>
    <t xml:space="preserve">07c89c144b8b1a8dd8e783ded982e5ad3bc40c970e915d9067a00497ba19ce99</t>
  </si>
  <si>
    <t xml:space="preserve">library/009_amilla-fushi/spa_menu/2023_George-Kleopas.pdf</t>
  </si>
  <si>
    <t xml:space="preserve">2026_Menu-_-Dr.-Lim-1.pdf</t>
  </si>
  <si>
    <t xml:space="preserve">https://amilla.com/wp-content/uploads/Menu-_-Dr.-Lim-1.pdf</t>
  </si>
  <si>
    <t xml:space="preserve">cee517b94b038f925a9178fde2046a61f97618274f54ee3c5f405b392085952b</t>
  </si>
  <si>
    <t xml:space="preserve">library/009_amilla-fushi/dining_menu/2026_Menu-_-Dr.-Lim-1.pdf</t>
  </si>
  <si>
    <t xml:space="preserve">2026_Final.pdf</t>
  </si>
  <si>
    <t xml:space="preserve">https://amilla.com/wp-content/uploads/Final.pdf</t>
  </si>
  <si>
    <t xml:space="preserve">4956d1b78b78de83b54194c3420a035bef2e516b28dc8ef5e52b30d86695fa17</t>
  </si>
  <si>
    <t xml:space="preserve">library/009_amilla-fushi/dining_menu/2026_Final.pdf</t>
  </si>
  <si>
    <t xml:space="preserve">2026_Menu_Nikki_.pdf</t>
  </si>
  <si>
    <t xml:space="preserve">https://amilla.com/wp-content/uploads/Menu_Nikki_.pdf</t>
  </si>
  <si>
    <t xml:space="preserve">c0ef1254a0880be774668aea530cdb966043484e056945a7275f2c1c4c974e11</t>
  </si>
  <si>
    <t xml:space="preserve">library/009_amilla-fushi/dining_menu/2026_Menu_Nikki_.pdf</t>
  </si>
  <si>
    <t xml:space="preserve">2026_Clay-Studio-Menu.pdf</t>
  </si>
  <si>
    <t xml:space="preserve">https://amilla.com/wp-content/uploads/Clay-Studio-Menu.pdf</t>
  </si>
  <si>
    <t xml:space="preserve">67eb48e9e29bffbf68e1f2869b24d93b539474b0f8b14b4479ef713e8d45ef6f</t>
  </si>
  <si>
    <t xml:space="preserve">library/009_amilla-fushi/dining_menu/2026_Clay-Studio-Menu.pdf</t>
  </si>
  <si>
    <t xml:space="preserve">2026_Menu_Dr.-Shagnika.pdf</t>
  </si>
  <si>
    <t xml:space="preserve">https://amilla.com/wp-content/uploads/Menu_Dr.-Shagnika.pdf</t>
  </si>
  <si>
    <t xml:space="preserve">87a9469554863bb8c6d24224fa26e6b8b8e775ca0025ee07eb00c666f7a1f3f2</t>
  </si>
  <si>
    <t xml:space="preserve">library/009_amilla-fushi/dining_menu/2026_Menu_Dr.-Shagnika.pdf</t>
  </si>
  <si>
    <t xml:space="preserve">2026_Eid-Al-adha_2026.pdf</t>
  </si>
  <si>
    <t xml:space="preserve">https://amilla.com/wp-content/uploads/Eid-Al-adha_2026.pdf</t>
  </si>
  <si>
    <t xml:space="preserve">39d61ffc69d62256b5a97e003ddfc1ee7a3c3b68024d54a0e14cfbf667f36701</t>
  </si>
  <si>
    <t xml:space="preserve">library/009_amilla-fushi/dining_menu/2026_Eid-Al-adha_2026.pdf</t>
  </si>
  <si>
    <t xml:space="preserve">2026_Dr.-Shreejit_Menu.pdf</t>
  </si>
  <si>
    <t xml:space="preserve">https://amilla.com/wp-content/uploads/Dr.-Shreejit_Menu.pdf</t>
  </si>
  <si>
    <t xml:space="preserve">6429a16c8cdae48a88ebc3fac237240c97f76c9cf2694720b7ed987ed1ee497b</t>
  </si>
  <si>
    <t xml:space="preserve">library/009_amilla-fushi/dining_menu/2026_Dr.-Shreejit_Menu.pdf</t>
  </si>
  <si>
    <t xml:space="preserve">2026_Amp_Menu.pdf</t>
  </si>
  <si>
    <t xml:space="preserve">https://amilla.com/wp-content/uploads/Amp_Menu.pdf</t>
  </si>
  <si>
    <t xml:space="preserve">363b6c35f2ce5e3168747e230009279493f54596c38ea801b8974f351be67c4a</t>
  </si>
  <si>
    <t xml:space="preserve">library/009_amilla-fushi/dining_menu/2026_Amp_Menu.pdf</t>
  </si>
  <si>
    <t xml:space="preserve">2026_Jang-Menu.pdf</t>
  </si>
  <si>
    <t xml:space="preserve">https://amilla.com/wp-content/uploads/Jang-Menu.pdf</t>
  </si>
  <si>
    <t xml:space="preserve">40e7c165774bfdfe584cd47aec14e44500521caef427be42d36eafd550c6cf00</t>
  </si>
  <si>
    <t xml:space="preserve">library/009_amilla-fushi/dining_menu/2026_Jang-Menu.pdf</t>
  </si>
  <si>
    <t xml:space="preserve">2026_Francesc_Menu.pdf</t>
  </si>
  <si>
    <t xml:space="preserve">https://amilla.com/wp-content/uploads/Francesc_Menu.pdf</t>
  </si>
  <si>
    <t xml:space="preserve">9922000d1bae659209241d90a23b73467116b8a37ea2eb032b247f276e03c75e</t>
  </si>
  <si>
    <t xml:space="preserve">library/009_amilla-fushi/dining_menu/2026_Francesc_Menu.pdf</t>
  </si>
  <si>
    <t xml:space="preserve">ambiguous match [9, 128]</t>
  </si>
  <si>
    <t xml:space="preserve">2025_DBI-Amilla-Tablet-Mobile-Menu-July-2025.pdf</t>
  </si>
  <si>
    <t xml:space="preserve">https://amilla.com/wp-content/uploads/DBI-Amilla-Tablet-Mobile-Menu-July-2025.pdf</t>
  </si>
  <si>
    <t xml:space="preserve">da5f146cb1e112b3dc801b1f934687c26cec651cdbc72776ff85dbdf04bf0cda</t>
  </si>
  <si>
    <t xml:space="preserve">library/009_amilla-fushi/dining_menu/2025_DBI-Amilla-Tablet-Mobile-Menu-July-2025.pdf</t>
  </si>
  <si>
    <t xml:space="preserve">2025_Yoko-Kawaguchi_Menu.pdf</t>
  </si>
  <si>
    <t xml:space="preserve">https://amilla.com/wp-content/uploads/Yoko-Kawaguchi_Menu.pdf</t>
  </si>
  <si>
    <t xml:space="preserve">b3e799bc4814fe49a72a9e01154d355e9428af739e924ec3ef4725f8767df2ea</t>
  </si>
  <si>
    <t xml:space="preserve">library/009_amilla-fushi/dining_menu/2025_Yoko-Kawaguchi_Menu.pdf</t>
  </si>
  <si>
    <t xml:space="preserve">2025_Rashdy-Ahmad_Menu.pdf</t>
  </si>
  <si>
    <t xml:space="preserve">https://amilla.com/wp-content/uploads/Rashdy-Ahmad_Menu.pdf</t>
  </si>
  <si>
    <t xml:space="preserve">cb89e0e749e9ba529965605ac4b921c8a73ec6962faf67092eeb12cce1bd5f94</t>
  </si>
  <si>
    <t xml:space="preserve">library/009_amilla-fushi/dining_menu/2025_Rashdy-Ahmad_Menu.pdf</t>
  </si>
  <si>
    <t xml:space="preserve">2025_Dr.-Amit_Menu.pdf</t>
  </si>
  <si>
    <t xml:space="preserve">https://amilla.com/wp-content/uploads/Dr.-Amit_Menu.pdf</t>
  </si>
  <si>
    <t xml:space="preserve">f0bc24b0388fed390b01d1cb4a1578bd0f685886ad705b68e49b4e38fef888df</t>
  </si>
  <si>
    <t xml:space="preserve">library/009_amilla-fushi/dining_menu/2025_Dr.-Amit_Menu.pdf</t>
  </si>
  <si>
    <t xml:space="preserve">2025_Karol_Menu.pdf</t>
  </si>
  <si>
    <t xml:space="preserve">https://amilla.com/wp-content/uploads/Karol_Menu.pdf</t>
  </si>
  <si>
    <t xml:space="preserve">1025b3da4761a5e9733f41f665c9291a1959dd5e5e4ebfde7274ffe78bc346da</t>
  </si>
  <si>
    <t xml:space="preserve">library/009_amilla-fushi/dining_menu/2025_Karol_Menu.pdf</t>
  </si>
  <si>
    <t xml:space="preserve">2025_Dr.-Sohal_Menu-1.pdf</t>
  </si>
  <si>
    <t xml:space="preserve">https://amilla.com/wp-content/uploads/Dr.-Sohal_Menu-1.pdf</t>
  </si>
  <si>
    <t xml:space="preserve">706ca1c5b3079cc14e2d5b30ca3955e71dd25e6b851d4019e4b7102eaed92853</t>
  </si>
  <si>
    <t xml:space="preserve">library/009_amilla-fushi/dining_menu/2025_Dr.-Sohal_Menu-1.pdf</t>
  </si>
  <si>
    <t xml:space="preserve">2025_Lisa_Menu.pdf</t>
  </si>
  <si>
    <t xml:space="preserve">https://amilla.com/wp-content/uploads/Lisa_Menu.pdf</t>
  </si>
  <si>
    <t xml:space="preserve">5ed4a8109cb1b0c125b2e4488d2ece9912d3ef659eb3075180db9418ceac17aa</t>
  </si>
  <si>
    <t xml:space="preserve">library/009_amilla-fushi/dining_menu/2025_Lisa_Menu.pdf</t>
  </si>
  <si>
    <t xml:space="preserve">2025_Pallavi-Sawant_Menu-1.pdf</t>
  </si>
  <si>
    <t xml:space="preserve">https://amilla.com/wp-content/uploads/Pallavi-Sawant_Menu-1.pdf</t>
  </si>
  <si>
    <t xml:space="preserve">09bec42eb0549689873bb77b063ccb913bc93fa101060e7eb372d225abdd2632</t>
  </si>
  <si>
    <t xml:space="preserve">library/009_amilla-fushi/dining_menu/2025_Pallavi-Sawant_Menu-1.pdf</t>
  </si>
  <si>
    <t xml:space="preserve">2025_Pallavi-Sawant_Menu.pdf</t>
  </si>
  <si>
    <t xml:space="preserve">https://amilla.com/wp-content/uploads/Pallavi-Sawant_Menu.pdf</t>
  </si>
  <si>
    <t xml:space="preserve">bb7d6d5f29f618ee184e070aa18a8d2c0543ff21289a5a9df831a800c4b89921</t>
  </si>
  <si>
    <t xml:space="preserve">library/009_amilla-fushi/dining_menu/2025_Pallavi-Sawant_Menu.pdf</t>
  </si>
  <si>
    <t xml:space="preserve">2025_Patience_Menu-1.pdf</t>
  </si>
  <si>
    <t xml:space="preserve">https://amilla.com/wp-content/uploads/Patience_Menu-1.pdf</t>
  </si>
  <si>
    <t xml:space="preserve">6189784ec0967047996ce2256625a13588880062b18fd39f8b0574ae10099aad</t>
  </si>
  <si>
    <t xml:space="preserve">library/009_amilla-fushi/dining_menu/2025_Patience_Menu-1.pdf</t>
  </si>
  <si>
    <t xml:space="preserve">2025_Patience_Menu.pdf</t>
  </si>
  <si>
    <t xml:space="preserve">https://amilla.com/wp-content/uploads/Patience_Menu.pdf</t>
  </si>
  <si>
    <t xml:space="preserve">1d5173245b98c8e37a739876ad923929082e1f1c0e8089445dd11cee2a6ca1e2</t>
  </si>
  <si>
    <t xml:space="preserve">library/009_amilla-fushi/dining_menu/2025_Patience_Menu.pdf</t>
  </si>
  <si>
    <t xml:space="preserve">2024_VP-Dr.-Tridendra-Service-Menu-2.pdf</t>
  </si>
  <si>
    <t xml:space="preserve">https://amilla.com/wp-content/uploads/VP-Dr.-Tridendra-Service-Menu-2.pdf</t>
  </si>
  <si>
    <t xml:space="preserve">abcb00154c181d8b8f057fa72cbbea38e66d4049e953c966951c07ab963b8b44</t>
  </si>
  <si>
    <t xml:space="preserve">library/009_amilla-fushi/dining_menu/2024_VP-Dr.-Tridendra-Service-Menu-2.pdf</t>
  </si>
  <si>
    <t xml:space="preserve">2024_Umana-Noordeen_Menu.pdf</t>
  </si>
  <si>
    <t xml:space="preserve">https://amilla.com/wp-content/uploads/Umana-Noordeen_Menu.pdf</t>
  </si>
  <si>
    <t xml:space="preserve">f411c44b9381e6b441dad084b442b89dd2949ae277e4afe896ce535d0b7c62e8</t>
  </si>
  <si>
    <t xml:space="preserve">library/009_amilla-fushi/dining_menu/2024_Umana-Noordeen_Menu.pdf</t>
  </si>
  <si>
    <t xml:space="preserve">2024_Umana-Noordeen_Menu-1.pdf</t>
  </si>
  <si>
    <t xml:space="preserve">https://amilla.com/wp-content/uploads/Umana-Noordeen_Menu-1.pdf</t>
  </si>
  <si>
    <t xml:space="preserve">d30ce892564f4323ea97d3a264750f4fe564b074241cd75e31f8c0aefc193c68</t>
  </si>
  <si>
    <t xml:space="preserve">library/009_amilla-fushi/dining_menu/2024_Umana-Noordeen_Menu-1.pdf</t>
  </si>
  <si>
    <t xml:space="preserve">2024_VP-Dr.-Tridendra-Service-Menu-1.pdf</t>
  </si>
  <si>
    <t xml:space="preserve">https://amilla.com/wp-content/uploads/VP-Dr.-Tridendra-Service-Menu-1.pdf</t>
  </si>
  <si>
    <t xml:space="preserve">491c943ce57c2a2b2f590c2af1866c7dadb38eadb1b744c515759cbca1d8789a</t>
  </si>
  <si>
    <t xml:space="preserve">library/009_amilla-fushi/dining_menu/2024_VP-Dr.-Tridendra-Service-Menu-1.pdf</t>
  </si>
  <si>
    <t xml:space="preserve">2024_DBI-Amilla-2024.pdf</t>
  </si>
  <si>
    <t xml:space="preserve">https://amilla.com/wp-content/uploads/DBI-Amilla-2024.pdf</t>
  </si>
  <si>
    <t xml:space="preserve">f3b2bf04e133103d3854de0aed3b574f957350bb7b34d446c699114221f0a092</t>
  </si>
  <si>
    <t xml:space="preserve">library/009_amilla-fushi/dining_menu/2024_DBI-Amilla-2024.pdf</t>
  </si>
  <si>
    <t xml:space="preserve">2024_VP-Dr.-Tridendra-Service-Menu.pdf</t>
  </si>
  <si>
    <t xml:space="preserve">https://amilla.com/wp-content/uploads/VP-Dr.-Tridendra-Service-Menu.pdf</t>
  </si>
  <si>
    <t xml:space="preserve">52c6662e77026593283683fc002e28e2925c71eb834fb23a82dea7299cd279a5</t>
  </si>
  <si>
    <t xml:space="preserve">library/009_amilla-fushi/dining_menu/2024_VP-Dr.-Tridendra-Service-Menu.pdf</t>
  </si>
  <si>
    <t xml:space="preserve">2024_Eid-al-Fitr-at-Amilla.pdf</t>
  </si>
  <si>
    <t xml:space="preserve">https://amilla.com/wp-content/uploads/Eid-al-Fitr-at-Amilla.pdf</t>
  </si>
  <si>
    <t xml:space="preserve">92d7cb125ef9ec34e59a76f771263b9b6f31ac079c6be284b0e97464010df104</t>
  </si>
  <si>
    <t xml:space="preserve">library/009_amilla-fushi/dining_menu/2024_Eid-al-Fitr-at-Amilla.pdf</t>
  </si>
  <si>
    <t xml:space="preserve">2024_Elle-Lenka-Fernandes-Menu.pdf</t>
  </si>
  <si>
    <t xml:space="preserve">https://amilla.com/wp-content/uploads/Elle-Lenka-Fernandes-Menu.pdf</t>
  </si>
  <si>
    <t xml:space="preserve">ae786440033a8d5cc14149cd78b4eebc02b478a95cb329df777b8f6ddbe8860f</t>
  </si>
  <si>
    <t xml:space="preserve">library/009_amilla-fushi/dining_menu/2024_Elle-Lenka-Fernandes-Menu.pdf</t>
  </si>
  <si>
    <t xml:space="preserve">2023_East-WYW-Menu.pdf</t>
  </si>
  <si>
    <t xml:space="preserve">https://amilla.com/wp-content/uploads/East-WYW-Menu.pdf</t>
  </si>
  <si>
    <t xml:space="preserve">1a1300de3203f2e2bec7d2d2173a132edf6ef0d949a99f1ced3dde0956c4514c</t>
  </si>
  <si>
    <t xml:space="preserve">library/009_amilla-fushi/dining_menu/2023_East-WYW-Menu.pdf</t>
  </si>
  <si>
    <t xml:space="preserve">2023_East-Menu.pdf</t>
  </si>
  <si>
    <t xml:space="preserve">https://amilla.com/wp-content/uploads/East-Menu.pdf</t>
  </si>
  <si>
    <t xml:space="preserve">a27c87dce601a8de88412133f18b944f521dcfd941a9ae81b5937fc8ed64181e</t>
  </si>
  <si>
    <t xml:space="preserve">library/009_amilla-fushi/dining_menu/2023_East-Menu.pdf</t>
  </si>
  <si>
    <t xml:space="preserve">2023_Joes-Pizza-Menu.pdf</t>
  </si>
  <si>
    <t xml:space="preserve">https://amilla.com/wp-content/uploads/Joes-Pizza-Menu.pdf</t>
  </si>
  <si>
    <t xml:space="preserve">dbfc140aa72090dd2899c9fc2f4c81ae4e79b811b145c69b20cefe62de1ff457</t>
  </si>
  <si>
    <t xml:space="preserve">library/009_amilla-fushi/dining_menu/2023_Joes-Pizza-Menu.pdf</t>
  </si>
  <si>
    <t xml:space="preserve">2023_In-Villa-Home-Delivery-Menu.pdf</t>
  </si>
  <si>
    <t xml:space="preserve">https://amilla.com/wp-content/uploads/In-Villa-Home-Delivery-Menu.pdf</t>
  </si>
  <si>
    <t xml:space="preserve">aad7a54b1e88e590d182305f4ff0e84e5fb951955903524ca8b66c9a3a513f82</t>
  </si>
  <si>
    <t xml:space="preserve">library/009_amilla-fushi/dining_menu/2023_In-Villa-Home-Delivery-Menu.pdf</t>
  </si>
  <si>
    <t xml:space="preserve">2020_Wine-List.pdf</t>
  </si>
  <si>
    <t xml:space="preserve">https://amilla.com/wp-content/uploads/Wine-List.pdf</t>
  </si>
  <si>
    <t xml:space="preserve">9fb31674abfec0ec93851829d18e5cdccce692671e6c3ef4631296da7b7db280</t>
  </si>
  <si>
    <t xml:space="preserve">library/009_amilla-fushi/dining_menu/2020_Wine-List.pdf</t>
  </si>
  <si>
    <t xml:space="preserve">2025_GSTUPD_DBI-Amilla-WS-Price-List-2025_online.pdf</t>
  </si>
  <si>
    <t xml:space="preserve">https://amilla.com/wp-content/uploads/GSTUPD_DBI-Amilla-WS-Price-List-2025_online.pdf</t>
  </si>
  <si>
    <t xml:space="preserve">a16fad4103e7f4cc0a7fdfc3645a4838d1ce6045921a144ffdfbcfb77c1a22fd</t>
  </si>
  <si>
    <t xml:space="preserve">library/009_amilla-fushi/dive_prices/2025_GSTUPD_DBI-Amilla-WS-Price-List-2025_online.pdf</t>
  </si>
  <si>
    <t xml:space="preserve">2025_Sports-Fishing-2025.pdf</t>
  </si>
  <si>
    <t xml:space="preserve">https://amilla.com/wp-content/uploads/Sports-Fishing-2025.pdf</t>
  </si>
  <si>
    <t xml:space="preserve">0e98291911f7e62e2bc40acb6865daee2e7a2ca392ab4b0c380f09bba664dda3</t>
  </si>
  <si>
    <t xml:space="preserve">library/009_amilla-fushi/dive_prices/2025_Sports-Fishing-2025.pdf</t>
  </si>
  <si>
    <t xml:space="preserve">2024_Marine-Life-Information.pdf</t>
  </si>
  <si>
    <t xml:space="preserve">https://amilla.com/wp-content/uploads/Marine-Life-Information.pdf</t>
  </si>
  <si>
    <t xml:space="preserve">0382fff749e13fb5f3b5162c1a5d2f49a42c336568d77b820c83ca50e29c02a3</t>
  </si>
  <si>
    <t xml:space="preserve">library/009_amilla-fushi/dive_prices/2024_Marine-Life-Information.pdf</t>
  </si>
  <si>
    <t xml:space="preserve">2024_Snorkelling-at-Amilla-01.pdf</t>
  </si>
  <si>
    <t xml:space="preserve">https://amilla.com/wp-content/uploads/Snorkelling-at-Amilla-01.pdf</t>
  </si>
  <si>
    <t xml:space="preserve">134fb76922f439b00bb018ea7b479240495595d6118fa517013cee01b175de75</t>
  </si>
  <si>
    <t xml:space="preserve">library/009_amilla-fushi/dive_prices/2024_Snorkelling-at-Amilla-01.pdf</t>
  </si>
  <si>
    <t xml:space="preserve">2023_Amilla-Penguin-Journey.pdf</t>
  </si>
  <si>
    <t xml:space="preserve">https://amilla.com/wp-content/uploads/Amilla-Penguin-Journey.pdf</t>
  </si>
  <si>
    <t xml:space="preserve">7d2cf3b5a980c6f5b0c2011ec5690961197487b3ea0e1a45ee21411b0d3e117c</t>
  </si>
  <si>
    <t xml:space="preserve">library/009_amilla-fushi/dive_prices/2023_Amilla-Penguin-Journey.pdf</t>
  </si>
  <si>
    <t xml:space="preserve">2023_DBI-Amilla-Watersports.pdf</t>
  </si>
  <si>
    <t xml:space="preserve">https://amilla.com/wp-content/uploads/DBI-Amilla-Watersports.pdf</t>
  </si>
  <si>
    <t xml:space="preserve">234f8222ae618b4f507b1e72db0447872fbc3566180e4f1951314e20a8eb9aff</t>
  </si>
  <si>
    <t xml:space="preserve">library/009_amilla-fushi/dive_prices/2023_DBI-Amilla-Watersports.pdf</t>
  </si>
  <si>
    <t xml:space="preserve">2011_DBI-Amilla-Compendium-Diving-Rates.pdf</t>
  </si>
  <si>
    <t xml:space="preserve">https://amilla.com/wp-content/uploads/DBI-Amilla-Compendium-Diving-Rates.pdf</t>
  </si>
  <si>
    <t xml:space="preserve">ce3ee1670d66600cf3b453a9041ada45e83ccbad659d948a41a98ab5c65959f7</t>
  </si>
  <si>
    <t xml:space="preserve">library/009_amilla-fushi/dive_prices/2011_DBI-Amilla-Compendium-Diving-Rates.pdf</t>
  </si>
  <si>
    <t xml:space="preserve">2025_Excursions_-September-2025.pdf</t>
  </si>
  <si>
    <t xml:space="preserve">https://amilla.com/wp-content/uploads/Excursions_-September-2025.pdf</t>
  </si>
  <si>
    <t xml:space="preserve">26e14d964532cb09480541d1f420273ff5b63fb67cf19a6f31b7af11aa61a18c</t>
  </si>
  <si>
    <t xml:space="preserve">library/009_amilla-fushi/excursions/2025_Excursions_-September-2025.pdf</t>
  </si>
  <si>
    <t xml:space="preserve">2025_Excursions_2025-2-1.pdf</t>
  </si>
  <si>
    <t xml:space="preserve">https://amilla.com/wp-content/uploads/Excursions_2025-2-1.pdf</t>
  </si>
  <si>
    <t xml:space="preserve">https://amilla.com/wp-content/uploads/Excursions_2025-2-1.pdf | https://amilla.com/wp-content/uploads/Excursions_2025-2.pdf</t>
  </si>
  <si>
    <t xml:space="preserve">3425cb4d732c0389dbb0c607e6a0a7b44895f5fd5c4028574061c6d07f33ead5</t>
  </si>
  <si>
    <t xml:space="preserve">library/009_amilla-fushi/excursions/2025_Excursions_2025-2-1.pdf</t>
  </si>
  <si>
    <t xml:space="preserve">2024_Earth-Day-at-Amilla-2024.pdf</t>
  </si>
  <si>
    <t xml:space="preserve">https://amilla.com/wp-content/uploads/Earth-Day-at-Amilla-2024.pdf</t>
  </si>
  <si>
    <t xml:space="preserve">84b6cf65a7892b858e2a4b7fab2585f9c8b270bc25f87336bd943b184380fb20</t>
  </si>
  <si>
    <t xml:space="preserve">library/009_amilla-fushi/excursions/2024_Earth-Day-at-Amilla-2024.pdf</t>
  </si>
  <si>
    <t xml:space="preserve">kids</t>
  </si>
  <si>
    <t xml:space="preserve">2025_Tennis-1.pdf</t>
  </si>
  <si>
    <t xml:space="preserve">https://amilla.com/wp-content/uploads/Tennis-1.pdf</t>
  </si>
  <si>
    <t xml:space="preserve">cf64b42b1388f8801cafce1bf7e59e99bc0ecca72c4d77b6f6d06f5dc5b9af58</t>
  </si>
  <si>
    <t xml:space="preserve">library/009_amilla-fushi/kids/2025_Tennis-1.pdf</t>
  </si>
  <si>
    <t xml:space="preserve">2024_Kids-Club-Schedule_2024.pdf</t>
  </si>
  <si>
    <t xml:space="preserve">https://amilla.com/wp-content/uploads/Kids-Club-Schedule_2024.pdf</t>
  </si>
  <si>
    <t xml:space="preserve">038050272549bdd9795c8cc51cff23784aa7a3e73e9e61b213b92d8cacaea8e4</t>
  </si>
  <si>
    <t xml:space="preserve">library/009_amilla-fushi/kids/2024_Kids-Club-Schedule_2024.pdf</t>
  </si>
  <si>
    <t xml:space="preserve">2024_Tennis_Vlad_2024.pdf</t>
  </si>
  <si>
    <t xml:space="preserve">https://amilla.com/wp-content/uploads/Tennis_Vlad_2024.pdf</t>
  </si>
  <si>
    <t xml:space="preserve">a68d17cf46131a3fa6fe6e13dac1e6eb6047630c1c9669ab39c440b5810d8ad8</t>
  </si>
  <si>
    <t xml:space="preserve">library/009_amilla-fushi/kids/2024_Tennis_Vlad_2024.pdf</t>
  </si>
  <si>
    <t xml:space="preserve">2023_Tennis.pdf</t>
  </si>
  <si>
    <t xml:space="preserve">https://amilla.com/wp-content/uploads/Tennis.pdf</t>
  </si>
  <si>
    <t xml:space="preserve">4a74be1913d5106c5a62598a6c30da30226700e0d9b27c33fbde4d28f1335fb1</t>
  </si>
  <si>
    <t xml:space="preserve">library/009_amilla-fushi/kids/2023_Tennis.pdf</t>
  </si>
  <si>
    <t xml:space="preserve">2026_Accessibility-Inclusivity_2026.pdf</t>
  </si>
  <si>
    <t xml:space="preserve">https://amilla.com/wp-content/uploads/Accessibility-Inclusivity_2026.pdf</t>
  </si>
  <si>
    <t xml:space="preserve">5d6ec2cb3dd7f90f349168366790baff90a9a032b3d4f153d778fdd3e155cd9a</t>
  </si>
  <si>
    <t xml:space="preserve">library/009_amilla-fushi/villa_plans/2026_Accessibility-Inclusivity_2026.pdf</t>
  </si>
  <si>
    <t xml:space="preserve">2025_Four-Bedroom-Residence-.pdf</t>
  </si>
  <si>
    <t xml:space="preserve">https://amilla.com/wp-content/uploads/Four-Bedroom-Residence-.pdf</t>
  </si>
  <si>
    <t xml:space="preserve">916e2a6dc0ad87e3d032556ba020442c95637f6f855a66550f9b1d8fe4e0968d</t>
  </si>
  <si>
    <t xml:space="preserve">library/009_amilla-fushi/villa_plans/2025_Four-Bedroom-Residence-.pdf</t>
  </si>
  <si>
    <t xml:space="preserve">2025_The-Great-Beach-Residence.pdf</t>
  </si>
  <si>
    <t xml:space="preserve">https://amilla.com/wp-content/uploads/The-Great-Beach-Residence.pdf</t>
  </si>
  <si>
    <t xml:space="preserve">4c97a2e690993cc917f951cf5d97e4c6f0dada94cd76a48c1978c52b6cfb89a8</t>
  </si>
  <si>
    <t xml:space="preserve">library/009_amilla-fushi/villa_plans/2025_The-Great-Beach-Residence.pdf</t>
  </si>
  <si>
    <t xml:space="preserve">2022_Fatcheet-Amilla-Maldives-Resort-and-Residences.pdf</t>
  </si>
  <si>
    <t xml:space="preserve">https://www.neoscapesmaldives.com/wp-content/uploads/Fatcheet-Amilla-Maldives-Resort-and-Residences.pdf</t>
  </si>
  <si>
    <t xml:space="preserve">074e637d7db166970972d1c5137ebfb87cc1142febadf8df6968e3291a14869e</t>
  </si>
  <si>
    <t xml:space="preserve">library/009_amilla-fushi/villa_plans/2022_Fatcheet-Amilla-Maldives-Resort-and-Residences.pdf</t>
  </si>
  <si>
    <t xml:space="preserve">2025_Meal-Plans-2025-Updated.pdf</t>
  </si>
  <si>
    <t xml:space="preserve">https://amilla.com/wp-content/uploads/Meal-Plans-2025-Updated.pdf</t>
  </si>
  <si>
    <t xml:space="preserve">https://amilla.com/wp-content/uploads/Meal-Plans-2025-Updated.pdf | https://amilla.com/wp-content/uploads/Amilla-Maldives-Meal-Plans-2026.pdf</t>
  </si>
  <si>
    <t xml:space="preserve">d86650416ae42f1a3762a45e9029c35856294fb1573d34ad51eb9fcc8de21657</t>
  </si>
  <si>
    <t xml:space="preserve">library/009_amilla-fushi/all_inclusive/2025_Meal-Plans-2025-Updated.pdf</t>
  </si>
  <si>
    <t xml:space="preserve">2025_Bluejay_Packages_v3.pdf</t>
  </si>
  <si>
    <t xml:space="preserve">https://amilla.com/wp-content/uploads/Bluejay_Packages_v3.pdf</t>
  </si>
  <si>
    <t xml:space="preserve">3f84e7a2859a05dc143b93ec46ca2c03edec046de5a95dc13a324d5588ae4893</t>
  </si>
  <si>
    <t xml:space="preserve">library/009_amilla-fushi/all_inclusive/2025_Bluejay_Packages_v3.pdf</t>
  </si>
  <si>
    <t xml:space="preserve">2024_Bluejay-Photography-Packages.pdf</t>
  </si>
  <si>
    <t xml:space="preserve">https://amilla.com/wp-content/uploads/Bluejay-Photography-Packages.pdf</t>
  </si>
  <si>
    <t xml:space="preserve">f8ce19c101455eb8f5cc087c2b3c53804fbe710d8532c75e09678911d918ac76</t>
  </si>
  <si>
    <t xml:space="preserve">library/009_amilla-fushi/all_inclusive/2024_Bluejay-Photography-Packages.pdf</t>
  </si>
  <si>
    <t xml:space="preserve">2023_Inclusive-travel-accessibility.pdf</t>
  </si>
  <si>
    <t xml:space="preserve">https://amilla.com/wp-content/uploads/Inclusive-travel-accessibility.pdf</t>
  </si>
  <si>
    <t xml:space="preserve">a1ffe90d32647b1545f513de1e9cbae200311ff0b34efa412bcbaf56306e4302</t>
  </si>
  <si>
    <t xml:space="preserve">library/009_amilla-fushi/all_inclusive/2023_Inclusive-travel-accessibility.pdf</t>
  </si>
  <si>
    <t xml:space="preserve">2026_World-Sea-Turtle-Day-Flyer.pdf</t>
  </si>
  <si>
    <t xml:space="preserve">https://amilla.com/wp-content/uploads/World-Sea-Turtle-Day-Flyer.pdf</t>
  </si>
  <si>
    <t xml:space="preserve">88c702ccb5c011b33ac9f9efb51fa1b8b478970e151927bd392bbd965596b8ef</t>
  </si>
  <si>
    <t xml:space="preserve">library/009_amilla-fushi/sustainability/2026_World-Sea-Turtle-Day-Flyer.pdf</t>
  </si>
  <si>
    <t xml:space="preserve">2026_Amilla-Maldives_Sustainability_2026.pdf</t>
  </si>
  <si>
    <t xml:space="preserve">https://amilla.com/wp-content/uploads/Amilla-Maldives_Sustainability_2026.pdf</t>
  </si>
  <si>
    <t xml:space="preserve">b443dd440d6820ecaceb36d8a82925ad1631ecd2446dcdf41d1345fdec07a62c</t>
  </si>
  <si>
    <t xml:space="preserve">library/009_amilla-fushi/sustainability/2026_Amilla-Maldives_Sustainability_2026.pdf</t>
  </si>
  <si>
    <t xml:space="preserve">calendar</t>
  </si>
  <si>
    <t xml:space="preserve">2024_Orthodox-Easter_2024.pdf</t>
  </si>
  <si>
    <t xml:space="preserve">https://amilla.com/wp-content/uploads/Orthodox-Easter_2024.pdf</t>
  </si>
  <si>
    <t xml:space="preserve">6382de2bc74ec1f5ee4566a8325ff4829f3a428433d1df758a5a7dffa33fd2fa</t>
  </si>
  <si>
    <t xml:space="preserve">library/009_amilla-fushi/calendar/2024_Orthodox-Easter_2024.pdf</t>
  </si>
  <si>
    <t xml:space="preserve">2024_Chinese-New-Year-2024.pdf</t>
  </si>
  <si>
    <t xml:space="preserve">https://amilla.com/wp-content/uploads/Chinese-New-Year-2024.pdf</t>
  </si>
  <si>
    <t xml:space="preserve">cb1df5fa1c32ec40f0e6a3f4b871ec7fda22c4c5e4d5b5c62896acf43c0a04c7</t>
  </si>
  <si>
    <t xml:space="preserve">library/009_amilla-fushi/calendar/2024_Chinese-New-Year-2024.pdf</t>
  </si>
  <si>
    <t xml:space="preserve">2023_Pause-Retreat.pdf</t>
  </si>
  <si>
    <t xml:space="preserve">https://amilla.com/wp-content/uploads/Pause-Retreat.pdf</t>
  </si>
  <si>
    <t xml:space="preserve">f3f7f0305171accb354ec52bdcbfc46e173e31471dd1b14564f809800faead49</t>
  </si>
  <si>
    <t xml:space="preserve">library/009_amilla-fushi/calendar/2023_Pause-Retreat.pdf</t>
  </si>
  <si>
    <t xml:space="preserve">2026_International-Coffee-Day-2026-Final.pdf</t>
  </si>
  <si>
    <t xml:space="preserve">https://amilla.com/wp-content/uploads/International-Coffee-Day-2026-Final.pdf</t>
  </si>
  <si>
    <t xml:space="preserve">46f4836c5ac9084b8181ecf757149d837919af4624709411a92354f98bf87021</t>
  </si>
  <si>
    <t xml:space="preserve">library/009_amilla-fushi/brochure/2026_International-Coffee-Day-2026-Final.pdf</t>
  </si>
  <si>
    <t xml:space="preserve">2026_Flyer-_-Dr.-Lim.pdf</t>
  </si>
  <si>
    <t xml:space="preserve">https://amilla.com/wp-content/uploads/Flyer-_-Dr.-Lim.pdf</t>
  </si>
  <si>
    <t xml:space="preserve">f921eadad747927457903c403e220b18d75d2363d090bc17d37e9add1656c7ec</t>
  </si>
  <si>
    <t xml:space="preserve">library/009_amilla-fushi/brochure/2026_Flyer-_-Dr.-Lim.pdf</t>
  </si>
  <si>
    <t xml:space="preserve">2026_Flyer-_-Dr.-Tridendra-1.pdf</t>
  </si>
  <si>
    <t xml:space="preserve">https://amilla.com/wp-content/uploads/Flyer-_-Dr.-Tridendra-1.pdf</t>
  </si>
  <si>
    <t xml:space="preserve">72f2759948a93c78f812a92a77452265161f4cfd70ee5245763632ae7c914583</t>
  </si>
  <si>
    <t xml:space="preserve">library/009_amilla-fushi/brochure/2026_Flyer-_-Dr.-Tridendra-1.pdf</t>
  </si>
  <si>
    <t xml:space="preserve">2026_Flyer-_-Dr.-Lim-2.pdf</t>
  </si>
  <si>
    <t xml:space="preserve">https://amilla.com/wp-content/uploads/Flyer-_-Dr.-Lim-2.pdf</t>
  </si>
  <si>
    <t xml:space="preserve">0d5927179e4e0e2830a080aec724e24f5954353cd5431bafb2e3734634c27b98</t>
  </si>
  <si>
    <t xml:space="preserve">library/009_amilla-fushi/brochure/2026_Flyer-_-Dr.-Lim-2.pdf</t>
  </si>
  <si>
    <t xml:space="preserve">2026_VP-Flyer_Nikki-new-2.pdf</t>
  </si>
  <si>
    <t xml:space="preserve">https://amilla.com/wp-content/uploads/VP-Flyer_Nikki-new-2.pdf</t>
  </si>
  <si>
    <t xml:space="preserve">ad6807b06105cd5ac420c693f40c613a33e3db6c65ecc347ee137fb345c4dcd3</t>
  </si>
  <si>
    <t xml:space="preserve">library/009_amilla-fushi/brochure/2026_VP-Flyer_Nikki-new-2.pdf</t>
  </si>
  <si>
    <t xml:space="preserve">2024_Football-Academy_Flyer.pdf</t>
  </si>
  <si>
    <t xml:space="preserve">https://amilla.com/wp-content/uploads/Football-Academy_Flyer.pdf</t>
  </si>
  <si>
    <t xml:space="preserve">9815ac7b889bfd62a3a31f896446bfe629b9b3c91a4424606f14288abe6e1c9a</t>
  </si>
  <si>
    <t xml:space="preserve">library/009_amilla-fushi/brochure/2024_Football-Academy_Flyer.pdf</t>
  </si>
  <si>
    <t xml:space="preserve">2024_Halloween-Flyer-Revised_LR.pdf</t>
  </si>
  <si>
    <t xml:space="preserve">https://amilla.com/wp-content/uploads/Halloween-Flyer-Revised_LR.pdf</t>
  </si>
  <si>
    <t xml:space="preserve">2b1e3071adc6c11b62d094feebfb368efaa83f9797bb9d937095fcb372b53f1c</t>
  </si>
  <si>
    <t xml:space="preserve">library/009_amilla-fushi/brochure/2024_Halloween-Flyer-Revised_LR.pdf</t>
  </si>
  <si>
    <t xml:space="preserve">2024_Amilla-Maldives.pdf</t>
  </si>
  <si>
    <t xml:space="preserve">https://letsgomaldives.com/wp-content/uploads/2024/03/Amilla-Maldives.pdf</t>
  </si>
  <si>
    <t xml:space="preserve">ba2c76aecc8908af1543e2c3bdcef51b8c76a5e2094652ef53753ee6a3e67c1c</t>
  </si>
  <si>
    <t xml:space="preserve">library/009_amilla-fushi/brochure/2024_Amilla-Maldives.pdf</t>
  </si>
  <si>
    <t xml:space="preserve">2025_The-Amilla-Estate.pdf</t>
  </si>
  <si>
    <t xml:space="preserve">https://amilla.com/wp-content/uploads/The-Amilla-Estate.pdf</t>
  </si>
  <si>
    <t xml:space="preserve">91b912bbe0aff0ac5f7dcd3c1f24860bab0a10b04386d5f32d75bd55bae9d504</t>
  </si>
  <si>
    <t xml:space="preserve">library/009_amilla-fushi/other/2025_The-Amilla-Estate.pdf</t>
  </si>
  <si>
    <t xml:space="preserve">2023_DreamLand-FactSheet-English-2023.pdf</t>
  </si>
  <si>
    <t xml:space="preserve">dreamland.com.mv</t>
  </si>
  <si>
    <t xml:space="preserve">https://dreamland.com.mv/wp-content/uploads/2024/08/DreamLand-FactSheet-English-2023.pdf</t>
  </si>
  <si>
    <t xml:space="preserve">b7c9cceae616a3daae6c96f5aca1a3f83ec70b9667d828d8abecca0303a9db2b</t>
  </si>
  <si>
    <t xml:space="preserve">library/010_dreamland-the-unique-sea-lake-resort-spa/factsheet/2023_DreamLand-FactSheet-English-2023.pdf</t>
  </si>
  <si>
    <t xml:space="preserve">2023_DREAMLAND-GENERAL-INFORMATION-GERMAN-2023.pdf</t>
  </si>
  <si>
    <t xml:space="preserve">https://dreamland.com.mv/wp-content/uploads/2024/08/DREAMLAND-GENERAL-INFORMATION-GERMAN-2023.pdf</t>
  </si>
  <si>
    <t xml:space="preserve">7fba6015395f655e20df36bbb24e9ef54f57467f7cbb5dddbe126494f3c28ea0</t>
  </si>
  <si>
    <t xml:space="preserve">library/010_dreamland-the-unique-sea-lake-resort-spa/factsheet/2023_DREAMLAND-GENERAL-INFORMATION-GERMAN-2023.pdf</t>
  </si>
  <si>
    <t xml:space="preserve">2023_DREAMLAND-GENERAL-INFORMATION-ENGLISH-2023.pdf</t>
  </si>
  <si>
    <t xml:space="preserve">https://dreamland.com.mv/wp-content/uploads/2024/08/DREAMLAND-GENERAL-INFORMATION-ENGLISH-2023.pdf</t>
  </si>
  <si>
    <t xml:space="preserve">78a09624937797f1367e781352ee24c4c19b2844eccfc2b3023dcf292d4427c9</t>
  </si>
  <si>
    <t xml:space="preserve">library/010_dreamland-the-unique-sea-lake-resort-spa/factsheet/2023_DREAMLAND-GENERAL-INFORMATION-ENGLISH-2023.pdf</t>
  </si>
  <si>
    <t xml:space="preserve">2023_DREAMLAND-GENERAL-INFORMATION-CHINESE-2023.pdf</t>
  </si>
  <si>
    <t xml:space="preserve">https://dreamland.com.mv/wp-content/uploads/2024/08/DREAMLAND-GENERAL-INFORMATION-CHINESE-2023.pdf</t>
  </si>
  <si>
    <t xml:space="preserve">7ed40fce906e7874cac568a12aaf8e1fb2ddf19f256621ecd4f784647b0bf313</t>
  </si>
  <si>
    <t xml:space="preserve">library/010_dreamland-the-unique-sea-lake-resort-spa/factsheet/2023_DREAMLAND-GENERAL-INFORMATION-CHINESE-2023.pdf</t>
  </si>
  <si>
    <t xml:space="preserve">2023_DREAMLAND-VOW-CEREMONY-2023.pdf</t>
  </si>
  <si>
    <t xml:space="preserve">https://dreamland.com.mv/wp-content/uploads/2024/08/DREAMLAND-VOW-CEREMONY-2023.pdf</t>
  </si>
  <si>
    <t xml:space="preserve">a8b3ce7d22fab85dd2fc10f01a11672809951ff9fc97f03c657b744e4e7e3783</t>
  </si>
  <si>
    <t xml:space="preserve">library/010_dreamland-the-unique-sea-lake-resort-spa/wedding/2023_DREAMLAND-VOW-CEREMONY-2023.pdf</t>
  </si>
  <si>
    <t xml:space="preserve">2023_DreamLand-Meal-Plan-Upgrade-2023.pdf</t>
  </si>
  <si>
    <t xml:space="preserve">https://dreamland.com.mv/wp-content/uploads/2024/08/DreamLand-Meal-Plan-Upgrade-2023.pdf</t>
  </si>
  <si>
    <t xml:space="preserve">3c861980a6a6351e9ab546400cee400d4af103d23296c04262a6f3fdd3cb9bbd</t>
  </si>
  <si>
    <t xml:space="preserve">library/010_dreamland-the-unique-sea-lake-resort-spa/map/2023_DreamLand-Meal-Plan-Upgrade-2023.pdf</t>
  </si>
  <si>
    <t xml:space="preserve">2018_SPLENDID_DREAMLAND_RESORT-MAP_EDITED.pdf</t>
  </si>
  <si>
    <t xml:space="preserve">https://dreamland.com.mv/wp-content/uploads/2024/08/SPLENDID_DREAMLAND_RESORT-MAP_EDITED.pdf</t>
  </si>
  <si>
    <t xml:space="preserve">fcad8c12d2ff65684e7531a0ec997d120a8cf173f9c33778c9e4285537b78e1c</t>
  </si>
  <si>
    <t xml:space="preserve">library/010_dreamland-the-unique-sea-lake-resort-spa/map/2018_SPLENDID_DREAMLAND_RESORT-MAP_EDITED.pdf</t>
  </si>
  <si>
    <t xml:space="preserve">2023_Duny-Spa-menu-chineese-2023.pdf</t>
  </si>
  <si>
    <t xml:space="preserve">https://dreamland.com.mv/wp-content/uploads/2024/08/Duny-Spa-menu-chineese-2023.pdf</t>
  </si>
  <si>
    <t xml:space="preserve">https://dreamland.com.mv/wp-content/uploads/2024/08/Duny-Spa-menu-chineese-2023.pdf | https://dreamland.com.mv/wp-content/uploads/2024/07/Duny-Spa-menu-chineese-2023.pdf</t>
  </si>
  <si>
    <t xml:space="preserve">8738c0005ca175eeb5b45338c291ae69d1d0e8967aef3654a5c50e453e6ebe21</t>
  </si>
  <si>
    <t xml:space="preserve">library/010_dreamland-the-unique-sea-lake-resort-spa/spa_menu/2023_Duny-Spa-menu-chineese-2023.pdf</t>
  </si>
  <si>
    <t xml:space="preserve">2023_DreamLand-Private-Lobster-Dinner-Menu-2023.pdf</t>
  </si>
  <si>
    <t xml:space="preserve">https://dreamland.com.mv/wp-content/uploads/2024/08/DreamLand-Private-Lobster-Dinner-Menu-2023.pdf</t>
  </si>
  <si>
    <t xml:space="preserve">ec15d5c1b393fbc4982e86b46b714a7782992af227e58da44c01a6edac42631c</t>
  </si>
  <si>
    <t xml:space="preserve">library/010_dreamland-the-unique-sea-lake-resort-spa/dining_menu/2023_DreamLand-Private-Lobster-Dinner-Menu-2023.pdf</t>
  </si>
  <si>
    <t xml:space="preserve">2023_DreamLand-Private-BBQ-Seafood-Menu-2023.pdf</t>
  </si>
  <si>
    <t xml:space="preserve">https://dreamland.com.mv/wp-content/uploads/2024/08/DreamLand-Private-BBQ-Seafood-Menu-2023.pdf</t>
  </si>
  <si>
    <t xml:space="preserve">45870abcd0157d4b207e0e901f78c3a92c2b5f9ab721b81a836f994454950d1f</t>
  </si>
  <si>
    <t xml:space="preserve">library/010_dreamland-the-unique-sea-lake-resort-spa/dining_menu/2023_DreamLand-Private-BBQ-Seafood-Menu-2023.pdf</t>
  </si>
  <si>
    <t xml:space="preserve">2023_DreamLand-Private-BBQ-Meat-Menu-2023.pdf</t>
  </si>
  <si>
    <t xml:space="preserve">https://dreamland.com.mv/wp-content/uploads/2024/08/DreamLand-Private-BBQ-Meat-Menu-2023.pdf</t>
  </si>
  <si>
    <t xml:space="preserve">7a11afee2a1dee4fa82ef4cb9d7a0f9190a925d4d8ee082fe4566817c8ac7662</t>
  </si>
  <si>
    <t xml:space="preserve">library/010_dreamland-the-unique-sea-lake-resort-spa/dining_menu/2023_DreamLand-Private-BBQ-Meat-Menu-2023.pdf</t>
  </si>
  <si>
    <t xml:space="preserve">2023_DreamLand-HoneyMoon-Dinner-with-Fish-Starter-1-2023.pdf</t>
  </si>
  <si>
    <t xml:space="preserve">https://dreamland.com.mv/wp-content/uploads/2024/08/DreamLand-HoneyMoon-Dinner-with-Fish-Starter-1-2023.pdf</t>
  </si>
  <si>
    <t xml:space="preserve">1df23c1bf8fb998fb579a1e865397d7d75952cbbbed475129666104e9c2f3c44</t>
  </si>
  <si>
    <t xml:space="preserve">library/010_dreamland-the-unique-sea-lake-resort-spa/dining_menu/2023_DreamLand-HoneyMoon-Dinner-with-Fish-Starter-1-2023.pdf</t>
  </si>
  <si>
    <t xml:space="preserve">2023_DreamLand-Eat-Enjoy-Menu-2023.pdf</t>
  </si>
  <si>
    <t xml:space="preserve">https://dreamland.com.mv/wp-content/uploads/2024/08/DreamLand-Eat-Enjoy-Menu-2023.pdf</t>
  </si>
  <si>
    <t xml:space="preserve">https://dreamland.com.mv/wp-content/uploads/2024/08/DreamLand-Eat-Enjoy-Menu-2023.pdf | https://dreamland.com.mv/wp-content/uploads/2023/08/DreamLand-Eat-Enjoy-Menu-2023.pdf</t>
  </si>
  <si>
    <t xml:space="preserve">cedf8383c8b19e49c17219565aee7a24d2f9d87dc51a879f3720cf328fc6e4fe</t>
  </si>
  <si>
    <t xml:space="preserve">library/010_dreamland-the-unique-sea-lake-resort-spa/dining_menu/2023_DreamLand-Eat-Enjoy-Menu-2023.pdf</t>
  </si>
  <si>
    <t xml:space="preserve">2023_DreamLand-Beverage-Menu-2023.pdf</t>
  </si>
  <si>
    <t xml:space="preserve">https://dreamland.com.mv/wp-content/uploads/2024/08/DreamLand-Beverage-Menu-2023.pdf</t>
  </si>
  <si>
    <t xml:space="preserve">https://dreamland.com.mv/wp-content/uploads/2024/08/DreamLand-Beverage-Menu-2023.pdf | https://dreamland.com.mv/wp-content/uploads/2023/08/DreamLand-Beverage-Menu-2023.pdf</t>
  </si>
  <si>
    <t xml:space="preserve">447c8384ed85cb6e25d0892e225d4ea265dd4c6f81592c66e73fad99c40db39e</t>
  </si>
  <si>
    <t xml:space="preserve">library/010_dreamland-the-unique-sea-lake-resort-spa/dining_menu/2023_DreamLand-Beverage-Menu-2023.pdf</t>
  </si>
  <si>
    <t xml:space="preserve">2023_DreamLand-WINE-MENU-2023.pdf</t>
  </si>
  <si>
    <t xml:space="preserve">https://dreamland.com.mv/wp-content/uploads/2024/08/DreamLand-WINE-MENU-2023.pdf</t>
  </si>
  <si>
    <t xml:space="preserve">https://dreamland.com.mv/wp-content/uploads/2024/08/DreamLand-WINE-MENU-2023.pdf | https://dreamland.com.mv/wp-content/uploads/2023/08/DreamLand-WINE-MENU-2023.pdf</t>
  </si>
  <si>
    <t xml:space="preserve">59b6dc17932894ce2c5681b46ba5adf59623982a4155360f530b11f12d1e3f8c</t>
  </si>
  <si>
    <t xml:space="preserve">library/010_dreamland-the-unique-sea-lake-resort-spa/dining_menu/2023_DreamLand-WINE-MENU-2023.pdf</t>
  </si>
  <si>
    <t xml:space="preserve">2023_DreamLand-AI-MENU-2023.pdf</t>
  </si>
  <si>
    <t xml:space="preserve">https://dreamland.com.mv/wp-content/uploads/2024/08/DreamLand-AI-MENU-2023.pdf</t>
  </si>
  <si>
    <t xml:space="preserve">https://dreamland.com.mv/wp-content/uploads/2024/08/DreamLand-AI-MENU-2023.pdf | https://dreamland.com.mv/wp-content/uploads/2023/08/DreamLand-AI-MENU-2023.pdf</t>
  </si>
  <si>
    <t xml:space="preserve">1d667c60be4113afe2eaeaca1d8eba7518e2fcc24af5616452eeb4d4b51c2e86</t>
  </si>
  <si>
    <t xml:space="preserve">library/010_dreamland-the-unique-sea-lake-resort-spa/dining_menu/2023_DreamLand-AI-MENU-2023.pdf</t>
  </si>
  <si>
    <t xml:space="preserve">2023_DC-Pricelist-2023-Dreamland.pdf</t>
  </si>
  <si>
    <t xml:space="preserve">https://dreamland.com.mv/wp-content/uploads/2023/08/DC-Pricelist-2023-Dreamland.pdf</t>
  </si>
  <si>
    <t xml:space="preserve">e7eb5d68862a66750eadcd2e58dac934ec3d942f5de2894fbe1a96ff0d2eea0d</t>
  </si>
  <si>
    <t xml:space="preserve">library/010_dreamland-the-unique-sea-lake-resort-spa/dive_prices/2023_DC-Pricelist-2023-Dreamland.pdf</t>
  </si>
  <si>
    <t xml:space="preserve">2023_DREAMLAND-Private-Excursion-Trips-2023.pdf</t>
  </si>
  <si>
    <t xml:space="preserve">https://dreamland.com.mv/wp-content/uploads/2024/08/DREAMLAND-Private-Excursion-Trips-2023.pdf</t>
  </si>
  <si>
    <t xml:space="preserve">https://dreamland.com.mv/wp-content/uploads/2024/08/DREAMLAND-Private-Excursion-Trips-2023.pdf | https://dreamland.com.mv/wp-content/uploads/2024/07/DREAMLAND-Private-Excursion-Trips-2023.pdf</t>
  </si>
  <si>
    <t xml:space="preserve">603c856fa3f372af025b4a7220d343deeaf2466d2ab1529f3201ff4f3f97c63e</t>
  </si>
  <si>
    <t xml:space="preserve">library/010_dreamland-the-unique-sea-lake-resort-spa/excursions/2023_DREAMLAND-Private-Excursion-Trips-2023.pdf</t>
  </si>
  <si>
    <t xml:space="preserve">2023_DREAMLAND-Excursion-updated-2023.pdf</t>
  </si>
  <si>
    <t xml:space="preserve">https://dreamland.com.mv/wp-content/uploads/2024/08/DREAMLAND-Excursion-updated-2023.pdf</t>
  </si>
  <si>
    <t xml:space="preserve">https://dreamland.com.mv/wp-content/uploads/2024/08/DREAMLAND-Excursion-updated-2023.pdf | https://dreamland.com.mv/wp-content/uploads/2024/07/DREAMLAND-Excursion-updated-2023.pdf</t>
  </si>
  <si>
    <t xml:space="preserve">869ff951cedb0725aa60443b8d74377bb6a9424365b262018a5946c2bc15f6bc</t>
  </si>
  <si>
    <t xml:space="preserve">library/010_dreamland-the-unique-sea-lake-resort-spa/excursions/2023_DREAMLAND-Excursion-updated-2023.pdf</t>
  </si>
  <si>
    <t xml:space="preserve">2023_DreamLand-All-Inclusive-Package-German-2023.pdf</t>
  </si>
  <si>
    <t xml:space="preserve">https://dreamland.com.mv/wp-content/uploads/2024/08/DreamLand-All-Inclusive-Package-German-2023.pdf</t>
  </si>
  <si>
    <t xml:space="preserve">https://dreamland.com.mv/wp-content/uploads/2024/08/DreamLand-All-Inclusive-Package-German-2023.pdf | https://dreamland.com.mv/wp-content/uploads/2023/08/DreamLand-All-Inclusive-Package-German-2023.pdf</t>
  </si>
  <si>
    <t xml:space="preserve">81db9cd4e76b49d00182a3e11b20c77a0b5315bf1ac1407f550c3ebe1af36e27</t>
  </si>
  <si>
    <t xml:space="preserve">library/010_dreamland-the-unique-sea-lake-resort-spa/all_inclusive/2023_DreamLand-All-Inclusive-Package-German-2023.pdf</t>
  </si>
  <si>
    <t xml:space="preserve">2023_DreamLand-All-Inclusive-Package-English-2023.pdf</t>
  </si>
  <si>
    <t xml:space="preserve">https://dreamland.com.mv/wp-content/uploads/2024/08/DreamLand-All-Inclusive-Package-English-2023.pdf</t>
  </si>
  <si>
    <t xml:space="preserve">https://dreamland.com.mv/wp-content/uploads/2024/08/DreamLand-All-Inclusive-Package-English-2023.pdf | https://dreamland.com.mv/wp-content/uploads/2023/08/DreamLand-All-Inclusive-Package-English-2023.pdf</t>
  </si>
  <si>
    <t xml:space="preserve">5caa5e503d79fb1bb37e54c7064dfa6a8cb5d4ec1ec223338f773a292c357d3f</t>
  </si>
  <si>
    <t xml:space="preserve">library/010_dreamland-the-unique-sea-lake-resort-spa/all_inclusive/2023_DreamLand-All-Inclusive-Package-English-2023.pdf</t>
  </si>
  <si>
    <t xml:space="preserve">2018_GENERAL-INFORMATION.pdf</t>
  </si>
  <si>
    <t xml:space="preserve">angaga.com.mv</t>
  </si>
  <si>
    <t xml:space="preserve">https://www.angaga.com.mv/wp-content/uploads/2018/12/GENERAL-INFORMATION.pdf</t>
  </si>
  <si>
    <t xml:space="preserve">https://www.angaga.com.mv/wp-content/uploads/2018/12/GENERAL-INFORMATION.pdf | https://angaga.com.mv/wp-content/uploads/2018/12/GENERAL-INFORMATION.pdf</t>
  </si>
  <si>
    <t xml:space="preserve">d7feaeeccc36beb073fbec5383c3d669d15b6ea5b22e52e6b72b1818d4c71beb</t>
  </si>
  <si>
    <t xml:space="preserve">library/011_angaga-island-resort-and-spa/factsheet/2018_GENERAL-INFORMATION.pdf</t>
  </si>
  <si>
    <t xml:space="preserve">2018_Angaga-Wedding-Package.pdf</t>
  </si>
  <si>
    <t xml:space="preserve">https://www.angaga.com.mv/wp-content/uploads/2018/12/Angaga-Wedding-Package.pdf</t>
  </si>
  <si>
    <t xml:space="preserve">https://www.angaga.com.mv/wp-content/uploads/2018/12/Angaga-Wedding-Package.pdf | https://angaga.com.mv/wp-content/uploads/2018/12/Angaga-Wedding-Package.pdf</t>
  </si>
  <si>
    <t xml:space="preserve">46e0903144b38aeccfb3031e88a2a2426610a66bf0236a8998f07f1203d74c44</t>
  </si>
  <si>
    <t xml:space="preserve">library/011_angaga-island-resort-and-spa/wedding/2018_Angaga-Wedding-Package.pdf</t>
  </si>
  <si>
    <t xml:space="preserve">2018_wedding-package.pdf</t>
  </si>
  <si>
    <t xml:space="preserve">https://www.angaga.com.mv/wp-content/themes/angaga/assets/pdf/wedding-package.pdf</t>
  </si>
  <si>
    <t xml:space="preserve">https://www.angaga.com.mv/wp-content/themes/angaga/assets/pdf/wedding-package.pdf | https://www.thulhagiri.com.mv/wp-content/themes/thulhagiri/assets/pdf/wedding-package.pdf | https://thulhagiri.com.mv/wp-content/themes/thulhagiri/assets/pdf/wedding-package.pdf | https://angaga.com.mv/wp-content/themes/angaga/assets/pdf/wedding-package.pdf</t>
  </si>
  <si>
    <t xml:space="preserve">65ff2d5bf107ab4d2d7e53a5320c8c312c4b9af487647b6c32153c39a4866bca</t>
  </si>
  <si>
    <t xml:space="preserve">library/011_angaga-island-resort-and-spa/wedding/2018_wedding-package.pdf</t>
  </si>
  <si>
    <t xml:space="preserve">dive_map</t>
  </si>
  <si>
    <t xml:space="preserve">2018_Angaga-Dive-Sites.pdf</t>
  </si>
  <si>
    <t xml:space="preserve">https://www.angaga.com.mv/wp-content/uploads/2018/12/Angaga-Dive-Sites.pdf</t>
  </si>
  <si>
    <t xml:space="preserve">https://www.angaga.com.mv/wp-content/uploads/2018/12/Angaga-Dive-Sites.pdf | https://angaga.com.mv/wp-content/uploads/2018/12/Angaga-Dive-Sites.pdf</t>
  </si>
  <si>
    <t xml:space="preserve">900fd5a520c126831a4588d3456321b78d28d23f5b77b198ba1fb0a9700967dd</t>
  </si>
  <si>
    <t xml:space="preserve">library/011_angaga-island-resort-and-spa/dive_map/2018_Angaga-Dive-Sites.pdf</t>
  </si>
  <si>
    <t xml:space="preserve">2018_Duny-Spa-menu-chineese-1.pdf</t>
  </si>
  <si>
    <t xml:space="preserve">https://www.angaga.com.mv/wp-content/uploads/2018/12/Duny-Spa-menu-chineese-1.pdf</t>
  </si>
  <si>
    <t xml:space="preserve">https://www.angaga.com.mv/wp-content/uploads/2018/12/Duny-Spa-menu-chineese-1.pdf | https://www.angaga.com.mv/wp-content/uploads/2018/12/Duny-Spa-menu-chineese.pdf | https://angaga.com.mv/wp-content/uploads/2018/12/Duny-Spa-menu-chineese.pdf</t>
  </si>
  <si>
    <t xml:space="preserve">9ca4a9973d7f5e725d1e1a97aa4b7f08da2614f2219d5d9c505f0444e9ee67ac</t>
  </si>
  <si>
    <t xml:space="preserve">library/011_angaga-island-resort-and-spa/spa_menu/2018_Duny-Spa-menu-chineese-1.pdf</t>
  </si>
  <si>
    <t xml:space="preserve">2018_Duny-Spa-menu-german-1.pdf</t>
  </si>
  <si>
    <t xml:space="preserve">https://www.angaga.com.mv/wp-content/uploads/2018/12/Duny-Spa-menu-german-1.pdf</t>
  </si>
  <si>
    <t xml:space="preserve">https://www.angaga.com.mv/wp-content/uploads/2018/12/Duny-Spa-menu-german-1.pdf | https://www.angaga.com.mv/wp-content/uploads/2018/12/Duny-Spa-menu-german.pdf | https://angaga.com.mv/wp-content/uploads/2018/12/Duny-Spa-menu-german.pdf</t>
  </si>
  <si>
    <t xml:space="preserve">173b010542ab5a444debc4229644161d51adf41cfff1959a3e2c86a4c3e280f2</t>
  </si>
  <si>
    <t xml:space="preserve">library/011_angaga-island-resort-and-spa/spa_menu/2018_Duny-Spa-menu-german-1.pdf</t>
  </si>
  <si>
    <t xml:space="preserve">2025_COFFEE_SHOP_EAT_MENU_2025.pdf</t>
  </si>
  <si>
    <t xml:space="preserve">https://www.angaga.com.mv/wp-content/uploads/2025/05/COFFEE_SHOP_EAT_MENU_2025.pdf</t>
  </si>
  <si>
    <t xml:space="preserve">https://www.angaga.com.mv/wp-content/uploads/2025/05/COFFEE_SHOP_EAT_MENU_2025.pdf | https://angaga.com.mv/wp-content/uploads/2025/05/COFFEE_SHOP_EAT_MENU_2025.pdf</t>
  </si>
  <si>
    <t xml:space="preserve">00c2621d700bb23f4d7262ace94053f425b54fdd2a88ea85a529c342c3f4bdc2</t>
  </si>
  <si>
    <t xml:space="preserve">library/011_angaga-island-resort-and-spa/dining_menu/2025_COFFEE_SHOP_EAT_MENU_2025.pdf</t>
  </si>
  <si>
    <t xml:space="preserve">2025_Angaga_All_inclusive_menu_Sun_Downbar_2025.pdf</t>
  </si>
  <si>
    <t xml:space="preserve">https://www.angaga.com.mv/wp-content/uploads/2025/05/Angaga_All_inclusive_menu_Sun_Downbar_2025.pdf</t>
  </si>
  <si>
    <t xml:space="preserve">https://www.angaga.com.mv/wp-content/uploads/2025/05/Angaga_All_inclusive_menu_Sun_Downbar_2025.pdf | https://angaga.com.mv/wp-content/uploads/2025/05/Angaga_All_inclusive_menu_Sun_Downbar_2025.pdf</t>
  </si>
  <si>
    <t xml:space="preserve">3582de83cd18afb0147a4eb039b3735c9d8eb912f7101a7a233e3674d7624498</t>
  </si>
  <si>
    <t xml:space="preserve">library/011_angaga-island-resort-and-spa/dining_menu/2025_Angaga_All_inclusive_menu_Sun_Downbar_2025.pdf</t>
  </si>
  <si>
    <t xml:space="preserve">2025_Angaga_drinks_menu_2025.pdf</t>
  </si>
  <si>
    <t xml:space="preserve">https://www.angaga.com.mv/wp-content/uploads/2025/05/Angaga_drinks_menu_2025.pdf</t>
  </si>
  <si>
    <t xml:space="preserve">https://www.angaga.com.mv/wp-content/uploads/2025/05/Angaga_drinks_menu_2025.pdf | https://angaga.com.mv/wp-content/uploads/2025/05/Angaga_drinks_menu_2025.pdf</t>
  </si>
  <si>
    <t xml:space="preserve">a28e7d47c57276c96f469811445410ea93d71ed29965fcbdfd297a74718c167a</t>
  </si>
  <si>
    <t xml:space="preserve">library/011_angaga-island-resort-and-spa/dining_menu/2025_Angaga_drinks_menu_2025.pdf</t>
  </si>
  <si>
    <t xml:space="preserve">2025_Angaga_wine_menu_2025.pdf</t>
  </si>
  <si>
    <t xml:space="preserve">https://www.angaga.com.mv/wp-content/uploads/2025/05/Angaga_wine_menu_2025.pdf</t>
  </si>
  <si>
    <t xml:space="preserve">https://www.angaga.com.mv/wp-content/uploads/2025/05/Angaga_wine_menu_2025.pdf | https://angaga.com.mv/wp-content/uploads/2025/05/Angaga_wine_menu_2025.pdf</t>
  </si>
  <si>
    <t xml:space="preserve">ee2f11eab31032d7a047d481f4ec6b8479b7b7293965554a3da9fb534bb97549</t>
  </si>
  <si>
    <t xml:space="preserve">library/011_angaga-island-resort-and-spa/dining_menu/2025_Angaga_wine_menu_2025.pdf</t>
  </si>
  <si>
    <t xml:space="preserve">2018_COFFEE-SHOP-MENU.pdf</t>
  </si>
  <si>
    <t xml:space="preserve">https://www.angaga.com.mv/wp-content/uploads/2018/12/COFFEE-SHOP-MENU.pdf</t>
  </si>
  <si>
    <t xml:space="preserve">https://www.angaga.com.mv/wp-content/uploads/2018/12/COFFEE-SHOP-MENU.pdf | https://www.angaga.com.mv/wp-content/uploads/2018/12/COFFEE-SHOP-MENU-2.pdf</t>
  </si>
  <si>
    <t xml:space="preserve">2da1860567b798180d158d5f371eb940bde20d9c0372cd2aa4f09d118e1f0e89</t>
  </si>
  <si>
    <t xml:space="preserve">library/011_angaga-island-resort-and-spa/dining_menu/2018_COFFEE-SHOP-MENU.pdf</t>
  </si>
  <si>
    <t xml:space="preserve">2018_wine-menu-3.pdf</t>
  </si>
  <si>
    <t xml:space="preserve">https://www.angaga.com.mv/wp-content/uploads/2018/12/wine-menu-3.pdf</t>
  </si>
  <si>
    <t xml:space="preserve">https://www.angaga.com.mv/wp-content/uploads/2018/12/wine-menu-3.pdf | https://www.angaga.com.mv/wp-content/uploads/2018/12/wine-menu-2.pdf | https://www.angaga.com.mv/wp-content/uploads/2018/12/wine-menu-1.pdf</t>
  </si>
  <si>
    <t xml:space="preserve">b97276e8420c28fdd0f2f503fbfb071bf4284495afcad489aa607ac06b7ecb84</t>
  </si>
  <si>
    <t xml:space="preserve">library/011_angaga-island-resort-and-spa/dining_menu/2018_wine-menu-3.pdf</t>
  </si>
  <si>
    <t xml:space="preserve">2018_All-Inclusive-menu-1-2.pdf</t>
  </si>
  <si>
    <t xml:space="preserve">https://www.angaga.com.mv/wp-content/uploads/2018/12/All-Inclusive-menu-1-2.pdf</t>
  </si>
  <si>
    <t xml:space="preserve">https://www.angaga.com.mv/wp-content/uploads/2018/12/All-Inclusive-menu-1-2.pdf | https://www.angaga.com.mv/wp-content/uploads/2018/12/All-Inclusive-menu-1-3.pdf | https://www.angaga.com.mv/wp-content/uploads/2018/12/All-Inclusive-menu-1-1.pdf | https://www.angaga.com.mv/wp-content/uploads/2018/11/All-Inclusive-menu-1.pdf</t>
  </si>
  <si>
    <t xml:space="preserve">dc087fce5614a692331f10911cdbfab7067044eb180cf30a0f5cc97fad87682c</t>
  </si>
  <si>
    <t xml:space="preserve">library/011_angaga-island-resort-and-spa/dining_menu/2018_All-Inclusive-menu-1-2.pdf</t>
  </si>
  <si>
    <t xml:space="preserve">2012_Angaga-Wine-Menu-New-2.pdf</t>
  </si>
  <si>
    <t xml:space="preserve">https://www.angaga.com.mv/wp-content/uploads/2018/12/Angaga-Wine-Menu-New-2.pdf</t>
  </si>
  <si>
    <t xml:space="preserve">https://www.angaga.com.mv/wp-content/uploads/2018/12/Angaga-Wine-Menu-New-2.pdf | https://www.angaga.com.mv/wp-content/uploads/2018/12/Angaga-Wine-Menu-New.pdf | https://www.angaga.com.mv/wp-content/uploads/2018/12/Angaga-Wine-Menu-New-1.pdf | https://www.angaga.com.mv/wp-content/uploads/2018/11/Angaga-Wine-Menu-New-1.pdf</t>
  </si>
  <si>
    <t xml:space="preserve">01bf8d0df208c55c0a9ddf2064709a10fbae873053a3e2619aa15228b8e395f1</t>
  </si>
  <si>
    <t xml:space="preserve">library/011_angaga-island-resort-and-spa/dining_menu/2012_Angaga-Wine-Menu-New-2.pdf</t>
  </si>
  <si>
    <t xml:space="preserve">2018_Introduction-to-Snorkeling-and-Diving-Angaga.pdf</t>
  </si>
  <si>
    <t xml:space="preserve">https://www.angaga.com.mv/wp-content/uploads/2018/12/Introduction-to-Snorkeling-and-Diving-Angaga.pdf</t>
  </si>
  <si>
    <t xml:space="preserve">https://www.angaga.com.mv/wp-content/uploads/2018/12/Introduction-to-Snorkeling-and-Diving-Angaga.pdf | https://www.angaga.com.mv/wp-content/uploads/2018/11/Introduction-to-Snorkeling-and-Diving-Angaga-1.pdf | https://www.angaga.com.mv/wp-content/uploads/2018/11/Introduction-to-Snorkeling-and-Diving-Angaga.pdf | https://angaga.com.mv/wp-content/uploads/2018/11/Introduction-to-Snorkeling-and-Diving-Angaga-1.pdf</t>
  </si>
  <si>
    <t xml:space="preserve">d2eb4d753756a187664479b4f0ded56671d79c1b7f662155cb0e0a7b5c491e71</t>
  </si>
  <si>
    <t xml:space="preserve">library/011_angaga-island-resort-and-spa/dive_prices/2018_Introduction-to-Snorkeling-and-Diving-Angaga.pdf</t>
  </si>
  <si>
    <t xml:space="preserve">2018_Angaga-Water-Sports-Activities-Information.pdf</t>
  </si>
  <si>
    <t xml:space="preserve">https://www.angaga.com.mv/wp-content/uploads/2018/12/Angaga-Water-Sports-Activities-Information.pdf</t>
  </si>
  <si>
    <t xml:space="preserve">https://www.angaga.com.mv/wp-content/uploads/2018/12/Angaga-Water-Sports-Activities-Information.pdf | https://www.angaga.com.mv/wp-content/uploads/2018/11/Angaga-Water-Sports-Activities-Information.pdf | https://angaga.com.mv/wp-content/uploads/2018/11/Angaga-Water-Sports-Activities-Information.pdf</t>
  </si>
  <si>
    <t xml:space="preserve">d95f9c8e6440f963c13c748d106eb4793befdf336049c8298fc8cc987199b959</t>
  </si>
  <si>
    <t xml:space="preserve">library/011_angaga-island-resort-and-spa/dive_prices/2018_Angaga-Water-Sports-Activities-Information.pdf</t>
  </si>
  <si>
    <t xml:space="preserve">2018_Angaga-Dive-Center-Information.pdf</t>
  </si>
  <si>
    <t xml:space="preserve">https://www.angaga.com.mv/wp-content/uploads/2018/12/Angaga-Dive-Center-Information.pdf</t>
  </si>
  <si>
    <t xml:space="preserve">https://www.angaga.com.mv/wp-content/uploads/2018/12/Angaga-Dive-Center-Information.pdf | https://angaga.com.mv/wp-content/uploads/2018/12/Angaga-Dive-Center-Information.pdf</t>
  </si>
  <si>
    <t xml:space="preserve">76efd2f972aa837a74b63ea7210de3cb3025a5ac1eba675a142faa8b4ce27f66</t>
  </si>
  <si>
    <t xml:space="preserve">library/011_angaga-island-resort-and-spa/dive_prices/2018_Angaga-Dive-Center-Information.pdf</t>
  </si>
  <si>
    <t xml:space="preserve">2015_FAQ-SUB-AQUA-DiveCenter.pdf</t>
  </si>
  <si>
    <t xml:space="preserve">https://www.angaga.com.mv/wp-content/uploads/2018/12/FAQ-SUB-AQUA-DiveCenter.pdf</t>
  </si>
  <si>
    <t xml:space="preserve">https://www.angaga.com.mv/wp-content/uploads/2018/12/FAQ-SUB-AQUA-DiveCenter.pdf | https://www.angaga.com.mv/wp-content/uploads/2018/11/FAQ-SUB-AQUA-DiveCenter.pdf | https://angaga.com.mv/wp-content/uploads/2018/11/FAQ-SUB-AQUA-DiveCenter.pdf</t>
  </si>
  <si>
    <t xml:space="preserve">9fb96e8b0726a6c777bb6a0d98181389a7d2943f5514478913c3f6a6ad8b7d37</t>
  </si>
  <si>
    <t xml:space="preserve">library/011_angaga-island-resort-and-spa/dive_prices/2015_FAQ-SUB-AQUA-DiveCenter.pdf</t>
  </si>
  <si>
    <t xml:space="preserve">2014_docpdf_pricelistwatersports-angaga.pdf</t>
  </si>
  <si>
    <t xml:space="preserve">https://www.angaga.com.mv/wp-content/uploads/2018/11/docpdf_pricelistwatersports-angaga.pdf</t>
  </si>
  <si>
    <t xml:space="preserve">https://www.angaga.com.mv/wp-content/uploads/2018/11/docpdf_pricelistwatersports-angaga.pdf | https://angaga.com.mv/wp-content/uploads/2018/11/docpdf_pricelistwatersports-angaga.pdf</t>
  </si>
  <si>
    <t xml:space="preserve">d346caf425ab8336fcc782002cfcf6183f0aeb410cfef18ef2a0365f9eec980f</t>
  </si>
  <si>
    <t xml:space="preserve">library/011_angaga-island-resort-and-spa/dive_prices/2014_docpdf_pricelistwatersports-angaga.pdf</t>
  </si>
  <si>
    <t xml:space="preserve">2018_EXCURSIONS.pdf</t>
  </si>
  <si>
    <t xml:space="preserve">https://www.angaga.com.mv/wp-content/uploads/2018/12/EXCURSIONS.pdf</t>
  </si>
  <si>
    <t xml:space="preserve">https://www.angaga.com.mv/wp-content/uploads/2018/12/EXCURSIONS.pdf | https://angaga.com.mv/wp-content/uploads/2018/12/EXCURSIONS.pdf</t>
  </si>
  <si>
    <t xml:space="preserve">b44c2ac1b76ce1ad52e0713323ce2d64570e67b31b9d57b70b7d449bf6e2e614</t>
  </si>
  <si>
    <t xml:space="preserve">library/011_angaga-island-resort-and-spa/excursions/2018_EXCURSIONS.pdf</t>
  </si>
  <si>
    <t xml:space="preserve">2018_All-Inclusive-Package-3.pdf</t>
  </si>
  <si>
    <t xml:space="preserve">https://www.angaga.com.mv/wp-content/uploads/2018/12/All-Inclusive-Package-3.pdf</t>
  </si>
  <si>
    <t xml:space="preserve">https://www.angaga.com.mv/wp-content/uploads/2018/12/All-Inclusive-Package-3.pdf | https://www.angaga.com.mv/wp-content/uploads/2018/12/All-Inclusive-Package-2.pdf | https://www.angaga.com.mv/wp-content/uploads/2018/12/All-Inclusive-Package-1.pdf</t>
  </si>
  <si>
    <t xml:space="preserve">4aab507ea9b0f194f900450c5ce73c88f082728136b8912e91fa2e09728f089b</t>
  </si>
  <si>
    <t xml:space="preserve">library/011_angaga-island-resort-and-spa/all_inclusive/2018_All-Inclusive-Package-3.pdf</t>
  </si>
  <si>
    <t xml:space="preserve">2025_Prices-are-subject-to-change-without-any-prior-notice.pdf</t>
  </si>
  <si>
    <t xml:space="preserve">https://www.angaga.com.mv/wp-content/uploads/2025/04/Prices-are-subject-to-change-without-any-prior-notice.pdf</t>
  </si>
  <si>
    <t xml:space="preserve">https://www.angaga.com.mv/wp-content/uploads/2025/04/Prices-are-subject-to-change-without-any-prior-notice.pdf | https://www.thulhagiri.com.mv/wp-content/uploads/2025/04/Prices-are-subject-to-change-without-any-prior-notice.pdf | https://thulhagiri.com.mv/wp-content/uploads/2025/04/Prices-are-subject-to-change-without-any-prior-notice.pdf | https://angaga.com.mv/wp-content/uploads/2025/04/Prices-are-subject-to-change-without-any-prior-notice.pdf</t>
  </si>
  <si>
    <t xml:space="preserve">696b0992c0b01af21b10706d3bc3d444994c09b2f43ced66348dfc19455d0ed0</t>
  </si>
  <si>
    <t xml:space="preserve">library/011_angaga-island-resort-and-spa/other/2025_Prices-are-subject-to-change-without-any-prior-notice.pdf</t>
  </si>
  <si>
    <t xml:space="preserve">2018_HolidayCheck-2018.pdf</t>
  </si>
  <si>
    <t xml:space="preserve">https://www.angaga.com.mv/wp-content/uploads/2018/12/HolidayCheck-2018.pdf</t>
  </si>
  <si>
    <t xml:space="preserve">facab8e96c3497a080e471116abf63d5bb7d5df3a4336479c07a37865fc48ada</t>
  </si>
  <si>
    <t xml:space="preserve">library/011_angaga-island-resort-and-spa/other/2018_HolidayCheck-2018.pdf</t>
  </si>
  <si>
    <t xml:space="preserve">2015_HolidayCheck-2015.pdf</t>
  </si>
  <si>
    <t xml:space="preserve">https://www.angaga.com.mv/wp-content/uploads/2018/12/HolidayCheck-2015.pdf</t>
  </si>
  <si>
    <t xml:space="preserve">48e3c3ab3b0c636b1fc9407d4e76d50cbc45556865a9a0b201b009e39927c621</t>
  </si>
  <si>
    <t xml:space="preserve">library/011_angaga-island-resort-and-spa/other/2015_HolidayCheck-2015.pdf</t>
  </si>
  <si>
    <t xml:space="preserve">2014_HolidayCheck-2014.pdf</t>
  </si>
  <si>
    <t xml:space="preserve">https://www.angaga.com.mv/wp-content/uploads/2018/12/HolidayCheck-2014.pdf</t>
  </si>
  <si>
    <t xml:space="preserve">0387644970ffe748323a04d6f38667f10c64c9cb2b70fce20c5641aa0847c0cf</t>
  </si>
  <si>
    <t xml:space="preserve">library/011_angaga-island-resort-and-spa/other/2014_HolidayCheck-2014.pdf</t>
  </si>
  <si>
    <t xml:space="preserve">2014_HolidayCheck-2014-Winner.pdf</t>
  </si>
  <si>
    <t xml:space="preserve">https://www.angaga.com.mv/wp-content/uploads/2018/12/HolidayCheck-2014-Winner.pdf</t>
  </si>
  <si>
    <t xml:space="preserve">ad1345ba1801a73ac2fd052ae55d7b691176c3bbdb77993956930fe0fee102e6</t>
  </si>
  <si>
    <t xml:space="preserve">library/011_angaga-island-resort-and-spa/other/2014_HolidayCheck-2014-Winner.pdf</t>
  </si>
  <si>
    <t xml:space="preserve">2013_HolidayCheck-2013.pdf</t>
  </si>
  <si>
    <t xml:space="preserve">https://www.angaga.com.mv/wp-content/uploads/2018/12/HolidayCheck-2013.pdf</t>
  </si>
  <si>
    <t xml:space="preserve">aa65f9e0b277f93dcc9d60e8ce12fb5d7d49e088e30eb19c1e205ec4ac1ff30c</t>
  </si>
  <si>
    <t xml:space="preserve">library/011_angaga-island-resort-and-spa/other/2013_HolidayCheck-2013.pdf</t>
  </si>
  <si>
    <t xml:space="preserve">2025_Romantic-Beach-Dinner.pdf</t>
  </si>
  <si>
    <t xml:space="preserve">thulhagiri.com.mv</t>
  </si>
  <si>
    <t xml:space="preserve">https://www.thulhagiri.com.mv/wp-content/uploads/2025/10/Romantic-Beach-Dinner.pdf</t>
  </si>
  <si>
    <t xml:space="preserve">https://www.thulhagiri.com.mv/wp-content/uploads/2025/10/Romantic-Beach-Dinner.pdf | https://thulhagiri.com.mv/wp-content/uploads/2025/10/Romantic-Beach-Dinner.pdf</t>
  </si>
  <si>
    <t xml:space="preserve">11141f037254bb73964ef676d7a75e970a58394b72fd9d3a8b7babbca7bcc1b4</t>
  </si>
  <si>
    <t xml:space="preserve">library/012_thulhagiri-island-resort-spa/wedding/2025_Romantic-Beach-Dinner.pdf</t>
  </si>
  <si>
    <t xml:space="preserve">2025_Thulhagiri-Map-Updated-2025.pdf</t>
  </si>
  <si>
    <t xml:space="preserve">https://www.thulhagiri.com.mv/wp-content/uploads/2025/10/Thulhagiri-Map-Updated-2025.pdf</t>
  </si>
  <si>
    <t xml:space="preserve">https://www.thulhagiri.com.mv/wp-content/uploads/2025/10/Thulhagiri-Map-Updated-2025.pdf | https://thulhagiri.com.mv/wp-content/uploads/2025/10/Thulhagiri-Map-Updated-2025.pdf</t>
  </si>
  <si>
    <t xml:space="preserve">551d567da17658063362b09e0b6cfc0e490bbec9d63f2a774a9f8bb668f85d33</t>
  </si>
  <si>
    <t xml:space="preserve">library/012_thulhagiri-island-resort-spa/map/2025_Thulhagiri-Map-Updated-2025.pdf</t>
  </si>
  <si>
    <t xml:space="preserve">2022_Thulhagiri-Dive-Site-information-2022.pdf</t>
  </si>
  <si>
    <t xml:space="preserve">https://www.thulhagiri.com.mv/wp-content/uploads/2022/12/Thulhagiri-Dive-Site-information-2022.pdf</t>
  </si>
  <si>
    <t xml:space="preserve">2f823065271fa42561b1eaa497bc02b4592b7e3536b64258a70a87ca440f476d</t>
  </si>
  <si>
    <t xml:space="preserve">library/012_thulhagiri-island-resort-spa/dive_map/2022_Thulhagiri-Dive-Site-information-2022.pdf</t>
  </si>
  <si>
    <t xml:space="preserve">2024_Duny-Thai-Spa-Menu-2024-Thulhagiri.pdf</t>
  </si>
  <si>
    <t xml:space="preserve">https://www.thulhagiri.com.mv/wp-content/uploads/2024/01/Duny-Thai-Spa-Menu-2024-Thulhagiri.pdf</t>
  </si>
  <si>
    <t xml:space="preserve">https://www.thulhagiri.com.mv/wp-content/uploads/2024/01/Duny-Thai-Spa-Menu-2024-Thulhagiri.pdf | https://thulhagiri.com.mv/wp-content/uploads/2024/01/Duny-Thai-Spa-Menu-2024-Thulhagiri.pdf</t>
  </si>
  <si>
    <t xml:space="preserve">f2e295f2079cef977529b0c94e1389dfdb21a653c4140bcda101f3c6d3a2e8f0</t>
  </si>
  <si>
    <t xml:space="preserve">library/012_thulhagiri-island-resort-spa/spa_menu/2024_Duny-Thai-Spa-Menu-2024-Thulhagiri.pdf</t>
  </si>
  <si>
    <t xml:space="preserve">2025_Coffee-Shop-Menu-2025.pdf</t>
  </si>
  <si>
    <t xml:space="preserve">https://www.thulhagiri.com.mv/wp-content/uploads/2025/10/Coffee-Shop-Menu-2025.pdf</t>
  </si>
  <si>
    <t xml:space="preserve">https://www.thulhagiri.com.mv/wp-content/uploads/2025/10/Coffee-Shop-Menu-2025.pdf | https://thulhagiri.com.mv/wp-content/uploads/2025/10/Coffee-Shop-Menu-2025.pdf</t>
  </si>
  <si>
    <t xml:space="preserve">6e6861a2cf16531795bbbf759866edc59f1abd4fd2d20ef0fb7ff555b7a2f39a</t>
  </si>
  <si>
    <t xml:space="preserve">library/012_thulhagiri-island-resort-spa/dining_menu/2025_Coffee-Shop-Menu-2025.pdf</t>
  </si>
  <si>
    <t xml:space="preserve">2025_Drinks-Menu-2025.pdf</t>
  </si>
  <si>
    <t xml:space="preserve">https://www.thulhagiri.com.mv/wp-content/uploads/2025/10/Drinks-Menu-2025.pdf</t>
  </si>
  <si>
    <t xml:space="preserve">https://www.thulhagiri.com.mv/wp-content/uploads/2025/10/Drinks-Menu-2025.pdf | https://thulhagiri.com.mv/wp-content/uploads/2025/10/Drinks-Menu-2025.pdf</t>
  </si>
  <si>
    <t xml:space="preserve">0bc2fa24dc2093fa0aab1ba74f0fe11986c37ba77c679bba060c8a330f52d0d4</t>
  </si>
  <si>
    <t xml:space="preserve">library/012_thulhagiri-island-resort-spa/dining_menu/2025_Drinks-Menu-2025.pdf</t>
  </si>
  <si>
    <t xml:space="preserve">2025_Wine-menu-2025.pdf</t>
  </si>
  <si>
    <t xml:space="preserve">https://www.thulhagiri.com.mv/wp-content/uploads/2025/10/Wine-menu-2025.pdf</t>
  </si>
  <si>
    <t xml:space="preserve">https://www.thulhagiri.com.mv/wp-content/uploads/2025/10/Wine-menu-2025.pdf | https://thulhagiri.com.mv/wp-content/uploads/2025/10/Wine-menu-2025.pdf</t>
  </si>
  <si>
    <t xml:space="preserve">92a62bcab76c64621e66960da1661c92bcb263da9e9c93f914bd91d13af3576a</t>
  </si>
  <si>
    <t xml:space="preserve">library/012_thulhagiri-island-resort-spa/dining_menu/2025_Wine-menu-2025.pdf</t>
  </si>
  <si>
    <t xml:space="preserve">2025_All-Inclusive-Drinks-Menu-2025-1.pdf</t>
  </si>
  <si>
    <t xml:space="preserve">https://www.thulhagiri.com.mv/wp-content/uploads/2025/10/All-Inclusive-Drinks-Menu-2025-1.pdf</t>
  </si>
  <si>
    <t xml:space="preserve">https://www.thulhagiri.com.mv/wp-content/uploads/2025/10/All-Inclusive-Drinks-Menu-2025-1.pdf | https://www.thulhagiri.com.mv/wp-content/uploads/2025/10/All-Inclusive-Drinks-Menu-2025.pdf | https://thulhagiri.com.mv/wp-content/uploads/2025/10/All-Inclusive-Drinks-Menu-2025.pdf | https://thulhagiri.com.mv/wp-content/uploads/2025/10/All-Inclusive-Drinks-Menu-2025-1.pdf</t>
  </si>
  <si>
    <t xml:space="preserve">be3673f3e292a7cf50f87142ae8249abfe8298f48b2f6ee1d535f4d303177dfe</t>
  </si>
  <si>
    <t xml:space="preserve">library/012_thulhagiri-island-resort-spa/dining_menu/2025_All-Inclusive-Drinks-Menu-2025-1.pdf</t>
  </si>
  <si>
    <t xml:space="preserve">2023_WELCOME-THULHAGIRI-ENGLISH-GERMAN-VERSION-2023.pdf</t>
  </si>
  <si>
    <t xml:space="preserve">https://www.thulhagiri.com.mv/wp-content/uploads/2023/01/WELCOME-THULHAGIRI-ENGLISH-GERMAN-VERSION-2023.pdf</t>
  </si>
  <si>
    <t xml:space="preserve">821d27f54823eb87f00e4349c324a255fbf5cb9428636c3e33490a6412b224b8</t>
  </si>
  <si>
    <t xml:space="preserve">library/012_thulhagiri-island-resort-spa/dining_menu/2023_WELCOME-THULHAGIRI-ENGLISH-GERMAN-VERSION-2023.pdf</t>
  </si>
  <si>
    <t xml:space="preserve">2023_Cocktails-List-2023.pdf</t>
  </si>
  <si>
    <t xml:space="preserve">https://www.thulhagiri.com.mv/wp-content/uploads/2023/01/Cocktails-List-2023.pdf</t>
  </si>
  <si>
    <t xml:space="preserve">https://www.thulhagiri.com.mv/wp-content/uploads/2023/01/Cocktails-List-2023.pdf | https://thulhagiri.com.mv/wp-content/uploads/2023/01/Cocktails-List-2023.pdf</t>
  </si>
  <si>
    <t xml:space="preserve">36884b780117d562be925ff56868f414202e361dcbf6d6e7be2e57ede0e3b1f8</t>
  </si>
  <si>
    <t xml:space="preserve">library/012_thulhagiri-island-resort-spa/dining_menu/2023_Cocktails-List-2023.pdf</t>
  </si>
  <si>
    <t xml:space="preserve">2018_Thulhagiri18.pdf</t>
  </si>
  <si>
    <t xml:space="preserve">https://www.thulhagiri.com.mv/wp-content/uploads/2018/12/Thulhagiri18.pdf</t>
  </si>
  <si>
    <t xml:space="preserve">https://www.thulhagiri.com.mv/wp-content/uploads/2018/12/Thulhagiri18.pdf | https://thulhagiri.com.mv/wp-content/uploads/2018/12/Thulhagiri18.pdf</t>
  </si>
  <si>
    <t xml:space="preserve">e9a2962c0ac91f86b9ef51079ac505b393653896dc716a45ba27d1aee525f267</t>
  </si>
  <si>
    <t xml:space="preserve">library/012_thulhagiri-island-resort-spa/dining_menu/2018_Thulhagiri18.pdf</t>
  </si>
  <si>
    <t xml:space="preserve">2025_Dive-Center-Pricelist-2025.pdf</t>
  </si>
  <si>
    <t xml:space="preserve">https://www.thulhagiri.com.mv/wp-content/uploads/2025/10/Dive-Center-Pricelist-2025.pdf</t>
  </si>
  <si>
    <t xml:space="preserve">https://www.thulhagiri.com.mv/wp-content/uploads/2025/10/Dive-Center-Pricelist-2025.pdf | https://thulhagiri.com.mv/wp-content/uploads/2025/10/Dive-Center-Pricelist-2025.pdf</t>
  </si>
  <si>
    <t xml:space="preserve">c3250c908e2bd6da575688a188424a676edc681047c53cdf7280ad70175fe3ef</t>
  </si>
  <si>
    <t xml:space="preserve">library/012_thulhagiri-island-resort-spa/dive_prices/2025_Dive-Center-Pricelist-2025.pdf</t>
  </si>
  <si>
    <t xml:space="preserve">2024_Water-Sports-Info-2024.pdf</t>
  </si>
  <si>
    <t xml:space="preserve">https://www.thulhagiri.com.mv/wp-content/uploads/2025/10/Water-Sports-Info-2024.pdf</t>
  </si>
  <si>
    <t xml:space="preserve">https://www.thulhagiri.com.mv/wp-content/uploads/2025/10/Water-Sports-Info-2024.pdf | https://thulhagiri.com.mv/wp-content/uploads/2025/10/Water-Sports-Info-2024.pdf</t>
  </si>
  <si>
    <t xml:space="preserve">75329ca21e60cba9866fc15bd8a4ebf5d4fbdf45f7f1d377b4037b19314c94a0</t>
  </si>
  <si>
    <t xml:space="preserve">library/012_thulhagiri-island-resort-spa/dive_prices/2024_Water-Sports-Info-2024.pdf</t>
  </si>
  <si>
    <t xml:space="preserve">2018_While-snorkelingchinese.pdf</t>
  </si>
  <si>
    <t xml:space="preserve">https://www.thulhagiri.com.mv/wp-content/uploads/2018/12/While-snorkelingchinese.pdf</t>
  </si>
  <si>
    <t xml:space="preserve">https://www.thulhagiri.com.mv/wp-content/uploads/2018/12/While-snorkelingchinese.pdf | https://thulhagiri.com.mv/wp-content/uploads/2018/12/While-snorkelingchinese.pdf</t>
  </si>
  <si>
    <t xml:space="preserve">7e821b9ddeaf5f64bb57b35b5de396286d319e7476fc49c9436ebb1966d528c1</t>
  </si>
  <si>
    <t xml:space="preserve">library/012_thulhagiri-island-resort-spa/dive_prices/2018_While-snorkelingchinese.pdf</t>
  </si>
  <si>
    <t xml:space="preserve">2018_Welcome-to-Thulhagiri.pdf</t>
  </si>
  <si>
    <t xml:space="preserve">https://www.thulhagiri.com.mv/wp-content/uploads/2018/12/Welcome-to-Thulhagiri.pdf</t>
  </si>
  <si>
    <t xml:space="preserve">https://www.thulhagiri.com.mv/wp-content/uploads/2018/12/Welcome-to-Thulhagiri.pdf | https://thulhagiri.com.mv/wp-content/uploads/2018/12/Welcome-to-Thulhagiri.pdf</t>
  </si>
  <si>
    <t xml:space="preserve">70ffba2315079082c13f7efe448b3550fdb0b8257cd1be2f53815f152d039c5f</t>
  </si>
  <si>
    <t xml:space="preserve">library/012_thulhagiri-island-resort-spa/villa_plans/2018_Welcome-to-Thulhagiri.pdf</t>
  </si>
  <si>
    <t xml:space="preserve">2024_All-inclusive-HBP_Package-Details-.pdf</t>
  </si>
  <si>
    <t xml:space="preserve">https://www.thulhagiri.com.mv/wp-content/uploads/2025/10/All-inclusive-HBP_Package-Details-.pdf</t>
  </si>
  <si>
    <t xml:space="preserve">https://www.thulhagiri.com.mv/wp-content/uploads/2025/10/All-inclusive-HBP_Package-Details-.pdf | https://thulhagiri.com.mv/wp-content/uploads/2025/10/All-inclusive-HBP_Package-Details-.pdf</t>
  </si>
  <si>
    <t xml:space="preserve">1405fe8e7f002ff8f079db3e7dd4e22f0d3b5babc4c8307ad94ec5a4abc962bb</t>
  </si>
  <si>
    <t xml:space="preserve">library/012_thulhagiri-island-resort-spa/all_inclusive/2024_All-inclusive-HBP_Package-Details-.pdf</t>
  </si>
  <si>
    <t xml:space="preserve">2025_EXCUSION-TOURS-2025.pdf</t>
  </si>
  <si>
    <t xml:space="preserve">https://www.thulhagiri.com.mv/wp-content/uploads/2025/10/EXCUSION-TOURS-2025.pdf</t>
  </si>
  <si>
    <t xml:space="preserve">https://www.thulhagiri.com.mv/wp-content/uploads/2025/10/EXCUSION-TOURS-2025.pdf | https://thulhagiri.com.mv/wp-content/uploads/2025/10/EXCUSION-TOURS-2025.pdf</t>
  </si>
  <si>
    <t xml:space="preserve">b3f2850b969c5744082347fa8e0a5fa45534c77a33a93f92a27f7904a50746f4</t>
  </si>
  <si>
    <t xml:space="preserve">library/012_thulhagiri-island-resort-spa/sustainability/2025_EXCUSION-TOURS-2025.pdf</t>
  </si>
  <si>
    <t xml:space="preserve">2025_Photography-2025.pdf</t>
  </si>
  <si>
    <t xml:space="preserve">https://www.thulhagiri.com.mv/wp-content/uploads/2025/10/Photography-2025.pdf</t>
  </si>
  <si>
    <t xml:space="preserve">https://www.thulhagiri.com.mv/wp-content/uploads/2025/10/Photography-2025.pdf | https://thulhagiri.com.mv/wp-content/uploads/2025/10/Photography-2025.pdf</t>
  </si>
  <si>
    <t xml:space="preserve">dd38b78e4152a70013fa5f126e25319b1655e21b42bd65e3b976f2b12ffae3d7</t>
  </si>
  <si>
    <t xml:space="preserve">library/012_thulhagiri-island-resort-spa/press_kit/2025_Photography-2025.pdf</t>
  </si>
  <si>
    <t xml:space="preserve">2018_thulhagirimap.pdf</t>
  </si>
  <si>
    <t xml:space="preserve">https://www.thulhagiri.com.mv/wp-content/uploads/2018/12/thulhagirimap.pdf</t>
  </si>
  <si>
    <t xml:space="preserve">4c5a19a21ac0b3480af4da3cb3441761529721fc3a3d6c1e1ff56d39d9505f7f</t>
  </si>
  <si>
    <t xml:space="preserve">library/012_thulhagiri-island-resort-spa/other/2018_thulhagirimap.pdf</t>
  </si>
  <si>
    <t xml:space="preserve">2026_DIAMONDS-Malindi-MICE-Booklet-2026.pdf</t>
  </si>
  <si>
    <t xml:space="preserve">planhotel.com</t>
  </si>
  <si>
    <t xml:space="preserve">https://d1vp8nomjxwyf1.cloudfront.net/wp-content/uploads/sites/212/2017/07/03081145/DIAMONDS-Malindi-MICE-Booklet-2026.pdf</t>
  </si>
  <si>
    <t xml:space="preserve">992ede7b019bdfb3b02fdabcb009989e1f157bf5d9403dcbb5f836e619b6004d</t>
  </si>
  <si>
    <t xml:space="preserve">library/013_sandies-bathala/events/2026_DIAMONDS-Malindi-MICE-Booklet-2026.pdf</t>
  </si>
  <si>
    <t xml:space="preserve">ambiguous match [13]</t>
  </si>
  <si>
    <t xml:space="preserve">2025_Conference-Packages.pdf</t>
  </si>
  <si>
    <t xml:space="preserve">https://d1vp8nomjxwyf1.cloudfront.net/wp-content/uploads/sites/212/2026/03/26095245/Conference-Packages.pdf</t>
  </si>
  <si>
    <t xml:space="preserve">172d643e1bf40fb567e602b5e8d6fcde63fd94addf79a018dd5ea834892976ca</t>
  </si>
  <si>
    <t xml:space="preserve">library/013_sandies-bathala/events/2025_Conference-Packages.pdf</t>
  </si>
  <si>
    <t xml:space="preserve">2024_Planhotel-Corporate-Sustainability-Report-2024.pdf</t>
  </si>
  <si>
    <t xml:space="preserve">https://d1vp8nomjxwyf1.cloudfront.net/wp-content/uploads/sites/212/2017/07/05112313/Planhotel-Corporate-Sustainability-Report-2024.pdf</t>
  </si>
  <si>
    <t xml:space="preserve">1482fe72178696d84e181484f035786366ee5734922d2a38cfc7f20d370ed9ee</t>
  </si>
  <si>
    <t xml:space="preserve">library/013_sandies-bathala/events/2024_Planhotel-Corporate-Sustainability-Report-2024.pdf</t>
  </si>
  <si>
    <t xml:space="preserve">2021_Planhotel-Hospitality-Group-Company-Profile_dsp.pdf</t>
  </si>
  <si>
    <t xml:space="preserve">https://d1vp8nomjxwyf1.cloudfront.net/wp-content/uploads/sites/212/2017/07/02141435/Planhotel-Hospitality-Group-Company-Profile_dsp.pdf</t>
  </si>
  <si>
    <t xml:space="preserve">03a73855393e799e7065e89b8a9a839e96aace6928bea1531c3e7633e733e924</t>
  </si>
  <si>
    <t xml:space="preserve">library/013_sandies-bathala/spa_menu/2021_Planhotel-Hospitality-Group-Company-Profile_dsp.pdf</t>
  </si>
  <si>
    <t xml:space="preserve">2018_Planhotel-Company-Profile.pdf</t>
  </si>
  <si>
    <t xml:space="preserve">https://d1vp8nomjxwyf1.cloudfront.net/wp-content/uploads/sites/212/2017/07/14094821/Planhotel-Company-Profile.pdf</t>
  </si>
  <si>
    <t xml:space="preserve">05ae3606018276b9a0c39b8baf7af7a9a72b655ce1f7b9883758d11a2ac3793c</t>
  </si>
  <si>
    <t xml:space="preserve">library/013_sandies-bathala/spa_menu/2018_Planhotel-Company-Profile.pdf</t>
  </si>
  <si>
    <t xml:space="preserve">2017_Diamonds-Dream-of-Africa_2017_Groups-Manual.pdf</t>
  </si>
  <si>
    <t xml:space="preserve">https://d1vp8nomjxwyf1.cloudfront.net/wp-content/uploads/sites/212/2017/07/02075547/Diamonds-Dream-of-Africa_2017_Groups-Manual.pdf</t>
  </si>
  <si>
    <t xml:space="preserve">a8e7c4f8f9a688c281a9b17cd93349a4add66004af8fb2e6bc12aeb213a06b1d</t>
  </si>
  <si>
    <t xml:space="preserve">library/013_sandies-bathala/spa_menu/2017_Diamonds-Dream-of-Africa_2017_Groups-Manual.pdf</t>
  </si>
  <si>
    <t xml:space="preserve">2018_Italia-a-Tavola_Nov-2018.pdf</t>
  </si>
  <si>
    <t xml:space="preserve">https://d1vp8nomjxwyf1.cloudfront.net/wp-content/uploads/sites/212/2017/07/10144441/Italia-a-Tavola_Nov-2018.pdf</t>
  </si>
  <si>
    <t xml:space="preserve">377177c145083f417d1bc3f975f61554b45eb75f154dea81df14a8b2b65e048c</t>
  </si>
  <si>
    <t xml:space="preserve">library/013_sandies-bathala/dining_menu/2018_Italia-a-Tavola_Nov-2018.pdf</t>
  </si>
  <si>
    <t xml:space="preserve">2017_DiamondsMaldives_Traveller_Winter-2017.pdf</t>
  </si>
  <si>
    <t xml:space="preserve">https://d1vp8nomjxwyf1.cloudfront.net/wp-content/uploads/sites/110/2017/03/04145242/DiamondsMaldives_Traveller_Winter-2017.pdf</t>
  </si>
  <si>
    <t xml:space="preserve">https://d1vp8nomjxwyf1.cloudfront.net/wp-content/uploads/sites/110/2017/03/04145242/DiamondsMaldives_Traveller_Winter-2017.pdf | https://d1vp8nomjxwyf1.cloudfront.net/wp-content/uploads/sites/109/2017/03/04144817/DiamondsMaldives_Traveller_Winter-2017.pdf</t>
  </si>
  <si>
    <t xml:space="preserve">a23b2cb4b6f09390b21fc6fe5a25c16eb6bc008bf80892dbb13be1e5e32945bd</t>
  </si>
  <si>
    <t xml:space="preserve">library/013_sandies-bathala/dining_menu/2017_DiamondsMaldives_Traveller_Winter-2017.pdf</t>
  </si>
  <si>
    <t xml:space="preserve">2020_Sandies-Tropical-Village.pdf</t>
  </si>
  <si>
    <t xml:space="preserve">https://d1vp8nomjxwyf1.cloudfront.net/wp-content/uploads/sites/212/2023/03/17095202/Sandies-Tropical-Village.pdf</t>
  </si>
  <si>
    <t xml:space="preserve">595f2c4b11d7d8ba6ab4884f37bb20b330181776805dd70e3767066ba16244d0</t>
  </si>
  <si>
    <t xml:space="preserve">library/013_sandies-bathala/villa_plans/2020_Sandies-Tropical-Village.pdf</t>
  </si>
  <si>
    <t xml:space="preserve">2015_Travel-Professionals-PT-PT.pdf</t>
  </si>
  <si>
    <t xml:space="preserve">https://d1vp8nomjxwyf1.cloudfront.net/wp-content/uploads/sites/212/2017/08/08084335/Travel-Professionals-PT-PT.pdf</t>
  </si>
  <si>
    <t xml:space="preserve">https://d1vp8nomjxwyf1.cloudfront.net/wp-content/uploads/sites/212/2017/08/08084335/Travel-Professionals-PT-PT.pdf | https://d1vp8nomjxwyf1.cloudfront.net/wp-content/uploads/sites/212/2017/08/08084214/Travel-Professionals-DE.pdf | https://d1vp8nomjxwyf1.cloudfront.net/wp-content/uploads/sites/212/2017/07/08082934/Travel-Professionals.pdf</t>
  </si>
  <si>
    <t xml:space="preserve">1a652880bce52d553f28c71b719456a8d1cecb9bea38eeb2c58949c090e26ea0</t>
  </si>
  <si>
    <t xml:space="preserve">library/013_sandies-bathala/villa_plans/2015_Travel-Professionals-PT-PT.pdf</t>
  </si>
  <si>
    <t xml:space="preserve">2019_DIAMONDSRESORTS_GENTLEMANGREENpdf.pdf</t>
  </si>
  <si>
    <t xml:space="preserve">https://d1vp8nomjxwyf1.cloudfront.net/wp-content/uploads/sites/109/2017/03/09142114/DIAMONDSRESORTS_GENTLEMANGREENpdf.pdf</t>
  </si>
  <si>
    <t xml:space="preserve">21fd076c8b88f297b9147ffea2923e097598684a3e1ed50007ab0f4b25fdf039</t>
  </si>
  <si>
    <t xml:space="preserve">library/013_sandies-bathala/sustainability/2019_DIAMONDSRESORTS_GENTLEMANGREENpdf.pdf</t>
  </si>
  <si>
    <t xml:space="preserve">2021_Diamonds-Thudufushhi_Harpers-Bazaar_Summer-2021.pdf</t>
  </si>
  <si>
    <t xml:space="preserve">https://d1vp8nomjxwyf1.cloudfront.net/wp-content/uploads/sites/110/2017/03/18094049/Diamonds-Thudufushhi_Harpers-Bazaar_Summer-2021.pdf</t>
  </si>
  <si>
    <t xml:space="preserve">5496ea0e6e84f0877c73d0c9ca8b4493c107f88d9dde5b78c0ad92ba3155e0b1</t>
  </si>
  <si>
    <t xml:space="preserve">library/013_sandies-bathala/other/2021_Diamonds-Thudufushhi_Harpers-Bazaar_Summer-2021.pdf</t>
  </si>
  <si>
    <t xml:space="preserve">2020_Sandies-Malindi-Dream-Garden.pdf</t>
  </si>
  <si>
    <t xml:space="preserve">https://d1vp8nomjxwyf1.cloudfront.net/wp-content/uploads/sites/212/2023/03/17095141/Sandies-Malindi-Dream-Garden.pdf</t>
  </si>
  <si>
    <t xml:space="preserve">5ff2383effdbc1768ab378986fa87c1c8ff92c216a08fb13cb16e464482a4794</t>
  </si>
  <si>
    <t xml:space="preserve">library/013_sandies-bathala/other/2020_Sandies-Malindi-Dream-Garden.pdf</t>
  </si>
  <si>
    <t xml:space="preserve">2020_Diamonds-Dream-of-Africa.pdf</t>
  </si>
  <si>
    <t xml:space="preserve">https://d1vp8nomjxwyf1.cloudfront.net/wp-content/uploads/sites/212/2023/03/17094954/Diamonds-Dream-of-Africa.pdf</t>
  </si>
  <si>
    <t xml:space="preserve">75241f92cc79217e55208919c764df5475e879c6d8e19278bdb94532349f2988</t>
  </si>
  <si>
    <t xml:space="preserve">library/013_sandies-bathala/other/2020_Diamonds-Dream-of-Africa.pdf</t>
  </si>
  <si>
    <t xml:space="preserve">2019_Sandies-Bathala.pdf</t>
  </si>
  <si>
    <t xml:space="preserve">https://d1vp8nomjxwyf1.cloudfront.net/wp-content/uploads/sites/212/2023/03/17095120/Sandies-Bathala.pdf</t>
  </si>
  <si>
    <t xml:space="preserve">f78b90a55f8f8b3d979872a1576ae24ac15a0a462109d40c386cda2e1df2d4b7</t>
  </si>
  <si>
    <t xml:space="preserve">library/013_sandies-bathala/other/2019_Sandies-Bathala.pdf</t>
  </si>
  <si>
    <t xml:space="preserve">2019_Hotel-Italia_Italia-a-Tavola_DecJan-2019.pdf</t>
  </si>
  <si>
    <t xml:space="preserve">https://d1vp8nomjxwyf1.cloudfront.net/wp-content/uploads/sites/212/2017/07/18151813/Hotel-Italia_Italia-a-Tavola_DecJan-2019.pdf</t>
  </si>
  <si>
    <t xml:space="preserve">4e949fbceb885e746d7f7393b3488b8cd68fd6b48f534aac7e538a762fb0fc47</t>
  </si>
  <si>
    <t xml:space="preserve">library/013_sandies-bathala/other/2019_Hotel-Italia_Italia-a-Tavola_DecJan-2019.pdf</t>
  </si>
  <si>
    <t xml:space="preserve">2019_38-Oggi1.pdf</t>
  </si>
  <si>
    <t xml:space="preserve">https://d1vp8nomjxwyf1.cloudfront.net/wp-content/uploads/sites/109/2017/03/09142254/38-Oggi1.pdf</t>
  </si>
  <si>
    <t xml:space="preserve">f672c6bee9fe0c922c9b2e063e8b866e0392404da24019d897d05e7e6dae0876</t>
  </si>
  <si>
    <t xml:space="preserve">library/013_sandies-bathala/other/2019_38-Oggi1.pdf</t>
  </si>
  <si>
    <t xml:space="preserve">2018_2018-10-conde-nast-johansen-b.pdf</t>
  </si>
  <si>
    <t xml:space="preserve">https://d1vp8nomjxwyf1.cloudfront.net/wp-content/uploads/sites/212/2017/07/25151513/2018-10-conde-nast-johansen-b.pdf</t>
  </si>
  <si>
    <t xml:space="preserve">2b5650fcb61fe5b107f4ddadd033d1403c8ba1cf0a9722c4a06c948b1286add0</t>
  </si>
  <si>
    <t xml:space="preserve">library/013_sandies-bathala/other/2018_2018-10-conde-nast-johansen-b.pdf</t>
  </si>
  <si>
    <t xml:space="preserve">2018_2018_10_23_LACUCINAITALIANA_THEVIEW1.pdf</t>
  </si>
  <si>
    <t xml:space="preserve">https://d1vp8nomjxwyf1.cloudfront.net/wp-content/uploads/sites/212/2017/07/23084602/2018_10_23_LACUCINAITALIANA_THEVIEW1.pdf</t>
  </si>
  <si>
    <t xml:space="preserve">https://d1vp8nomjxwyf1.cloudfront.net/wp-content/uploads/sites/212/2017/07/23084602/2018_10_23_LACUCINAITALIANA_THEVIEW1.pdf | https://d1vp8nomjxwyf1.cloudfront.net/wp-content/uploads/sites/212/2017/07/23083937/2018_10_23_LACUCINAITALIANA_THEVIEW.pdf</t>
  </si>
  <si>
    <t xml:space="preserve">05a85ad1eb1a60830eb5e811385f85cf5dde9ffe9c82e15cca8a8763ae401876</t>
  </si>
  <si>
    <t xml:space="preserve">library/013_sandies-bathala/other/2018_2018_10_23_LACUCINAITALIANA_THEVIEW1.pdf</t>
  </si>
  <si>
    <t xml:space="preserve">2018_Passion_JRE-magazine.pdf</t>
  </si>
  <si>
    <t xml:space="preserve">https://d1vp8nomjxwyf1.cloudfront.net/wp-content/uploads/sites/110/2017/03/14085950/Passion_JRE-magazine.pdf</t>
  </si>
  <si>
    <t xml:space="preserve">https://d1vp8nomjxwyf1.cloudfront.net/wp-content/uploads/sites/110/2017/03/14085950/Passion_JRE-magazine.pdf | https://d1vp8nomjxwyf1.cloudfront.net/wp-content/uploads/sites/109/2017/03/14085754/Passion_JRE-magazine.pdf</t>
  </si>
  <si>
    <t xml:space="preserve">31a8ed25f14bb3adbdbbd1ed6630c84e11f224eee3cb96d514fb3c219a8d1289</t>
  </si>
  <si>
    <t xml:space="preserve">library/013_sandies-bathala/other/2018_Passion_JRE-magazine.pdf</t>
  </si>
  <si>
    <t xml:space="preserve">2017_DiamondsMapenziBeach_Explore-Tanzania_2017-18.pdf</t>
  </si>
  <si>
    <t xml:space="preserve">https://d1vp8nomjxwyf1.cloudfront.net/wp-content/uploads/sites/113/2017/04/08083304/DiamondsMapenziBeach_Explore-Tanzania_2017-18.pdf</t>
  </si>
  <si>
    <t xml:space="preserve">57f4c283ad382d77ba671eaae4ca610cb5c1f76de96febebeaefc94f91ffab84</t>
  </si>
  <si>
    <t xml:space="preserve">library/013_sandies-bathala/other/2017_DiamondsMapenziBeach_Explore-Tanzania_2017-18.pdf</t>
  </si>
  <si>
    <t xml:space="preserve">2017_Planhotel_Posh_2-2017.pdf</t>
  </si>
  <si>
    <t xml:space="preserve">https://d1vp8nomjxwyf1.cloudfront.net/wp-content/uploads/sites/113/2017/04/08101825/Planhotel_Posh_2-2017.pdf</t>
  </si>
  <si>
    <t xml:space="preserve">d51824231160df06ad6ac7b8f7a21ef64a0c4598e90b5e65f18a6bec02c598a5</t>
  </si>
  <si>
    <t xml:space="preserve">library/013_sandies-bathala/other/2017_Planhotel_Posh_2-2017.pdf</t>
  </si>
  <si>
    <t xml:space="preserve">2017_Planhotel_Luxury_Spring-2017.pdf</t>
  </si>
  <si>
    <t xml:space="preserve">https://d1vp8nomjxwyf1.cloudfront.net/wp-content/uploads/sites/113/2017/04/10151621/Planhotel_Luxury_Spring-2017.pdf</t>
  </si>
  <si>
    <t xml:space="preserve">b67500325946544eeef0668ac30ec07296b9e9471ec1f53a4fe1c42b727674b1</t>
  </si>
  <si>
    <t xml:space="preserve">library/013_sandies-bathala/other/2017_Planhotel_Luxury_Spring-2017.pdf</t>
  </si>
  <si>
    <t xml:space="preserve">2017_Diamonds_Wonder-World_Winter-2017.pdf</t>
  </si>
  <si>
    <t xml:space="preserve">https://d1vp8nomjxwyf1.cloudfront.net/wp-content/uploads/sites/113/2017/04/08092335/Diamonds_Wonder-World_Winter-2017.pdf</t>
  </si>
  <si>
    <t xml:space="preserve">eb65e48f180012185e451b44781d16e3aff2b1645fe77fa136c5b5bc47bd4d1d</t>
  </si>
  <si>
    <t xml:space="preserve">library/013_sandies-bathala/other/2017_Diamonds_Wonder-World_Winter-2017.pdf</t>
  </si>
  <si>
    <t xml:space="preserve">2016_DiamondsMaldives_beSpoke_Winter-2016.pdf</t>
  </si>
  <si>
    <t xml:space="preserve">https://d1vp8nomjxwyf1.cloudfront.net/wp-content/uploads/sites/110/2017/03/10144745/DiamondsMaldives_beSpoke_Winter-2016.pdf</t>
  </si>
  <si>
    <t xml:space="preserve">https://d1vp8nomjxwyf1.cloudfront.net/wp-content/uploads/sites/110/2017/03/10144745/DiamondsMaldives_beSpoke_Winter-2016.pdf | https://d1vp8nomjxwyf1.cloudfront.net/wp-content/uploads/sites/109/2017/03/10144640/DiamondsMaldives_beSpoke_Winter-2016.pdf</t>
  </si>
  <si>
    <t xml:space="preserve">1d602c8fc431e64ecc11b64a4eee89b27a0fa1176c08419fad63b09f77c09bed</t>
  </si>
  <si>
    <t xml:space="preserve">library/013_sandies-bathala/other/2016_DiamondsMaldives_beSpoke_Winter-2016.pdf</t>
  </si>
  <si>
    <t xml:space="preserve">2016_DiamondsMaldives_Wonder-World_Fall-2016.pdf</t>
  </si>
  <si>
    <t xml:space="preserve">https://d1vp8nomjxwyf1.cloudfront.net/wp-content/uploads/sites/110/2017/03/08100159/DiamondsMaldives_Wonder-World_Fall-2016.pdf</t>
  </si>
  <si>
    <t xml:space="preserve">https://d1vp8nomjxwyf1.cloudfront.net/wp-content/uploads/sites/110/2017/03/08100159/DiamondsMaldives_Wonder-World_Fall-2016.pdf | https://d1vp8nomjxwyf1.cloudfront.net/wp-content/uploads/sites/109/2017/03/08100025/DiamondsMaldives_Wonder-World_Fall-2016.pdf</t>
  </si>
  <si>
    <t xml:space="preserve">24e4bc277b48797c800c416112eef661c5052e233abae329d9f492f30b09052c</t>
  </si>
  <si>
    <t xml:space="preserve">library/013_sandies-bathala/other/2016_DiamondsMaldives_Wonder-World_Fall-2016.pdf</t>
  </si>
  <si>
    <t xml:space="preserve">2016_DiamondsMaldives_TMA-Inflight_02_2016.pdf</t>
  </si>
  <si>
    <t xml:space="preserve">https://d1vp8nomjxwyf1.cloudfront.net/wp-content/uploads/sites/110/2017/03/10145702/DiamondsMaldives_TMA-Inflight_02_2016.pdf</t>
  </si>
  <si>
    <t xml:space="preserve">https://d1vp8nomjxwyf1.cloudfront.net/wp-content/uploads/sites/110/2017/03/10145702/DiamondsMaldives_TMA-Inflight_02_2016.pdf | https://d1vp8nomjxwyf1.cloudfront.net/wp-content/uploads/sites/109/2017/03/10145310/DiamondsMaldives_TMA-Inflight_02_2016.pdf</t>
  </si>
  <si>
    <t xml:space="preserve">4b911b11b0340feee78c4fdb8122d510c1f699a5365d3bdd992efd9a3998e09c</t>
  </si>
  <si>
    <t xml:space="preserve">library/013_sandies-bathala/other/2016_DiamondsMaldives_TMA-Inflight_02_2016.pdf</t>
  </si>
  <si>
    <t xml:space="preserve">2016_Planhotel_ASTA_Fall-2016.pdf</t>
  </si>
  <si>
    <t xml:space="preserve">https://d1vp8nomjxwyf1.cloudfront.net/wp-content/uploads/sites/113/2017/04/10151529/Planhotel_ASTA_Fall-2016.pdf</t>
  </si>
  <si>
    <t xml:space="preserve">4da8541f468be180841f48bb5b2b41f26a956e99823ac0ce617491b05aa9ec7e</t>
  </si>
  <si>
    <t xml:space="preserve">library/013_sandies-bathala/other/2016_Planhotel_ASTA_Fall-2016.pdf</t>
  </si>
  <si>
    <t xml:space="preserve">2016_Diamonds_Posh_Winter-2016.pdf</t>
  </si>
  <si>
    <t xml:space="preserve">https://d1vp8nomjxwyf1.cloudfront.net/wp-content/uploads/sites/110/2017/03/10143823/Diamonds_Posh_Winter-2016.pdf</t>
  </si>
  <si>
    <t xml:space="preserve">https://d1vp8nomjxwyf1.cloudfront.net/wp-content/uploads/sites/110/2017/03/10143823/Diamonds_Posh_Winter-2016.pdf | https://d1vp8nomjxwyf1.cloudfront.net/wp-content/uploads/sites/109/2017/03/10143642/Diamonds_Posh_Winter-2016.pdf</t>
  </si>
  <si>
    <t xml:space="preserve">74a137285d1e5a9f9b6c50fdcfe3fcfb9c64d91246411cedc8ebc445f523fe16</t>
  </si>
  <si>
    <t xml:space="preserve">library/013_sandies-bathala/other/2016_Diamonds_Posh_Winter-2016.pdf</t>
  </si>
  <si>
    <t xml:space="preserve">2015_Procedura-di-prenotazione.pdf</t>
  </si>
  <si>
    <t xml:space="preserve">https://d1vp8nomjxwyf1.cloudfront.net/wp-content/uploads/sites/212/2017/07/08084043/Procedura-di-prenotazione.pdf</t>
  </si>
  <si>
    <t xml:space="preserve">ac4064e052ed6ec5aedcf5c58431f76a36283e10e28e5cfc0ca161a1904ae3ee</t>
  </si>
  <si>
    <t xml:space="preserve">library/013_sandies-bathala/other/2015_Procedura-di-prenotazione.pdf</t>
  </si>
  <si>
    <t xml:space="preserve">2015_Planhotel_Company-Profile_2015.pdf</t>
  </si>
  <si>
    <t xml:space="preserve">https://d1vp8nomjxwyf1.cloudfront.net/wp-content/uploads/sites/212/2017/08/04153912/Planhotel_Company-Profile_2015.pdf</t>
  </si>
  <si>
    <t xml:space="preserve">https://d1vp8nomjxwyf1.cloudfront.net/wp-content/uploads/sites/212/2017/08/04153912/Planhotel_Company-Profile_2015.pdf | https://d1vp8nomjxwyf1.cloudfront.net/wp-content/uploads/sites/212/2017/07/28075833/Planhotel_Company-Profile_2015.pdf</t>
  </si>
  <si>
    <t xml:space="preserve">685118a2bdb4aab20f7306dea0982e4147f650bf4fb4636454274fa789454a08</t>
  </si>
  <si>
    <t xml:space="preserve">library/013_sandies-bathala/other/2015_Planhotel_Company-Profile_2015.pdf</t>
  </si>
  <si>
    <t xml:space="preserve">2014_DiamondsDreamofAfrica_Nat-Geo-Luxury-Collection_2014.pdf</t>
  </si>
  <si>
    <t xml:space="preserve">https://d1vp8nomjxwyf1.cloudfront.net/wp-content/uploads/sites/114/2017/04/08075432/DiamondsDreamofAfrica_Nat-Geo-Luxury-Collection_2014.pdf</t>
  </si>
  <si>
    <t xml:space="preserve">6b572f9ea3a5190d260b8ab6e48f6b4e498f13d55583a5f846f3289d3ee1f7be</t>
  </si>
  <si>
    <t xml:space="preserve">library/013_sandies-bathala/other/2014_DiamondsDreamofAfrica_Nat-Geo-Luxury-Collection_2014.pdf</t>
  </si>
  <si>
    <t xml:space="preserve">2014_DiamondsMaldive_Traveller_Winter-2014.pdf</t>
  </si>
  <si>
    <t xml:space="preserve">https://d1vp8nomjxwyf1.cloudfront.net/wp-content/uploads/sites/110/2017/03/08080920/DiamondsMaldive_Traveller_Winter-2014.pdf</t>
  </si>
  <si>
    <t xml:space="preserve">f51ae0c035c46d21e3be5ca6874fddd8cb74670940126f22a1827229337fba28</t>
  </si>
  <si>
    <t xml:space="preserve">library/013_sandies-bathala/other/2014_DiamondsMaldive_Traveller_Winter-2014.pdf</t>
  </si>
  <si>
    <t xml:space="preserve">2022_Alila-Kothaifaru-Maldives-Factsheet-2022.pdf</t>
  </si>
  <si>
    <t xml:space="preserve">https://www.neoscapesmaldives.com/wp-content/uploads/Alila-Kothaifaru-Maldives-Factsheet-2022.pdf</t>
  </si>
  <si>
    <t xml:space="preserve">1781e5a11b7377f8e8bb7455f3c2dea1a4db8754f5845b6083e8867125ec64ef</t>
  </si>
  <si>
    <t xml:space="preserve">library/015_alila-kothaifaru-maldives/factsheet/2022_Alila-Kothaifaru-Maldives-Factsheet-2022.pdf</t>
  </si>
  <si>
    <t xml:space="preserve">2022_Alila-Kothaifaru-Maldives-Resort-Map.pdf</t>
  </si>
  <si>
    <t xml:space="preserve">https://www.neoscapesmaldives.com/wp-content/uploads/Alila-Kothaifaru-Maldives-Resort-Map.pdf</t>
  </si>
  <si>
    <t xml:space="preserve">611db5de80ebdf1b3a74646ea797e5a76a3f2857fd1ab178d55cbb52351b71fc</t>
  </si>
  <si>
    <t xml:space="preserve">library/015_alila-kothaifaru-maldives/map/2022_Alila-Kothaifaru-Maldives-Resort-Map.pdf</t>
  </si>
  <si>
    <t xml:space="preserve">2024_RESORT-MAP_Original.pdf</t>
  </si>
  <si>
    <t xml:space="preserve">https://www.neoscapesmaldives.com/wp-content/uploads/RESORT-MAP_Original.pdf</t>
  </si>
  <si>
    <t xml:space="preserve">21ef3a43a5957ff0b4c061243a1f2a6485549f6aaa2beb055df51eb5806bc864</t>
  </si>
  <si>
    <t xml:space="preserve">library/016_jw-marriott-kaafu-atoll-island-resort/map/2024_RESORT-MAP_Original.pdf</t>
  </si>
  <si>
    <t xml:space="preserve">ambiguous match [16]</t>
  </si>
  <si>
    <t xml:space="preserve">2024_JW-Marriott-Kaafu-Atoll-Island-Resort_Presentation.pdf</t>
  </si>
  <si>
    <t xml:space="preserve">https://www.neoscapesmaldives.com/wp-content/uploads/JW-Marriott-Kaafu-Atoll-Island-Resort_Presentation.pdf</t>
  </si>
  <si>
    <t xml:space="preserve">e0a930d25c89df6027b432ba497c402492e4d889a722bfce0fa7a1b37fc040c1</t>
  </si>
  <si>
    <t xml:space="preserve">library/016_jw-marriott-kaafu-atoll-island-resort/brochure/2024_JW-Marriott-Kaafu-Atoll-Island-Resort_Presentation.pdf</t>
  </si>
  <si>
    <t xml:space="preserve">2023_JW-Marriott-Maldives-Resort-Spa-Factsheet-2023.pdf</t>
  </si>
  <si>
    <t xml:space="preserve">https://www.neoscapesmaldives.com/wp-content/uploads/JW-Marriott-Maldives-Resort-Spa-Factsheet-2023.pdf</t>
  </si>
  <si>
    <t xml:space="preserve">76c2f6bf6b29e069a69b721c1bddb291fb4cf4409c478ed96f2ec0d8ec83c67c</t>
  </si>
  <si>
    <t xml:space="preserve">library/018_jw-marriott-maldives-resort-spa/factsheet/2023_JW-Marriott-Maldives-Resort-Spa-Factsheet-2023.pdf</t>
  </si>
  <si>
    <t xml:space="preserve">2025_Resort-Map_JW-Marriott-Maldives.pdf</t>
  </si>
  <si>
    <t xml:space="preserve">https://www.neoscapesmaldives.com/wp-content/uploads/Resort-Map_JW-Marriott-Maldives.pdf</t>
  </si>
  <si>
    <t xml:space="preserve">a4229d5289ec3c66f2a3d20f4ec9582b74c3aa3d2cb90ba90e093cb65b63ba35</t>
  </si>
  <si>
    <t xml:space="preserve">library/018_jw-marriott-maldives-resort-spa/map/2025_Resort-Map_JW-Marriott-Maldives.pdf</t>
  </si>
  <si>
    <t xml:space="preserve">2026_Maldives_Wedding_Ceremony_Packages-2026.pdf</t>
  </si>
  <si>
    <t xml:space="preserve">cenizaro.com</t>
  </si>
  <si>
    <t xml:space="preserve">https://www.cenizaro.com/docs/maldives-fm/Maldives_Wedding_Ceremony_Packages-2026.pdf</t>
  </si>
  <si>
    <t xml:space="preserve">862b8556cb8791f045db0546785db0ac7723cd929e0e0473615f02cc43fc9c09</t>
  </si>
  <si>
    <t xml:space="preserve">library/019_the-residence-maldives/wedding/2026_Maldives_Wedding_Ceremony_Packages-2026.pdf</t>
  </si>
  <si>
    <t xml:space="preserve">ambiguous match [19]</t>
  </si>
  <si>
    <t xml:space="preserve">2024_2024_TR_MALDIVES_MICE_FACTSHEET_FA_v3_PAGEBYPAGE.pdf</t>
  </si>
  <si>
    <t xml:space="preserve">https://www.cenizaro.com//docs/maldives-fm/2024_TR_MALDIVES_MICE_FACTSHEET_FA_v3_PAGEBYPAGE.pdf</t>
  </si>
  <si>
    <t xml:space="preserve">b4e3dedbbfb03254f3123ebcc85eeb04a80863c12b25ae5f2217e73d1ca8990f</t>
  </si>
  <si>
    <t xml:space="preserve">library/019_the-residence-maldives/events/2024_2024_TR_MALDIVES_MICE_FACTSHEET_FA_v3_PAGEBYPAGE.pdf</t>
  </si>
  <si>
    <t xml:space="preserve">2023_TRML_Spa_by_Clarins_-_Reception_Menu_-_Jan_23.pdf</t>
  </si>
  <si>
    <t xml:space="preserve">https://cenizaro.com/docs/maldives-fm/TRML_Spa_by_Clarins_-_Reception_Menu_-_Jan_23.pdf</t>
  </si>
  <si>
    <t xml:space="preserve">b5c25831b4919e03759390462d29860f47dc84e268f066a09246d0ddcf10152a</t>
  </si>
  <si>
    <t xml:space="preserve">library/019_the-residence-maldives/spa_menu/2023_TRML_Spa_by_Clarins_-_Reception_Menu_-_Jan_23.pdf</t>
  </si>
  <si>
    <t xml:space="preserve">2022_TRML_Spa_by_Clarins_-_Reception_Menu_-_Dec_22.pdf</t>
  </si>
  <si>
    <t xml:space="preserve">https://www.cenizaro.com/docs/maldives-fm/TRML_Spa_by_Clarins_-_Reception_Menu_-_Dec_22.pdf</t>
  </si>
  <si>
    <t xml:space="preserve">95aa5fe3059187b464126389a799c13e108da369d78d4f0d82993a3c443b3801</t>
  </si>
  <si>
    <t xml:space="preserve">library/019_the-residence-maldives/spa_menu/2022_TRML_Spa_by_Clarins_-_Reception_Menu_-_Dec_22.pdf</t>
  </si>
  <si>
    <t xml:space="preserve">2025_TRML_-_The_Beach_Bar_A_la_Carte_Lunch_Menu_-_28.06.25.pdf</t>
  </si>
  <si>
    <t xml:space="preserve">https://www.cenizaro.com/docs/maldives-fm/TRML_-_The_Beach_Bar_A_la_Carte_Lunch_Menu_-_28.06.25.pdf</t>
  </si>
  <si>
    <t xml:space="preserve">7b153e5c8c5775cfd96af5a6e707ea87de2a0b44ef0787023025611277067f8f</t>
  </si>
  <si>
    <t xml:space="preserve">library/019_the-residence-maldives/dining_menu/2025_TRML_-_The_Beach_Bar_A_la_Carte_Lunch_Menu_-_28.06.25.pdf</t>
  </si>
  <si>
    <t xml:space="preserve">2025_Kids_Menu_-_28.06.25.pdf</t>
  </si>
  <si>
    <t xml:space="preserve">https://www.cenizaro.com/docs/maldives-fm/Kids_Menu_-_28.06.25.pdf</t>
  </si>
  <si>
    <t xml:space="preserve">ba83e0c1134393e21eacd824af3fcf7c7debe8151783567f4f84386357e6a221</t>
  </si>
  <si>
    <t xml:space="preserve">library/019_the-residence-maldives/dining_menu/2025_Kids_Menu_-_28.06.25.pdf</t>
  </si>
  <si>
    <t xml:space="preserve">2025_TRML_The_Beach_Bar_Tapas_-_28.06.25.pdf</t>
  </si>
  <si>
    <t xml:space="preserve">https://www.cenizaro.com/docs/maldives-fm/TRML_The_Beach_Bar_Tapas_-_28.06.25.pdf</t>
  </si>
  <si>
    <t xml:space="preserve">80ca6be2d1396e466fadfa9dea68b54ed756a88712e6f3297745ba65117aa4ae</t>
  </si>
  <si>
    <t xml:space="preserve">library/019_the-residence-maldives/dining_menu/2025_TRML_The_Beach_Bar_Tapas_-_28.06.25.pdf</t>
  </si>
  <si>
    <t xml:space="preserve">2025_TRML_-_THE_DINING_ROOM_A_LA_CARTE_DINNER_-_28.06.25.pdf</t>
  </si>
  <si>
    <t xml:space="preserve">https://www.cenizaro.com/docs/maldives-fm/TRML_-_THE_DINING_ROOM_A_LA_CARTE_DINNER_-_28.06.25.pdf</t>
  </si>
  <si>
    <t xml:space="preserve">a074f49a2d915df648e611d6c1f53018d763301fe692c05bfd84115c5a49aacd</t>
  </si>
  <si>
    <t xml:space="preserve">library/019_the-residence-maldives/dining_menu/2025_TRML_-_THE_DINING_ROOM_A_LA_CARTE_DINNER_-_28.06.25.pdf</t>
  </si>
  <si>
    <t xml:space="preserve">2025_TRML_-The_DINING_ROOM_A_LA_CARTE_LUNCH_-_28.06.25.pdf</t>
  </si>
  <si>
    <t xml:space="preserve">https://www.cenizaro.com/docs/maldives-fm/TRML_-The_DINING_ROOM_A_LA_CARTE_LUNCH_-_28.06.25.pdf</t>
  </si>
  <si>
    <t xml:space="preserve">61a0c5a24a6f30493267e3e9202a189c00f524c8875dc5d811e582ae6604f969</t>
  </si>
  <si>
    <t xml:space="preserve">library/019_the-residence-maldives/dining_menu/2025_TRML_-The_DINING_ROOM_A_LA_CARTE_LUNCH_-_28.06.25.pdf</t>
  </si>
  <si>
    <t xml:space="preserve">2025_Hi-tea_menu_-_28.06.25.pdf</t>
  </si>
  <si>
    <t xml:space="preserve">https://www.cenizaro.com/docs/maldives-fm/Hi-tea_menu_-_28.06.25.pdf</t>
  </si>
  <si>
    <t xml:space="preserve">cb3d1a4006e1ed00c3fa7db0faaa8c46ab9b567f0f600300a2ecc32a397887b6</t>
  </si>
  <si>
    <t xml:space="preserve">library/019_the-residence-maldives/dining_menu/2025_Hi-tea_menu_-_28.06.25.pdf</t>
  </si>
  <si>
    <t xml:space="preserve">2025_Private_Dining_All_Day_Menu_-_28.06.25.pdf</t>
  </si>
  <si>
    <t xml:space="preserve">https://www.cenizaro.com/docs/maldives-fm/Private_Dining_All_Day_Menu_-_28.06.25.pdf</t>
  </si>
  <si>
    <t xml:space="preserve">e65a3372612ed8c2561f93c4105593100298c0010be0a139003e23562a862809</t>
  </si>
  <si>
    <t xml:space="preserve">library/019_the-residence-maldives/dining_menu/2025_Private_Dining_All_Day_Menu_-_28.06.25.pdf</t>
  </si>
  <si>
    <t xml:space="preserve">2025_The_Falhumaa_A_la_Carte_Dinner_Menu_28.06.25_-_EN_.pdf</t>
  </si>
  <si>
    <t xml:space="preserve">https://www.cenizaro.com/docs/maldives-fm/The_Falhumaa_A_la_Carte_Dinner_Menu_28.06.25_-_EN_.pdf</t>
  </si>
  <si>
    <t xml:space="preserve">6abcea7a72906ee161c519b9494b9c7d8b479c737a0e5ed07f57ee6be26d840c</t>
  </si>
  <si>
    <t xml:space="preserve">library/019_the-residence-maldives/dining_menu/2025_The_Falhumaa_A_la_Carte_Dinner_Menu_28.06.25_-_EN_.pdf</t>
  </si>
  <si>
    <t xml:space="preserve">2026_Dive_Centre_Price_List-March_2026.pdf</t>
  </si>
  <si>
    <t xml:space="preserve">https://www.cenizaro.com/docs/maldives-dg/Dive_Centre_Price_List-March_2026.pdf</t>
  </si>
  <si>
    <t xml:space="preserve">3acd27b7032e1b58725836790ae38183e75e6bc63c496a2e86238a57a9bba852</t>
  </si>
  <si>
    <t xml:space="preserve">library/019_the-residence-maldives/dive_prices/2026_Dive_Centre_Price_List-March_2026.pdf</t>
  </si>
  <si>
    <t xml:space="preserve">2026_Water_Sports_Price_list-March_2026.pdf</t>
  </si>
  <si>
    <t xml:space="preserve">https://www.cenizaro.com/docs/maldives-dg/Water_Sports_Price_list-March_2026.pdf</t>
  </si>
  <si>
    <t xml:space="preserve">d0dd30b9477766c79f36cf3b289896fe0c0acade45484bb942bb0553c1781653</t>
  </si>
  <si>
    <t xml:space="preserve">library/019_the-residence-maldives/dive_prices/2026_Water_Sports_Price_list-March_2026.pdf</t>
  </si>
  <si>
    <t xml:space="preserve">2026_Excursions_Price_List-March_2026.pdf</t>
  </si>
  <si>
    <t xml:space="preserve">https://www.cenizaro.com/docs/maldives-dg/Excursions_Price_List-March_2026.pdf</t>
  </si>
  <si>
    <t xml:space="preserve">6c0817fc3974e792c6b5549c4dc5f5b04e44dc70cc67d1cc2a4f395988246c3e</t>
  </si>
  <si>
    <t xml:space="preserve">library/019_the-residence-maldives/dive_prices/2026_Excursions_Price_List-March_2026.pdf</t>
  </si>
  <si>
    <t xml:space="preserve">2021_Maldives_Schedule_of_Daily_Activities.pdf</t>
  </si>
  <si>
    <t xml:space="preserve">https://www.cenizaro.com/docs/maldives-dg/Maldives_Schedule_of_Daily_Activities.pdf</t>
  </si>
  <si>
    <t xml:space="preserve">dc2e2dc6d329295a522f3667ae1c4d72b12978f5807cb76f5d02fe1d968213f1</t>
  </si>
  <si>
    <t xml:space="preserve">library/019_the-residence-maldives/excursions/2021_Maldives_Schedule_of_Daily_Activities.pdf</t>
  </si>
  <si>
    <t xml:space="preserve">2021_The_Residence_Maldives_-_Teens_Program.pdf</t>
  </si>
  <si>
    <t xml:space="preserve">https://cenizaro.com/docs/maldives-fm/The_Residence_Maldives_-_Teens_Program.pdf</t>
  </si>
  <si>
    <t xml:space="preserve">b6507a6af2b2e26313ac9e524948193c55c87e2abd3c04f1daa0010c95c4cf8e</t>
  </si>
  <si>
    <t xml:space="preserve">library/019_the-residence-maldives/kids/2021_The_Residence_Maldives_-_Teens_Program.pdf</t>
  </si>
  <si>
    <t xml:space="preserve">2025_Vibes-by-The-Residence-Maldives-2025-July.pdf</t>
  </si>
  <si>
    <t xml:space="preserve">https://www.cenizaro.com/docs/maldives-fm/Vibes-by-The-Residence-Maldives-2025-July.pdf</t>
  </si>
  <si>
    <t xml:space="preserve">4c2cc7dd99b7dd86a6b854682cb0d5ae1977301ccc9303e8b793bced7055e498</t>
  </si>
  <si>
    <t xml:space="preserve">library/019_the-residence-maldives/villa_plans/2025_Vibes-by-The-Residence-Maldives-2025-July.pdf</t>
  </si>
  <si>
    <t xml:space="preserve">2020_TRMaldives-Combined_-Brochure-200512.pdf</t>
  </si>
  <si>
    <t xml:space="preserve">https://www.cenizaro.com/docs/maldives-fm/TRMaldives-Combined_-Brochure-200512.pdf</t>
  </si>
  <si>
    <t xml:space="preserve">25a01534e182e836bfb5ff51250d5cd542fd607cb700af8e3bc179ec4129ef9a</t>
  </si>
  <si>
    <t xml:space="preserve">library/019_the-residence-maldives/brochure/2020_TRMaldives-Combined_-Brochure-200512.pdf</t>
  </si>
  <si>
    <t xml:space="preserve">2022_Maldives_Wedding_Ceremony_Packages.pdf</t>
  </si>
  <si>
    <t xml:space="preserve">https://www.cenizaro.com/docs/maldives-dg/Maldives_Wedding_Ceremony_Packages.pdf</t>
  </si>
  <si>
    <t xml:space="preserve">ef392a5c939b2c3175a7d1a258c39e83452042731886a2371e6ba3c7d2e95a82</t>
  </si>
  <si>
    <t xml:space="preserve">library/020_the-residence-maldives-at-dhigurah/wedding/2022_Maldives_Wedding_Ceremony_Packages.pdf</t>
  </si>
  <si>
    <t xml:space="preserve">ambiguous match [20]</t>
  </si>
  <si>
    <t xml:space="preserve">2025_Spa_by_Clarins_-_Reception_Menu_-_JULY_25.pdf</t>
  </si>
  <si>
    <t xml:space="preserve">https://www.cenizaro.com/docs/maldives-dg/Spa_by_Clarins_-_Reception_Menu_-_JULY_25.pdf</t>
  </si>
  <si>
    <t xml:space="preserve">385d447ba276e94b27f3548de732cd01764e46b3e212b7e5ba830a0aa0f136e3</t>
  </si>
  <si>
    <t xml:space="preserve">library/020_the-residence-maldives-at-dhigurah/spa_menu/2025_Spa_by_Clarins_-_Reception_Menu_-_JULY_25.pdf</t>
  </si>
  <si>
    <t xml:space="preserve">2023_TRMD_-_Spa_by_Clarins_-_Reception_Menu.pdf</t>
  </si>
  <si>
    <t xml:space="preserve">https://www.cenizaro.com/docs/maldives-dg/TRMD_-_Spa_by_Clarins_-_Reception_Menu.pdf</t>
  </si>
  <si>
    <t xml:space="preserve">2222d2503d2ad63698887ca1a44f24b26e4ac3d9b5410f619e96ba4941d2ec4f</t>
  </si>
  <si>
    <t xml:space="preserve">library/020_the-residence-maldives-at-dhigurah/spa_menu/2023_TRMD_-_Spa_by_Clarins_-_Reception_Menu.pdf</t>
  </si>
  <si>
    <t xml:space="preserve">2022_TRMD_-_Spa_by_Clarins_-_Reception_Menu_-_Dec_22.pdf</t>
  </si>
  <si>
    <t xml:space="preserve">https://cenizaro.com/docs/maldives-dg/TRMD_-_Spa_by_Clarins_-_Reception_Menu_-_Dec_22.pdf</t>
  </si>
  <si>
    <t xml:space="preserve">https://cenizaro.com/docs/maldives-dg/TRMD_-_Spa_by_Clarins_-_Reception_Menu_-_Dec_22.pdf | https://www.cenizaro.com/docs/maldives-dg/TRMD_-_Spa_by_Clarins_-_Reception_Menu_-_Dec_22.pdf</t>
  </si>
  <si>
    <t xml:space="preserve">9baf8821077ab7da15e63df9127a6dd5035eb699553f8a3774cf7aa5a81561f5</t>
  </si>
  <si>
    <t xml:space="preserve">library/020_the-residence-maldives-at-dhigurah/spa_menu/2022_TRMD_-_Spa_by_Clarins_-_Reception_Menu_-_Dec_22.pdf</t>
  </si>
  <si>
    <t xml:space="preserve">2026_trmd-cafe-del-sol-lunch-2026-03.pdf</t>
  </si>
  <si>
    <t xml:space="preserve">https://www.cenizaro.com/docs/maldives-dg/trmd-cafe-del-sol-lunch-2026-03.pdf</t>
  </si>
  <si>
    <t xml:space="preserve">8866c26fec5a6a0fb40075a9bfef9a0dbd4e2d9a466937aefd36802bbe921cef</t>
  </si>
  <si>
    <t xml:space="preserve">library/020_the-residence-maldives-at-dhigurah/dining_menu/2026_trmd-cafe-del-sol-lunch-2026-03.pdf</t>
  </si>
  <si>
    <t xml:space="preserve">2026_trmd-long-island-2026-03.pdf</t>
  </si>
  <si>
    <t xml:space="preserve">https://www.cenizaro.com/docs/maldives-dg/trmd-long-island-2026-03.pdf</t>
  </si>
  <si>
    <t xml:space="preserve">29530dfe80e4cd218cc74c1aac2eb142507d4a4f3f05340663f90e1866a89a07</t>
  </si>
  <si>
    <t xml:space="preserve">library/020_the-residence-maldives-at-dhigurah/dining_menu/2026_trmd-long-island-2026-03.pdf</t>
  </si>
  <si>
    <t xml:space="preserve">2026_trmd-the-dining-room-2026-03.pdf</t>
  </si>
  <si>
    <t xml:space="preserve">https://www.cenizaro.com/docs/maldives-dg/trmd-the-dining-room-2026-03.pdf</t>
  </si>
  <si>
    <t xml:space="preserve">509a4ee0640a67ebf7b1ea9e32920d523b6a34634203b2ed5b0fc6dba5604c83</t>
  </si>
  <si>
    <t xml:space="preserve">library/020_the-residence-maldives-at-dhigurah/dining_menu/2026_trmd-the-dining-room-2026-03.pdf</t>
  </si>
  <si>
    <t xml:space="preserve">2025_Tapas_Menu_-_Dec_22v2.pdf</t>
  </si>
  <si>
    <t xml:space="preserve">https://www.cenizaro.com/docs/maldives-dg/Tapas_Menu_-_Dec_22v2.pdf</t>
  </si>
  <si>
    <t xml:space="preserve">503600cd28275f42eba096e702f233aa5c8fd7c51dae993b874e981999919042</t>
  </si>
  <si>
    <t xml:space="preserve">library/020_the-residence-maldives-at-dhigurah/dining_menu/2025_Tapas_Menu_-_Dec_22v2.pdf</t>
  </si>
  <si>
    <t xml:space="preserve">2021_Earth_Basket_-_Maldivian_Menu.pdf</t>
  </si>
  <si>
    <t xml:space="preserve">https://www.cenizaro.com/docs/maldives-dg/Earth_Basket_-_Maldivian_Menu.pdf</t>
  </si>
  <si>
    <t xml:space="preserve">3a3495635aef4a4cb54845192e7dd98363d11f4ce79577b7a15d0916dd3aef57</t>
  </si>
  <si>
    <t xml:space="preserve">library/020_the-residence-maldives-at-dhigurah/dining_menu/2021_Earth_Basket_-_Maldivian_Menu.pdf</t>
  </si>
  <si>
    <t xml:space="preserve">2025_Group_Excursion_Schedule_June_2025.pdf</t>
  </si>
  <si>
    <t xml:space="preserve">https://www.cenizaro.com/docs/maldives-dg/Group_Excursion_Schedule_June_2025.pdf</t>
  </si>
  <si>
    <t xml:space="preserve">6072f5e8daa61ff07cada0e18e65c8b5fbf2787e9ac2ac453753748939570abd</t>
  </si>
  <si>
    <t xml:space="preserve">library/020_the-residence-maldives-at-dhigurah/excursions/2025_Group_Excursion_Schedule_June_2025.pdf</t>
  </si>
  <si>
    <t xml:space="preserve">2026_Kids_Club_2026_sep.pdf</t>
  </si>
  <si>
    <t xml:space="preserve">https://www.cenizaro.com/docs/maldives-dg/Kids_Club_2026_sep.pdf</t>
  </si>
  <si>
    <t xml:space="preserve">d6838fec45bd6b54703e14c702b13517ec42ae3e7fb65f526976aeb91658cfeb</t>
  </si>
  <si>
    <t xml:space="preserve">library/020_the-residence-maldives-at-dhigurah/kids/2026_Kids_Club_2026_sep.pdf</t>
  </si>
  <si>
    <t xml:space="preserve">2025_The-Residence-Photography-Packages-2025-07.pdf</t>
  </si>
  <si>
    <t xml:space="preserve">https://www.cenizaro.com/docs/maldives-dg/The-Residence-Photography-Packages-2025-07.pdf</t>
  </si>
  <si>
    <t xml:space="preserve">f83c22561749c3c31f179b08a0f184f4167372fc862b9775f97bcc72dbd16b24</t>
  </si>
  <si>
    <t xml:space="preserve">library/020_the-residence-maldives-at-dhigurah/villa_plans/2025_The-Residence-Photography-Packages-2025-07.pdf</t>
  </si>
  <si>
    <t xml:space="preserve">2026_trmd-li-bai-2026-03.pdf</t>
  </si>
  <si>
    <t xml:space="preserve">https://www.cenizaro.com/docs/maldives-dg/trmd-li-bai-2026-03.pdf</t>
  </si>
  <si>
    <t xml:space="preserve">02d97bfddeff91b5c10c2da695a1aecacd1a956d59b96bf6c7f321ef6f9e4115</t>
  </si>
  <si>
    <t xml:space="preserve">library/020_the-residence-maldives-at-dhigurah/other/2026_trmd-li-bai-2026-03.pdf</t>
  </si>
  <si>
    <t xml:space="preserve">2025_English-Fact-Sheet-Resort-Map.pdf</t>
  </si>
  <si>
    <t xml:space="preserve">https://www.neoscapesmaldives.com/wp-content/uploads/English-Fact-Sheet-Resort-Map.pdf</t>
  </si>
  <si>
    <t xml:space="preserve">d2daf65d7e8affefc06c249344479bda422f44380574404fddfdf03832e38b47</t>
  </si>
  <si>
    <t xml:space="preserve">library/021_brennia-kottefaru/factsheet/2025_English-Fact-Sheet-Resort-Map.pdf</t>
  </si>
  <si>
    <t xml:space="preserve">2022_BRK_FactsheetRev120121.pdf</t>
  </si>
  <si>
    <t xml:space="preserve">https://www.neoscapesmaldives.com/wp-content/uploads/BRK_FactsheetRev120121.pdf</t>
  </si>
  <si>
    <t xml:space="preserve">1aa9d71e90f5a18e7524a9ad92f48eb6aa0e6ddc7384e217259ea36987ee1e76</t>
  </si>
  <si>
    <t xml:space="preserve">library/021_brennia-kottefaru/factsheet/2022_BRK_FactsheetRev120121.pdf</t>
  </si>
  <si>
    <t xml:space="preserve">2025_Brennia-Kottefaru-Eternity-Spa-Package-Price.pdf</t>
  </si>
  <si>
    <t xml:space="preserve">brennia.com</t>
  </si>
  <si>
    <t xml:space="preserve">https://brennia.com/wp-content/uploads/pdf/Brennia-Kottefaru-Eternity-Spa-Package-Price.pdf</t>
  </si>
  <si>
    <t xml:space="preserve">1afcbba756a1f909c3accd7779cb354bf843020b3cf1d65e3a9881de3aea70b8</t>
  </si>
  <si>
    <t xml:space="preserve">library/021_brennia-kottefaru/spa_menu/2025_Brennia-Kottefaru-Eternity-Spa-Package-Price.pdf</t>
  </si>
  <si>
    <t xml:space="preserve">2025_Brennia-Kottefaru-Beverage-Menu.pdf</t>
  </si>
  <si>
    <t xml:space="preserve">https://brennia.com/wp-content/uploads/pdf/Brennia-Kottefaru-Beverage-Menu.pdf</t>
  </si>
  <si>
    <t xml:space="preserve">dd2c4eac1d903acd867f24560afacf47d219b13fc2a57a15ae08838abecda6d3</t>
  </si>
  <si>
    <t xml:space="preserve">library/021_brennia-kottefaru/dining_menu/2025_Brennia-Kottefaru-Beverage-Menu.pdf</t>
  </si>
  <si>
    <t xml:space="preserve">2025_Brennia-Kottefaru-Sunset-Grill-Bar-Dinner-Menu.pdf</t>
  </si>
  <si>
    <t xml:space="preserve">https://brennia.com/wp-content/uploads/pdf/Brennia-Kottefaru-Sunset-Grill-Bar-Dinner-Menu.pdf</t>
  </si>
  <si>
    <t xml:space="preserve">34ce01826f3511d620714ecbe8fff0d9d2f7f182c2cfb4dfdc0a4c08c0e96d31</t>
  </si>
  <si>
    <t xml:space="preserve">library/021_brennia-kottefaru/dining_menu/2025_Brennia-Kottefaru-Sunset-Grill-Bar-Dinner-Menu.pdf</t>
  </si>
  <si>
    <t xml:space="preserve">2025_Brennia-Kottefaru-Manta-Dinner-Ala-carte-Menu.pdf</t>
  </si>
  <si>
    <t xml:space="preserve">https://brennia.com/wp-content/uploads/pdf/Brennia-Kottefaru-Manta-Dinner-Ala-carte-Menu.pdf</t>
  </si>
  <si>
    <t xml:space="preserve">b81cac63b2e337264cb304bb4528cf9990e7ea01b0ae6d601f7462dc565a5d2a</t>
  </si>
  <si>
    <t xml:space="preserve">library/021_brennia-kottefaru/dining_menu/2025_Brennia-Kottefaru-Manta-Dinner-Ala-carte-Menu.pdf</t>
  </si>
  <si>
    <t xml:space="preserve">2025_Brennia-Kottefaru-Manta-Ala-Carte-Lunch-Menu.pdf</t>
  </si>
  <si>
    <t xml:space="preserve">https://brennia.com/wp-content/uploads/pdf/Brennia-Kottefaru-Manta-Ala-Carte-Lunch-Menu.pdf</t>
  </si>
  <si>
    <t xml:space="preserve">73ba2490b62ec70d47db0f6fa0b8607ead267bfcc462a6c19fbc7733274665c5</t>
  </si>
  <si>
    <t xml:space="preserve">library/021_brennia-kottefaru/dining_menu/2025_Brennia-Kottefaru-Manta-Ala-Carte-Lunch-Menu.pdf</t>
  </si>
  <si>
    <t xml:space="preserve">2017_Brennia-Kottefaru-Wine-Menu.pdf</t>
  </si>
  <si>
    <t xml:space="preserve">https://brennia.com/wp-content/uploads/pdf/Brennia-Kottefaru-Wine-Menu.pdf</t>
  </si>
  <si>
    <t xml:space="preserve">3505211bba6444586911f71eef283ab65bfaccee80cbbdcdb1bdfd7d39bfa1d7</t>
  </si>
  <si>
    <t xml:space="preserve">library/021_brennia-kottefaru/dining_menu/2017_Brennia-Kottefaru-Wine-Menu.pdf</t>
  </si>
  <si>
    <t xml:space="preserve">2025_Brennia-Kottefaru-Water-Sports-Price-List.pdf</t>
  </si>
  <si>
    <t xml:space="preserve">https://brennia.com/wp-content/uploads/pdf/Brennia-Kottefaru-Water-Sports-Price-List.pdf</t>
  </si>
  <si>
    <t xml:space="preserve">f3fa5ea2c30f89e8927aa8a9306de1108781cdcad23b87e132906d6f6d034513</t>
  </si>
  <si>
    <t xml:space="preserve">library/021_brennia-kottefaru/dive_prices/2025_Brennia-Kottefaru-Water-Sports-Price-List.pdf</t>
  </si>
  <si>
    <t xml:space="preserve">2024_Brennia-Kottefaru-Diving-InHouse-Package-Price-1.pdf</t>
  </si>
  <si>
    <t xml:space="preserve">https://brennia.com/wp-content/uploads/pdf/Brennia-Kottefaru-Diving-InHouse-Package-Price-1.pdf</t>
  </si>
  <si>
    <t xml:space="preserve">ec79550cda4d139319f0a156105f94b2045e082c86e4d03a2587363794bc1171</t>
  </si>
  <si>
    <t xml:space="preserve">library/021_brennia-kottefaru/dive_prices/2024_Brennia-Kottefaru-Diving-InHouse-Package-Price-1.pdf</t>
  </si>
  <si>
    <t xml:space="preserve">2026_Factsheet_MWLM_March2026_Digital-updated.pdf</t>
  </si>
  <si>
    <t xml:space="preserve">https://www.neoscapesmaldives.com/wp-content/uploads/Factsheet_MWLM_March2026_Digital-updated.pdf</t>
  </si>
  <si>
    <t xml:space="preserve">1c7772e53cba05937044682d185468c6d99102a2977fbbf7bab3cbb81c46822d</t>
  </si>
  <si>
    <t xml:space="preserve">library/022_barcelo-whale-lagoon-maldives/factsheet/2026_Factsheet_MWLM_March2026_Digital-updated.pdf</t>
  </si>
  <si>
    <t xml:space="preserve">2025_Mapa-Melia-Whale-Lagoon-Maldives-19-12-25.pdf</t>
  </si>
  <si>
    <t xml:space="preserve">https://www.neoscapesmaldives.com/wp-content/uploads/Mapa-Melia-Whale-Lagoon-Maldives-19-12-25.pdf</t>
  </si>
  <si>
    <t xml:space="preserve">6f90d1b15458069c9d279298c3fb072ed73977499fb24157ff5d6e8337039227</t>
  </si>
  <si>
    <t xml:space="preserve">library/022_barcelo-whale-lagoon-maldives/press_kit/2025_Mapa-Melia-Whale-Lagoon-Maldives-19-12-25.pdf</t>
  </si>
  <si>
    <t xml:space="preserve">2024_NOOE-Maldives-Kunaavashi_Fact-Sheet-2024.pdf</t>
  </si>
  <si>
    <t xml:space="preserve">https://www.neoscapesmaldives.com/wp-content/uploads/NOOE-Maldives-Kunaavashi_Fact-Sheet-2024.pdf</t>
  </si>
  <si>
    <t xml:space="preserve">8d2503af5f3a2d0828d3b3f54496b8a5f07da5d72e47e1bf5d20cda34ce97add</t>
  </si>
  <si>
    <t xml:space="preserve">library/023_nooe-maldives-kunavashi/factsheet/2024_NOOE-Maldives-Kunaavashi_Fact-Sheet-2024.pdf</t>
  </si>
  <si>
    <t xml:space="preserve">2024_NOOE-MAP-Guest-Service.pdf</t>
  </si>
  <si>
    <t xml:space="preserve">https://www.neoscapesmaldives.com/wp-content/uploads/NOOE-MAP-Guest-Service.pdf</t>
  </si>
  <si>
    <t xml:space="preserve">0e388bbeea1460175b9518e218b0a20e9f81f1b8e1386ef6072c2a8410645933</t>
  </si>
  <si>
    <t xml:space="preserve">library/023_nooe-maldives-kunavashi/map/2024_NOOE-MAP-Guest-Service.pdf</t>
  </si>
  <si>
    <t xml:space="preserve">2026_Easter-Brochure-2026-1.pdf</t>
  </si>
  <si>
    <t xml:space="preserve">https://letsgomaldives.com/wp-content/uploads/2026/02/Easter-Brochure-2026-1.pdf</t>
  </si>
  <si>
    <t xml:space="preserve">5401e35bd5231e3559e1f4d6f6ce759841de00bb81a1b5060f42fb6b1bb7c362</t>
  </si>
  <si>
    <t xml:space="preserve">library/023_nooe-maldives-kunavashi/calendar/2026_Easter-Brochure-2026-1.pdf</t>
  </si>
  <si>
    <t xml:space="preserve">2023_Canareef-Resort-Maldives-Map.pdf</t>
  </si>
  <si>
    <t xml:space="preserve">canareef.com</t>
  </si>
  <si>
    <t xml:space="preserve">https://canareef.com/wp-content/uploads/2023/11/Canareef-Resort-Maldives-Map.pdf</t>
  </si>
  <si>
    <t xml:space="preserve">6299f608ba080aa659f7e8477439a15da173f40902c19361ab4ccb77bb1ea60d</t>
  </si>
  <si>
    <t xml:space="preserve">library/024_canareef-resort-maldives/map/2023_Canareef-Resort-Maldives-Map.pdf</t>
  </si>
  <si>
    <t xml:space="preserve">2023_Canareef-Map-for-Web-Org-min.pdf</t>
  </si>
  <si>
    <t xml:space="preserve">https://canareef.com/wp-content/uploads/2023/11/Canareef-Map-for-Web-Org-min.pdf</t>
  </si>
  <si>
    <t xml:space="preserve">3184daa959f31514a32ff38db001882db0d1b1dc713817550fa1de06ab5d01cd</t>
  </si>
  <si>
    <t xml:space="preserve">library/024_canareef-resort-maldives/map/2023_Canareef-Map-for-Web-Org-min.pdf</t>
  </si>
  <si>
    <t xml:space="preserve">2025_Valentines-Day-Dinner-Menu-2025.pdf</t>
  </si>
  <si>
    <t xml:space="preserve">https://canareef.com/wp-content/uploads/2025/02/Valentines-Day-Dinner-Menu-2025.pdf</t>
  </si>
  <si>
    <t xml:space="preserve">c37ad7ce0fc141c35781f7bf8e53825434e0bd422df8601494dfbaf6e448fdc7</t>
  </si>
  <si>
    <t xml:space="preserve">library/024_canareef-resort-maldives/dining_menu/2025_Valentines-Day-Dinner-Menu-2025.pdf</t>
  </si>
  <si>
    <t xml:space="preserve">2024_Festive-Brochure-2024-Canareef-Resort-Maldives.pdf</t>
  </si>
  <si>
    <t xml:space="preserve">https://canareef.com/wp-content/uploads/2024/12/Festive-Brochure-2024-Canareef-Resort-Maldives.pdf</t>
  </si>
  <si>
    <t xml:space="preserve">5e508128bc5c715b5968532af2c4d5100ca63f413272cff2a18bce682832d82c</t>
  </si>
  <si>
    <t xml:space="preserve">library/024_canareef-resort-maldives/calendar/2024_Festive-Brochure-2024-Canareef-Resort-Maldives.pdf</t>
  </si>
  <si>
    <t xml:space="preserve">2023_Canareef-Maldives-Festive-Brochure-2023.pdf</t>
  </si>
  <si>
    <t xml:space="preserve">https://canareef.com/wp-content/uploads/2023/12/Canareef-Maldives-Festive-Brochure-2023.pdf</t>
  </si>
  <si>
    <t xml:space="preserve">0248557eb4dcaf44b9944a7cd99a905c8ead99ec541e474861b29d1d8363b065</t>
  </si>
  <si>
    <t xml:space="preserve">library/024_canareef-resort-maldives/calendar/2023_Canareef-Maldives-Festive-Brochure-2023.pdf</t>
  </si>
  <si>
    <t xml:space="preserve">2026_Halcyon-Maldives-Factsheet-2026.pdf</t>
  </si>
  <si>
    <t xml:space="preserve">https://www.neoscapesmaldives.com/wp-content/uploads/Halcyon-Maldives-Factsheet-2026.pdf</t>
  </si>
  <si>
    <t xml:space="preserve">144d6b385baacfb6b71330bea8969a2868a7bef0686a64d331f11a76715a1acf</t>
  </si>
  <si>
    <t xml:space="preserve">library/025_raffles-maldives-meradhoo-resort/factsheet/2026_Halcyon-Maldives-Factsheet-2026.pdf</t>
  </si>
  <si>
    <t xml:space="preserve">2026_Halcyon-Maldives-Resort-Map-2026.pdf</t>
  </si>
  <si>
    <t xml:space="preserve">https://www.neoscapesmaldives.com/wp-content/uploads/Halcyon-Maldives-Resort-Map-2026.pdf</t>
  </si>
  <si>
    <t xml:space="preserve">ed9bd9c1a2cbc9ec9ada905a717697cdc47623964814e75fdb5f87bb87a16a8c</t>
  </si>
  <si>
    <t xml:space="preserve">library/025_raffles-maldives-meradhoo-resort/map/2026_Halcyon-Maldives-Resort-Map-2026.pdf</t>
  </si>
  <si>
    <t xml:space="preserve">2026_The-Halcyon-Maldives-Easter-Brochure-2026.pdf</t>
  </si>
  <si>
    <t xml:space="preserve">https://letsgomaldives.com/wp-content/uploads/2026/02/The-Halcyon-Maldives-Easter-Brochure-2026.pdf</t>
  </si>
  <si>
    <t xml:space="preserve">c97f59512bfee8661ed458786961c9eee40c821e513275f2ce6f35c20eb0646b</t>
  </si>
  <si>
    <t xml:space="preserve">library/025_raffles-maldives-meradhoo-resort/calendar/2026_The-Halcyon-Maldives-Easter-Brochure-2026.pdf</t>
  </si>
  <si>
    <t xml:space="preserve">2025_609_CRF_Factsheet_Y251203.pdf</t>
  </si>
  <si>
    <t xml:space="preserve">centarahotelsresorts.com</t>
  </si>
  <si>
    <t xml:space="preserve">https://www.centarahotelsresorts.com/centara/sites/centara-centara/files/2025-12/609_CRF_Factsheet_Y251203.pdf</t>
  </si>
  <si>
    <t xml:space="preserve">3ea179f23f65bd7006b6aabc26fb6ebff28387d931174053efc66d2fb3547c35</t>
  </si>
  <si>
    <t xml:space="preserve">library/026_centara-ras-fushi-resort-spa/factsheet/2025_609_CRF_Factsheet_Y251203.pdf</t>
  </si>
  <si>
    <t xml:space="preserve">2019_crf-factsheet-en.pdf</t>
  </si>
  <si>
    <t xml:space="preserve">https://neoscapesmaldives.com/wp-content/uploads/crf-factsheet-en.pdf</t>
  </si>
  <si>
    <t xml:space="preserve">228e5a541ae7155e93dc741f064d0e199d323a388bf60daae863f0c634714189</t>
  </si>
  <si>
    <t xml:space="preserve">library/026_centara-ras-fushi-resort-spa/factsheet/2019_crf-factsheet-en.pdf</t>
  </si>
  <si>
    <t xml:space="preserve">2025_CRF-Wedding-Brochure-2025.pdf</t>
  </si>
  <si>
    <t xml:space="preserve">https://prod.centarahotelsresorts.com/centara/sites/centara-centara/files/2025-07/CRF-Wedding-Brochure-2025.pdf</t>
  </si>
  <si>
    <t xml:space="preserve">https://prod.centarahotelsresorts.com/centara/sites/centara-centara/files/2025-07/CRF-Wedding-Brochure-2025.pdf | https://www.centarahotelsresorts.com/centara/sites/centara-centara/files/2025-07/CRF-Wedding-Brochure-2025.pdf</t>
  </si>
  <si>
    <t xml:space="preserve">af3a5e5ab4b99f832e593fccdc43e741c6a693f0ba1a92dd2ca878bc01aabbc4</t>
  </si>
  <si>
    <t xml:space="preserve">library/026_centara-ras-fushi-resort-spa/wedding/2025_CRF-Wedding-Brochure-2025.pdf</t>
  </si>
  <si>
    <t xml:space="preserve">2020_centara-ras-fushi-Map.pdf</t>
  </si>
  <si>
    <t xml:space="preserve">https://www.neoscapesmaldives.com/wp-content/uploads/centara-ras-fushi-Map.pdf</t>
  </si>
  <si>
    <t xml:space="preserve">cc53fae00785200de6c54676849a943e54fa8516dbc5dc2055d6fac8a176fc35</t>
  </si>
  <si>
    <t xml:space="preserve">library/026_centara-ras-fushi-resort-spa/map/2020_centara-ras-fushi-Map.pdf</t>
  </si>
  <si>
    <t xml:space="preserve">2026_Centara-Ras-Fushi-Resort--Spa-Maldives-Brochure_withEdited.pdf</t>
  </si>
  <si>
    <t xml:space="preserve">https://www.centarahotelsresorts.com/centara/sites/centara-centara/files/2026-10/Centara-Ras-Fushi-Resort--Spa-Maldives-Brochure_withEdited.pdf</t>
  </si>
  <si>
    <t xml:space="preserve">6ef0c5b6b66f7c457dc19f6eeeea1631e4c0dd6b1f4c7ba6653344d2946a743e</t>
  </si>
  <si>
    <t xml:space="preserve">library/026_centara-ras-fushi-resort-spa/spa_menu/2026_Centara-Ras-Fushi-Resort--Spa-Maldives-Brochure_withEdited.pdf</t>
  </si>
  <si>
    <t xml:space="preserve">2026_ED-CRF-Meal-Plans.pdf</t>
  </si>
  <si>
    <t xml:space="preserve">https://www.centarahotelsresorts.com/centara/sites/centara-centara/files/2026-04/ED-CRF-Meal-Plans.pdf</t>
  </si>
  <si>
    <t xml:space="preserve">06ef4610aeae602c2e17f68f6067f5c6be467bfe0afaa39b3c097e37f1028546</t>
  </si>
  <si>
    <t xml:space="preserve">library/026_centara-ras-fushi-resort-spa/all_inclusive/2026_ED-CRF-Meal-Plans.pdf</t>
  </si>
  <si>
    <t xml:space="preserve">ambiguous match [26]</t>
  </si>
  <si>
    <t xml:space="preserve">2022_GPKD-Resort-Factsheet-2022.pdf</t>
  </si>
  <si>
    <t xml:space="preserve">https://www.neoscapesmaldives.com/wp-content/uploads/GPKD-Resort-Factsheet-2022.pdf</t>
  </si>
  <si>
    <t xml:space="preserve">59e2fe5a86a0a993f09ec14f337f0af3433bbfe6cb430feae1a851823e3cc302</t>
  </si>
  <si>
    <t xml:space="preserve">library/027_grand-park-kodhipparu-maldives/factsheet/2022_GPKD-Resort-Factsheet-2022.pdf</t>
  </si>
  <si>
    <t xml:space="preserve">ambiguous match [27]</t>
  </si>
  <si>
    <t xml:space="preserve">2022_Grand-Park-Kodhipparu-Maldives-Resort-Map.pdf</t>
  </si>
  <si>
    <t xml:space="preserve">https://www.neoscapesmaldives.com/wp-content/uploads/Grand-Park-Kodhipparu-Maldives-Resort-Map.pdf</t>
  </si>
  <si>
    <t xml:space="preserve">8acdd05667089bf6143e35a13eddc2789697149128e30b8ef044a9d24f7ea6a5</t>
  </si>
  <si>
    <t xml:space="preserve">library/027_grand-park-kodhipparu-maldives/map/2022_Grand-Park-Kodhipparu-Maldives-Resort-Map.pdf</t>
  </si>
  <si>
    <t xml:space="preserve">2026_Grand-Park-Kodhipparu.pdf</t>
  </si>
  <si>
    <t xml:space="preserve">https://letsgomaldives.com/wp-content/uploads/2026/08/Grand-Park-Kodhipparu.pdf</t>
  </si>
  <si>
    <t xml:space="preserve">591210e7c4b0846d29eb816281eceaf67b051b38e15a4c1c9bb46fb82c099ea7</t>
  </si>
  <si>
    <t xml:space="preserve">library/027_grand-park-kodhipparu-maldives/calendar/2026_Grand-Park-Kodhipparu.pdf</t>
  </si>
  <si>
    <t xml:space="preserve">2023_Festive-Brochure-Digital-Version-2023_231115_151532.pdf</t>
  </si>
  <si>
    <t xml:space="preserve">https://letsgomaldives.com/wp-content/uploads/2023/11/Festive-Brochure-Digital-Version-2023_231115_151532.pdf</t>
  </si>
  <si>
    <t xml:space="preserve">09f5c0caf2a10c919e454ba8d73ca6737937748c3ccf0078c0f9140eedc5ff6b</t>
  </si>
  <si>
    <t xml:space="preserve">library/027_grand-park-kodhipparu-maldives/calendar/2023_Festive-Brochure-Digital-Version-2023_231115_151532.pdf</t>
  </si>
  <si>
    <t xml:space="preserve">2025_KudadooFactsheet110125103126Ver0526255.pdf</t>
  </si>
  <si>
    <t xml:space="preserve">2025-11-01</t>
  </si>
  <si>
    <t xml:space="preserve">2026-10-31</t>
  </si>
  <si>
    <t xml:space="preserve">sales.crownandchamparesorts.com</t>
  </si>
  <si>
    <t xml:space="preserve">brand-cdn</t>
  </si>
  <si>
    <t xml:space="preserve">https://sales.crownandchamparesorts.com/wp-content/uploads/2025/12/KudadooFactsheet110125103126Ver0526255.pdf</t>
  </si>
  <si>
    <t xml:space="preserve">0a2036fc9a737116a58eb1a27b78f621bff0a4ceed7e85fe30bed2a69c653b6d</t>
  </si>
  <si>
    <t xml:space="preserve">library/028_kudadoo-maldives-private-island/factsheet/2025_KudadooFactsheet110125103126Ver0526255.pdf</t>
  </si>
  <si>
    <t xml:space="preserve">2021_Kudadoo-Factsheet-110121103122Ver110121-Digital_compressed-1.pdf</t>
  </si>
  <si>
    <t xml:space="preserve">2021-11-01</t>
  </si>
  <si>
    <t xml:space="preserve">2022-10-31</t>
  </si>
  <si>
    <t xml:space="preserve">https://sales.crownandchamparesorts.com/wp-content/uploads/2023/08/Kudadoo-Factsheet-110121103122Ver110121-Digital_compressed-1.pdf</t>
  </si>
  <si>
    <t xml:space="preserve">30a930685c84c84cb21df5cfe02c792f8386e00f92be31090f107d923df8642f</t>
  </si>
  <si>
    <t xml:space="preserve">library/028_kudadoo-maldives-private-island/factsheet/2021_Kudadoo-Factsheet-110121103122Ver110121-Digital_compressed-1.pdf</t>
  </si>
  <si>
    <t xml:space="preserve">2019_Kudadoo-Factsheet-110119103120Ver010720.pdf</t>
  </si>
  <si>
    <t xml:space="preserve">2019-11-01</t>
  </si>
  <si>
    <t xml:space="preserve">2020-10-31</t>
  </si>
  <si>
    <t xml:space="preserve">https://sales.crownandchamparesorts.com/wp-content/uploads/2020/01/Kudadoo-Factsheet-110119103120Ver010720.pdf</t>
  </si>
  <si>
    <t xml:space="preserve">4a2efb538365abb18106c76aced6c717cfa712caf2d180ca1248a22b04224ef7</t>
  </si>
  <si>
    <t xml:space="preserve">library/028_kudadoo-maldives-private-island/factsheet/2019_Kudadoo-Factsheet-110119103120Ver010720.pdf</t>
  </si>
  <si>
    <t xml:space="preserve">2019_Kudadoo-Factsheet-110119103120Ver072719-Digital-Version.pdf</t>
  </si>
  <si>
    <t xml:space="preserve">https://sales.crownandchamparesorts.com/wp-content/uploads/2018/03/Kudadoo-Factsheet-110119103120Ver072719-Digital-Version.pdf</t>
  </si>
  <si>
    <t xml:space="preserve">62b17bbc0d6812cf1b12a3399059d46150ae9aa9bc746a625d5c9d6b962dd07b</t>
  </si>
  <si>
    <t xml:space="preserve">library/028_kudadoo-maldives-private-island/factsheet/2019_Kudadoo-Factsheet-110119103120Ver072719-Digital-Version.pdf</t>
  </si>
  <si>
    <t xml:space="preserve">2018_FactsheetKudadoo100118103119Ver051718.pdf</t>
  </si>
  <si>
    <t xml:space="preserve">2018-10-01</t>
  </si>
  <si>
    <t xml:space="preserve">2019-10-31</t>
  </si>
  <si>
    <t xml:space="preserve">https://sales.crownandchamparesorts.com/wp-content/uploads/2018/10/FactsheetKudadoo100118103119Ver051718.pdf</t>
  </si>
  <si>
    <t xml:space="preserve">74c252260a7a8a7d5ef2732b6f7b97e810e2884d7e8e1a0a3cbf8726ad6124bf</t>
  </si>
  <si>
    <t xml:space="preserve">library/028_kudadoo-maldives-private-island/factsheet/2018_FactsheetKudadoo100118103119Ver051718.pdf</t>
  </si>
  <si>
    <t xml:space="preserve">2025_KudadooMap110125103126Ver070125.pdf</t>
  </si>
  <si>
    <t xml:space="preserve">https://sales.crownandchamparesorts.com/wp-content/uploads/2025/12/KudadooMap110125103126Ver070125.pdf</t>
  </si>
  <si>
    <t xml:space="preserve">1482e84d277b3aa0e5213c09c32601868f5135452861fd2b717d37be52a89c10</t>
  </si>
  <si>
    <t xml:space="preserve">library/028_kudadoo-maldives-private-island/map/2025_KudadooMap110125103126Ver070125.pdf</t>
  </si>
  <si>
    <t xml:space="preserve">2025_KudadooSulhaSpaMenu110125103126Ver112023.pdf</t>
  </si>
  <si>
    <t xml:space="preserve">https://sales.crownandchamparesorts.com/wp-content/uploads/2025/12/KudadooSulhaSpaMenu110125103126Ver112023.pdf</t>
  </si>
  <si>
    <t xml:space="preserve">33eb8d1d582d6fcf7c2e059c4e343aaae42b2267d2438569e9cc2b599f5e1bd2</t>
  </si>
  <si>
    <t xml:space="preserve">library/028_kudadoo-maldives-private-island/spa_menu/2025_KudadooSulhaSpaMenu110125103126Ver112023.pdf</t>
  </si>
  <si>
    <t xml:space="preserve">2019_KUD_AAA1.pdf</t>
  </si>
  <si>
    <t xml:space="preserve">https://sales.crownandchamparesorts.com/wp-content/uploads/2020/10/KUD_AAA1.pdf</t>
  </si>
  <si>
    <t xml:space="preserve">523feb84d5f24be5e7f545c4164812204724da66ccce4b96d63cf68c96a07a83</t>
  </si>
  <si>
    <t xml:space="preserve">library/028_kudadoo-maldives-private-island/spa_menu/2019_KUD_AAA1.pdf</t>
  </si>
  <si>
    <t xml:space="preserve">2018_KudadooSulhaSpaMenu120118103119Ver112618.pdf</t>
  </si>
  <si>
    <t xml:space="preserve">2018-12-01</t>
  </si>
  <si>
    <t xml:space="preserve">https://sales.crownandchamparesorts.com/wp-content/uploads/2020/01/KudadooSulhaSpaMenu120118103119Ver112618.pdf</t>
  </si>
  <si>
    <t xml:space="preserve">65b53f81cd38420ba1e498772cd7f076f292537e39ffd5cdd96a5b75c1ae5659</t>
  </si>
  <si>
    <t xml:space="preserve">library/028_kudadoo-maldives-private-island/spa_menu/2018_KudadooSulhaSpaMenu120118103119Ver112618.pdf</t>
  </si>
  <si>
    <t xml:space="preserve">2025_KudadooBrochureEffortlessAdventure110125103126Ver052625.pdf</t>
  </si>
  <si>
    <t xml:space="preserve">https://sales.crownandchamparesorts.com/wp-content/uploads/2025/12/KudadooBrochureEffortlessAdventure110125103126Ver052625.pdf</t>
  </si>
  <si>
    <t xml:space="preserve">136444b90c2163804ea4af14c46c7eaf3def153128799c85f56f5880deffbb3d</t>
  </si>
  <si>
    <t xml:space="preserve">library/028_kudadoo-maldives-private-island/excursions/2025_KudadooBrochureEffortlessAdventure110125103126Ver052625.pdf</t>
  </si>
  <si>
    <t xml:space="preserve">2025_KudadooAnythingAnytimeAnywherePackage110125103126Ver052625.pdf</t>
  </si>
  <si>
    <t xml:space="preserve">https://sales.crownandchamparesorts.com/wp-content/uploads/2025/12/KudadooAnythingAnytimeAnywherePackage110125103126Ver052625.pdf</t>
  </si>
  <si>
    <t xml:space="preserve">16c1d609494c3ec6cdbde4aabc5891cd1cea2624f27009410687fc8edcc735c0</t>
  </si>
  <si>
    <t xml:space="preserve">library/028_kudadoo-maldives-private-island/all_inclusive/2025_KudadooAnythingAnytimeAnywherePackage110125103126Ver052625.pdf</t>
  </si>
  <si>
    <t xml:space="preserve">2018_KudadooAnythingAnytimeAnywherePackageVer072019.pdf</t>
  </si>
  <si>
    <t xml:space="preserve">https://sales.crownandchamparesorts.com/wp-content/uploads/2019/05/KudadooAnythingAnytimeAnywherePackageVer072019.pdf</t>
  </si>
  <si>
    <t xml:space="preserve">71fce0022b6f2fe10bfd9d2f7a949be3427debaf55baa76a2ca56c6b4e28e73e</t>
  </si>
  <si>
    <t xml:space="preserve">library/028_kudadoo-maldives-private-island/all_inclusive/2018_KudadooAnythingAnytimeAnywherePackageVer072019.pdf</t>
  </si>
  <si>
    <t xml:space="preserve">2025_KudadooSustainabilityBrochure110125103126Ver042024.pdf</t>
  </si>
  <si>
    <t xml:space="preserve">https://sales.crownandchamparesorts.com/wp-content/uploads/2025/12/KudadooSustainabilityBrochure110125103126Ver042024.pdf</t>
  </si>
  <si>
    <t xml:space="preserve">9a3eb8d3acab0ea2fff57c9d55ad2cd60b68f1be124e054555bfb5bca5471df3</t>
  </si>
  <si>
    <t xml:space="preserve">library/028_kudadoo-maldives-private-island/sustainability/2025_KudadooSustainabilityBrochure110125103126Ver042024.pdf</t>
  </si>
  <si>
    <t xml:space="preserve">2025_NalaMaldivesFactsheet011125311026Ver030426.pdf</t>
  </si>
  <si>
    <t xml:space="preserve">https://sales.crownandchamparesorts.com/wp-content/uploads/2026/04/NalaMaldivesFactsheet011125311026Ver030426.pdf</t>
  </si>
  <si>
    <t xml:space="preserve">4ad61329a26c9e18c725660528f0b94cd13ec082d2ce3d09094d464849659c1e</t>
  </si>
  <si>
    <t xml:space="preserve">library/029_dheruhfinolhu-by-jawakara-islands-maldives/factsheet/2025_NalaMaldivesFactsheet011125311026Ver030426.pdf</t>
  </si>
  <si>
    <t xml:space="preserve">ambiguous match [29, 83, 1]</t>
  </si>
  <si>
    <t xml:space="preserve">2023_Jawakara_Map_20Oct23.pdf</t>
  </si>
  <si>
    <t xml:space="preserve">https://sales.crownandchamparesorts.com/wp-content/uploads/2023/10/Jawakara_Map_20Oct23.pdf</t>
  </si>
  <si>
    <t xml:space="preserve">9775b6e6026f0016821c2c203ae61b3d94ff819c668f63dba8ad313fdae29a94</t>
  </si>
  <si>
    <t xml:space="preserve">library/029_dheruhfinolhu-by-jawakara-islands-maldives/map/2023_Jawakara_Map_20Oct23.pdf</t>
  </si>
  <si>
    <t xml:space="preserve">2023_Jawakara-Transfer-Policy.pdf</t>
  </si>
  <si>
    <t xml:space="preserve">https://sales.crownandchamparesorts.com/wp-content/uploads/2023/10/Jawakara-Transfer-Policy.pdf</t>
  </si>
  <si>
    <t xml:space="preserve">7ce7b2cf9786612869281f996f96e5f96601ddd0ea678347befa37650822875c</t>
  </si>
  <si>
    <t xml:space="preserve">library/029_dheruhfinolhu-by-jawakara-islands-maldives/calendar/2023_Jawakara-Transfer-Policy.pdf</t>
  </si>
  <si>
    <t xml:space="preserve">2023_FactSheetHurawalhi110123103124Ver030123.pdf</t>
  </si>
  <si>
    <t xml:space="preserve">2023-11-01</t>
  </si>
  <si>
    <t xml:space="preserve">2024-10-31</t>
  </si>
  <si>
    <t xml:space="preserve">https://sales.crownandchamparesorts.com/wp-content/uploads/2023/08/FactSheetHurawalhi110123103124Ver030123.pdf</t>
  </si>
  <si>
    <t xml:space="preserve">12e16a5bf26f7a12f047c4f8eb77e13660a3cbbf379bdd4faa707b131b11de61</t>
  </si>
  <si>
    <t xml:space="preserve">library/030_hurawalhi-island-resort/factsheet/2023_FactSheetHurawalhi110123103124Ver030123.pdf</t>
  </si>
  <si>
    <t xml:space="preserve">2020_FactSheetHurawalhi110120103121Rev100820.pdf</t>
  </si>
  <si>
    <t xml:space="preserve">2020-11-01</t>
  </si>
  <si>
    <t xml:space="preserve">2021-10-31</t>
  </si>
  <si>
    <t xml:space="preserve">https://sales.crownandchamparesorts.com/wp-content/uploads/2018/10/FactSheetHurawalhi110120103121Rev100820.pdf</t>
  </si>
  <si>
    <t xml:space="preserve">562472b9e710b4ce205958439f0838d042178a9c25f34b6db2910331e62cbb30</t>
  </si>
  <si>
    <t xml:space="preserve">library/030_hurawalhi-island-resort/factsheet/2020_FactSheetHurawalhi110120103121Rev100820.pdf</t>
  </si>
  <si>
    <t xml:space="preserve">2019_FactSheet-Hurawalhi.pdf</t>
  </si>
  <si>
    <t xml:space="preserve">https://neoscapesmaldives.com/wp-content/uploads/FactSheet-Hurawalhi.pdf</t>
  </si>
  <si>
    <t xml:space="preserve">4d112dfbfc49300b7ef197ea7931fed5b82906d2c6f4f5f26f1adaa1a239ec5d</t>
  </si>
  <si>
    <t xml:space="preserve">library/030_hurawalhi-island-resort/factsheet/2019_FactSheet-Hurawalhi.pdf</t>
  </si>
  <si>
    <t xml:space="preserve">2019_HurawalhiCeremoniesPackagesVer110719.pdf</t>
  </si>
  <si>
    <t xml:space="preserve">https://sales.crownandchamparesorts.com/wp-content/uploads/2020/01/HurawalhiCeremoniesPackagesVer110719.pdf</t>
  </si>
  <si>
    <t xml:space="preserve">ecf6694ceb29b205a34253f5acb219cde5c283f38329f812f501b19c24e2e9d9</t>
  </si>
  <si>
    <t xml:space="preserve">library/030_hurawalhi-island-resort/wedding/2019_HurawalhiCeremoniesPackagesVer110719.pdf</t>
  </si>
  <si>
    <t xml:space="preserve">2022_Hurawalhi-Map110122103123.pdf</t>
  </si>
  <si>
    <t xml:space="preserve">2022-11-01</t>
  </si>
  <si>
    <t xml:space="preserve">2023-10-31</t>
  </si>
  <si>
    <t xml:space="preserve">https://sales.crownandchamparesorts.com/wp-content/uploads/2023/08/Hurawalhi-Map110122103123.pdf</t>
  </si>
  <si>
    <t xml:space="preserve">9d2e789c955c2d79ea5b103b571841ef6d03a127f914f8cf2d5fa763c0106455</t>
  </si>
  <si>
    <t xml:space="preserve">library/030_hurawalhi-island-resort/map/2022_Hurawalhi-Map110122103123.pdf</t>
  </si>
  <si>
    <t xml:space="preserve">2019_Hurawalhi_Map.pdf</t>
  </si>
  <si>
    <t xml:space="preserve">https://neoscapesmaldives.com/wp-content/uploads/Hurawalhi_Map.pdf</t>
  </si>
  <si>
    <t xml:space="preserve">9caf12d6fe793b1c95b79b7e0adc8a291c8f176e9817ad03aa709a9f01b5126a</t>
  </si>
  <si>
    <t xml:space="preserve">library/030_hurawalhi-island-resort/map/2019_Hurawalhi_Map.pdf</t>
  </si>
  <si>
    <t xml:space="preserve">2018_MapHurawalhiPrintQuality092018ColorEnglish-1.pdf</t>
  </si>
  <si>
    <t xml:space="preserve">https://sales.crownandchamparesorts.com/wp-content/uploads/2018/10/MapHurawalhiPrintQuality092018ColorEnglish-1.pdf</t>
  </si>
  <si>
    <t xml:space="preserve">https://sales.crownandchamparesorts.com/wp-content/uploads/2018/10/MapHurawalhiPrintQuality092018ColorEnglish-1.pdf | https://sales.crownandchamparesorts.com/wp-content/uploads/2018/10/MapHurawalhiPrintQuality092018ColorEnglish.pdf</t>
  </si>
  <si>
    <t xml:space="preserve">dee4072b0b3a92ca7d77192d995b6c3aa7eca60aff9aea4e9dcb47362951fdf2</t>
  </si>
  <si>
    <t xml:space="preserve">library/030_hurawalhi-island-resort/map/2018_MapHurawalhiPrintQuality092018ColorEnglish-1.pdf</t>
  </si>
  <si>
    <t xml:space="preserve">2019_KUD_Brochure_Effortless-Adventure2.pdf</t>
  </si>
  <si>
    <t xml:space="preserve">https://sales.crownandchamparesorts.com/wp-content/uploads/2020/10/KUD_Brochure_Effortless-Adventure2.pdf</t>
  </si>
  <si>
    <t xml:space="preserve">cdfa8cf6fb9684c6ef7dca754299a78378d03668faf2eff5ae3f6d0e5a23d7c0</t>
  </si>
  <si>
    <t xml:space="preserve">library/030_hurawalhi-island-resort/excursions/2019_KUD_Brochure_Effortless-Adventure2.pdf</t>
  </si>
  <si>
    <t xml:space="preserve">ambiguous match [30, 28]</t>
  </si>
  <si>
    <t xml:space="preserve">2021_FactSheetInnahura110121103122Ver110121.pdf</t>
  </si>
  <si>
    <t xml:space="preserve">https://sales.crownandchamparesorts.com/wp-content/uploads/2023/08/FactSheetInnahura110121103122Ver110121.pdf</t>
  </si>
  <si>
    <t xml:space="preserve">0a9e5501e70ea2887fed2d512069dc1a0f87ebedc422ed843b40e6ab51647a49</t>
  </si>
  <si>
    <t xml:space="preserve">library/031_innahura-maldives-resort/factsheet/2021_FactSheetInnahura110121103122Ver110121.pdf</t>
  </si>
  <si>
    <t xml:space="preserve">2019_FactSheetInnahura110119103120Rev061019.pdf</t>
  </si>
  <si>
    <t xml:space="preserve">https://sales.crownandchamparesorts.com/wp-content/uploads/2019/05/FactSheetInnahura110119103120Rev061019.pdf</t>
  </si>
  <si>
    <t xml:space="preserve">b39d8b448bbf3587e7dcbbfbda798e7f970c8f3dd7af6d2d15e5136d9f5a46b8</t>
  </si>
  <si>
    <t xml:space="preserve">library/031_innahura-maldives-resort/factsheet/2019_FactSheetInnahura110119103120Rev061019.pdf</t>
  </si>
  <si>
    <t xml:space="preserve">2018_Innahura_factsheet_v6low-res-1.pdf</t>
  </si>
  <si>
    <t xml:space="preserve">https://sales.crownandchamparesorts.com/wp-content/uploads/2018/04/Innahura_factsheet_v6low-res-1.pdf</t>
  </si>
  <si>
    <t xml:space="preserve">https://sales.crownandchamparesorts.com/wp-content/uploads/2018/04/Innahura_factsheet_v6low-res-1.pdf | https://sales.crownandchamparesorts.com/wp-content/uploads/2018/04/Innahura_factsheet_v6low-res.pdf</t>
  </si>
  <si>
    <t xml:space="preserve">7e93841a77341763c5c0aa0e20c25000e2a2781cd350a56b06e33cbef12c03b7</t>
  </si>
  <si>
    <t xml:space="preserve">library/031_innahura-maldives-resort/factsheet/2018_Innahura_factsheet_v6low-res-1.pdf</t>
  </si>
  <si>
    <t xml:space="preserve">2021_InnahuraAIEPackage110121103122Ver110121.pdf</t>
  </si>
  <si>
    <t xml:space="preserve">https://sales.crownandchamparesorts.com/wp-content/uploads/2023/08/InnahuraAIEPackage110121103122Ver110121.pdf</t>
  </si>
  <si>
    <t xml:space="preserve">9336ceef26a1d2d17985a0c60c47d5cce149b5891fc37624a393c36c36e14d40</t>
  </si>
  <si>
    <t xml:space="preserve">library/031_innahura-maldives-resort/all_inclusive/2021_InnahuraAIEPackage110121103122Ver110121.pdf</t>
  </si>
  <si>
    <t xml:space="preserve">2025_Cocoon-Maldives-_-Fact-Sheet.pdf</t>
  </si>
  <si>
    <t xml:space="preserve">https://www.neoscapesmaldives.com/wp-content/uploads/Cocoon-Maldives-_-Fact-Sheet.pdf</t>
  </si>
  <si>
    <t xml:space="preserve">34f50f2019bc5baa0a0cd8bef11fbae4635b168722273cfaa5faf7574bc05144</t>
  </si>
  <si>
    <t xml:space="preserve">library/032_cocoon-maldives/factsheet/2025_Cocoon-Maldives-_-Fact-Sheet.pdf</t>
  </si>
  <si>
    <t xml:space="preserve">2025_DUSIT-D2-FEYDHOO-MAP-DIGITAL-HIGH-RES-.pdf</t>
  </si>
  <si>
    <t xml:space="preserve">https://www.neoscapesmaldives.com/wp-content/uploads/DUSIT-D2-FEYDHOO-MAP-DIGITAL-HIGH-RES-.pdf</t>
  </si>
  <si>
    <t xml:space="preserve">d53c70cc4b3623c8f63e8d28df47d8a0ba5e8cabc851318bf2e58211a40a27c2</t>
  </si>
  <si>
    <t xml:space="preserve">library/032_cocoon-maldives/map/2025_DUSIT-D2-FEYDHOO-MAP-DIGITAL-HIGH-RES-.pdf</t>
  </si>
  <si>
    <t xml:space="preserve">2024_Cocoon-Maldives-_-Resort-Map.pdf</t>
  </si>
  <si>
    <t xml:space="preserve">https://www.neoscapesmaldives.com/wp-content/uploads/Cocoon-Maldives-_-Resort-Map.pdf</t>
  </si>
  <si>
    <t xml:space="preserve">62cde68b049648c29f61c9a24dae5b09f333ff81ced039e224d4b5eb70f04c8e</t>
  </si>
  <si>
    <t xml:space="preserve">library/032_cocoon-maldives/map/2024_Cocoon-Maldives-_-Resort-Map.pdf</t>
  </si>
  <si>
    <t xml:space="preserve">2022_14dbea_619a17714cbe486e9663306167da43a0.pdf</t>
  </si>
  <si>
    <t xml:space="preserve">cocoonmaldives.com</t>
  </si>
  <si>
    <t xml:space="preserve">https://www.cocoonmaldives.com/_files/ugd/14dbea_619a17714cbe486e9663306167da43a0.pdf</t>
  </si>
  <si>
    <t xml:space="preserve">0fdea982dd25237a5fcccd7405bf839064b02a36f20972357a1898a1e2569d24</t>
  </si>
  <si>
    <t xml:space="preserve">library/032_cocoon-maldives/map/2022_14dbea_619a17714cbe486e9663306167da43a0.pdf</t>
  </si>
  <si>
    <t xml:space="preserve">2024_482ba8_d145f86de70c47049c2639bac86b9c95.pdf</t>
  </si>
  <si>
    <t xml:space="preserve">https://www.cocoonmaldives.com/_files/ugd/482ba8_d145f86de70c47049c2639bac86b9c95.pdf</t>
  </si>
  <si>
    <t xml:space="preserve">eaf09c0dcf9f8fe3ff245936f5916aab1d06194f8032dbf47f0aec55ef4613b8</t>
  </si>
  <si>
    <t xml:space="preserve">library/032_cocoon-maldives/other/2024_482ba8_d145f86de70c47049c2639bac86b9c95.pdf</t>
  </si>
  <si>
    <t xml:space="preserve">2026_Excursions-Fact-Sheet_Rev04Aug26-1.pdf</t>
  </si>
  <si>
    <t xml:space="preserve">dhigali.com</t>
  </si>
  <si>
    <t xml:space="preserve">https://www.nivadhigali.com/wp-content/uploads/2026/08/Excursions-Fact-Sheet_Rev04Aug26-1.pdf</t>
  </si>
  <si>
    <t xml:space="preserve">https://www.nivadhigali.com/wp-content/uploads/2026/08/Excursions-Fact-Sheet_Rev04Aug26-1.pdf | https://www.nivadhigali.com/wp-content/uploads/2026/08/Excursions-Fact-Sheet_Rev04Aug26.pdf</t>
  </si>
  <si>
    <t xml:space="preserve">a03ec7e510cfd5fcfeaef81812b4ca6eca1e26b2e623bd84cc5f1e46af604a20</t>
  </si>
  <si>
    <t xml:space="preserve">library/033_dhigali-maldives/factsheet/2026_Excursions-Fact-Sheet_Rev04Aug26-1.pdf</t>
  </si>
  <si>
    <t xml:space="preserve">2026_DHIGALI_Factsheet.pdf</t>
  </si>
  <si>
    <t xml:space="preserve">https://www.nivadhigali.com/wp-content/uploads/2026/01/DHIGALI_Factsheet.pdf</t>
  </si>
  <si>
    <t xml:space="preserve">a859e1ff94dd4c1f356194616a85508bb54e961358704b7f945252db01187250</t>
  </si>
  <si>
    <t xml:space="preserve">library/033_dhigali-maldives/factsheet/2026_DHIGALI_Factsheet.pdf</t>
  </si>
  <si>
    <t xml:space="preserve">2026_Excursions-Fact-Sheet_Rev250626-1.pdf</t>
  </si>
  <si>
    <t xml:space="preserve">https://www.nivadhigali.com/wp-content/uploads/2026/06/Excursions-Fact-Sheet_Rev250626-1.pdf</t>
  </si>
  <si>
    <t xml:space="preserve">https://www.nivadhigali.com/wp-content/uploads/2026/06/Excursions-Fact-Sheet_Rev250626-1.pdf | https://www.nivadhigali.com/wp-content/uploads/2026/06/Excursions-Fact-Sheet_Rev250626.pdf</t>
  </si>
  <si>
    <t xml:space="preserve">a69bd31e0c5ba4d2b160f88645c8d2eb7820027f4f7103da2ee5de21d996c402</t>
  </si>
  <si>
    <t xml:space="preserve">library/033_dhigali-maldives/factsheet/2026_Excursions-Fact-Sheet_Rev250626-1.pdf</t>
  </si>
  <si>
    <t xml:space="preserve">2026_Premium-All-Inclusive-Factsheet-2026.pdf</t>
  </si>
  <si>
    <t xml:space="preserve">https://www.nivadhigali.com/wp-content/uploads/2026/01/Premium-All-Inclusive-Factsheet-2026.pdf</t>
  </si>
  <si>
    <t xml:space="preserve">22fc413aa26c2fb7e813eac18937dce0152dd8ed97fca0a00ad007aa34683661</t>
  </si>
  <si>
    <t xml:space="preserve">library/033_dhigali-maldives/factsheet/2026_Premium-All-Inclusive-Factsheet-2026.pdf</t>
  </si>
  <si>
    <t xml:space="preserve">2026_Diving-Fact-Sheet-January-15-NIVA-LR.pdf</t>
  </si>
  <si>
    <t xml:space="preserve">https://www.nivadhigali.com/wp-content/uploads/2026/01/Diving-Fact-Sheet-January-15-NIVA-LR.pdf</t>
  </si>
  <si>
    <t xml:space="preserve">08dbe844f3ffc1dabe921828b1ae9ccbd99c111a5aabe1586769a731d81ed806</t>
  </si>
  <si>
    <t xml:space="preserve">library/033_dhigali-maldives/factsheet/2026_Diving-Fact-Sheet-January-15-NIVA-LR.pdf</t>
  </si>
  <si>
    <t xml:space="preserve">2022_Dhigali_Factsheet-03-15-2022.pdf</t>
  </si>
  <si>
    <t xml:space="preserve">https://www.neoscapesmaldives.com/wp-content/uploads/Dhigali_Factsheet-03-15-2022.pdf</t>
  </si>
  <si>
    <t xml:space="preserve">34619d93f825f391b75cbe496f1d8b5a2601507cba561a25749b40f4f3707fe8</t>
  </si>
  <si>
    <t xml:space="preserve">library/033_dhigali-maldives/factsheet/2022_Dhigali_Factsheet-03-15-2022.pdf</t>
  </si>
  <si>
    <t xml:space="preserve">2022_Dhigali_Map-03-15-2022.pdf</t>
  </si>
  <si>
    <t xml:space="preserve">https://www.neoscapesmaldives.com/wp-content/uploads/Dhigali_Map-03-15-2022.pdf</t>
  </si>
  <si>
    <t xml:space="preserve">e7122ad4dace502ec5c93eb499a03ab652ebeb8ae2232f2cc1d02c5859a96673</t>
  </si>
  <si>
    <t xml:space="preserve">library/033_dhigali-maldives/map/2022_Dhigali_Map-03-15-2022.pdf</t>
  </si>
  <si>
    <t xml:space="preserve">2026_LIMEDhigalkiSpaPricelistHighWeb.pdf</t>
  </si>
  <si>
    <t xml:space="preserve">https://www.nivadhigali.com/wp-content/uploads/2026/10/LIMEDhigalkiSpaPricelistHighWeb.pdf</t>
  </si>
  <si>
    <t xml:space="preserve">d5ce3869d4885995d4adbf683f0e8ecec1c059df2a2093efab1e74208c5a998d</t>
  </si>
  <si>
    <t xml:space="preserve">library/033_dhigali-maldives/spa_menu/2026_LIMEDhigalkiSpaPricelistHighWeb.pdf</t>
  </si>
  <si>
    <t xml:space="preserve">2026_Full-Moon-Yoga.pdf</t>
  </si>
  <si>
    <t xml:space="preserve">https://www.nivadhigali.com/wp-content/uploads/2026/09/Full-Moon-Yoga.pdf</t>
  </si>
  <si>
    <t xml:space="preserve">15cea1765feeb4fff4869903194043cb69a5f7c155c2d49561a379bf9e92ba21</t>
  </si>
  <si>
    <t xml:space="preserve">library/033_dhigali-maldives/spa_menu/2026_Full-Moon-Yoga.pdf</t>
  </si>
  <si>
    <t xml:space="preserve">2026_Coconut-Ease.pdf</t>
  </si>
  <si>
    <t xml:space="preserve">https://www.nivadhigali.com/wp-content/uploads/2026/09/Coconut-Ease.pdf</t>
  </si>
  <si>
    <t xml:space="preserve">4064b34a49237a980c4bc9ac4e416d5558954fb3125384512ec7bc65524cf8f6</t>
  </si>
  <si>
    <t xml:space="preserve">library/033_dhigali-maldives/spa_menu/2026_Coconut-Ease.pdf</t>
  </si>
  <si>
    <t xml:space="preserve">2026_LIME-MM-DhigaliWEB.pdf</t>
  </si>
  <si>
    <t xml:space="preserve">https://www.nivadhigali.com/wp-content/uploads/2026/09/LIME-MM-DhigaliWEB.pdf</t>
  </si>
  <si>
    <t xml:space="preserve">62eead353dbbbb9104b7a6db7a81491ce524c4d73ff90a1ab6b1e087e7159171</t>
  </si>
  <si>
    <t xml:space="preserve">library/033_dhigali-maldives/spa_menu/2026_LIME-MM-DhigaliWEB.pdf</t>
  </si>
  <si>
    <t xml:space="preserve">2026_LIMEDhigalkiSpaPricelistLow.pdf</t>
  </si>
  <si>
    <t xml:space="preserve">https://www.nivadhigali.com/wp-content/uploads/2026/08/LIMEDhigalkiSpaPricelistLow.pdf</t>
  </si>
  <si>
    <t xml:space="preserve">27bfc8f028f7b1248fdcd8a9c224d4a4998617a702e3aac82248e5c01c84e7f3</t>
  </si>
  <si>
    <t xml:space="preserve">library/033_dhigali-maldives/spa_menu/2026_LIMEDhigalkiSpaPricelistLow.pdf</t>
  </si>
  <si>
    <t xml:space="preserve">2026_LIMEDhigalkiSpaPricelistLow-1.pdf</t>
  </si>
  <si>
    <t xml:space="preserve">https://www.nivadhigali.com/wp-content/uploads/2026/07/LIMEDhigalkiSpaPricelistLow-1.pdf</t>
  </si>
  <si>
    <t xml:space="preserve">https://www.nivadhigali.com/wp-content/uploads/2026/07/LIMEDhigalkiSpaPricelistLow-1.pdf | https://www.nivadhigali.com/wp-content/uploads/2026/07/LIMEDhigalkiSpaPricelistLow.pdf</t>
  </si>
  <si>
    <t xml:space="preserve">e47298cf094d4d367889a02d3537fdbde78b022e2331fb9145d964688595ca41</t>
  </si>
  <si>
    <t xml:space="preserve">library/033_dhigali-maldives/spa_menu/2026_LIMEDhigalkiSpaPricelistLow-1.pdf</t>
  </si>
  <si>
    <t xml:space="preserve">2026_Fullmoon-Ritual.pdf</t>
  </si>
  <si>
    <t xml:space="preserve">https://www.nivadhigali.com/wp-content/uploads/2026/07/Fullmoon-Ritual.pdf</t>
  </si>
  <si>
    <t xml:space="preserve">939468cc86361a4acffeded865b686620546d903b17fab5d0af4bb7694c481d3</t>
  </si>
  <si>
    <t xml:space="preserve">library/033_dhigali-maldives/spa_menu/2026_Fullmoon-Ritual.pdf</t>
  </si>
  <si>
    <t xml:space="preserve">2026_Full-Moon-Yoga-June-28-LR.pdf</t>
  </si>
  <si>
    <t xml:space="preserve">https://www.nivadhigali.com/wp-content/uploads/2026/06/Full-Moon-Yoga-June-28-LR.pdf</t>
  </si>
  <si>
    <t xml:space="preserve">1686936053a031dc6e8c3053276887a72acd72f18affd085b41ea3d2ad5c6aa8</t>
  </si>
  <si>
    <t xml:space="preserve">library/033_dhigali-maldives/spa_menu/2026_Full-Moon-Yoga-June-28-LR.pdf</t>
  </si>
  <si>
    <t xml:space="preserve">2026_International-Yoga-Day-June-21-1.pdf</t>
  </si>
  <si>
    <t xml:space="preserve">https://www.nivadhigali.com/wp-content/uploads/2026/06/International-Yoga-Day-June-21-1.pdf</t>
  </si>
  <si>
    <t xml:space="preserve">e250a894c9499fb7b5988ae6059708f430419c79b7d611897ceb4df42cdae9c2</t>
  </si>
  <si>
    <t xml:space="preserve">library/033_dhigali-maldives/spa_menu/2026_International-Yoga-Day-June-21-1.pdf</t>
  </si>
  <si>
    <t xml:space="preserve">2026_Halloween-Island-Style-1.pdf</t>
  </si>
  <si>
    <t xml:space="preserve">https://www.nivadhigali.com/wp-content/uploads/2026/09/Halloween-Island-Style-1.pdf</t>
  </si>
  <si>
    <t xml:space="preserve">78ed4123f7ccdc42be619682318df07cd18716f2097cce308d428eada6f40e25</t>
  </si>
  <si>
    <t xml:space="preserve">library/033_dhigali-maldives/dining_menu/2026_Halloween-Island-Style-1.pdf</t>
  </si>
  <si>
    <t xml:space="preserve">2026_International-Coffee-Day.pdf</t>
  </si>
  <si>
    <t xml:space="preserve">https://www.nivadhigali.com/wp-content/uploads/2026/09/International-Coffee-Day.pdf</t>
  </si>
  <si>
    <t xml:space="preserve">aa9f97fc52d711f0043a722612dbde5505ec574fc3d6c828cc329b5ef20a9be1</t>
  </si>
  <si>
    <t xml:space="preserve">library/033_dhigali-maldives/dining_menu/2026_International-Coffee-Day.pdf</t>
  </si>
  <si>
    <t xml:space="preserve">2026_Halloween-Island-Style.pdf</t>
  </si>
  <si>
    <t xml:space="preserve">https://www.nivadhigali.com/wp-content/uploads/2026/09/Halloween-Island-Style.pdf</t>
  </si>
  <si>
    <t xml:space="preserve">3016209f82ab378d090ae3efc87475f75ad37b76615fe9f4591d09d29a12176d</t>
  </si>
  <si>
    <t xml:space="preserve">library/033_dhigali-maldives/dining_menu/2026_Halloween-Island-Style.pdf</t>
  </si>
  <si>
    <t xml:space="preserve">2026_Full-Moon-Lobster-Feast.pdf</t>
  </si>
  <si>
    <t xml:space="preserve">https://www.nivadhigali.com/wp-content/uploads/2026/09/Full-Moon-Lobster-Feast.pdf</t>
  </si>
  <si>
    <t xml:space="preserve">93e78236452b665a414988bbc80b364e9aa90121f04a676277afdbed5898eb85</t>
  </si>
  <si>
    <t xml:space="preserve">library/033_dhigali-maldives/dining_menu/2026_Full-Moon-Lobster-Feast.pdf</t>
  </si>
  <si>
    <t xml:space="preserve">2026_Website_FaruDinner_Niva_06Sep26.pdf</t>
  </si>
  <si>
    <t xml:space="preserve">https://www.nivadhigali.com/wp-content/uploads/2025/09/Website_FaruDinner_Niva_06Sep26.pdf</t>
  </si>
  <si>
    <t xml:space="preserve">5ee8d5f72386d0e3c657563ea62f2f6a23a7fc12d674bded19d7a768f3accee6</t>
  </si>
  <si>
    <t xml:space="preserve">library/033_dhigali-maldives/dining_menu/2026_Website_FaruDinner_Niva_06Sep26.pdf</t>
  </si>
  <si>
    <t xml:space="preserve">2026_Website_FaruLunch_Niva_06Sep.pdf</t>
  </si>
  <si>
    <t xml:space="preserve">https://www.nivadhigali.com/wp-content/uploads/2025/09/Website_FaruLunch_Niva_06Sep.pdf</t>
  </si>
  <si>
    <t xml:space="preserve">f1b72bf47d3420a8b6904da60e92ffdefb149a9d087795a6a91f0bb469141dd2</t>
  </si>
  <si>
    <t xml:space="preserve">library/033_dhigali-maldives/dining_menu/2026_Website_FaruLunch_Niva_06Sep.pdf</t>
  </si>
  <si>
    <t xml:space="preserve">2026_Website_Battuta_Menu_06Sep26.pdf</t>
  </si>
  <si>
    <t xml:space="preserve">https://www.nivadhigali.com/wp-content/uploads/2025/09/Website_Battuta_Menu_06Sep26.pdf</t>
  </si>
  <si>
    <t xml:space="preserve">0544e93e3a9efe2af9b88ec5aee73e64f7a66ed3eb0bb91a8d066faa0e308d3f</t>
  </si>
  <si>
    <t xml:space="preserve">library/033_dhigali-maldives/dining_menu/2026_Website_Battuta_Menu_06Sep26.pdf</t>
  </si>
  <si>
    <t xml:space="preserve">2026_Website_Jade-Menu_Niva_17Aug26.pdf</t>
  </si>
  <si>
    <t xml:space="preserve">https://www.nivadhigali.com/wp-content/uploads/2026/08/Website_Jade-Menu_Niva_17Aug26.pdf</t>
  </si>
  <si>
    <t xml:space="preserve">b689ac7fbcc82331140fc127eee95237e745bf9dd17c2910e6dc4dae26a6ea2e</t>
  </si>
  <si>
    <t xml:space="preserve">library/033_dhigali-maldives/dining_menu/2026_Website_Jade-Menu_Niva_17Aug26.pdf</t>
  </si>
  <si>
    <t xml:space="preserve">2026_Website_Battuta_Menu_12Aug26.pdf</t>
  </si>
  <si>
    <t xml:space="preserve">https://www.nivadhigali.com/wp-content/uploads/2026/08/Website_Battuta_Menu_12Aug26.pdf</t>
  </si>
  <si>
    <t xml:space="preserve">5b14410b9f2125e82d0800cd48044c66462c2f2b1cd4db24053824c53e2d4c84</t>
  </si>
  <si>
    <t xml:space="preserve">library/033_dhigali-maldives/dining_menu/2026_Website_Battuta_Menu_12Aug26.pdf</t>
  </si>
  <si>
    <t xml:space="preserve">2026_Website_NIVA_BeverageMenu_HaaliBar_6Aug26.pdf</t>
  </si>
  <si>
    <t xml:space="preserve">https://www.nivadhigali.com/wp-content/uploads/2025/09/Website_NIVA_BeverageMenu_HaaliBar_6Aug26.pdf</t>
  </si>
  <si>
    <t xml:space="preserve">c38071a1782ec9db0de7f10bb52c3abdabefa54599519810026c083b406ce673</t>
  </si>
  <si>
    <t xml:space="preserve">library/033_dhigali-maldives/dining_menu/2026_Website_NIVA_BeverageMenu_HaaliBar_6Aug26.pdf</t>
  </si>
  <si>
    <t xml:space="preserve">2026_Website_NIVA_BeverageMenu_BeachBar_6Aug26.pdf</t>
  </si>
  <si>
    <t xml:space="preserve">https://www.nivadhigali.com/wp-content/uploads/2025/09/Website_NIVA_BeverageMenu_BeachBar_6Aug26.pdf</t>
  </si>
  <si>
    <t xml:space="preserve">bfca6cc126e77dd25770829de849b4342a9dd781f0f2e72c8e35d117becb0673</t>
  </si>
  <si>
    <t xml:space="preserve">library/033_dhigali-maldives/dining_menu/2026_Website_NIVA_BeverageMenu_BeachBar_6Aug26.pdf</t>
  </si>
  <si>
    <t xml:space="preserve">2026_Website_NIVA_BeverageMenu_EastBar_6Aug26.pdf</t>
  </si>
  <si>
    <t xml:space="preserve">https://www.nivadhigali.com/wp-content/uploads/2025/09/Website_NIVA_BeverageMenu_EastBar_6Aug26.pdf</t>
  </si>
  <si>
    <t xml:space="preserve">2d88605dda5b52ad03a037b99a16dc17c59321100057e32e40eb9bf432ccfcd1</t>
  </si>
  <si>
    <t xml:space="preserve">library/033_dhigali-maldives/dining_menu/2026_Website_NIVA_BeverageMenu_EastBar_6Aug26.pdf</t>
  </si>
  <si>
    <t xml:space="preserve">2026_Website_NIVA_BeverageMenu_Faru_Battuta_6Aug26.pdf</t>
  </si>
  <si>
    <t xml:space="preserve">https://www.nivadhigali.com/wp-content/uploads/2025/09/Website_NIVA_BeverageMenu_Faru_Battuta_6Aug26.pdf</t>
  </si>
  <si>
    <t xml:space="preserve">28fdbe4c93f1f33ef1f324de7ca1a4eb24ac1805ceeb78480c963ecbb104be35</t>
  </si>
  <si>
    <t xml:space="preserve">library/033_dhigali-maldives/dining_menu/2026_Website_NIVA_BeverageMenu_Faru_Battuta_6Aug26.pdf</t>
  </si>
  <si>
    <t xml:space="preserve">2026_Website_NIVA_BeverageMenu_Capers_Jade_6Aug26-1.pdf</t>
  </si>
  <si>
    <t xml:space="preserve">https://www.nivadhigali.com/wp-content/uploads/2025/09/Website_NIVA_BeverageMenu_Capers_Jade_6Aug26-1.pdf</t>
  </si>
  <si>
    <t xml:space="preserve">https://www.nivadhigali.com/wp-content/uploads/2025/09/Website_NIVA_BeverageMenu_Capers_Jade_6Aug26-1.pdf | https://www.nivadhigali.com/wp-content/uploads/2025/09/Website_NIVA_BeverageMenu_Capers_Jade_6Aug26.pdf</t>
  </si>
  <si>
    <t xml:space="preserve">406a1d2086eb46db0ed91ae95d55b657172b75ac3d156f3171f8b03402258329</t>
  </si>
  <si>
    <t xml:space="preserve">library/033_dhigali-maldives/dining_menu/2026_Website_NIVA_BeverageMenu_Capers_Jade_6Aug26-1.pdf</t>
  </si>
  <si>
    <t xml:space="preserve">2026_Website_FaruDinner_Niva_03Aug26.pdf</t>
  </si>
  <si>
    <t xml:space="preserve">https://www.nivadhigali.com/wp-content/uploads/2026/08/Website_FaruDinner_Niva_03Aug26.pdf</t>
  </si>
  <si>
    <t xml:space="preserve">5ccc0d3baba7c955da2d51e5304dd36af79d454d8a6759dd2570b9f3900e2747</t>
  </si>
  <si>
    <t xml:space="preserve">library/033_dhigali-maldives/dining_menu/2026_Website_FaruDinner_Niva_03Aug26.pdf</t>
  </si>
  <si>
    <t xml:space="preserve">2026_Website_FaruLunch_Niva-29JUL26-1.pdf</t>
  </si>
  <si>
    <t xml:space="preserve">https://www.nivadhigali.com/wp-content/uploads/2025/09/Website_FaruLunch_Niva-29JUL26-1.pdf</t>
  </si>
  <si>
    <t xml:space="preserve">0869cd50b2f72458fa86847b3296a524f21d45921ec7b9cd02917e3d0a1a2bef</t>
  </si>
  <si>
    <t xml:space="preserve">library/033_dhigali-maldives/dining_menu/2026_Website_FaruLunch_Niva-29JUL26-1.pdf</t>
  </si>
  <si>
    <t xml:space="preserve">2026_LIMESpaMenu-Dhigali.pdf</t>
  </si>
  <si>
    <t xml:space="preserve">https://www.nivadhigali.com/wp-content/uploads/2026/07/LIMESpaMenu-Dhigali.pdf</t>
  </si>
  <si>
    <t xml:space="preserve">e1af31b02f83404cb7f0be4cad8c3dabef28e8e7d6dd88284dde73357192ca61</t>
  </si>
  <si>
    <t xml:space="preserve">library/033_dhigali-maldives/dining_menu/2026_LIMESpaMenu-Dhigali.pdf</t>
  </si>
  <si>
    <t xml:space="preserve">2026_Website_Battuta_Menu_6July26.pdf</t>
  </si>
  <si>
    <t xml:space="preserve">https://www.nivadhigali.com/wp-content/uploads/2025/09/Website_Battuta_Menu_6July26.pdf</t>
  </si>
  <si>
    <t xml:space="preserve">a5d2f43eeee9a1d8253b801d40e55a449a04055073c922724ca4fa0a6a08c96e</t>
  </si>
  <si>
    <t xml:space="preserve">library/033_dhigali-maldives/dining_menu/2026_Website_Battuta_Menu_6July26.pdf</t>
  </si>
  <si>
    <t xml:space="preserve">2026_Website_FaruLunch_Niva-1-1.pdf</t>
  </si>
  <si>
    <t xml:space="preserve">https://www.nivadhigali.com/wp-content/uploads/2025/09/Website_FaruLunch_Niva-1-1.pdf</t>
  </si>
  <si>
    <t xml:space="preserve">307b22e3da1e57a6c456e71e52cadba4fc764ce4b1125c9ed14b8c721cef762b</t>
  </si>
  <si>
    <t xml:space="preserve">library/033_dhigali-maldives/dining_menu/2026_Website_FaruLunch_Niva-1-1.pdf</t>
  </si>
  <si>
    <t xml:space="preserve">2026_Website_NIVA_BeverageMenu_HaaliBar-1.pdf</t>
  </si>
  <si>
    <t xml:space="preserve">https://www.nivadhigali.com/wp-content/uploads/2025/09/Website_NIVA_BeverageMenu_HaaliBar-1.pdf</t>
  </si>
  <si>
    <t xml:space="preserve">13e640597eed866a283125f88dc31912f88abcdac636b99a70e74aad3b9ea561</t>
  </si>
  <si>
    <t xml:space="preserve">library/033_dhigali-maldives/dining_menu/2026_Website_NIVA_BeverageMenu_HaaliBar-1.pdf</t>
  </si>
  <si>
    <t xml:space="preserve">2026_Website_NIVA_BeverageMenu_BeachBar-1.pdf</t>
  </si>
  <si>
    <t xml:space="preserve">https://www.nivadhigali.com/wp-content/uploads/2025/09/Website_NIVA_BeverageMenu_BeachBar-1.pdf</t>
  </si>
  <si>
    <t xml:space="preserve">1f120d6063fd0234e7ab5778563152f1d467bcb4bedd2ef1da0ad59c70501902</t>
  </si>
  <si>
    <t xml:space="preserve">library/033_dhigali-maldives/dining_menu/2026_Website_NIVA_BeverageMenu_BeachBar-1.pdf</t>
  </si>
  <si>
    <t xml:space="preserve">2026_Website_NIVA_BeverageMenu_EastBar-1.pdf</t>
  </si>
  <si>
    <t xml:space="preserve">https://www.nivadhigali.com/wp-content/uploads/2025/09/Website_NIVA_BeverageMenu_EastBar-1.pdf</t>
  </si>
  <si>
    <t xml:space="preserve">ca32d504716f16a7f92aebf889872e4aa942cb63bd389849bdeb2e2ff8ac0a68</t>
  </si>
  <si>
    <t xml:space="preserve">library/033_dhigali-maldives/dining_menu/2026_Website_NIVA_BeverageMenu_EastBar-1.pdf</t>
  </si>
  <si>
    <t xml:space="preserve">2026_Website_NIVA_BeverageMenu_Faru_Battuta-3.pdf</t>
  </si>
  <si>
    <t xml:space="preserve">https://www.nivadhigali.com/wp-content/uploads/2025/09/Website_NIVA_BeverageMenu_Faru_Battuta-3.pdf</t>
  </si>
  <si>
    <t xml:space="preserve">https://www.nivadhigali.com/wp-content/uploads/2025/09/Website_NIVA_BeverageMenu_Faru_Battuta-3.pdf | https://www.nivadhigali.com/wp-content/uploads/2025/09/Website_NIVA_BeverageMenu_Faru_Battuta-2.pdf</t>
  </si>
  <si>
    <t xml:space="preserve">52cc0ce4380faf5bb01429be29f461e763f204d50f66f54cdbe48c754e5817ed</t>
  </si>
  <si>
    <t xml:space="preserve">library/033_dhigali-maldives/dining_menu/2026_Website_NIVA_BeverageMenu_Faru_Battuta-3.pdf</t>
  </si>
  <si>
    <t xml:space="preserve">2026_Website_Battuta_Menu.pdf</t>
  </si>
  <si>
    <t xml:space="preserve">https://www.nivadhigali.com/wp-content/uploads/2025/09/Website_Battuta_Menu.pdf</t>
  </si>
  <si>
    <t xml:space="preserve">945f9cae507f80002ea9767b979b466e59487e06533731a87253211e81c540ef</t>
  </si>
  <si>
    <t xml:space="preserve">library/033_dhigali-maldives/dining_menu/2026_Website_Battuta_Menu.pdf</t>
  </si>
  <si>
    <t xml:space="preserve">2026_Website_NIVA_BeverageMenu_Capers_Jade-3.pdf</t>
  </si>
  <si>
    <t xml:space="preserve">https://www.nivadhigali.com/wp-content/uploads/2025/09/Website_NIVA_BeverageMenu_Capers_Jade-3.pdf</t>
  </si>
  <si>
    <t xml:space="preserve">https://www.nivadhigali.com/wp-content/uploads/2025/09/Website_NIVA_BeverageMenu_Capers_Jade-3.pdf | https://www.nivadhigali.com/wp-content/uploads/2025/09/Website_NIVA_BeverageMenu_Capers_Jade-2.pdf</t>
  </si>
  <si>
    <t xml:space="preserve">e81a43595081dbf73c07aff507be5a203ed1f4fa7ea125912bc80ce6c25a9a5b</t>
  </si>
  <si>
    <t xml:space="preserve">library/033_dhigali-maldives/dining_menu/2026_Website_NIVA_BeverageMenu_Capers_Jade-3.pdf</t>
  </si>
  <si>
    <t xml:space="preserve">2026_Website_Jade_Menu.pdf</t>
  </si>
  <si>
    <t xml:space="preserve">https://www.nivadhigali.com/wp-content/uploads/2025/09/Website_Jade_Menu.pdf</t>
  </si>
  <si>
    <t xml:space="preserve">https://www.nivadhigali.com/wp-content/uploads/2025/09/Website_Jade_Menu.pdf | https://www.nivadhigali.com/wp-content/uploads/2025/09/Website_Jade-Menu_Niva-2.pdf</t>
  </si>
  <si>
    <t xml:space="preserve">279861a957b584057f6566a36b8120b31dbcfbd13286a87b84de349fc141b3ba</t>
  </si>
  <si>
    <t xml:space="preserve">library/033_dhigali-maldives/dining_menu/2026_Website_Jade_Menu.pdf</t>
  </si>
  <si>
    <t xml:space="preserve">2026_Website_NIVA_BeverageMenu_HaaliBar_05Apr26.pdf</t>
  </si>
  <si>
    <t xml:space="preserve">https://www.nivadhigali.com/wp-content/uploads/2025/09/Website_NIVA_BeverageMenu_HaaliBar_05Apr26.pdf</t>
  </si>
  <si>
    <t xml:space="preserve">b4e07b340c849dda0b0295554b0df4562cd5dbbbeb4a385c4274ceb6bb16c8a4</t>
  </si>
  <si>
    <t xml:space="preserve">library/033_dhigali-maldives/dining_menu/2026_Website_NIVA_BeverageMenu_HaaliBar_05Apr26.pdf</t>
  </si>
  <si>
    <t xml:space="preserve">2026_Website_NIVA_BeverageMenu_BeachBar_05Apr26.pdf</t>
  </si>
  <si>
    <t xml:space="preserve">https://www.nivadhigali.com/wp-content/uploads/2025/09/Website_NIVA_BeverageMenu_BeachBar_05Apr26.pdf</t>
  </si>
  <si>
    <t xml:space="preserve">cea68a579122b7df332a7242919ff1a480c364dca23eca5f01bf9270c650a54d</t>
  </si>
  <si>
    <t xml:space="preserve">library/033_dhigali-maldives/dining_menu/2026_Website_NIVA_BeverageMenu_BeachBar_05Apr26.pdf</t>
  </si>
  <si>
    <t xml:space="preserve">2026_Website_NIVA_BeverageMenu_Faru_Battuta_05Apr26-1.pdf</t>
  </si>
  <si>
    <t xml:space="preserve">https://www.nivadhigali.com/wp-content/uploads/2025/09/Website_NIVA_BeverageMenu_Faru_Battuta_05Apr26-1.pdf</t>
  </si>
  <si>
    <t xml:space="preserve">https://www.nivadhigali.com/wp-content/uploads/2025/09/Website_NIVA_BeverageMenu_Faru_Battuta_05Apr26-1.pdf | https://www.nivadhigali.com/wp-content/uploads/2025/09/Website_NIVA_BeverageMenu_Faru_Battuta_05Apr26.pdf</t>
  </si>
  <si>
    <t xml:space="preserve">5578ee3dfc292c97497393971bfe9c9bae8c958fa96a12034e842ddadd86e6db</t>
  </si>
  <si>
    <t xml:space="preserve">library/033_dhigali-maldives/dining_menu/2026_Website_NIVA_BeverageMenu_Faru_Battuta_05Apr26-1.pdf</t>
  </si>
  <si>
    <t xml:space="preserve">2026_Website-Cigar-Menu-1.pdf</t>
  </si>
  <si>
    <t xml:space="preserve">https://www.nivadhigali.com/wp-content/uploads/2025/09/Website-Cigar-Menu-1.pdf</t>
  </si>
  <si>
    <t xml:space="preserve">56c7b0349c7125ab9045bf956aa151749a570f7f4b40ee4f284d46bb53fd0f60</t>
  </si>
  <si>
    <t xml:space="preserve">library/033_dhigali-maldives/dining_menu/2026_Website-Cigar-Menu-1.pdf</t>
  </si>
  <si>
    <t xml:space="preserve">2026_Website-Shisha-Menu-1.pdf</t>
  </si>
  <si>
    <t xml:space="preserve">https://www.nivadhigali.com/wp-content/uploads/2025/09/Website-Shisha-Menu-1.pdf</t>
  </si>
  <si>
    <t xml:space="preserve">73f66206a8222b77808908ac714383bd8c55df56c8c70bb46fc5a61133a8a08f</t>
  </si>
  <si>
    <t xml:space="preserve">library/033_dhigali-maldives/dining_menu/2026_Website-Shisha-Menu-1.pdf</t>
  </si>
  <si>
    <t xml:space="preserve">2026_Pizzeria-Menu.pdf</t>
  </si>
  <si>
    <t xml:space="preserve">https://www.nivadhigali.com/wp-content/uploads/2025/09/Pizzeria-Menu.pdf</t>
  </si>
  <si>
    <t xml:space="preserve">940eda923e79053de3750dbfbb52a44fc0f3597ff64b98dbfcc1e2448b8434d8</t>
  </si>
  <si>
    <t xml:space="preserve">library/033_dhigali-maldives/dining_menu/2026_Pizzeria-Menu.pdf</t>
  </si>
  <si>
    <t xml:space="preserve">2026_Faru-Kids-Menu.pdf</t>
  </si>
  <si>
    <t xml:space="preserve">https://www.nivadhigali.com/wp-content/uploads/2025/09/Faru-Kids-Menu.pdf</t>
  </si>
  <si>
    <t xml:space="preserve">9f419b53e9be78f10ac1fc9181d2aadebf571d527e889a0cf664c061a8006a08</t>
  </si>
  <si>
    <t xml:space="preserve">library/033_dhigali-maldives/dining_menu/2026_Faru-Kids-Menu.pdf</t>
  </si>
  <si>
    <t xml:space="preserve">2026_Website_CafeMenu_Niva.pdf</t>
  </si>
  <si>
    <t xml:space="preserve">https://www.nivadhigali.com/wp-content/uploads/2025/09/Website_CafeMenu_Niva.pdf</t>
  </si>
  <si>
    <t xml:space="preserve">aac4617e0531abc0e6f754455cec6b85a70c14d2f7512ffded4e6fa187c160e5</t>
  </si>
  <si>
    <t xml:space="preserve">library/033_dhigali-maldives/dining_menu/2026_Website_CafeMenu_Niva.pdf</t>
  </si>
  <si>
    <t xml:space="preserve">2021_Website_Wine-Menu_6August26-5.pdf</t>
  </si>
  <si>
    <t xml:space="preserve">https://www.nivadhigali.com/wp-content/uploads/2025/09/Website_Wine-Menu_6August26-5.pdf</t>
  </si>
  <si>
    <t xml:space="preserve">https://www.nivadhigali.com/wp-content/uploads/2025/09/Website_Wine-Menu_6August26-5.pdf | https://www.nivadhigali.com/wp-content/uploads/2025/09/Website_Wine-Menu_6August26-4.pdf | https://www.nivadhigali.com/wp-content/uploads/2025/09/Website_Wine-Menu_6August26-3.pdf | https://www.nivadhigali.com/wp-content/uploads/2025/09/Website_Wine-Menu_6August26-2.pdf | https://www.nivadhigali.com/wp-content/uploads/2025/09/Website_Wine-Menu_6August26-1.pdf | https://www.nivadhigali.com/wp-content/uploads/2025/09/Website_Wine-Menu_6August26.pdf</t>
  </si>
  <si>
    <t xml:space="preserve">bce338360c3768151c0628d189fe2454661a7dc230e889777028a7c0a19e8db2</t>
  </si>
  <si>
    <t xml:space="preserve">library/033_dhigali-maldives/dining_menu/2021_Website_Wine-Menu_6August26-5.pdf</t>
  </si>
  <si>
    <t xml:space="preserve">2021_Website_Haali_Wine-Menu-1.pdf</t>
  </si>
  <si>
    <t xml:space="preserve">https://www.nivadhigali.com/wp-content/uploads/2025/09/Website_Haali_Wine-Menu-1.pdf</t>
  </si>
  <si>
    <t xml:space="preserve">1475e27329aaae8145b0b23ca8c2c5dbb157a63037ec53f1ea8ec74bc023f2f7</t>
  </si>
  <si>
    <t xml:space="preserve">library/033_dhigali-maldives/dining_menu/2021_Website_Haali_Wine-Menu-1.pdf</t>
  </si>
  <si>
    <t xml:space="preserve">2021_Website_East_Wine-Menu-1.pdf</t>
  </si>
  <si>
    <t xml:space="preserve">https://www.nivadhigali.com/wp-content/uploads/2025/09/Website_East_Wine-Menu-1.pdf</t>
  </si>
  <si>
    <t xml:space="preserve">22b24db9c0f99c86b3f5fc54ed0ca95fcede6d0554afc3c2e114f8a723c4676f</t>
  </si>
  <si>
    <t xml:space="preserve">library/033_dhigali-maldives/dining_menu/2021_Website_East_Wine-Menu-1.pdf</t>
  </si>
  <si>
    <t xml:space="preserve">2021_Website_Faru_Wine-Menu-1.pdf</t>
  </si>
  <si>
    <t xml:space="preserve">https://www.nivadhigali.com/wp-content/uploads/2025/09/Website_Faru_Wine-Menu-1.pdf</t>
  </si>
  <si>
    <t xml:space="preserve">0c6ef94274f03cf6d869a99f2cedc54de40eb3726ca378a878b4a0a22fb99e74</t>
  </si>
  <si>
    <t xml:space="preserve">library/033_dhigali-maldives/dining_menu/2021_Website_Faru_Wine-Menu-1.pdf</t>
  </si>
  <si>
    <t xml:space="preserve">2021_Website_Battuta_Wine-Menu-1.pdf</t>
  </si>
  <si>
    <t xml:space="preserve">https://www.nivadhigali.com/wp-content/uploads/2025/09/Website_Battuta_Wine-Menu-1.pdf</t>
  </si>
  <si>
    <t xml:space="preserve">1ac01ebd45d40cde208d71911c11c01a924b6cca3fd24c982da1d7c60501478b</t>
  </si>
  <si>
    <t xml:space="preserve">library/033_dhigali-maldives/dining_menu/2021_Website_Battuta_Wine-Menu-1.pdf</t>
  </si>
  <si>
    <t xml:space="preserve">2021_Website_Capers_Wine-Menu-1.pdf</t>
  </si>
  <si>
    <t xml:space="preserve">https://www.nivadhigali.com/wp-content/uploads/2025/09/Website_Capers_Wine-Menu-1.pdf</t>
  </si>
  <si>
    <t xml:space="preserve">f5509e8a4289736a7b44f53320ad6aac7c23d4e03ffd313207772809a84e09b8</t>
  </si>
  <si>
    <t xml:space="preserve">library/033_dhigali-maldives/dining_menu/2021_Website_Capers_Wine-Menu-1.pdf</t>
  </si>
  <si>
    <t xml:space="preserve">2021_Website_Jade_Wine-Menu-1.pdf</t>
  </si>
  <si>
    <t xml:space="preserve">https://www.nivadhigali.com/wp-content/uploads/2025/09/Website_Jade_Wine-Menu-1.pdf</t>
  </si>
  <si>
    <t xml:space="preserve">4693a5704bed9491d6e99bc4f4e61d97d126df127a846a846d88ae105ad1f9f9</t>
  </si>
  <si>
    <t xml:space="preserve">library/033_dhigali-maldives/dining_menu/2021_Website_Jade_Wine-Menu-1.pdf</t>
  </si>
  <si>
    <t xml:space="preserve">2021_Website_Haali_Wine-Menu_05Apr26.pdf</t>
  </si>
  <si>
    <t xml:space="preserve">https://www.nivadhigali.com/wp-content/uploads/2025/09/Website_Haali_Wine-Menu_05Apr26.pdf</t>
  </si>
  <si>
    <t xml:space="preserve">a1eed65339dd20d414c6d77c0cf011f9c71a0f74b994e5849cd2bdaa23db1a04</t>
  </si>
  <si>
    <t xml:space="preserve">library/033_dhigali-maldives/dining_menu/2021_Website_Haali_Wine-Menu_05Apr26.pdf</t>
  </si>
  <si>
    <t xml:space="preserve">2021_Website_East_Wine-Menu_05Apr26.pdf</t>
  </si>
  <si>
    <t xml:space="preserve">https://www.nivadhigali.com/wp-content/uploads/2025/09/Website_East_Wine-Menu_05Apr26.pdf</t>
  </si>
  <si>
    <t xml:space="preserve">439fc3d28ab04cae88896095b598dc275be0a694bfdc4e495789e0c0ee36239d</t>
  </si>
  <si>
    <t xml:space="preserve">library/033_dhigali-maldives/dining_menu/2021_Website_East_Wine-Menu_05Apr26.pdf</t>
  </si>
  <si>
    <t xml:space="preserve">2021_Website_Faru_Wine-Menu_05Apr26.pdf</t>
  </si>
  <si>
    <t xml:space="preserve">https://www.nivadhigali.com/wp-content/uploads/2025/09/Website_Faru_Wine-Menu_05Apr26.pdf</t>
  </si>
  <si>
    <t xml:space="preserve">9cace3497371ceb77ccea77959c686e583363e7ed1f5454f68f12caf61af42df</t>
  </si>
  <si>
    <t xml:space="preserve">library/033_dhigali-maldives/dining_menu/2021_Website_Faru_Wine-Menu_05Apr26.pdf</t>
  </si>
  <si>
    <t xml:space="preserve">2021_Website_Battuta_Wine-Menu_05Apr26.pdf</t>
  </si>
  <si>
    <t xml:space="preserve">https://www.nivadhigali.com/wp-content/uploads/2025/09/Website_Battuta_Wine-Menu_05Apr26.pdf</t>
  </si>
  <si>
    <t xml:space="preserve">f6667c8fbe420b932846bef02841d650a11151751310fcc7a30792158e991819</t>
  </si>
  <si>
    <t xml:space="preserve">library/033_dhigali-maldives/dining_menu/2021_Website_Battuta_Wine-Menu_05Apr26.pdf</t>
  </si>
  <si>
    <t xml:space="preserve">2026_Snorkeling-Pricelist_Rev200826.pdf</t>
  </si>
  <si>
    <t xml:space="preserve">https://www.nivadhigali.com/wp-content/uploads/2026/08/Snorkeling-Pricelist_Rev200826.pdf</t>
  </si>
  <si>
    <t xml:space="preserve">ab298717dec468c7996e4cde50abb486ece21fc86dac98a303b948f266ae8aac</t>
  </si>
  <si>
    <t xml:space="preserve">library/033_dhigali-maldives/dive_prices/2026_Snorkeling-Pricelist_Rev200826.pdf</t>
  </si>
  <si>
    <t xml:space="preserve">2026_Snorkeling-Pricelist_Rev200826_updated.pdf</t>
  </si>
  <si>
    <t xml:space="preserve">https://www.nivadhigali.com/wp-content/uploads/2026/08/Snorkeling-Pricelist_Rev200826_updated.pdf</t>
  </si>
  <si>
    <t xml:space="preserve">d3fc780522906ed9cb687b248e17c95c69d0e819e84e6f21c57359eb1d7f4dd4</t>
  </si>
  <si>
    <t xml:space="preserve">library/033_dhigali-maldives/dive_prices/2026_Snorkeling-Pricelist_Rev200826_updated.pdf</t>
  </si>
  <si>
    <t xml:space="preserve">2026_Snorkeling-Pricelist_Rev050726.pdf</t>
  </si>
  <si>
    <t xml:space="preserve">https://www.nivadhigali.com/wp-content/uploads/2026/07/Snorkeling-Pricelist_Rev050726.pdf</t>
  </si>
  <si>
    <t xml:space="preserve">5adbf2b2546408cd70141ad03eda69a9245e0ca5fa699719d067eea5cea84d5e</t>
  </si>
  <si>
    <t xml:space="preserve">library/033_dhigali-maldives/dive_prices/2026_Snorkeling-Pricelist_Rev050726.pdf</t>
  </si>
  <si>
    <t xml:space="preserve">2026_Dhigali-Snorkeling-Code-of-Conduct.pdf</t>
  </si>
  <si>
    <t xml:space="preserve">https://www.nivadhigali.com/wp-content/uploads/2026/07/Dhigali-Snorkeling-Code-of-Conduct.pdf</t>
  </si>
  <si>
    <t xml:space="preserve">76b92002bc1ddd8f945547a47eb8bba079c891711ec56471728b8b438b7fe8e6</t>
  </si>
  <si>
    <t xml:space="preserve">library/033_dhigali-maldives/dive_prices/2026_Dhigali-Snorkeling-Code-of-Conduct.pdf</t>
  </si>
  <si>
    <t xml:space="preserve">2026_PADI-Womens-Dive-Day-1.pdf</t>
  </si>
  <si>
    <t xml:space="preserve">https://www.nivadhigali.com/wp-content/uploads/2026/07/PADI-Womens-Dive-Day-1.pdf</t>
  </si>
  <si>
    <t xml:space="preserve">a8a66799d1551c15e3de4b7ead70c1bb8e5f19f4ccbda192dc0514ea8b90a0f6</t>
  </si>
  <si>
    <t xml:space="preserve">library/033_dhigali-maldives/dive_prices/2026_PADI-Womens-Dive-Day-1.pdf</t>
  </si>
  <si>
    <t xml:space="preserve">2026_PADI-Womens-Dive-Day-2.pdf</t>
  </si>
  <si>
    <t xml:space="preserve">https://www.nivadhigali.com/wp-content/uploads/2026/07/PADI-Womens-Dive-Day-2.pdf</t>
  </si>
  <si>
    <t xml:space="preserve">29fac44bf663ad800ac6f7fb112d1a02d3bdadfcf557ba3b23eedc7f9fbaf155</t>
  </si>
  <si>
    <t xml:space="preserve">library/033_dhigali-maldives/dive_prices/2026_PADI-Womens-Dive-Day-2.pdf</t>
  </si>
  <si>
    <t xml:space="preserve">2026_PADI-Womens-Dive-Day.pdf</t>
  </si>
  <si>
    <t xml:space="preserve">https://www.nivadhigali.com/wp-content/uploads/2026/07/PADI-Womens-Dive-Day.pdf</t>
  </si>
  <si>
    <t xml:space="preserve">841b77918a10151c3ca2352791b5915cccfd11be7f7fe203da89f042f09baa48</t>
  </si>
  <si>
    <t xml:space="preserve">library/033_dhigali-maldives/dive_prices/2026_PADI-Womens-Dive-Day.pdf</t>
  </si>
  <si>
    <t xml:space="preserve">2026_Shark-Awareness-Day-Special-Dive.pdf</t>
  </si>
  <si>
    <t xml:space="preserve">https://www.nivadhigali.com/wp-content/uploads/2026/07/Shark-Awareness-Day-Special-Dive.pdf</t>
  </si>
  <si>
    <t xml:space="preserve">a5ba94ca7aa909b202009b6ea931ce384196cfc29c5fdfc04c33e0b8b8e9a402</t>
  </si>
  <si>
    <t xml:space="preserve">library/033_dhigali-maldives/dive_prices/2026_Shark-Awareness-Day-Special-Dive.pdf</t>
  </si>
  <si>
    <t xml:space="preserve">2026_Niva-Dhigali-Dive-English.pdf</t>
  </si>
  <si>
    <t xml:space="preserve">https://www.nivadhigali.com/wp-content/uploads/2026/06/Niva-Dhigali-Dive-English.pdf</t>
  </si>
  <si>
    <t xml:space="preserve">faa7056ef3aa6259a462271aa9256f06c0d6711b6c72e7ab8a21009aa274bbc6</t>
  </si>
  <si>
    <t xml:space="preserve">library/033_dhigali-maldives/dive_prices/2026_Niva-Dhigali-Dive-English.pdf</t>
  </si>
  <si>
    <t xml:space="preserve">2026_Plastic-Recycling-Workshop.pdf</t>
  </si>
  <si>
    <t xml:space="preserve">https://www.nivadhigali.com/wp-content/uploads/2026/08/Plastic-Recycling-Workshop.pdf</t>
  </si>
  <si>
    <t xml:space="preserve">febac0c6cf5f7db859e6e16fa275e86c4dfe435f414df36a21066af69f13d4c5</t>
  </si>
  <si>
    <t xml:space="preserve">library/033_dhigali-maldives/excursions/2026_Plastic-Recycling-Workshop.pdf</t>
  </si>
  <si>
    <t xml:space="preserve">2026_Kids-Club-Program_Rev2May26.pdf</t>
  </si>
  <si>
    <t xml:space="preserve">https://www.nivadhigali.com/wp-content/uploads/2026/06/Kids-Club-Program_Rev2May26.pdf</t>
  </si>
  <si>
    <t xml:space="preserve">https://www.nivadhigali.com/wp-content/uploads/2026/06/Kids-Club-Program_Rev2May26.pdf | https://www.nivadhigali.com/wp-content/uploads/2026/01/Kids-Club-Program_Rev2May26.pdf</t>
  </si>
  <si>
    <t xml:space="preserve">8b0b17e665db38cbbf5d999a9fd1aa1256746118b4497d4e16e359261293bfca</t>
  </si>
  <si>
    <t xml:space="preserve">library/033_dhigali-maldives/kids/2026_Kids-Club-Program_Rev2May26.pdf</t>
  </si>
  <si>
    <t xml:space="preserve">2026_Awaken-Glow_merged.pdf</t>
  </si>
  <si>
    <t xml:space="preserve">https://www.nivadhigali.com/wp-content/uploads/2026/09/Awaken-Glow_merged.pdf</t>
  </si>
  <si>
    <t xml:space="preserve">254020f7547c2fcae2ab498951f911032f1f7fd940c7e63e950782c5d91b2468</t>
  </si>
  <si>
    <t xml:space="preserve">library/033_dhigali-maldives/all_inclusive/2026_Awaken-Glow_merged.pdf</t>
  </si>
  <si>
    <t xml:space="preserve">2026_Awaken-Glow.pdf</t>
  </si>
  <si>
    <t xml:space="preserve">https://www.nivadhigali.com/wp-content/uploads/2026/09/Awaken-Glow.pdf</t>
  </si>
  <si>
    <t xml:space="preserve">f14c7c6ed2e66afb3e878dc99b81eede9e93333b79e40cbc80b85e13faa2e7b3</t>
  </si>
  <si>
    <t xml:space="preserve">library/033_dhigali-maldives/all_inclusive/2026_Awaken-Glow.pdf</t>
  </si>
  <si>
    <t xml:space="preserve">2026_Giant-Chess-Tournament.pdf</t>
  </si>
  <si>
    <t xml:space="preserve">https://www.nivadhigali.com/wp-content/uploads/2026/07/Giant-Chess-Tournament.pdf</t>
  </si>
  <si>
    <t xml:space="preserve">7b23a07986152126aeaa906b009b44935c95bb6ab2a34ab8d96494160c5ab4e5</t>
  </si>
  <si>
    <t xml:space="preserve">library/033_dhigali-maldives/all_inclusive/2026_Giant-Chess-Tournament.pdf</t>
  </si>
  <si>
    <t xml:space="preserve">2026_June-Special-Offer-LR.pdf</t>
  </si>
  <si>
    <t xml:space="preserve">https://www.nivadhigali.com/wp-content/uploads/2026/06/June-Special-Offer-LR.pdf</t>
  </si>
  <si>
    <t xml:space="preserve">ee08ba436b293c87d3797ff9e45de5bffec98311bcf52de0bb21117f62a38245</t>
  </si>
  <si>
    <t xml:space="preserve">library/033_dhigali-maldives/all_inclusive/2026_June-Special-Offer-LR.pdf</t>
  </si>
  <si>
    <t xml:space="preserve">2020_DHIGALI_PERSONAL_DATA_PROTECTION_POLICY-unlocked.pdf</t>
  </si>
  <si>
    <t xml:space="preserve">https://www.nivadhigali.com/wp-content/uploads/2026/01/DHIGALI_PERSONAL_DATA_PROTECTION_POLICY-unlocked.pdf</t>
  </si>
  <si>
    <t xml:space="preserve">b21a694dc66693f9bc15193c6a9ace36529a51285738fd68a101edc25232a4eb</t>
  </si>
  <si>
    <t xml:space="preserve">library/033_dhigali-maldives/all_inclusive/2020_DHIGALI_PERSONAL_DATA_PROTECTION_POLICY-unlocked.pdf</t>
  </si>
  <si>
    <t xml:space="preserve">2026_Dhigali-Waste-Management-Policy.pdf</t>
  </si>
  <si>
    <t xml:space="preserve">https://www.nivadhigali.com/wp-content/uploads/2026/07/Dhigali-Waste-Management-Policy.pdf</t>
  </si>
  <si>
    <t xml:space="preserve">fe55f2943692c799a8b4223a92c91cb06eee95101be15598e340249c338abfdd</t>
  </si>
  <si>
    <t xml:space="preserve">library/033_dhigali-maldives/sustainability/2026_Dhigali-Waste-Management-Policy.pdf</t>
  </si>
  <si>
    <t xml:space="preserve">2026_Dhigali-Environement-Policy.pdf</t>
  </si>
  <si>
    <t xml:space="preserve">https://www.nivadhigali.com/wp-content/uploads/2026/07/Dhigali-Environement-Policy.pdf</t>
  </si>
  <si>
    <t xml:space="preserve">205b7651684185e8bd7cdf7226ba5e79c8e1bfe0006bf37c056ea33c316bf1fc</t>
  </si>
  <si>
    <t xml:space="preserve">library/033_dhigali-maldives/sustainability/2026_Dhigali-Environement-Policy.pdf</t>
  </si>
  <si>
    <t xml:space="preserve">2026_Dhigali-Pollution-Management-Policy-1.pdf</t>
  </si>
  <si>
    <t xml:space="preserve">https://www.nivadhigali.com/wp-content/uploads/2026/07/Dhigali-Pollution-Management-Policy-1.pdf</t>
  </si>
  <si>
    <t xml:space="preserve">https://www.nivadhigali.com/wp-content/uploads/2026/07/Dhigali-Pollution-Management-Policy-1.pdf | https://www.nivadhigali.com/wp-content/uploads/2026/07/Dhigali-Pollution-Management-Policy.pdf</t>
  </si>
  <si>
    <t xml:space="preserve">eeac072cfcd195b845eef9013d759134818793a219a4d32a305ae7c4060a458a</t>
  </si>
  <si>
    <t xml:space="preserve">library/033_dhigali-maldives/sustainability/2026_Dhigali-Pollution-Management-Policy-1.pdf</t>
  </si>
  <si>
    <t xml:space="preserve">2026_Niva-Dhigali-Sunscreen-Recommendation.pdf</t>
  </si>
  <si>
    <t xml:space="preserve">https://www.nivadhigali.com/wp-content/uploads/2026/07/Niva-Dhigali-Sunscreen-Recommendation.pdf</t>
  </si>
  <si>
    <t xml:space="preserve">294fcb786df757cd3f0daa05a387e647d6d27d0e97502e818e2bada6feec61af</t>
  </si>
  <si>
    <t xml:space="preserve">library/033_dhigali-maldives/sustainability/2026_Niva-Dhigali-Sunscreen-Recommendation.pdf</t>
  </si>
  <si>
    <t xml:space="preserve">2026_Niva-Dhigali-Responsible-Guest-Guide.pdf</t>
  </si>
  <si>
    <t xml:space="preserve">https://www.nivadhigali.com/wp-content/uploads/2026/07/Niva-Dhigali-Responsible-Guest-Guide.pdf</t>
  </si>
  <si>
    <t xml:space="preserve">d6d6e1b775e7c6211a1a6d9df3daa66802f7a90e5681765ff463d822c109c15e</t>
  </si>
  <si>
    <t xml:space="preserve">library/033_dhigali-maldives/sustainability/2026_Niva-Dhigali-Responsible-Guest-Guide.pdf</t>
  </si>
  <si>
    <t xml:space="preserve">2026_Dhigali-Sustainability-Management-Policy.pdf</t>
  </si>
  <si>
    <t xml:space="preserve">https://www.nivadhigali.com/wp-content/uploads/2026/07/Dhigali-Sustainability-Management-Policy.pdf</t>
  </si>
  <si>
    <t xml:space="preserve">6889138f6da1d7bd3c3abf79ccf5d15ffd3ab2c4e6a5d5e5e6efbb1ff2001a4b</t>
  </si>
  <si>
    <t xml:space="preserve">library/033_dhigali-maldives/sustainability/2026_Dhigali-Sustainability-Management-Policy.pdf</t>
  </si>
  <si>
    <t xml:space="preserve">2026_Dhigali-Green-Team-Policy.pdf</t>
  </si>
  <si>
    <t xml:space="preserve">https://www.nivadhigali.com/wp-content/uploads/2026/07/Dhigali-Green-Team-Policy.pdf</t>
  </si>
  <si>
    <t xml:space="preserve">6f795e2a7893e7c40568582d49ca9db25ff8a108fd5a8947a30b5916f1029a51</t>
  </si>
  <si>
    <t xml:space="preserve">library/033_dhigali-maldives/sustainability/2026_Dhigali-Green-Team-Policy.pdf</t>
  </si>
  <si>
    <t xml:space="preserve">2026_Biodiversity-Policy.pdf</t>
  </si>
  <si>
    <t xml:space="preserve">https://www.nivadhigali.com/wp-content/uploads/2026/07/Biodiversity-Policy.pdf</t>
  </si>
  <si>
    <t xml:space="preserve">7bc27afcfeeafeed351df5b8f45fe4e4cb69563a8579b70b82d56e6aa2a63ddc</t>
  </si>
  <si>
    <t xml:space="preserve">library/033_dhigali-maldives/sustainability/2026_Biodiversity-Policy.pdf</t>
  </si>
  <si>
    <t xml:space="preserve">2026_Christmas-Cake-Mixing.pdf</t>
  </si>
  <si>
    <t xml:space="preserve">https://www.nivadhigali.com/wp-content/uploads/2026/09/Christmas-Cake-Mixing.pdf</t>
  </si>
  <si>
    <t xml:space="preserve">78b773437010a364f3fabed3d81babb9265190930eaae86be36c38befe5c419b</t>
  </si>
  <si>
    <t xml:space="preserve">library/033_dhigali-maldives/calendar/2026_Christmas-Cake-Mixing.pdf</t>
  </si>
  <si>
    <t xml:space="preserve">2026_Niva-Dhigali_Festive-2026_web-1.pdf</t>
  </si>
  <si>
    <t xml:space="preserve">https://www.nivadhigali.com/wp-content/uploads/2026/05/Niva-Dhigali_Festive-2026_web-1.pdf</t>
  </si>
  <si>
    <t xml:space="preserve">https://www.nivadhigali.com/wp-content/uploads/2026/05/Niva-Dhigali_Festive-2026_web-1.pdf | https://www.nivadhigali.com/wp-content/uploads/2026/05/Niva-Dhigali_Festive-2026_web.pdf</t>
  </si>
  <si>
    <t xml:space="preserve">f2674b9b5c1bff3b07e79c584f645fd63a18acf96b0f07e8da3c605452f7dc5a</t>
  </si>
  <si>
    <t xml:space="preserve">library/033_dhigali-maldives/calendar/2026_Niva-Dhigali_Festive-2026_web-1.pdf</t>
  </si>
  <si>
    <t xml:space="preserve">2026_Niva-Dhigali_Festive-2026.pdf</t>
  </si>
  <si>
    <t xml:space="preserve">https://www.nivadhigali.com/wp-content/uploads/2026/05/Niva-Dhigali_Festive-2026.pdf</t>
  </si>
  <si>
    <t xml:space="preserve">195f2e3977da34bc7615d31a5fd3353a738453ca4864801e1b0a76225ff2e02b</t>
  </si>
  <si>
    <t xml:space="preserve">library/033_dhigali-maldives/calendar/2026_Niva-Dhigali_Festive-2026.pdf</t>
  </si>
  <si>
    <t xml:space="preserve">2026_Maldives-Independence-Day.pdf</t>
  </si>
  <si>
    <t xml:space="preserve">https://www.nivadhigali.com/wp-content/uploads/2026/07/Maldives-Independence-Day.pdf</t>
  </si>
  <si>
    <t xml:space="preserve">842c8fcfa3a86ed9a95fd2f058e5c5ce6cbe91f0671da9da3d87f5ddf95182ae</t>
  </si>
  <si>
    <t xml:space="preserve">library/033_dhigali-maldives/other/2026_Maldives-Independence-Day.pdf</t>
  </si>
  <si>
    <t xml:space="preserve">https://www.adaaran.com/selectmeedhupparu/view-download/?id=asm-factsheet</t>
  </si>
  <si>
    <t xml:space="preserve">7a4fb3ef3d8d44fd15ee9bb2889f34b1c79e356dd9dc7115b2d3c570f2e889aa</t>
  </si>
  <si>
    <t xml:space="preserve">library/034_adaaran-select-meedhupparu/factsheet/2026_document.pdf</t>
  </si>
  <si>
    <t xml:space="preserve">https://www.adaaran.com/selectmeedhupparu/view-download/?id=ASMW</t>
  </si>
  <si>
    <t xml:space="preserve">befdca09a1092f8d2341dffd19e1cc9f080dd0e9ecec7e759b3210c802b82449</t>
  </si>
  <si>
    <t xml:space="preserve">library/034_adaaran-select-meedhupparu/wedding/2026_document.pdf</t>
  </si>
  <si>
    <t xml:space="preserve">https://www.adaaran.com/selectmeedhupparu/view-download/?id=asm-spa-menu</t>
  </si>
  <si>
    <t xml:space="preserve">23d0b413d0426099808e8a9450adfc51f427310c973bea4b14c272dfd0d31442</t>
  </si>
  <si>
    <t xml:space="preserve">library/034_adaaran-select-meedhupparu/dining_menu/2025_document.pdf</t>
  </si>
  <si>
    <t xml:space="preserve">https://www.adaaran.com/selectmeedhupparu/view-download/?id=asm-watersport</t>
  </si>
  <si>
    <t xml:space="preserve">c375430b29ebefc70671ca8daac20c7d1f3beaee22bc35e25b5ba49c2b7c3a9c</t>
  </si>
  <si>
    <t xml:space="preserve">library/034_adaaran-select-meedhupparu/dive_prices/2026_document.pdf</t>
  </si>
  <si>
    <t xml:space="preserve">2025_dive-point-price-list.pdf</t>
  </si>
  <si>
    <t xml:space="preserve">https://adaaran.eme-devops.com/sites/5/2025/08/dive-point-price-list.pdf</t>
  </si>
  <si>
    <t xml:space="preserve">https://adaaran.eme-devops.com/sites/5/2025/08/dive-point-price-list.pdf | https://www.adaaran.com/selectmeedhupparu/view-download/?id=spot-dive-price</t>
  </si>
  <si>
    <t xml:space="preserve">cc91816ea1115380a37f929a62b23406d383b5377d2c37d9f52cab51359d3a14</t>
  </si>
  <si>
    <t xml:space="preserve">library/034_adaaran-select-meedhupparu/dive_prices/2025_dive-point-price-list.pdf</t>
  </si>
  <si>
    <t xml:space="preserve">https://www.adaaran.com/selectmeedhupparu/view-download/?id=asm-premium-all</t>
  </si>
  <si>
    <t xml:space="preserve">b3f2a56cd3f56d879392add7d8690681f844974c4551f278c2a169d33f7db36b</t>
  </si>
  <si>
    <t xml:space="preserve">library/034_adaaran-select-meedhupparu/excursions/2026_document.pdf</t>
  </si>
  <si>
    <t xml:space="preserve">https://www.adaaran.com/selectmeedhupparu/view-download/?id=kid-act-plan</t>
  </si>
  <si>
    <t xml:space="preserve">67779f1b846dc301608a2f18cb5d87816408413076f9031f40052c8b86fb5d07</t>
  </si>
  <si>
    <t xml:space="preserve">library/034_adaaran-select-meedhupparu/kids/2025_document.pdf</t>
  </si>
  <si>
    <t xml:space="preserve">2025_Sustainabilty-Report-ASM-2025-26-compressed.pdf</t>
  </si>
  <si>
    <t xml:space="preserve">https://adaaran.eme-devops.com/2026/05/Sustainabilty-Report-ASM-2025-26-compressed.pdf</t>
  </si>
  <si>
    <t xml:space="preserve">6b3907d79837723d7b58333fbda16c186296fa8802208f39ffa378ad10ebdbb6</t>
  </si>
  <si>
    <t xml:space="preserve">library/034_adaaran-select-meedhupparu/sustainability/2025_Sustainabilty-Report-ASM-2025-26-compressed.pdf</t>
  </si>
  <si>
    <t xml:space="preserve">2024_2024-25-Adaaran-Select-Meedhupparu-Sustainability-Report-2024-25.pdf</t>
  </si>
  <si>
    <t xml:space="preserve">https://adaaran.eme-devops.com/2025/08/2024-25-Adaaran-Select-Meedhupparu-Sustainability-Report-2024-25.pdf</t>
  </si>
  <si>
    <t xml:space="preserve">45cc90e49dcac418986e36b772c8abea0554537404edcfec9b91cd7ae066ac21</t>
  </si>
  <si>
    <t xml:space="preserve">library/034_adaaran-select-meedhupparu/sustainability/2024_2024-25-Adaaran-Select-Meedhupparu-Sustainability-Report-2024-25.pdf</t>
  </si>
  <si>
    <t xml:space="preserve">2023_Adaaran-Select-Meedhupparu-Sustainability-Report-2023-24.pdf</t>
  </si>
  <si>
    <t xml:space="preserve">https://adaaran.eme-devops.com/2025/08/Adaaran-Select-Meedhupparu-Sustainability-Report-2023-24.pdf</t>
  </si>
  <si>
    <t xml:space="preserve">63f67c08439a61af521e4d32244ac493a9c99019c4ee4fb31799b08c195af488</t>
  </si>
  <si>
    <t xml:space="preserve">library/034_adaaran-select-meedhupparu/sustainability/2023_Adaaran-Select-Meedhupparu-Sustainability-Report-2023-24.pdf</t>
  </si>
  <si>
    <t xml:space="preserve">2022_Adaaran-Select-Meedhupparu-Sustainability-Report-2022-23.pdf</t>
  </si>
  <si>
    <t xml:space="preserve">https://adaaran.eme-devops.com/2025/08/Adaaran-Select-Meedhupparu-Sustainability-Report-2022-23.pdf</t>
  </si>
  <si>
    <t xml:space="preserve">fed83de8c673acc9a6aaf9bf98b4201ce561bb277f8dedfe103adf1c3ba6e3eb</t>
  </si>
  <si>
    <t xml:space="preserve">library/034_adaaran-select-meedhupparu/sustainability/2022_Adaaran-Select-Meedhupparu-Sustainability-Report-2022-23.pdf</t>
  </si>
  <si>
    <t xml:space="preserve">2021_Adaaran-Select-Meedhupparu-Sustainability-Report-2021-22.pdf</t>
  </si>
  <si>
    <t xml:space="preserve">https://adaaran.eme-devops.com/2025/08/Adaaran-Select-Meedhupparu-Sustainability-Report-2021-22.pdf</t>
  </si>
  <si>
    <t xml:space="preserve">33b5432724621e74c3ce07215dc14ca93e1f76bbd6da90b6e87ffe630dc7721c</t>
  </si>
  <si>
    <t xml:space="preserve">library/034_adaaran-select-meedhupparu/sustainability/2021_Adaaran-Select-Meedhupparu-Sustainability-Report-2021-22.pdf</t>
  </si>
  <si>
    <t xml:space="preserve">2021_Adaaran-Select-Meedhupparu-Sustainability-Report-_-2019-2020-2021.pdf</t>
  </si>
  <si>
    <t xml:space="preserve">https://adaaran.eme-devops.com/2025/08/Adaaran-Select-Meedhupparu-Sustainability-Report-%E2%80%93-2019-2020-2021.pdf</t>
  </si>
  <si>
    <t xml:space="preserve">40c51d0b2955bffa72d2229baa9ae55beba209dc66ad471f578a068a8d0721b3</t>
  </si>
  <si>
    <t xml:space="preserve">library/034_adaaran-select-meedhupparu/sustainability/2021_Adaaran-Select-Meedhupparu-Sustainability-Report-_-2019-2020-2021.pdf</t>
  </si>
  <si>
    <t xml:space="preserve">2026_Heritance-Aarah-Fact-Sheet.pdf</t>
  </si>
  <si>
    <t xml:space="preserve">heritancehotels.com</t>
  </si>
  <si>
    <t xml:space="preserve">https://heritancehotels.eme-devops.com/sites/2/2026/09/Heritance-Aarah-Fact-Sheet.pdf</t>
  </si>
  <si>
    <t xml:space="preserve">b3b7ea310901423b6aa69bbc0d1cf522da7e1802b7b4d3bb048406a8c59a07f5</t>
  </si>
  <si>
    <t xml:space="preserve">library/035_heritance-aarah/factsheet/2026_Heritance-Aarah-Fact-Sheet.pdf</t>
  </si>
  <si>
    <t xml:space="preserve">2025_aarah-fact-sheet-2025-new.pdf</t>
  </si>
  <si>
    <t xml:space="preserve">https://heritancehotels.eme-devops.com/2025/08/aarah-fact-sheet-2025-new.pdf</t>
  </si>
  <si>
    <t xml:space="preserve">af642d9fc0b830a2c8bfe10488db5b0e5cc4e1461f7e6d03897e3e28dffb7c3c</t>
  </si>
  <si>
    <t xml:space="preserve">library/035_heritance-aarah/factsheet/2025_aarah-fact-sheet-2025-new.pdf</t>
  </si>
  <si>
    <t xml:space="preserve">2023_HAR-FO-FACT-SHEET-7.pdf</t>
  </si>
  <si>
    <t xml:space="preserve">https://heritancehotels.eme-devops.com/2025/02/HAR-FO-FACT-SHEET-7.pdf</t>
  </si>
  <si>
    <t xml:space="preserve">c82fb0f5e0e4b3d20ad11cbf707d446b91414c5a95bd6ee0e4db1903d1a010fe</t>
  </si>
  <si>
    <t xml:space="preserve">library/035_heritance-aarah/factsheet/2023_HAR-FO-FACT-SHEET-7.pdf</t>
  </si>
  <si>
    <t xml:space="preserve">2020_Heritance-Aarah-Fact-Sheet_Dec-V2.pdf</t>
  </si>
  <si>
    <t xml:space="preserve">https://www.neoscapesmaldives.com/wp-content/uploads/Heritance-Aarah-Fact-Sheet_Dec-V2.pdf</t>
  </si>
  <si>
    <t xml:space="preserve">6965adc3b09f579b553b32c86575f64d34744f44408a084d8fd16b581ee62a84</t>
  </si>
  <si>
    <t xml:space="preserve">library/035_heritance-aarah/factsheet/2020_Heritance-Aarah-Fact-Sheet_Dec-V2.pdf</t>
  </si>
  <si>
    <t xml:space="preserve">2020_RUSSIAN-RESORT-INFORMATION.pdf</t>
  </si>
  <si>
    <t xml:space="preserve">https://heritancehotels.eme-devops.com/2025/03/RUSSIAN-RESORT-INFORMATION.pdf</t>
  </si>
  <si>
    <t xml:space="preserve">9fde27a77cbe8e2bf5a14d3753738f9f3392cc19fba9ab916d93f9478dbdc0f8</t>
  </si>
  <si>
    <t xml:space="preserve">library/035_heritance-aarah/factsheet/2020_RUSSIAN-RESORT-INFORMATION.pdf</t>
  </si>
  <si>
    <t xml:space="preserve">2020_ENGLISH-RESORT-INFORMATION-1.pdf</t>
  </si>
  <si>
    <t xml:space="preserve">https://heritancehotels.eme-devops.com/2025/03/ENGLISH-RESORT-INFORMATION-1.pdf</t>
  </si>
  <si>
    <t xml:space="preserve">ac1e3292022a25f0bdc7d7e265bfdbefd3d5df5324a38ab03d0d0d5b1ee1cdc5</t>
  </si>
  <si>
    <t xml:space="preserve">library/035_heritance-aarah/factsheet/2020_ENGLISH-RESORT-INFORMATION-1.pdf</t>
  </si>
  <si>
    <t xml:space="preserve">2020_GERMAN-RESORT-INFORMATION-1.pdf</t>
  </si>
  <si>
    <t xml:space="preserve">https://heritancehotels.eme-devops.com/2025/03/GERMAN-RESORT-INFORMATION-1.pdf</t>
  </si>
  <si>
    <t xml:space="preserve">08808bedf385f38899ae5a9e43e4f1d26363d16a67916a0a4b28709c394dce2e</t>
  </si>
  <si>
    <t xml:space="preserve">library/035_heritance-aarah/factsheet/2020_GERMAN-RESORT-INFORMATION-1.pdf</t>
  </si>
  <si>
    <t xml:space="preserve">2020_FRENCH-RESORT-INFORMATION.pdf</t>
  </si>
  <si>
    <t xml:space="preserve">https://heritancehotels.eme-devops.com/2025/03/FRENCH-RESORT-INFORMATION.pdf</t>
  </si>
  <si>
    <t xml:space="preserve">6d00850cbd39d75cd1596152628a7ae41bce010e2d54c119ad4dae0d260cd281</t>
  </si>
  <si>
    <t xml:space="preserve">library/035_heritance-aarah/factsheet/2020_FRENCH-RESORT-INFORMATION.pdf</t>
  </si>
  <si>
    <t xml:space="preserve">2020_ITALIAN-RESORT-INFORMATION.pdf</t>
  </si>
  <si>
    <t xml:space="preserve">https://heritancehotels.eme-devops.com/2025/03/ITALIAN-RESORT-INFORMATION.pdf</t>
  </si>
  <si>
    <t xml:space="preserve">c949d487869b0af967b5be29582df9b49d3e1789da01f6c4eb0bcbafb440f712</t>
  </si>
  <si>
    <t xml:space="preserve">library/035_heritance-aarah/factsheet/2020_ITALIAN-RESORT-INFORMATION.pdf</t>
  </si>
  <si>
    <t xml:space="preserve">2026_Wedding-Page-IND.pdf</t>
  </si>
  <si>
    <t xml:space="preserve">https://heritancehotels.eme-devops.com/2026/09/Wedding-Page-IND.pdf</t>
  </si>
  <si>
    <t xml:space="preserve">3c991e101bd8eb4ed46cb3d70fd98a5a65c974e059e4c83eedb14f13653fa43d</t>
  </si>
  <si>
    <t xml:space="preserve">library/035_heritance-aarah/wedding/2026_Wedding-Page-IND.pdf</t>
  </si>
  <si>
    <t xml:space="preserve">2026_Heritance-Aarah-Wedding-Document.pdf</t>
  </si>
  <si>
    <t xml:space="preserve">https://heritancehotels.eme-devops.com/2026/09/Heritance-Aarah-Wedding-Document.pdf</t>
  </si>
  <si>
    <t xml:space="preserve">e1af527b17d5b0c02aea110246a6d165c86eec32d0d6a4b145ea302416811716</t>
  </si>
  <si>
    <t xml:space="preserve">library/035_heritance-aarah/wedding/2026_Heritance-Aarah-Wedding-Document.pdf</t>
  </si>
  <si>
    <t xml:space="preserve">2025_Heritance-Aarah-Wedding-Package.pdf</t>
  </si>
  <si>
    <t xml:space="preserve">https://heritancehotels.eme-devops.com/sites/2/2025/12/Heritance-Aarah-Wedding-Package.pdf</t>
  </si>
  <si>
    <t xml:space="preserve">0ffcc57e42182480ea04387bc2482110b5cd4c0274fe7abd4b5694c4b96df592</t>
  </si>
  <si>
    <t xml:space="preserve">library/035_heritance-aarah/wedding/2025_Heritance-Aarah-Wedding-Package.pdf</t>
  </si>
  <si>
    <t xml:space="preserve">2024_Aarah-Wedding-Packages-22.10.2024.pdf</t>
  </si>
  <si>
    <t xml:space="preserve">https://heritancehotels.eme-devops.com/2025/02/Aarah-Wedding-Packages-22.10.2024.pdf</t>
  </si>
  <si>
    <t xml:space="preserve">73cfd87b6e487016bc792910c2dcc81db3c9a57767bbffc6ba9def357303e4de</t>
  </si>
  <si>
    <t xml:space="preserve">library/035_heritance-aarah/wedding/2024_Aarah-Wedding-Packages-22.10.2024.pdf</t>
  </si>
  <si>
    <t xml:space="preserve">2020_Heritance-Aarah-Resort-map.pdf</t>
  </si>
  <si>
    <t xml:space="preserve">https://www.neoscapesmaldives.com/wp-content/uploads/Heritance-Aarah-Resort-map.pdf</t>
  </si>
  <si>
    <t xml:space="preserve">2f359de71c2ba859d96b36f11d0488b21ea1486131a93313c267bf76c1b0dde0</t>
  </si>
  <si>
    <t xml:space="preserve">library/035_heritance-aarah/map/2020_Heritance-Aarah-Resort-map.pdf</t>
  </si>
  <si>
    <t xml:space="preserve">2025_Wellness-Activities-IASO-Spa.pdf</t>
  </si>
  <si>
    <t xml:space="preserve">https://heritancehotels.eme-devops.com/sites/2/2025/09/Wellness-Activities-IASO-Spa.pdf</t>
  </si>
  <si>
    <t xml:space="preserve">709605ae0c7aa93300462294a0ceb5157840bffaee1b4454c3657b1038e7c96f</t>
  </si>
  <si>
    <t xml:space="preserve">library/035_heritance-aarah/spa_menu/2025_Wellness-Activities-IASO-Spa.pdf</t>
  </si>
  <si>
    <t xml:space="preserve">ambiguous match [35]</t>
  </si>
  <si>
    <t xml:space="preserve">2025_IASO-Spa-Promotions.pdf</t>
  </si>
  <si>
    <t xml:space="preserve">https://heritancehotels.eme-devops.com/sites/2/2025/09/IASO-Spa-Promotions.pdf</t>
  </si>
  <si>
    <t xml:space="preserve">13b183ad1e49da97f42373b17f83bd54a4dd48867f71a10f6deb2297938e39b8</t>
  </si>
  <si>
    <t xml:space="preserve">library/035_heritance-aarah/spa_menu/2025_IASO-Spa-Promotions.pdf</t>
  </si>
  <si>
    <t xml:space="preserve">2022_Aarah-IASO-Medi-Spa-Price-List.pdf</t>
  </si>
  <si>
    <t xml:space="preserve">https://heritancehotels.eme-devops.com/2025/03/Aarah-IASO-Medi-Spa-Price-List.pdf</t>
  </si>
  <si>
    <t xml:space="preserve">74a65c77a0a94cf848475394e916b58cfabab80f17da2e49c79a52ba0bf6a0a4</t>
  </si>
  <si>
    <t xml:space="preserve">library/035_heritance-aarah/spa_menu/2022_Aarah-IASO-Medi-Spa-Price-List.pdf</t>
  </si>
  <si>
    <t xml:space="preserve">2022_Heritance-Ayurveda-Maha-Gedara-Sustainability-Report-2021-2022.pdf</t>
  </si>
  <si>
    <t xml:space="preserve">https://heritancehotels.eme-devops.com/2025/01/Heritance-Ayurveda-Maha-Gedara-Sustainability-Report-2021-2022.pdf</t>
  </si>
  <si>
    <t xml:space="preserve">010f2e475466f6365427cee4231937c2462f4fb6ebaf7bc70abcc6031e5115da</t>
  </si>
  <si>
    <t xml:space="preserve">library/035_heritance-aarah/spa_menu/2022_Heritance-Ayurveda-Maha-Gedara-Sustainability-Report-2021-2022.pdf</t>
  </si>
  <si>
    <t xml:space="preserve">2026_Sky-Bar-Nibbles-Menu-Russian.pdf</t>
  </si>
  <si>
    <t xml:space="preserve">https://heritancehotels.eme-devops.com/2026/10/Sky-Bar-Nibbles-Menu-Russian.pdf</t>
  </si>
  <si>
    <t xml:space="preserve">04bd705ef68fcecb07d1d4e0be61dc0baab358ca28360e440a3500a2b481b69d</t>
  </si>
  <si>
    <t xml:space="preserve">library/035_heritance-aarah/dining_menu/2026_Sky-Bar-Nibbles-Menu-Russian.pdf</t>
  </si>
  <si>
    <t xml:space="preserve">2026_Sky-Bar-Nibbles-Menu-Simplified-Chinese.pdf</t>
  </si>
  <si>
    <t xml:space="preserve">https://heritancehotels.eme-devops.com/2026/10/Sky-Bar-Nibbles-Menu-Simplified-Chinese.pdf</t>
  </si>
  <si>
    <t xml:space="preserve">3c941bddbce6b5f34ea454920c283a8a54c97ddb17b7f55e12dde827a570f1c0</t>
  </si>
  <si>
    <t xml:space="preserve">library/035_heritance-aarah/dining_menu/2026_Sky-Bar-Nibbles-Menu-Simplified-Chinese.pdf</t>
  </si>
  <si>
    <t xml:space="preserve">2026_Ralu-Afternoon-Menu-Russian-1.pdf</t>
  </si>
  <si>
    <t xml:space="preserve">https://heritancehotels.eme-devops.com/2026/10/Ralu-Afternoon-Menu-Russian-1.pdf</t>
  </si>
  <si>
    <t xml:space="preserve">https://heritancehotels.eme-devops.com/2026/10/Ralu-Afternoon-Menu-Russian-1.pdf | https://heritancehotels.eme-devops.com/2026/10/Ralu-Afternoon-Menu-Russian.pdf</t>
  </si>
  <si>
    <t xml:space="preserve">cd0641823c9c5524153620a231e4117ef6669cfbd671620c8ea6134a842e3d03</t>
  </si>
  <si>
    <t xml:space="preserve">library/035_heritance-aarah/dining_menu/2026_Ralu-Afternoon-Menu-Russian-1.pdf</t>
  </si>
  <si>
    <t xml:space="preserve">2026_Ralu-Ala-Carte-Russian-1.pdf</t>
  </si>
  <si>
    <t xml:space="preserve">https://heritancehotels.eme-devops.com/2026/10/Ralu-Ala-Carte-Russian-1.pdf</t>
  </si>
  <si>
    <t xml:space="preserve">https://heritancehotels.eme-devops.com/2026/10/Ralu-Ala-Carte-Russian-1.pdf | https://heritancehotels.eme-devops.com/2026/10/Ralu-Ala-Carte-Russian.pdf</t>
  </si>
  <si>
    <t xml:space="preserve">6054e7de3d31a00cdc1f1249f0204522393b4bde30bc19b80ffef2f62d78eba2</t>
  </si>
  <si>
    <t xml:space="preserve">library/035_heritance-aarah/dining_menu/2026_Ralu-Ala-Carte-Russian-1.pdf</t>
  </si>
  <si>
    <t xml:space="preserve">2026_Ralu-Vegetarian-Menu-Russian-1.pdf</t>
  </si>
  <si>
    <t xml:space="preserve">https://heritancehotels.eme-devops.com/2026/10/Ralu-Vegetarian-Menu-Russian-1.pdf</t>
  </si>
  <si>
    <t xml:space="preserve">https://heritancehotels.eme-devops.com/2026/10/Ralu-Vegetarian-Menu-Russian-1.pdf | https://heritancehotels.eme-devops.com/2026/10/Ralu-Vegetarian-Menu-Russian.pdf</t>
  </si>
  <si>
    <t xml:space="preserve">92af16f5b4202a0c4bd2aad6cd1f58f10dd23087d9f52de848481e09c3f7ff18</t>
  </si>
  <si>
    <t xml:space="preserve">library/035_heritance-aarah/dining_menu/2026_Ralu-Vegetarian-Menu-Russian-1.pdf</t>
  </si>
  <si>
    <t xml:space="preserve">2026_Ralu-A-la-carte-Editable-Simplified-Chinese-1.pdf</t>
  </si>
  <si>
    <t xml:space="preserve">https://heritancehotels.eme-devops.com/2026/10/Ralu-A-la-carte-Editable-Simplified-Chinese-1.pdf</t>
  </si>
  <si>
    <t xml:space="preserve">https://heritancehotels.eme-devops.com/2026/10/Ralu-A-la-carte-Editable-Simplified-Chinese-1.pdf | https://heritancehotels.eme-devops.com/2026/10/Ralu-A-la-carte-Editable-Simplified-Chinese.pdf</t>
  </si>
  <si>
    <t xml:space="preserve">42972821995e605f732d9f7d24483c67b170a5ecf605e9c36c81ff8b341e2209</t>
  </si>
  <si>
    <t xml:space="preserve">library/035_heritance-aarah/dining_menu/2026_Ralu-A-la-carte-Editable-Simplified-Chinese-1.pdf</t>
  </si>
  <si>
    <t xml:space="preserve">2026_Ralu-A-la-carte-Vegetarian-Menu-Simplified-Chinese-1.pdf</t>
  </si>
  <si>
    <t xml:space="preserve">https://heritancehotels.eme-devops.com/2026/10/Ralu-A-la-carte-Vegetarian-Menu-Simplified-Chinese-1.pdf</t>
  </si>
  <si>
    <t xml:space="preserve">https://heritancehotels.eme-devops.com/2026/10/Ralu-A-la-carte-Vegetarian-Menu-Simplified-Chinese-1.pdf | https://heritancehotels.eme-devops.com/2026/10/Ralu-A-la-carte-Vegetarian-Menu-Simplified-Chinese.pdf</t>
  </si>
  <si>
    <t xml:space="preserve">ee076a75faeab25decbcf30a39969b9cbde4c05efc1d6c45fcf96a68f4159db5</t>
  </si>
  <si>
    <t xml:space="preserve">library/035_heritance-aarah/dining_menu/2026_Ralu-A-la-carte-Vegetarian-Menu-Simplified-Chinese-1.pdf</t>
  </si>
  <si>
    <t xml:space="preserve">2026_Ralu-Afternoon-Menu-Simplified-Chinese-1.pdf</t>
  </si>
  <si>
    <t xml:space="preserve">https://heritancehotels.eme-devops.com/2026/10/Ralu-Afternoon-Menu-Simplified-Chinese-1.pdf</t>
  </si>
  <si>
    <t xml:space="preserve">https://heritancehotels.eme-devops.com/2026/10/Ralu-Afternoon-Menu-Simplified-Chinese-1.pdf | https://heritancehotels.eme-devops.com/2026/10/Ralu-Afternoon-Menu-Simplified-Chinese.pdf</t>
  </si>
  <si>
    <t xml:space="preserve">2d3b224ee3f11981570d2fbf5f14acdfbcb79a75888e46efbcdf1d3cf689b198</t>
  </si>
  <si>
    <t xml:space="preserve">library/035_heritance-aarah/dining_menu/2026_Ralu-Afternoon-Menu-Simplified-Chinese-1.pdf</t>
  </si>
  <si>
    <t xml:space="preserve">2026_Bandhi-Pizza-Snack-Menu-Simplified-Chinese.pdf</t>
  </si>
  <si>
    <t xml:space="preserve">https://heritancehotels.eme-devops.com/2026/10/Bandhi-Pizza-Snack-Menu-Simplified-Chinese.pdf</t>
  </si>
  <si>
    <t xml:space="preserve">https://heritancehotels.eme-devops.com/2026/10/Bandhi-Pizza-Snack-Menu-Simplified-Chinese.pdf | https://heritancehotels.eme-devops.com/2026/09/Bandhi-Pizza-Snack-Menu-Simplified-Chinese.pdf</t>
  </si>
  <si>
    <t xml:space="preserve">0aba6a789d984e0f1024e6bd531f60eb9005c0f9977a62df0960cb5b4d271e98</t>
  </si>
  <si>
    <t xml:space="preserve">library/035_heritance-aarah/dining_menu/2026_Bandhi-Pizza-Snack-Menu-Simplified-Chinese.pdf</t>
  </si>
  <si>
    <t xml:space="preserve">2026_Ranba-Vegetarian-Menu-Russian.pdf</t>
  </si>
  <si>
    <t xml:space="preserve">https://heritancehotels.eme-devops.com/2026/10/Ranba-Vegetarian-Menu-Russian.pdf</t>
  </si>
  <si>
    <t xml:space="preserve">6028c9c13a8de4f0b9a8b2f74a87220c5095f195744b4569b7d3957e66842544</t>
  </si>
  <si>
    <t xml:space="preserve">library/035_heritance-aarah/dining_menu/2026_Ranba-Vegetarian-Menu-Russian.pdf</t>
  </si>
  <si>
    <t xml:space="preserve">2026_Ranba-A-la-carte-Lunch-Dinner-Simplified-Chinese.pdf</t>
  </si>
  <si>
    <t xml:space="preserve">https://heritancehotels.eme-devops.com/2026/10/Ranba-A-la-carte-Lunch-Dinner-Simplified-Chinese.pdf</t>
  </si>
  <si>
    <t xml:space="preserve">37c401e472f64ef800ceffbe6d26cb1ffcbaede4fd95c8bb91dc15e48c774080</t>
  </si>
  <si>
    <t xml:space="preserve">library/035_heritance-aarah/dining_menu/2026_Ranba-A-la-carte-Lunch-Dinner-Simplified-Chinese.pdf</t>
  </si>
  <si>
    <t xml:space="preserve">2026_Ambula-Set-Menu-Non-VegetarianRussian.pdf</t>
  </si>
  <si>
    <t xml:space="preserve">https://heritancehotels.eme-devops.com/2026/10/Ambula-Set-Menu-Non-VegetarianRussian.pdf</t>
  </si>
  <si>
    <t xml:space="preserve">49e0e5bdc74685152b99b98519f73cb416266de4c5c94966803b08ed61de4fc2</t>
  </si>
  <si>
    <t xml:space="preserve">library/035_heritance-aarah/dining_menu/2026_Ambula-Set-Menu-Non-VegetarianRussian.pdf</t>
  </si>
  <si>
    <t xml:space="preserve">2026_Ambula-Set-Menu-Vegetarian-Russian.pdf</t>
  </si>
  <si>
    <t xml:space="preserve">https://heritancehotels.eme-devops.com/2026/10/Ambula-Set-Menu-Vegetarian-Russian.pdf</t>
  </si>
  <si>
    <t xml:space="preserve">e7f1f178d6c75ced3bcd20d702c7b251e97483b57a7bb6543dd401f39026d483</t>
  </si>
  <si>
    <t xml:space="preserve">library/035_heritance-aarah/dining_menu/2026_Ambula-Set-Menu-Vegetarian-Russian.pdf</t>
  </si>
  <si>
    <t xml:space="preserve">2026_Ambula-Vegetarian-Menu-Simplified-Chinese.pdf</t>
  </si>
  <si>
    <t xml:space="preserve">https://heritancehotels.eme-devops.com/2026/10/Ambula-Vegetarian-Menu-Simplified-Chinese.pdf</t>
  </si>
  <si>
    <t xml:space="preserve">3b5a4f7808df6f3a0657e01a38974673228902394410f604667d8ee471e89b61</t>
  </si>
  <si>
    <t xml:space="preserve">library/035_heritance-aarah/dining_menu/2026_Ambula-Vegetarian-Menu-Simplified-Chinese.pdf</t>
  </si>
  <si>
    <t xml:space="preserve">2026_Baani-Ala-Carte-Lunch-Russian.pdf</t>
  </si>
  <si>
    <t xml:space="preserve">https://heritancehotels.eme-devops.com/2026/10/Baani-Ala-Carte-Lunch-Russian.pdf</t>
  </si>
  <si>
    <t xml:space="preserve">397694ba5d846861ddc90ea3f49159b75970144bb3cf86e1f08053767f7aaaa8</t>
  </si>
  <si>
    <t xml:space="preserve">library/035_heritance-aarah/dining_menu/2026_Baani-Ala-Carte-Lunch-Russian.pdf</t>
  </si>
  <si>
    <t xml:space="preserve">2026_Baani-Veg-Ala-Carte-Russian.pdf</t>
  </si>
  <si>
    <t xml:space="preserve">https://heritancehotels.eme-devops.com/2026/10/Baani-Veg-Ala-Carte-Russian.pdf</t>
  </si>
  <si>
    <t xml:space="preserve">49d02e320f6a893d3789fb60b88f6e60ceaae2962cb5c05b99931aa2f665d6c7</t>
  </si>
  <si>
    <t xml:space="preserve">library/035_heritance-aarah/dining_menu/2026_Baani-Veg-Ala-Carte-Russian.pdf</t>
  </si>
  <si>
    <t xml:space="preserve">2026_Baani-Lunch-A-la-carte-Menu-Simplified-Chinese.pdf</t>
  </si>
  <si>
    <t xml:space="preserve">https://heritancehotels.eme-devops.com/2026/10/Baani-Lunch-A-la-carte-Menu-Simplified-Chinese.pdf</t>
  </si>
  <si>
    <t xml:space="preserve">139fa03e4a0a2f4339775f2897ec33451226ab6bb6a55e2e2a687e49b79dbbe0</t>
  </si>
  <si>
    <t xml:space="preserve">library/035_heritance-aarah/dining_menu/2026_Baani-Lunch-A-la-carte-Menu-Simplified-Chinese.pdf</t>
  </si>
  <si>
    <t xml:space="preserve">2026_Baani-Veg-A-la-carte-Simplified-Chinese.pdf</t>
  </si>
  <si>
    <t xml:space="preserve">https://heritancehotels.eme-devops.com/2026/10/Baani-Veg-A-la-carte-Simplified-Chinese.pdf</t>
  </si>
  <si>
    <t xml:space="preserve">a8b28df6fdb2ca5180c4bf617655d5f090d71808c5967641cfde3737076e2b1b</t>
  </si>
  <si>
    <t xml:space="preserve">library/035_heritance-aarah/dining_menu/2026_Baani-Veg-A-la-carte-Simplified-Chinese.pdf</t>
  </si>
  <si>
    <t xml:space="preserve">2026_Kids-Menu-Simplified-Chinese.pdf</t>
  </si>
  <si>
    <t xml:space="preserve">https://heritancehotels.eme-devops.com/2026/10/Kids-Menu-Simplified-Chinese.pdf</t>
  </si>
  <si>
    <t xml:space="preserve">79f407ccedeb57805df2fa2d25d2827f17a7db8925106a1ab2060ba482e030c5</t>
  </si>
  <si>
    <t xml:space="preserve">library/035_heritance-aarah/dining_menu/2026_Kids-Menu-Simplified-Chinese.pdf</t>
  </si>
  <si>
    <t xml:space="preserve">2026_Kids-Menu-Russian.pdf</t>
  </si>
  <si>
    <t xml:space="preserve">https://heritancehotels.eme-devops.com/2026/10/Kids-Menu-Russian.pdf</t>
  </si>
  <si>
    <t xml:space="preserve">1c87cc434632e846a543600f5dba85503a2777fd114be5803409dccd649e1a7c</t>
  </si>
  <si>
    <t xml:space="preserve">library/035_heritance-aarah/dining_menu/2026_Kids-Menu-Russian.pdf</t>
  </si>
  <si>
    <t xml:space="preserve">2026_Ginifati-Menu-Option-1-Russian.pdf</t>
  </si>
  <si>
    <t xml:space="preserve">https://heritancehotels.eme-devops.com/2026/09/Ginifati-Menu-Option-1-Russian.pdf</t>
  </si>
  <si>
    <t xml:space="preserve">f0da91e6518ffd2f54f2c2952aeda4f50734c587ea62df146e87e7b1634cb461</t>
  </si>
  <si>
    <t xml:space="preserve">library/035_heritance-aarah/dining_menu/2026_Ginifati-Menu-Option-1-Russian.pdf</t>
  </si>
  <si>
    <t xml:space="preserve">2026_Ginifati-Vegan-Menu-Russian.pdf</t>
  </si>
  <si>
    <t xml:space="preserve">https://heritancehotels.eme-devops.com/2026/09/Ginifati-Vegan-Menu-Russian.pdf</t>
  </si>
  <si>
    <t xml:space="preserve">2fa5e395a753fd0397f20d2e7bf921a9c2e8ddc6b72fbe39859f2166e5ee0e13</t>
  </si>
  <si>
    <t xml:space="preserve">library/035_heritance-aarah/dining_menu/2026_Ginifati-Vegan-Menu-Russian.pdf</t>
  </si>
  <si>
    <t xml:space="preserve">2026_Ginifati-Menu-Option-2-Russian.pdf</t>
  </si>
  <si>
    <t xml:space="preserve">https://heritancehotels.eme-devops.com/2026/09/Ginifati-Menu-Option-2-Russian.pdf</t>
  </si>
  <si>
    <t xml:space="preserve">a0912088e2767d4210adf6feba28cd448811d528c121beedd7b611807c1b3349</t>
  </si>
  <si>
    <t xml:space="preserve">library/035_heritance-aarah/dining_menu/2026_Ginifati-Menu-Option-2-Russian.pdf</t>
  </si>
  <si>
    <t xml:space="preserve">2026_Ginifati-Menu-Option-2-Simplified-Chinese.pdf</t>
  </si>
  <si>
    <t xml:space="preserve">https://heritancehotels.eme-devops.com/2026/09/Ginifati-Menu-Option-2-Simplified-Chinese.pdf</t>
  </si>
  <si>
    <t xml:space="preserve">145d3765d5ce367a68fd6c3530bf798b312d7c509ad6f78ab73dbe3f3776ed6a</t>
  </si>
  <si>
    <t xml:space="preserve">library/035_heritance-aarah/dining_menu/2026_Ginifati-Menu-Option-2-Simplified-Chinese.pdf</t>
  </si>
  <si>
    <t xml:space="preserve">2026_Ginifati-Menu-Option-1-Simplified-Chinese.pdf</t>
  </si>
  <si>
    <t xml:space="preserve">https://heritancehotels.eme-devops.com/2026/09/Ginifati-Menu-Option-1-Simplified-Chinese.pdf</t>
  </si>
  <si>
    <t xml:space="preserve">2d9ee720f7ce2c383af8aef5395e35b53e902a16918b9915a09b71c4f70f2c55</t>
  </si>
  <si>
    <t xml:space="preserve">library/035_heritance-aarah/dining_menu/2026_Ginifati-Menu-Option-1-Simplified-Chinese.pdf</t>
  </si>
  <si>
    <t xml:space="preserve">2026_Ginifati-Vegan-Menu-Simplified-Chinese.pdf</t>
  </si>
  <si>
    <t xml:space="preserve">https://heritancehotels.eme-devops.com/2026/09/Ginifati-Vegan-Menu-Simplified-Chinese.pdf</t>
  </si>
  <si>
    <t xml:space="preserve">4fea6de0426f1c1682a07c95a2e56130b830cde83852f74b341a8bb72f3044fc</t>
  </si>
  <si>
    <t xml:space="preserve">library/035_heritance-aarah/dining_menu/2026_Ginifati-Vegan-Menu-Simplified-Chinese.pdf</t>
  </si>
  <si>
    <t xml:space="preserve">2026_Ginifati-Vegan-Menu-1.1.pdf</t>
  </si>
  <si>
    <t xml:space="preserve">https://heritancehotels.eme-devops.com/2026/09/Ginifati-Vegan-Menu-1.1.pdf</t>
  </si>
  <si>
    <t xml:space="preserve">9251c93d3044a0df4d22407e5838971ea60244bb51a29bd4116fe47ce9405c97</t>
  </si>
  <si>
    <t xml:space="preserve">library/035_heritance-aarah/dining_menu/2026_Ginifati-Vegan-Menu-1.1.pdf</t>
  </si>
  <si>
    <t xml:space="preserve">2026_Ginifati-Menu-Option-2.1.pdf</t>
  </si>
  <si>
    <t xml:space="preserve">https://heritancehotels.eme-devops.com/2026/09/Ginifati-Menu-Option-2.1.pdf</t>
  </si>
  <si>
    <t xml:space="preserve">c531e9e988565c9d3daf89d8ab2e766fe3f0dae72da01aae234c9bfbdc086894</t>
  </si>
  <si>
    <t xml:space="preserve">library/035_heritance-aarah/dining_menu/2026_Ginifati-Menu-Option-2.1.pdf</t>
  </si>
  <si>
    <t xml:space="preserve">2026_GInifati-Menu-Option-1.1.pdf</t>
  </si>
  <si>
    <t xml:space="preserve">https://heritancehotels.eme-devops.com/2026/09/GInifati-Menu-Option-1.1.pdf</t>
  </si>
  <si>
    <t xml:space="preserve">9172f385ac95627309f13f7a651b1e8b26d4c386c45491dbd8000e3f3b628cbe</t>
  </si>
  <si>
    <t xml:space="preserve">library/035_heritance-aarah/dining_menu/2026_GInifati-Menu-Option-1.1.pdf</t>
  </si>
  <si>
    <t xml:space="preserve">2026_Premium-All-Inclusive-Wine-Beverage-List-25.08.2026.pdf</t>
  </si>
  <si>
    <t xml:space="preserve">https://heritancehotels.eme-devops.com/2026/08/Premium-All-Inclusive-Wine-Beverage-List-25.08.2026.pdf</t>
  </si>
  <si>
    <t xml:space="preserve">2e09143005ab8e36efb65f640af2e8949448c1f41e90e27cb29fabbcfe8005a1</t>
  </si>
  <si>
    <t xml:space="preserve">library/035_heritance-aarah/dining_menu/2026_Premium-All-Inclusive-Wine-Beverage-List-25.08.2026.pdf</t>
  </si>
  <si>
    <t xml:space="preserve">2026_Baani-Ala-carte-Lunch-1.pdf</t>
  </si>
  <si>
    <t xml:space="preserve">https://heritancehotels.eme-devops.com/2026/08/Baani-Ala-carte-Lunch-1.pdf</t>
  </si>
  <si>
    <t xml:space="preserve">42a43e76025cae76328e158b56f700ce1260c8268a0b4c4e0fb751b5fbe5ba99</t>
  </si>
  <si>
    <t xml:space="preserve">library/035_heritance-aarah/dining_menu/2026_Baani-Ala-carte-Lunch-1.pdf</t>
  </si>
  <si>
    <t xml:space="preserve">2026_Ambula-Vegetarian-Set-Menu-Vegetarian.pdf</t>
  </si>
  <si>
    <t xml:space="preserve">https://heritancehotels.eme-devops.com/2026/08/Ambula-Vegetarian-Set-Menu-Vegetarian.pdf</t>
  </si>
  <si>
    <t xml:space="preserve">e08fa208a9187718416f8cf9a31ed35244820f53858e3dde98d00dd44fff1307</t>
  </si>
  <si>
    <t xml:space="preserve">library/035_heritance-aarah/dining_menu/2026_Ambula-Vegetarian-Set-Menu-Vegetarian.pdf</t>
  </si>
  <si>
    <t xml:space="preserve">2026_Ambula-Set-Menu-Non-Vegetarian.pdf</t>
  </si>
  <si>
    <t xml:space="preserve">https://heritancehotels.eme-devops.com/2026/08/Ambula-Set-Menu-Non-Vegetarian.pdf</t>
  </si>
  <si>
    <t xml:space="preserve">1b400c3132e7dbece19ddb6959a84e690d0b2b53e215e6f742211c115ccc6536</t>
  </si>
  <si>
    <t xml:space="preserve">library/035_heritance-aarah/dining_menu/2026_Ambula-Set-Menu-Non-Vegetarian.pdf</t>
  </si>
  <si>
    <t xml:space="preserve">2026_Sky-Bar-Nibbles-Menu.pdf</t>
  </si>
  <si>
    <t xml:space="preserve">https://heritancehotels.eme-devops.com/2026/08/Sky-Bar-Nibbles-Menu.pdf</t>
  </si>
  <si>
    <t xml:space="preserve">2a1f4334cf77a221354d7ab8890a27c4e6281a944f470b0ecf83751882e4e8aa</t>
  </si>
  <si>
    <t xml:space="preserve">library/035_heritance-aarah/dining_menu/2026_Sky-Bar-Nibbles-Menu.pdf</t>
  </si>
  <si>
    <t xml:space="preserve">2026_Ralu-A-la-carte-Vegetarian-Menu.pdf</t>
  </si>
  <si>
    <t xml:space="preserve">https://heritancehotels.eme-devops.com/2026/08/Ralu-A-la-carte-Vegetarian-Menu.pdf</t>
  </si>
  <si>
    <t xml:space="preserve">0bd4031e2caaf26c5d912215afa844dfe05f2a93d622f0e6aa26cb94c941d730</t>
  </si>
  <si>
    <t xml:space="preserve">library/035_heritance-aarah/dining_menu/2026_Ralu-A-la-carte-Vegetarian-Menu.pdf</t>
  </si>
  <si>
    <t xml:space="preserve">2026_Ralu-A-la-carte-Editable.pdf</t>
  </si>
  <si>
    <t xml:space="preserve">https://heritancehotels.eme-devops.com/2026/08/Ralu-A-la-carte-Editable.pdf</t>
  </si>
  <si>
    <t xml:space="preserve">0697933cf2b341ce3809c0e33860ecd5c7f58dbd51de0fb06bd48a347c40a011</t>
  </si>
  <si>
    <t xml:space="preserve">library/035_heritance-aarah/dining_menu/2026_Ralu-A-la-carte-Editable.pdf</t>
  </si>
  <si>
    <t xml:space="preserve">2026_Ralu-A-la-carte-Afernoon-menu.pdf</t>
  </si>
  <si>
    <t xml:space="preserve">https://heritancehotels.eme-devops.com/2026/08/Ralu-A-la-carte-Afernoon-menu.pdf</t>
  </si>
  <si>
    <t xml:space="preserve">6be9c847c00f23b3b27e9e4d7bf58d96b8db9a7b90b89faafd57cc280e382b1f</t>
  </si>
  <si>
    <t xml:space="preserve">library/035_heritance-aarah/dining_menu/2026_Ralu-A-la-carte-Afernoon-menu.pdf</t>
  </si>
  <si>
    <t xml:space="preserve">2026_KIDS-Menu-New.pdf</t>
  </si>
  <si>
    <t xml:space="preserve">https://heritancehotels.eme-devops.com/2026/08/KIDS-Menu-New.pdf</t>
  </si>
  <si>
    <t xml:space="preserve">6ed9ec2e8060d0a65e6a837e208e55a8f97538f2a483d7c472663113d049a42c</t>
  </si>
  <si>
    <t xml:space="preserve">library/035_heritance-aarah/dining_menu/2026_KIDS-Menu-New.pdf</t>
  </si>
  <si>
    <t xml:space="preserve">2026_Ginifati-Vegan-Menu.pdf</t>
  </si>
  <si>
    <t xml:space="preserve">https://heritancehotels.eme-devops.com/2026/08/Ginifati-Vegan-Menu.pdf</t>
  </si>
  <si>
    <t xml:space="preserve">5a9e28d931af6da2a76dabe48df1fd17769cf277912a693a65129645d6b8ea70</t>
  </si>
  <si>
    <t xml:space="preserve">library/035_heritance-aarah/dining_menu/2026_Ginifati-Vegan-Menu.pdf</t>
  </si>
  <si>
    <t xml:space="preserve">2026_Ginifati-Menu-Option-2.pdf</t>
  </si>
  <si>
    <t xml:space="preserve">https://heritancehotels.eme-devops.com/2026/08/Ginifati-Menu-Option-2.pdf</t>
  </si>
  <si>
    <t xml:space="preserve">507dc303cfdb3ff8c2ba240d20d285cbc4e21dce2ca9dc54807ff61e63e6844c</t>
  </si>
  <si>
    <t xml:space="preserve">library/035_heritance-aarah/dining_menu/2026_Ginifati-Menu-Option-2.pdf</t>
  </si>
  <si>
    <t xml:space="preserve">2026_GInifati-Menu-Option-1.pdf</t>
  </si>
  <si>
    <t xml:space="preserve">https://heritancehotels.eme-devops.com/2026/08/GInifati-Menu-Option-1.pdf</t>
  </si>
  <si>
    <t xml:space="preserve">5c117042aec566a97b70eb7d5f4799403e2b1778150fd7624227323841451aee</t>
  </si>
  <si>
    <t xml:space="preserve">library/035_heritance-aarah/dining_menu/2026_GInifati-Menu-Option-1.pdf</t>
  </si>
  <si>
    <t xml:space="preserve">2026_Bandhi-Pizza-Snack-Menu.pdf</t>
  </si>
  <si>
    <t xml:space="preserve">https://heritancehotels.eme-devops.com/2026/08/Bandhi-Pizza-Snack-Menu.pdf</t>
  </si>
  <si>
    <t xml:space="preserve">702092b0257067d248748c2bcce851909075ff64a3edd931a82ff1c0bf5ad7d0</t>
  </si>
  <si>
    <t xml:space="preserve">library/035_heritance-aarah/dining_menu/2026_Bandhi-Pizza-Snack-Menu.pdf</t>
  </si>
  <si>
    <t xml:space="preserve">2026_Baani-Veg-Ala-carte.pdf</t>
  </si>
  <si>
    <t xml:space="preserve">https://heritancehotels.eme-devops.com/2026/08/Baani-Veg-Ala-carte.pdf</t>
  </si>
  <si>
    <t xml:space="preserve">7f75e3602b3d219d327da9c336a05f7bd9e6f00220123301c1e4f2d71aef9f80</t>
  </si>
  <si>
    <t xml:space="preserve">library/035_heritance-aarah/dining_menu/2026_Baani-Veg-Ala-carte.pdf</t>
  </si>
  <si>
    <t xml:space="preserve">2026_HTF-Snack-Menu-26-27.pdf.pdf</t>
  </si>
  <si>
    <t xml:space="preserve">https://heritancehotels.eme-devops.com/2026/07/HTF-Snack-Menu-26-27.pdf.pdf</t>
  </si>
  <si>
    <t xml:space="preserve">bc007eae411c46047c9ae6e29037690ad4115dde39a650cdd15d41526e9b6bc9</t>
  </si>
  <si>
    <t xml:space="preserve">library/035_heritance-aarah/dining_menu/2026_HTF-Snack-Menu-26-27.pdf.pdf</t>
  </si>
  <si>
    <t xml:space="preserve">2026_HTF-Premium-Wines-26-27.pdf.pdf</t>
  </si>
  <si>
    <t xml:space="preserve">https://heritancehotels.eme-devops.com/2026/07/HTF-Premium-Wines-26-27.pdf.pdf</t>
  </si>
  <si>
    <t xml:space="preserve">8592831fe7a0cf21137b8a33d87c3d7636661239db3898c01620c22adb980291</t>
  </si>
  <si>
    <t xml:space="preserve">library/035_heritance-aarah/dining_menu/2026_HTF-Premium-Wines-26-27.pdf.pdf</t>
  </si>
  <si>
    <t xml:space="preserve">2026_HTF-Beverage-Portfolio-26.27.pdf.pdf</t>
  </si>
  <si>
    <t xml:space="preserve">https://heritancehotels.eme-devops.com/2026/07/HTF-Beverage-Portfolio-26.27.pdf.pdf</t>
  </si>
  <si>
    <t xml:space="preserve">63139658dcf982f2dd67e89d69cd7f7be3b04e93c1cb9a58e8533823d1222348</t>
  </si>
  <si>
    <t xml:space="preserve">library/035_heritance-aarah/dining_menu/2026_HTF-Beverage-Portfolio-26.27.pdf.pdf</t>
  </si>
  <si>
    <t xml:space="preserve">2026_HTF-Ala-Cart-Menu-26-27.pdf.pdf</t>
  </si>
  <si>
    <t xml:space="preserve">https://heritancehotels.eme-devops.com/2026/07/HTF-Ala-Cart-Menu-26-27.pdf.pdf</t>
  </si>
  <si>
    <t xml:space="preserve">8a7ed7caa28e0b2b5b868ac0c90b23eaa25cf811d6dda09916781bcd8d508bfb</t>
  </si>
  <si>
    <t xml:space="preserve">library/035_heritance-aarah/dining_menu/2026_HTF-Ala-Cart-Menu-26-27.pdf.pdf</t>
  </si>
  <si>
    <t xml:space="preserve">2026_HTF-Pekoe-Trail-Picnic-Breakfast.pdf</t>
  </si>
  <si>
    <t xml:space="preserve">https://heritancehotels.eme-devops.com/2026/07/HTF-Pekoe-Trail-Picnic-Breakfast.pdf</t>
  </si>
  <si>
    <t xml:space="preserve">5ce6841e2b4d9a85d866c45ea1c4cd5d2ae39c667db6c6bca74917a304b47999</t>
  </si>
  <si>
    <t xml:space="preserve">library/035_heritance-aarah/dining_menu/2026_HTF-Pekoe-Trail-Picnic-Breakfast.pdf</t>
  </si>
  <si>
    <t xml:space="preserve">2026_Ceylon-Tea-Expereince-Menu.pdf</t>
  </si>
  <si>
    <t xml:space="preserve">https://heritancehotels.eme-devops.com/2026/07/Ceylon-Tea-Expereince-Menu.pdf</t>
  </si>
  <si>
    <t xml:space="preserve">398b0872401435e6627a68c7a8ded213a2eb0781ad7732668a8241cc3d0bae59</t>
  </si>
  <si>
    <t xml:space="preserve">library/035_heritance-aarah/dining_menu/2026_Ceylon-Tea-Expereince-Menu.pdf</t>
  </si>
  <si>
    <t xml:space="preserve">2026_Bon-Fire.pdf</t>
  </si>
  <si>
    <t xml:space="preserve">https://heritancehotels.eme-devops.com/2026/07/Bon-Fire.pdf</t>
  </si>
  <si>
    <t xml:space="preserve">7d3e8aec42b9fdbab4e2efcb69b5b5bcd6bc9cad307cd1acc7c3d9149f6c2ede</t>
  </si>
  <si>
    <t xml:space="preserve">library/035_heritance-aarah/dining_menu/2026_Bon-Fire.pdf</t>
  </si>
  <si>
    <t xml:space="preserve">2026_KIDS-MENU-RGB.pdf</t>
  </si>
  <si>
    <t xml:space="preserve">https://heritancehotels.eme-devops.com/2026/07/KIDS-MENU-RGB.pdf</t>
  </si>
  <si>
    <t xml:space="preserve">e501b0e7cf815da58965e19acd1caeee7bd8cec5c81a3dd8dc98ed8dfca87ad9</t>
  </si>
  <si>
    <t xml:space="preserve">library/035_heritance-aarah/dining_menu/2026_KIDS-MENU-RGB.pdf</t>
  </si>
  <si>
    <t xml:space="preserve">2026_EATING-INN-ALA-CARTE-May-2026-for-qr-code.pdf</t>
  </si>
  <si>
    <t xml:space="preserve">https://heritancehotels.eme-devops.com/2026/07/EATING-INN-ALA-CARTE-May-2026-for-qr-code.pdf</t>
  </si>
  <si>
    <t xml:space="preserve">043a954554359ace0685f1eb3b05a4cdfd90a87f34c915e9459b53bc2171eecc</t>
  </si>
  <si>
    <t xml:space="preserve">library/035_heritance-aarah/dining_menu/2026_EATING-INN-ALA-CARTE-May-2026-for-qr-code.pdf</t>
  </si>
  <si>
    <t xml:space="preserve">2026_Premium-All-Inclusive-Wine-Beverage-List-10.06.2026.pdf</t>
  </si>
  <si>
    <t xml:space="preserve">https://heritancehotels.eme-devops.com/2026/06/Premium-All-Inclusive-Wine-Beverage-List-10.06.2026.pdf</t>
  </si>
  <si>
    <t xml:space="preserve">c634b88597ebc67d86d0839043e8dcacd75027e089a39aff0ae61c6f4c97fd16</t>
  </si>
  <si>
    <t xml:space="preserve">library/035_heritance-aarah/dining_menu/2026_Premium-All-Inclusive-Wine-Beverage-List-10.06.2026.pdf</t>
  </si>
  <si>
    <t xml:space="preserve">2026_HK-Beverage-Menu.pdf</t>
  </si>
  <si>
    <t xml:space="preserve">https://heritancehotels.eme-devops.com/2026/04/HK-Beverage-Menu.pdf</t>
  </si>
  <si>
    <t xml:space="preserve">df973a1a05ea33aef4be9fba34458bfee2aa660c90eca44ecb22ff9bb5044d51</t>
  </si>
  <si>
    <t xml:space="preserve">library/035_heritance-aarah/dining_menu/2026_HK-Beverage-Menu.pdf</t>
  </si>
  <si>
    <t xml:space="preserve">2026_HK-A-La-Carte-kanchana.pdf</t>
  </si>
  <si>
    <t xml:space="preserve">https://heritancehotels.eme-devops.com/2026/04/HK-A-La-Carte-kanchana.pdf</t>
  </si>
  <si>
    <t xml:space="preserve">087f1734ed7b0b4706e7724d315922a558034e1de7bb13cdd820638e3e77142f</t>
  </si>
  <si>
    <t xml:space="preserve">library/035_heritance-aarah/dining_menu/2026_HK-A-La-Carte-kanchana.pdf</t>
  </si>
  <si>
    <t xml:space="preserve">2026_HK-A-La-Carte-cafe.pdf</t>
  </si>
  <si>
    <t xml:space="preserve">https://heritancehotels.eme-devops.com/2026/04/HK-A-La-Carte-cafe.pdf</t>
  </si>
  <si>
    <t xml:space="preserve">2590c1f3dc5ab71dc2577675e0f56e071ab8f1bbd61d20d52b9a227d85bb5cd0</t>
  </si>
  <si>
    <t xml:space="preserve">library/035_heritance-aarah/dining_menu/2026_HK-A-La-Carte-cafe.pdf</t>
  </si>
  <si>
    <t xml:space="preserve">2026_Kaludiya-new-menu.pdf</t>
  </si>
  <si>
    <t xml:space="preserve">https://heritancehotels.eme-devops.com/2026/04/Kaludiya-new-menu.pdf</t>
  </si>
  <si>
    <t xml:space="preserve">6db4aaf3e80c66160bf43513fc9ce2f1a4767549fcf108351df2e3d26d2673de</t>
  </si>
  <si>
    <t xml:space="preserve">library/035_heritance-aarah/dining_menu/2026_Kaludiya-new-menu.pdf</t>
  </si>
  <si>
    <t xml:space="preserve">2026_HK-Wine-List.pdf</t>
  </si>
  <si>
    <t xml:space="preserve">https://heritancehotels.eme-devops.com/2026/04/HK-Wine-List.pdf</t>
  </si>
  <si>
    <t xml:space="preserve">5c6be286c529d7dc2ff429f53fde02870df14f2b1a087ae5a694377cc185657a</t>
  </si>
  <si>
    <t xml:space="preserve">library/035_heritance-aarah/dining_menu/2026_HK-Wine-List.pdf</t>
  </si>
  <si>
    <t xml:space="preserve">2026_HK-IRD-Menu.pdf</t>
  </si>
  <si>
    <t xml:space="preserve">https://heritancehotels.eme-devops.com/2026/04/HK-IRD-Menu.pdf</t>
  </si>
  <si>
    <t xml:space="preserve">095bb756289cea3f2cad60a33aba3547346eeffa781ade73a1b44d042b4245a7</t>
  </si>
  <si>
    <t xml:space="preserve">library/035_heritance-aarah/dining_menu/2026_HK-IRD-Menu.pdf</t>
  </si>
  <si>
    <t xml:space="preserve">2026_HK-Cocktail-Menu-2026.pdf</t>
  </si>
  <si>
    <t xml:space="preserve">https://heritancehotels.eme-devops.com/2026/04/HK-Cocktail-Menu-2026.pdf</t>
  </si>
  <si>
    <t xml:space="preserve">06ac7b851e9dcf00d5796c08be8ea97979a8517cf7d3e93e754d5c26c0bb1004</t>
  </si>
  <si>
    <t xml:space="preserve">library/035_heritance-aarah/dining_menu/2026_HK-Cocktail-Menu-2026.pdf</t>
  </si>
  <si>
    <t xml:space="preserve">2026_4eb74b23_Ambula-Vegetarian-Set-Menu-Vegetarian.pdf</t>
  </si>
  <si>
    <t xml:space="preserve">https://heritancehotels.eme-devops.com/2026/02/Ambula-Vegetarian-Set-Menu-Vegetarian.pdf</t>
  </si>
  <si>
    <t xml:space="preserve">4eb74b23db2060610274078fc0ddaf980606df2b28e70416407ca02c41e44369</t>
  </si>
  <si>
    <t xml:space="preserve">library/035_heritance-aarah/dining_menu/2026_4eb74b23_Ambula-Vegetarian-Set-Menu-Vegetarian.pdf</t>
  </si>
  <si>
    <t xml:space="preserve">2026_4745cc39_Ambula-Set-Menu-Non-Vegetarian.pdf</t>
  </si>
  <si>
    <t xml:space="preserve">https://heritancehotels.eme-devops.com/2026/02/Ambula-Set-Menu-Non-Vegetarian.pdf</t>
  </si>
  <si>
    <t xml:space="preserve">4745cc39250def60460df55d21ca643e4bf8ac575a531cacdafbe457add4cd02</t>
  </si>
  <si>
    <t xml:space="preserve">library/035_heritance-aarah/dining_menu/2026_4745cc39_Ambula-Set-Menu-Non-Vegetarian.pdf</t>
  </si>
  <si>
    <t xml:space="preserve">2026_Ambula-Menu-Reserve-Options.pdf</t>
  </si>
  <si>
    <t xml:space="preserve">https://heritancehotels.eme-devops.com/2026/02/Ambula-Menu-Reserve-Options.pdf</t>
  </si>
  <si>
    <t xml:space="preserve">17fe7868bb4104c3a7777ee2d4d2e36d2746ed34fb85535eb168653e7c97d6fd</t>
  </si>
  <si>
    <t xml:space="preserve">library/035_heritance-aarah/dining_menu/2026_Ambula-Menu-Reserve-Options.pdf</t>
  </si>
  <si>
    <t xml:space="preserve">2026_Aarah-Baani-Master-Wine-List-2026.pdf</t>
  </si>
  <si>
    <t xml:space="preserve">https://heritancehotels.eme-devops.com/2026/02/Aarah-Baani-Master-Wine-List-2026.pdf</t>
  </si>
  <si>
    <t xml:space="preserve">73799d4444483acf53578817dfeb558e3d8925570635a5dc4de93ba0d3035ccc</t>
  </si>
  <si>
    <t xml:space="preserve">library/035_heritance-aarah/dining_menu/2026_Aarah-Baani-Master-Wine-List-2026.pdf</t>
  </si>
  <si>
    <t xml:space="preserve">2026_Aarah-Ralu-Master-Wine-List-2026.pdf</t>
  </si>
  <si>
    <t xml:space="preserve">https://heritancehotels.eme-devops.com/2026/02/Aarah-Ralu-Master-Wine-List-2026.pdf</t>
  </si>
  <si>
    <t xml:space="preserve">2c544cdd1558dc37c41e193dfb9342d8c778a4c38e2785cb0854e643221129d6</t>
  </si>
  <si>
    <t xml:space="preserve">library/035_heritance-aarah/dining_menu/2026_Aarah-Ralu-Master-Wine-List-2026.pdf</t>
  </si>
  <si>
    <t xml:space="preserve">2026_Aarah-Ginifati-Set-Menu-No-01-02.02.2026.pdf</t>
  </si>
  <si>
    <t xml:space="preserve">https://heritancehotels.eme-devops.com/2026/02/Aarah-Ginifati-Set-Menu-No-01-02.02.2026.pdf</t>
  </si>
  <si>
    <t xml:space="preserve">c19e9191baf056ef895eb432c187328bb8457ad10e52cb3de6d82d2e11bea678</t>
  </si>
  <si>
    <t xml:space="preserve">library/035_heritance-aarah/dining_menu/2026_Aarah-Ginifati-Set-Menu-No-01-02.02.2026.pdf</t>
  </si>
  <si>
    <t xml:space="preserve">2026_Heritance-Tea-Factory-Wine-List-26.27.pdf</t>
  </si>
  <si>
    <t xml:space="preserve">https://heritancehotels.eme-devops.com/2026/01/Heritance-Tea-Factory-Wine-List-26.27.pdf</t>
  </si>
  <si>
    <t xml:space="preserve">d816f2d02351f72fd09a24e47b88180a38f5c03738b6e18e6a51adeeeea58baf</t>
  </si>
  <si>
    <t xml:space="preserve">library/035_heritance-aarah/dining_menu/2026_Heritance-Tea-Factory-Wine-List-26.27.pdf</t>
  </si>
  <si>
    <t xml:space="preserve">2026_Heritance-Tea-Factory-Beverage-Menu-26.27.pdf</t>
  </si>
  <si>
    <t xml:space="preserve">https://heritancehotels.eme-devops.com/2026/01/Heritance-Tea-Factory-Beverage-Menu-26.27.pdf</t>
  </si>
  <si>
    <t xml:space="preserve">55a9c45a22244710b1b359bd40ec9839271be4df447ac5048d76dba8a9ceb776</t>
  </si>
  <si>
    <t xml:space="preserve">library/035_heritance-aarah/dining_menu/2026_Heritance-Tea-Factory-Beverage-Menu-26.27.pdf</t>
  </si>
  <si>
    <t xml:space="preserve">2026_HK-A-La-Carte-kanchana-1.pdf</t>
  </si>
  <si>
    <t xml:space="preserve">https://heritancehotels.eme-devops.com/2026/01/HK-A-La-Carte-kanchana-1.pdf</t>
  </si>
  <si>
    <t xml:space="preserve">11a0fce7efeaa59a82d4bf8802717b8efb62b7a26d7b29837869573cf39062ed</t>
  </si>
  <si>
    <t xml:space="preserve">library/035_heritance-aarah/dining_menu/2026_HK-A-La-Carte-kanchana-1.pdf</t>
  </si>
  <si>
    <t xml:space="preserve">2026_THE-TEA-INFUSED-SET-MENU-BY-JAMES-TAYLOR-2025-2026.pdf</t>
  </si>
  <si>
    <t xml:space="preserve">https://heritancehotels.eme-devops.com/2025/11/THE-TEA-INFUSED-SET-MENU-BY-JAMES-TAYLOR-2025-2026.pdf</t>
  </si>
  <si>
    <t xml:space="preserve">dfb7981065834ed720238589f4c6c85d45b9b921caf8d5cf85c261497268f474</t>
  </si>
  <si>
    <t xml:space="preserve">library/035_heritance-aarah/dining_menu/2026_THE-TEA-INFUSED-SET-MENU-BY-JAMES-TAYLOR-2025-2026.pdf</t>
  </si>
  <si>
    <t xml:space="preserve">2026_Hethersett-Snack-Menu-2025-2026-1.pdf</t>
  </si>
  <si>
    <t xml:space="preserve">https://heritancehotels.eme-devops.com/2025/11/Hethersett-Snack-Menu-2025-2026-1.pdf</t>
  </si>
  <si>
    <t xml:space="preserve">f3de15f521b05950cab055b2924cda49d0e926bc80b4e56675f0a65c3510e103</t>
  </si>
  <si>
    <t xml:space="preserve">library/035_heritance-aarah/dining_menu/2026_Hethersett-Snack-Menu-2025-2026-1.pdf</t>
  </si>
  <si>
    <t xml:space="preserve">2026_HETHERSETT-SNACK-MENU-2025-2026.pdf</t>
  </si>
  <si>
    <t xml:space="preserve">https://heritancehotels.eme-devops.com/2025/09/HETHERSETT-SNACK-MENU-2025-2026.pdf</t>
  </si>
  <si>
    <t xml:space="preserve">eaa13d3bec2b5aaa07522e44f5854a0251422048b323227123ffcba0928ba9b6</t>
  </si>
  <si>
    <t xml:space="preserve">library/035_heritance-aarah/dining_menu/2026_HETHERSETT-SNACK-MENU-2025-2026.pdf</t>
  </si>
  <si>
    <t xml:space="preserve">2026_HETHERSETT-BONFIRE-MENU-2025-2026.pdf</t>
  </si>
  <si>
    <t xml:space="preserve">https://heritancehotels.eme-devops.com/2025/09/HETHERSETT-BONFIRE-MENU-2025-2026.pdf</t>
  </si>
  <si>
    <t xml:space="preserve">5f7587e063872d8d519792b5268c654f4b8c2382d49f964ca810f8292db11687</t>
  </si>
  <si>
    <t xml:space="preserve">library/035_heritance-aarah/dining_menu/2026_HETHERSETT-BONFIRE-MENU-2025-2026.pdf</t>
  </si>
  <si>
    <t xml:space="preserve">2026_KENMARE-ALA-CART-MENU-2025-2026.pdf</t>
  </si>
  <si>
    <t xml:space="preserve">https://heritancehotels.eme-devops.com/2025/09/KENMARE-ALA-CART-MENU-2025-2026.pdf</t>
  </si>
  <si>
    <t xml:space="preserve">2bb429c66383e7213664c4b7a0399e6c6c12e59d6b2491dcc855cb786825ddbc</t>
  </si>
  <si>
    <t xml:space="preserve">library/035_heritance-aarah/dining_menu/2026_KENMARE-ALA-CART-MENU-2025-2026.pdf</t>
  </si>
  <si>
    <t xml:space="preserve">2026_HTF-Beverage-Menu-2025-2026.pdf</t>
  </si>
  <si>
    <t xml:space="preserve">https://heritancehotels.eme-devops.com/2025/09/HTF-Beverage-Menu-2025-2026.pdf</t>
  </si>
  <si>
    <t xml:space="preserve">84f99498254811a47e08a514115212af55f99a67219ec9924e2015b0674276aa</t>
  </si>
  <si>
    <t xml:space="preserve">library/035_heritance-aarah/dining_menu/2026_HTF-Beverage-Menu-2025-2026.pdf</t>
  </si>
  <si>
    <t xml:space="preserve">2025_Aarah-Ginifati-Set-Menu-No-02-01.12.2025.pdf</t>
  </si>
  <si>
    <t xml:space="preserve">https://heritancehotels.eme-devops.com/2026/01/Aarah-Ginifati-Set-Menu-No-02-01.12.2025.pdf</t>
  </si>
  <si>
    <t xml:space="preserve">f4cb8333cdc41176ec12102d074167a37aa321e36e271b221f05b928717b5c1f</t>
  </si>
  <si>
    <t xml:space="preserve">library/035_heritance-aarah/dining_menu/2025_Aarah-Ginifati-Set-Menu-No-02-01.12.2025.pdf</t>
  </si>
  <si>
    <t xml:space="preserve">2025_HK-Bites-Menu.pdf</t>
  </si>
  <si>
    <t xml:space="preserve">https://heritancehotels.eme-devops.com/2025/11/HK-Bites-Menu.pdf</t>
  </si>
  <si>
    <t xml:space="preserve">20975dae6f5fafe1722b97d56c75b183a7add505f382b8313a1464894ee164e7</t>
  </si>
  <si>
    <t xml:space="preserve">library/035_heritance-aarah/dining_menu/2025_HK-Bites-Menu.pdf</t>
  </si>
  <si>
    <t xml:space="preserve">2025_HK-A-La-Carte-1.pdf</t>
  </si>
  <si>
    <t xml:space="preserve">https://heritancehotels.eme-devops.com/2025/11/HK-A-La-Carte-1.pdf</t>
  </si>
  <si>
    <t xml:space="preserve">3ae1f643d0a3cc60f1492a11113e36b5831e7e361947cd7d191f2d456ccaeb7e</t>
  </si>
  <si>
    <t xml:space="preserve">library/035_heritance-aarah/dining_menu/2025_HK-A-La-Carte-1.pdf</t>
  </si>
  <si>
    <t xml:space="preserve">2025_Aarah-PAI-Wine-Beverage-List-18.09.2025.pdf</t>
  </si>
  <si>
    <t xml:space="preserve">https://heritancehotels.eme-devops.com/2025/09/Aarah-PAI-Wine-Beverage-List-18.09.2025.pdf</t>
  </si>
  <si>
    <t xml:space="preserve">6869a8390c3964442b94f81a97657de7ce46ebaea2a25a5a4e3cff00a98a9ac9</t>
  </si>
  <si>
    <t xml:space="preserve">library/035_heritance-aarah/dining_menu/2025_Aarah-PAI-Wine-Beverage-List-18.09.2025.pdf</t>
  </si>
  <si>
    <t xml:space="preserve">2025_Aarah-Reserve-Beverage-List-20.09.2025.pdf</t>
  </si>
  <si>
    <t xml:space="preserve">https://heritancehotels.eme-devops.com/2025/09/Aarah-Reserve-Beverage-List-20.09.2025.pdf</t>
  </si>
  <si>
    <t xml:space="preserve">ea4d94f8a6e60dee7a76f151159644248cbab2a3a434f2bbf5d027bd8235bd03</t>
  </si>
  <si>
    <t xml:space="preserve">library/035_heritance-aarah/dining_menu/2025_Aarah-Reserve-Beverage-List-20.09.2025.pdf</t>
  </si>
  <si>
    <t xml:space="preserve">2025_IVD-Ala-carte-Menu-Snack-Menu-3.00-pm-to-6.00-pm.pdf</t>
  </si>
  <si>
    <t xml:space="preserve">https://heritancehotels.eme-devops.com/2025/09/IVD-Ala-carte-Menu-Snack-Menu-3.00-pm-to-6.00-pm.pdf</t>
  </si>
  <si>
    <t xml:space="preserve">fa887fccfdd74adcf49fd065c808392b7607563d77702a25fe99ba5d654d8be1</t>
  </si>
  <si>
    <t xml:space="preserve">library/035_heritance-aarah/dining_menu/2025_IVD-Ala-carte-Menu-Snack-Menu-3.00-pm-to-6.00-pm.pdf</t>
  </si>
  <si>
    <t xml:space="preserve">2025_IVD-Ala-carte-Menu-A-la-carte-12.00-pm-to-3.00-pm-7.00-pm-to-11.00-pm.pdf</t>
  </si>
  <si>
    <t xml:space="preserve">https://heritancehotels.eme-devops.com/2025/09/IVD-Ala-carte-Menu-A-la-carte-12.00-pm-to-3.00-pm-7.00-pm-to-11.00-pm.pdf</t>
  </si>
  <si>
    <t xml:space="preserve">07dd49d5882a8ac74bc77b05d52e6fae3f2dab7e27aec2212904d7895609086b</t>
  </si>
  <si>
    <t xml:space="preserve">library/035_heritance-aarah/dining_menu/2025_IVD-Ala-carte-Menu-A-la-carte-12.00-pm-to-3.00-pm-7.00-pm-to-11.00-pm.pdf</t>
  </si>
  <si>
    <t xml:space="preserve">2025_IVD-Ala-carte-Menu-Breakfast-7.00-am-to-11.00-am.pdf</t>
  </si>
  <si>
    <t xml:space="preserve">https://heritancehotels.eme-devops.com/2025/09/IVD-Ala-carte-Menu-Breakfast-7.00-am-to-11.00-am.pdf</t>
  </si>
  <si>
    <t xml:space="preserve">e7d5b9fce409f98fe5fdc8c37606dcfc783439b0cdcc2d47b52222bcd70a97ca</t>
  </si>
  <si>
    <t xml:space="preserve">library/035_heritance-aarah/dining_menu/2025_IVD-Ala-carte-Menu-Breakfast-7.00-am-to-11.00-am.pdf</t>
  </si>
  <si>
    <t xml:space="preserve">2025_Bandhi-Pizza-Snack-Menu.pdf</t>
  </si>
  <si>
    <t xml:space="preserve">https://heritancehotels.eme-devops.com/2025/09/Bandhi-Pizza-Snack-Menu.pdf</t>
  </si>
  <si>
    <t xml:space="preserve">7698ff247dc4a34fd408c54ed85ae1147e65162a9da2339c5fe3ae9faa4557ff</t>
  </si>
  <si>
    <t xml:space="preserve">library/035_heritance-aarah/dining_menu/2025_Bandhi-Pizza-Snack-Menu.pdf</t>
  </si>
  <si>
    <t xml:space="preserve">2025_Ranba-Ala-carte-Lunch-Dinner-Veg.pdf</t>
  </si>
  <si>
    <t xml:space="preserve">https://heritancehotels.eme-devops.com/2025/09/Ranba-Ala-carte-Lunch-Dinner-Veg.pdf</t>
  </si>
  <si>
    <t xml:space="preserve">7456a3197c8b4a2d8b369cc87cbd3742c6f5ebb5dbd8cd5b6d70cb2ab28ae779</t>
  </si>
  <si>
    <t xml:space="preserve">library/035_heritance-aarah/dining_menu/2025_Ranba-Ala-carte-Lunch-Dinner-Veg.pdf</t>
  </si>
  <si>
    <t xml:space="preserve">2025_Ambula-Vegetarian-Set-Menu-Vegetarian.pdf</t>
  </si>
  <si>
    <t xml:space="preserve">https://heritancehotels.eme-devops.com/2025/09/Ambula-Vegetarian-Set-Menu-Vegetarian.pdf</t>
  </si>
  <si>
    <t xml:space="preserve">3f3e207e73338b70eda4e6e191c8d017262bd5d2aadb8bab96d07227577ce3b7</t>
  </si>
  <si>
    <t xml:space="preserve">library/035_heritance-aarah/dining_menu/2025_Ambula-Vegetarian-Set-Menu-Vegetarian.pdf</t>
  </si>
  <si>
    <t xml:space="preserve">2025_KIDS-Menu-Ginifati.pdf</t>
  </si>
  <si>
    <t xml:space="preserve">https://heritancehotels.eme-devops.com/2025/09/KIDS-Menu-Ginifati.pdf</t>
  </si>
  <si>
    <t xml:space="preserve">04435b41fd0416c7665086671f8aa521c9c092906f8232fb5161e34743235fa1</t>
  </si>
  <si>
    <t xml:space="preserve">library/035_heritance-aarah/dining_menu/2025_KIDS-Menu-Ginifati.pdf</t>
  </si>
  <si>
    <t xml:space="preserve">2025_GInifati-Editable-OP1-1.pdf</t>
  </si>
  <si>
    <t xml:space="preserve">https://heritancehotels.eme-devops.com/2025/09/GInifati-Editable-OP1-1.pdf</t>
  </si>
  <si>
    <t xml:space="preserve">b4b341850a8639b3a14921e8cec4a49ef9ad38951b0b78c85f9452061a20782f</t>
  </si>
  <si>
    <t xml:space="preserve">library/035_heritance-aarah/dining_menu/2025_GInifati-Editable-OP1-1.pdf</t>
  </si>
  <si>
    <t xml:space="preserve">2025_GInifati-Editable-OP2-2.pdf</t>
  </si>
  <si>
    <t xml:space="preserve">https://heritancehotels.eme-devops.com/2025/09/GInifati-Editable-OP2-2.pdf</t>
  </si>
  <si>
    <t xml:space="preserve">a33ea97dab62e22d1a346d72a1826c30291f0db6ec25ec6d08a99f06108ad40c</t>
  </si>
  <si>
    <t xml:space="preserve">library/035_heritance-aarah/dining_menu/2025_GInifati-Editable-OP2-2.pdf</t>
  </si>
  <si>
    <t xml:space="preserve">2025_Baani-Ala-carte-Lunch.pdf</t>
  </si>
  <si>
    <t xml:space="preserve">https://heritancehotels.eme-devops.com/2025/09/Baani-Ala-carte-Lunch.pdf</t>
  </si>
  <si>
    <t xml:space="preserve">605f2b0b5288876e7c1ac7678c41380ccb1df83ed3faa9d9bc71d5cf0de2ac6d</t>
  </si>
  <si>
    <t xml:space="preserve">library/035_heritance-aarah/dining_menu/2025_Baani-Ala-carte-Lunch.pdf</t>
  </si>
  <si>
    <t xml:space="preserve">2025_Ralu-A-la-carte-Editable-002-1-1.pdf</t>
  </si>
  <si>
    <t xml:space="preserve">https://heritancehotels.eme-devops.com/2025/09/Ralu-A-la-carte-Editable-002-1-1.pdf</t>
  </si>
  <si>
    <t xml:space="preserve">https://heritancehotels.eme-devops.com/2025/09/Ralu-A-la-carte-Editable-002-1-1.pdf | https://heritancehotels.eme-devops.com/2025/09/Ralu-A-la-carte-Editable-002-1.pdf</t>
  </si>
  <si>
    <t xml:space="preserve">6f321d5daa342dfe05c60949cb39ea2662d47c2c965a2b664fc62250318be72c</t>
  </si>
  <si>
    <t xml:space="preserve">library/035_heritance-aarah/dining_menu/2025_Ralu-A-la-carte-Editable-002-1-1.pdf</t>
  </si>
  <si>
    <t xml:space="preserve">2025_Premium-All-Inclusive-Wine-Beverage-List-01.09.2025.pdf</t>
  </si>
  <si>
    <t xml:space="preserve">https://heritancehotels.eme-devops.com/2025/09/Premium-All-Inclusive-Wine-Beverage-List-01.09.2025.pdf</t>
  </si>
  <si>
    <t xml:space="preserve">a7d847bda7d696733433ca25c46520c5e0a39bda53a3ae9a29c67d312be6f087</t>
  </si>
  <si>
    <t xml:space="preserve">library/035_heritance-aarah/dining_menu/2025_Premium-All-Inclusive-Wine-Beverage-List-01.09.2025.pdf</t>
  </si>
  <si>
    <t xml:space="preserve">2025_KIDS-Menu.pdf</t>
  </si>
  <si>
    <t xml:space="preserve">https://heritancehotels.eme-devops.com/2025/09/KIDS-Menu.pdf</t>
  </si>
  <si>
    <t xml:space="preserve">c51420bbd0ac85f668f4cee4763920d195daf89d695774c1560ae8bf97a47886</t>
  </si>
  <si>
    <t xml:space="preserve">library/035_heritance-aarah/dining_menu/2025_KIDS-Menu.pdf</t>
  </si>
  <si>
    <t xml:space="preserve">2025_Ralu-A-la-carte-Vegetarian-Menu.pdf</t>
  </si>
  <si>
    <t xml:space="preserve">https://heritancehotels.eme-devops.com/2025/09/Ralu-A-la-carte-Vegetarian-Menu.pdf</t>
  </si>
  <si>
    <t xml:space="preserve">1ef3d60057bf0e8f5eac0173db37c8238eb72b9d111872382148173498ccb5a5</t>
  </si>
  <si>
    <t xml:space="preserve">library/035_heritance-aarah/dining_menu/2025_Ralu-A-la-carte-Vegetarian-Menu.pdf</t>
  </si>
  <si>
    <t xml:space="preserve">2025_Aarah-Ralu-A-la-carte-Menu-05.08.2025.pdf</t>
  </si>
  <si>
    <t xml:space="preserve">https://heritancehotels.eme-devops.com/2025/08/Aarah-Ralu-A-la-carte-Menu-05.08.2025.pdf</t>
  </si>
  <si>
    <t xml:space="preserve">https://heritancehotels.eme-devops.com/2025/08/Aarah-Ralu-A-la-carte-Menu-05.08.2025.pdf | https://heritancehotels.eme-devops.com/2025/08/Aarah-Ralu-A-la-carte-Menu-05.08.2025-1.pdf</t>
  </si>
  <si>
    <t xml:space="preserve">60514103506359ea0d64d1a0e11ab501dc13e830a07f522aed90b5cad32a9fdf</t>
  </si>
  <si>
    <t xml:space="preserve">library/035_heritance-aarah/dining_menu/2025_Aarah-Ralu-A-la-carte-Menu-05.08.2025.pdf</t>
  </si>
  <si>
    <t xml:space="preserve">2025_Aarah-Ambula-Set-Menu-Vegetarian-05.08.2025.pdf</t>
  </si>
  <si>
    <t xml:space="preserve">https://heritancehotels.eme-devops.com/2025/08/Aarah-Ambula-Set-Menu-Vegetarian-05.08.2025.pdf</t>
  </si>
  <si>
    <t xml:space="preserve">https://heritancehotels.eme-devops.com/2025/08/Aarah-Ambula-Set-Menu-Vegetarian-05.08.2025.pdf | https://heritancehotels.eme-devops.com/2025/08/aarh-ambula-set-menu-non-veg.pdf</t>
  </si>
  <si>
    <t xml:space="preserve">ddddef422d0490f6deca7ab5004215076cca678f416b868b2999c5ded6de737d</t>
  </si>
  <si>
    <t xml:space="preserve">library/035_heritance-aarah/dining_menu/2025_Aarah-Ambula-Set-Menu-Vegetarian-05.08.2025.pdf</t>
  </si>
  <si>
    <t xml:space="preserve">2025_Aarah-Ambula-Set-Menu-Non-Vegetarian-05.08.2025.pdf</t>
  </si>
  <si>
    <t xml:space="preserve">https://heritancehotels.eme-devops.com/2025/08/Aarah-Ambula-Set-Menu-Non-Vegetarian-05.08.2025.pdf</t>
  </si>
  <si>
    <t xml:space="preserve">5c2b61b799dab8f29f1940ceb9d74f5bc1c1874d9383e2f6cbbf489acd206462</t>
  </si>
  <si>
    <t xml:space="preserve">library/035_heritance-aarah/dining_menu/2025_Aarah-Ambula-Set-Menu-Non-Vegetarian-05.08.2025.pdf</t>
  </si>
  <si>
    <t xml:space="preserve">2025_Aarah-IVD-A-la-carte-Menu-Snack-Menu-OS-OR-01.07.2025.pdf</t>
  </si>
  <si>
    <t xml:space="preserve">https://heritancehotels.eme-devops.com/2025/07/Aarah-IVD-A-la-carte-Menu-Snack-Menu-OS-OR-01.07.2025.pdf</t>
  </si>
  <si>
    <t xml:space="preserve">f6592968d5541b8c303f2da35708598b4841460fd35ff177a85e1a71f88fd027</t>
  </si>
  <si>
    <t xml:space="preserve">library/035_heritance-aarah/dining_menu/2025_Aarah-IVD-A-la-carte-Menu-Snack-Menu-OS-OR-01.07.2025.pdf</t>
  </si>
  <si>
    <t xml:space="preserve">2025_Aarah-IVD-A-la-carte-Menu-OV-BV-01.07.2025.pdf</t>
  </si>
  <si>
    <t xml:space="preserve">https://heritancehotels.eme-devops.com/2025/07/Aarah-IVD-A-la-carte-Menu-OV-BV-01.07.2025.pdf</t>
  </si>
  <si>
    <t xml:space="preserve">7547ee1d97cd603215d7301fbc7fd0b73a223966a41f1b506dc9cf4f73c1c1e4</t>
  </si>
  <si>
    <t xml:space="preserve">library/035_heritance-aarah/dining_menu/2025_Aarah-IVD-A-la-carte-Menu-OV-BV-01.07.2025.pdf</t>
  </si>
  <si>
    <t xml:space="preserve">2025_Aarah-IVD-A-la-carte-Menu-Lunch-Dinner-OS-OR-01.07.2025.pdf</t>
  </si>
  <si>
    <t xml:space="preserve">https://heritancehotels.eme-devops.com/2025/07/Aarah-IVD-A-la-carte-Menu-Lunch-Dinner-OS-OR-01.07.2025.pdf</t>
  </si>
  <si>
    <t xml:space="preserve">aa37d492304f14903024369cfdf47cb64bd62dbf9803e9706678cb760a09b11b</t>
  </si>
  <si>
    <t xml:space="preserve">library/035_heritance-aarah/dining_menu/2025_Aarah-IVD-A-la-carte-Menu-Lunch-Dinner-OS-OR-01.07.2025.pdf</t>
  </si>
  <si>
    <t xml:space="preserve">2025_Aarah-IVD-A-la-carte-Menu-Breakfast-OS-OR-01.07.2025.pdf</t>
  </si>
  <si>
    <t xml:space="preserve">https://heritancehotels.eme-devops.com/2025/07/Aarah-IVD-A-la-carte-Menu-Breakfast-OS-OR-01.07.2025.pdf</t>
  </si>
  <si>
    <t xml:space="preserve">757f547b7e91de18d20c08453d6999bb4edf5f2fa93199da88f99a7abe49fbec</t>
  </si>
  <si>
    <t xml:space="preserve">library/035_heritance-aarah/dining_menu/2025_Aarah-IVD-A-la-carte-Menu-Breakfast-OS-OR-01.07.2025.pdf</t>
  </si>
  <si>
    <t xml:space="preserve">2025_Aarah-Reserve-Beverage-List-01.07.2025.pdf</t>
  </si>
  <si>
    <t xml:space="preserve">https://heritancehotels.eme-devops.com/2025/07/Aarah-Reserve-Beverage-List-01.07.2025.pdf</t>
  </si>
  <si>
    <t xml:space="preserve">d767d1748854f29fde0409ac3aeff071583a05c74c8891bd150c67e9a43bc20a</t>
  </si>
  <si>
    <t xml:space="preserve">library/035_heritance-aarah/dining_menu/2025_Aarah-Reserve-Beverage-List-01.07.2025.pdf</t>
  </si>
  <si>
    <t xml:space="preserve">2025_Aarah-Baani-A-la-carte-Menu-Lunch-01.07.2025.pdf</t>
  </si>
  <si>
    <t xml:space="preserve">https://heritancehotels.eme-devops.com/2025/07/Aarah-Baani-A-la-carte-Menu-Lunch-01.07.2025.pdf</t>
  </si>
  <si>
    <t xml:space="preserve">ebf30e0f30a469eaf3606d5d7fa6513df6db168489af8fb227ffa1aed09e23ae</t>
  </si>
  <si>
    <t xml:space="preserve">library/035_heritance-aarah/dining_menu/2025_Aarah-Baani-A-la-carte-Menu-Lunch-01.07.2025.pdf</t>
  </si>
  <si>
    <t xml:space="preserve">2025_Aarah-PAI-Wine-Beverage-List-25.06.2025.pdf</t>
  </si>
  <si>
    <t xml:space="preserve">https://heritancehotels.eme-devops.com/2025/06/Aarah-PAI-Wine-Beverage-List-25.06.2025.pdf</t>
  </si>
  <si>
    <t xml:space="preserve">48349bd2f6e410bbb3367bc1d8e1b4423f515d62ce6a2bc75c20d3d89448a028</t>
  </si>
  <si>
    <t xml:space="preserve">library/035_heritance-aarah/dining_menu/2025_Aarah-PAI-Wine-Beverage-List-25.06.2025.pdf</t>
  </si>
  <si>
    <t xml:space="preserve">2025_HTF-Snack-Menu-2024-2025.pdf</t>
  </si>
  <si>
    <t xml:space="preserve">https://heritancehotels.eme-devops.com/2025/06/HTF-Snack-Menu-2024-2025.pdf</t>
  </si>
  <si>
    <t xml:space="preserve">https://heritancehotels.eme-devops.com/2025/06/HTF-Snack-Menu-2024-2025.pdf | https://heritancehotels.eme-devops.com/2025/02/HTF-Snack-Menu-2024-2025.pdf</t>
  </si>
  <si>
    <t xml:space="preserve">d4c456c32daf20f4efa057f82e0326aeab046396124de830e159c4b6931a25e6</t>
  </si>
  <si>
    <t xml:space="preserve">library/035_heritance-aarah/dining_menu/2025_HTF-Snack-Menu-2024-2025.pdf</t>
  </si>
  <si>
    <t xml:space="preserve">2025_HTF-High-Tea-Menu-2024-2025.pdf</t>
  </si>
  <si>
    <t xml:space="preserve">https://heritancehotels.eme-devops.com/2025/06/HTF-High-Tea-Menu-2024-2025.pdf</t>
  </si>
  <si>
    <t xml:space="preserve">https://heritancehotels.eme-devops.com/2025/06/HTF-High-Tea-Menu-2024-2025.pdf | https://heritancehotels.eme-devops.com/2025/02/HTF-High-Tea-Menu-2024-2025-1.pdf</t>
  </si>
  <si>
    <t xml:space="preserve">a8f26ea491d8e512ed934baee17248f9d357a5dd9bce74f5990a7d3a4c60d100</t>
  </si>
  <si>
    <t xml:space="preserve">library/035_heritance-aarah/dining_menu/2025_HTF-High-Tea-Menu-2024-2025.pdf</t>
  </si>
  <si>
    <t xml:space="preserve">2025_HTF-GOURMET-MOMENTS-BESIDE-A-LEGACY.pdf</t>
  </si>
  <si>
    <t xml:space="preserve">https://heritancehotels.eme-devops.com/2025/06/HTF-GOURMET-MOMENTS-BESIDE-A-LEGACY.pdf</t>
  </si>
  <si>
    <t xml:space="preserve">1f5be01d625ca4c14baca26added642d2bc12e0c421cde5dc1f0aa6df7eba98c</t>
  </si>
  <si>
    <t xml:space="preserve">library/035_heritance-aarah/dining_menu/2025_HTF-GOURMET-MOMENTS-BESIDE-A-LEGACY.pdf</t>
  </si>
  <si>
    <t xml:space="preserve">2025_HTF-bon-fire-Menu-2024-2025.pdf</t>
  </si>
  <si>
    <t xml:space="preserve">https://heritancehotels.eme-devops.com/2025/06/HTF-bon-fire-Menu-2024-2025.pdf</t>
  </si>
  <si>
    <t xml:space="preserve">https://heritancehotels.eme-devops.com/2025/06/HTF-bon-fire-Menu-2024-2025.pdf | https://heritancehotels.eme-devops.com/2025/02/HTF-bon-fire-Menu-2024-2025.pdf</t>
  </si>
  <si>
    <t xml:space="preserve">27170f70659a6f05ddcf713acb19429adf7757299a02a664cc2d051949908ec7</t>
  </si>
  <si>
    <t xml:space="preserve">library/035_heritance-aarah/dining_menu/2025_HTF-bon-fire-Menu-2024-2025.pdf</t>
  </si>
  <si>
    <t xml:space="preserve">2025_HTF-Pekoe-Trail-Picnic-Breakfast.pdf</t>
  </si>
  <si>
    <t xml:space="preserve">https://heritancehotels.eme-devops.com/2025/06/HTF-Pekoe-Trail-Picnic-Breakfast.pdf</t>
  </si>
  <si>
    <t xml:space="preserve">4a54a5d394c914ee59898f4790ddf2fc93f1e60805d89a21f764f8dcbefd769f</t>
  </si>
  <si>
    <t xml:space="preserve">library/035_heritance-aarah/dining_menu/2025_HTF-Pekoe-Trail-Picnic-Breakfast.pdf</t>
  </si>
  <si>
    <t xml:space="preserve">2025_Aarah-Ginifati-Set-Menu-No-02-12.06.2025.pdf</t>
  </si>
  <si>
    <t xml:space="preserve">https://heritancehotels.eme-devops.com/2025/06/Aarah-Ginifati-Set-Menu-No-02-12.06.2025.pdf</t>
  </si>
  <si>
    <t xml:space="preserve">1873fb6e0e7362cbbdb1806ea1f698388df5807408f6c1837c6ba21956ff3e15</t>
  </si>
  <si>
    <t xml:space="preserve">library/035_heritance-aarah/dining_menu/2025_Aarah-Ginifati-Set-Menu-No-02-12.06.2025.pdf</t>
  </si>
  <si>
    <t xml:space="preserve">2025_Aarah-PAI-Wine-Beverage-List-27.05.2025.pdf</t>
  </si>
  <si>
    <t xml:space="preserve">https://heritancehotels.eme-devops.com/2025/05/Aarah-PAI-Wine-Beverage-List-27.05.2025.pdf</t>
  </si>
  <si>
    <t xml:space="preserve">f037be09ae4c043bf6b0400dd5a305a3a82c7fb3b48f8ae0bc633cb4d9a478df</t>
  </si>
  <si>
    <t xml:space="preserve">library/035_heritance-aarah/dining_menu/2025_Aarah-PAI-Wine-Beverage-List-27.05.2025.pdf</t>
  </si>
  <si>
    <t xml:space="preserve">2025_Aarah-IVD-A-la-carte-Menu-OV-BV-03.04.2025.pdf</t>
  </si>
  <si>
    <t xml:space="preserve">https://heritancehotels.eme-devops.com/2025/04/Aarah-IVD-A-la-carte-Menu-OV-BV-03.04.2025.pdf</t>
  </si>
  <si>
    <t xml:space="preserve">0465c2044cceb9f9ae45b0ac5ecf49d4c1089e34c0db9e3a23a5007f565adff6</t>
  </si>
  <si>
    <t xml:space="preserve">library/035_heritance-aarah/dining_menu/2025_Aarah-IVD-A-la-carte-Menu-OV-BV-03.04.2025.pdf</t>
  </si>
  <si>
    <t xml:space="preserve">2025_Aarah-Ralu-A-la-carte-Menu-Vegetarian-20.03.2025.pdf</t>
  </si>
  <si>
    <t xml:space="preserve">https://heritancehotels.eme-devops.com/2025/03/Aarah-Ralu-A-la-carte-Menu-Vegetarian-20.03.2025.pdf</t>
  </si>
  <si>
    <t xml:space="preserve">6a17057d07cf59a97dd578014cfed33a1ba421306e6efef24ff3000556a44625</t>
  </si>
  <si>
    <t xml:space="preserve">library/035_heritance-aarah/dining_menu/2025_Aarah-Ralu-A-la-carte-Menu-Vegetarian-20.03.2025.pdf</t>
  </si>
  <si>
    <t xml:space="preserve">2025_Aarah-Baani-A-la-carte-Menu-Veg-15.03.2025.pdf</t>
  </si>
  <si>
    <t xml:space="preserve">https://heritancehotels.eme-devops.com/2025/03/Aarah-Baani-A-la-carte-Menu-Veg-15.03.2025.pdf</t>
  </si>
  <si>
    <t xml:space="preserve">67f26ee40b2eee286739c5cbd84a33fea36c7e8a99dadfd15f8c0f2c466c4b43</t>
  </si>
  <si>
    <t xml:space="preserve">library/035_heritance-aarah/dining_menu/2025_Aarah-Baani-A-la-carte-Menu-Veg-15.03.2025.pdf</t>
  </si>
  <si>
    <t xml:space="preserve">2025_Kaludiya-Menu.pdf</t>
  </si>
  <si>
    <t xml:space="preserve">https://heritancehotels.eme-devops.com/2025/02/Kaludiya-Menu.pdf</t>
  </si>
  <si>
    <t xml:space="preserve">993c36f6e8c778275fd626163d48338d42f33b45b47f9b3705b50f7baa63cf81</t>
  </si>
  <si>
    <t xml:space="preserve">library/035_heritance-aarah/dining_menu/2025_Kaludiya-Menu.pdf</t>
  </si>
  <si>
    <t xml:space="preserve">2025_HK-Wine-Menu-1.pdf</t>
  </si>
  <si>
    <t xml:space="preserve">https://heritancehotels.eme-devops.com/2025/02/HK-Wine-Menu-1.pdf</t>
  </si>
  <si>
    <t xml:space="preserve">ce26c36b6a5696c315e5d4cf1575b6064ff0cb9bd0c66596d0983f4e6da4ac75</t>
  </si>
  <si>
    <t xml:space="preserve">library/035_heritance-aarah/dining_menu/2025_HK-Wine-Menu-1.pdf</t>
  </si>
  <si>
    <t xml:space="preserve">2025_Aarah-PAI-21.08.2025.pdf</t>
  </si>
  <si>
    <t xml:space="preserve">https://heritancehotels.eme-devops.com/sites/2/2025/08/Aarah-PAI-21.08.2025.pdf</t>
  </si>
  <si>
    <t xml:space="preserve">d291663426e07172a8cf38a8efaf4b9a13373537c3cd9bbdd770e2ea3ad52e48</t>
  </si>
  <si>
    <t xml:space="preserve">library/035_heritance-aarah/dining_menu/2025_Aarah-PAI-21.08.2025.pdf</t>
  </si>
  <si>
    <t xml:space="preserve">2024_Ranba-Ala-carte-Lunch-Dinner-08.12.2024.pdf</t>
  </si>
  <si>
    <t xml:space="preserve">https://heritancehotels.eme-devops.com/2026/08/Ranba-Ala-carte-Lunch-Dinner-08.12.2024.pdf</t>
  </si>
  <si>
    <t xml:space="preserve">00c125c1f2d8684ab62ecb8c72d74402c2ed9b915fa6fde586bbb55749de6f70</t>
  </si>
  <si>
    <t xml:space="preserve">library/035_heritance-aarah/dining_menu/2024_Ranba-Ala-carte-Lunch-Dinner-08.12.2024.pdf</t>
  </si>
  <si>
    <t xml:space="preserve">2024_Beverage-Menu-HTF-1-1.pdf</t>
  </si>
  <si>
    <t xml:space="preserve">https://heritancehotels.eme-devops.com/2025/02/Beverage-Menu-HTF-1-1.pdf</t>
  </si>
  <si>
    <t xml:space="preserve">d493022832b86317b4697ad7636e2c220f2a54fa08029af496a892fd5bd40976</t>
  </si>
  <si>
    <t xml:space="preserve">library/035_heritance-aarah/dining_menu/2024_Beverage-Menu-HTF-1-1.pdf</t>
  </si>
  <si>
    <t xml:space="preserve">2024_Wine-Menu-HTF-1-1-1.pdf</t>
  </si>
  <si>
    <t xml:space="preserve">https://heritancehotels.eme-devops.com/2025/02/Wine-Menu-HTF-1-1-1.pdf</t>
  </si>
  <si>
    <t xml:space="preserve">cf8fe617636f5257c6f1663475b081325b5a08fe89ab86f217e39274d2c86fe3</t>
  </si>
  <si>
    <t xml:space="preserve">library/035_heritance-aarah/dining_menu/2024_Wine-Menu-HTF-1-1-1.pdf</t>
  </si>
  <si>
    <t xml:space="preserve">2024_HK-Snack-Menu.pdf</t>
  </si>
  <si>
    <t xml:space="preserve">https://heritancehotels.eme-devops.com/2025/02/HK-Snack-Menu.pdf</t>
  </si>
  <si>
    <t xml:space="preserve">eb227e6af17060ac94230a562af261349b0224218e3bb8646b8abb87be38c63e</t>
  </si>
  <si>
    <t xml:space="preserve">library/035_heritance-aarah/dining_menu/2024_HK-Snack-Menu.pdf</t>
  </si>
  <si>
    <t xml:space="preserve">2024_HK-Cocktail-List.pdf</t>
  </si>
  <si>
    <t xml:space="preserve">https://heritancehotels.eme-devops.com/2025/02/HK-Cocktail-List.pdf</t>
  </si>
  <si>
    <t xml:space="preserve">77caa13bde63dc6006e70732170f990d62cc62544bd393d5e21c37a82fee8173</t>
  </si>
  <si>
    <t xml:space="preserve">library/035_heritance-aarah/dining_menu/2024_HK-Cocktail-List.pdf</t>
  </si>
  <si>
    <t xml:space="preserve">2024_HK-Vegetarian-Food-Menu.pdf</t>
  </si>
  <si>
    <t xml:space="preserve">https://heritancehotels.eme-devops.com/2025/02/HK-Vegetarian-Food-Menu.pdf</t>
  </si>
  <si>
    <t xml:space="preserve">04e879988ff897a8a1c0407603005fad18983aa47172f77cf7fd94a9c7e7ac35</t>
  </si>
  <si>
    <t xml:space="preserve">library/035_heritance-aarah/dining_menu/2024_HK-Vegetarian-Food-Menu.pdf</t>
  </si>
  <si>
    <t xml:space="preserve">2024_HK-Pan-Asian-Menu.pdf</t>
  </si>
  <si>
    <t xml:space="preserve">https://heritancehotels.eme-devops.com/2025/02/HK-Pan-Asian-Menu.pdf</t>
  </si>
  <si>
    <t xml:space="preserve">b938392d3877b368c4f6e877520f27ffba83652574447fa2d56d7e702c99fd51</t>
  </si>
  <si>
    <t xml:space="preserve">library/035_heritance-aarah/dining_menu/2024_HK-Pan-Asian-Menu.pdf</t>
  </si>
  <si>
    <t xml:space="preserve">2024_HK-A-La-Carte.pdf</t>
  </si>
  <si>
    <t xml:space="preserve">https://heritancehotels.eme-devops.com/2025/02/HK-A-La-Carte.pdf</t>
  </si>
  <si>
    <t xml:space="preserve">bff319206f5a72dc99a114f3cb471933acd6391f5e553872c649e552d07b0238</t>
  </si>
  <si>
    <t xml:space="preserve">library/035_heritance-aarah/dining_menu/2024_HK-A-La-Carte.pdf</t>
  </si>
  <si>
    <t xml:space="preserve">2024_Aarah-Ginifati-Kids-Menu-25.11.2024.pdf</t>
  </si>
  <si>
    <t xml:space="preserve">https://heritancehotels.eme-devops.com/2025/02/Aarah-Ginifati-Kids-Menu-25.11.2024.pdf</t>
  </si>
  <si>
    <t xml:space="preserve">ae5bdfa477861a70711d2959c65e6bb747b3d4d162ff802b9be66a06a5117707</t>
  </si>
  <si>
    <t xml:space="preserve">library/035_heritance-aarah/dining_menu/2024_Aarah-Ginifati-Kids-Menu-25.11.2024.pdf</t>
  </si>
  <si>
    <t xml:space="preserve">2024_Aarah-Kids-Menu-25.11.2024.pdf</t>
  </si>
  <si>
    <t xml:space="preserve">https://heritancehotels.eme-devops.com/2025/02/Aarah-Kids-Menu-25.11.2024.pdf</t>
  </si>
  <si>
    <t xml:space="preserve">aff3c496e233372d659ab169569cb0babc18f9789a9f69438a27e1802db2a84a</t>
  </si>
  <si>
    <t xml:space="preserve">library/035_heritance-aarah/dining_menu/2024_Aarah-Kids-Menu-25.11.2024.pdf</t>
  </si>
  <si>
    <t xml:space="preserve">2023_WINE-MENU-UPDATED-Feb.-2023.pdf</t>
  </si>
  <si>
    <t xml:space="preserve">https://heritancehotels.eme-devops.com/2025/02/WINE-MENU-UPDATED-Feb.-2023.pdf</t>
  </si>
  <si>
    <t xml:space="preserve">09efba928a1332e477ea542ce7927a2a1c6f7d08e981774dec5bcfe636355c03</t>
  </si>
  <si>
    <t xml:space="preserve">library/035_heritance-aarah/dining_menu/2023_WINE-MENU-UPDATED-Feb.-2023.pdf</t>
  </si>
  <si>
    <t xml:space="preserve">2023_In-Room-Dining-Menu-updated-Feb.-2023.pdf</t>
  </si>
  <si>
    <t xml:space="preserve">https://heritancehotels.eme-devops.com/2025/02/In-Room-Dining-Menu-updated-Feb.-2023.pdf</t>
  </si>
  <si>
    <t xml:space="preserve">69c1999f7e66d2b38f657224732ea04fed9302dc7f29c38c649f6096957ed95d</t>
  </si>
  <si>
    <t xml:space="preserve">library/035_heritance-aarah/dining_menu/2023_In-Room-Dining-Menu-updated-Feb.-2023.pdf</t>
  </si>
  <si>
    <t xml:space="preserve">2023_ALA-CARTE-updated-Feb-2023.pdf</t>
  </si>
  <si>
    <t xml:space="preserve">https://heritancehotels.eme-devops.com/2025/02/ALA-CARTE-updated-Feb-2023.pdf</t>
  </si>
  <si>
    <t xml:space="preserve">71379e668cd85a93e388c8847c730cd684288275c1182ba3c35748b855b7f728</t>
  </si>
  <si>
    <t xml:space="preserve">library/035_heritance-aarah/dining_menu/2023_ALA-CARTE-updated-Feb-2023.pdf</t>
  </si>
  <si>
    <t xml:space="preserve">2023_Snack-menu-updated-Feb.-2023.pdf</t>
  </si>
  <si>
    <t xml:space="preserve">https://heritancehotels.eme-devops.com/2025/02/Snack-menu-updated-Feb.-2023.pdf</t>
  </si>
  <si>
    <t xml:space="preserve">cc5ce47c942b98443bb6c6d3aa67a5fce4ebb2a92db48577a78ebf4cfe828994</t>
  </si>
  <si>
    <t xml:space="preserve">library/035_heritance-aarah/dining_menu/2023_Snack-menu-updated-Feb.-2023.pdf</t>
  </si>
  <si>
    <t xml:space="preserve">2023_BEVERAGE-MENU-updated-Feb.-2023.pdf</t>
  </si>
  <si>
    <t xml:space="preserve">https://heritancehotels.eme-devops.com/2025/02/BEVERAGE-MENU-updated-Feb.-2023.pdf</t>
  </si>
  <si>
    <t xml:space="preserve">c316e74a4a4b8ba21564ec71975eeb3a96fb90bb670b46d8e18e66e35eb0afda</t>
  </si>
  <si>
    <t xml:space="preserve">library/035_heritance-aarah/dining_menu/2023_BEVERAGE-MENU-updated-Feb.-2023.pdf</t>
  </si>
  <si>
    <t xml:space="preserve">2023_Aarah-Bandhi-Pool-Bar-Pizza-Snack-Menu-04.12.2023.pdf</t>
  </si>
  <si>
    <t xml:space="preserve">https://heritancehotels.eme-devops.com/2025/02/Aarah-Bandhi-Pool-Bar-Pizza-Snack-Menu-04.12.2023.pdf</t>
  </si>
  <si>
    <t xml:space="preserve">672f092bf91bdb6eab379f13f67e307676221593fcd3485a64a493d394db2de9</t>
  </si>
  <si>
    <t xml:space="preserve">library/035_heritance-aarah/dining_menu/2023_Aarah-Bandhi-Pool-Bar-Pizza-Snack-Menu-04.12.2023.pdf</t>
  </si>
  <si>
    <t xml:space="preserve">2020_All-Inclusive-Wines.pdf</t>
  </si>
  <si>
    <t xml:space="preserve">https://heritancehotels.eme-devops.com/2025/02/All-Inclusive-Wines.pdf</t>
  </si>
  <si>
    <t xml:space="preserve">efcd7fcfe1d6c04c9ab4305b9663d8587d6eb0161fcd0582daf93a52d9ce7d7f</t>
  </si>
  <si>
    <t xml:space="preserve">library/035_heritance-aarah/dining_menu/2020_All-Inclusive-Wines.pdf</t>
  </si>
  <si>
    <t xml:space="preserve">2020_All-Inclusive-Easy-Drinks-.pdf</t>
  </si>
  <si>
    <t xml:space="preserve">https://heritancehotels.eme-devops.com/2025/02/All-Inclusive-Easy-Drinks-.pdf</t>
  </si>
  <si>
    <t xml:space="preserve">072ed0a21ba3da3a0018b267210c1741a56ab53bbe8017ea25afa9ad0f5c9793</t>
  </si>
  <si>
    <t xml:space="preserve">library/035_heritance-aarah/dining_menu/2020_All-Inclusive-Easy-Drinks-.pdf</t>
  </si>
  <si>
    <t xml:space="preserve">2025_Kaito-Water-Sports-Brochure_compressed.pdf</t>
  </si>
  <si>
    <t xml:space="preserve">https://heritancehotels.eme-devops.com/sites/2/2026/03/Kaito-Water-Sports-Brochure_compressed.pdf</t>
  </si>
  <si>
    <t xml:space="preserve">https://heritancehotels.eme-devops.com/sites/2/2026/03/Kaito-Water-Sports-Brochure_compressed.pdf | https://www.heritancehotels.com/aarah/view-menus/?id=watersport-menu</t>
  </si>
  <si>
    <t xml:space="preserve">40fe5c50ca6f8029cba8da052bbf36d54709e3d7be04a3753f580e5bb63f49ce</t>
  </si>
  <si>
    <t xml:space="preserve">library/035_heritance-aarah/dive_prices/2025_Kaito-Water-Sports-Brochure_compressed.pdf</t>
  </si>
  <si>
    <t xml:space="preserve">2025_Kaito-Dive-Brochure_compressed.pdf</t>
  </si>
  <si>
    <t xml:space="preserve">https://heritancehotels.eme-devops.com/sites/2/2026/03/Kaito-Dive-Brochure_compressed.pdf</t>
  </si>
  <si>
    <t xml:space="preserve">3de72a321921ef635159e4c6c65535e30937e3bc3640de5c8074f1279baef17e</t>
  </si>
  <si>
    <t xml:space="preserve">library/035_heritance-aarah/dive_prices/2025_Kaito-Dive-Brochure_compressed.pdf</t>
  </si>
  <si>
    <t xml:space="preserve">2023_Heritance-Hotels-Labour_Nondiscrimination-Policy-V2.pdf</t>
  </si>
  <si>
    <t xml:space="preserve">https://heritancehotels.eme-devops.com/2025/01/Heritance-Hotels-Labour_Nondiscrimination-Policy-V2.pdf</t>
  </si>
  <si>
    <t xml:space="preserve">bfdaab863dfeefabacbd8608ad2a75800672b400dc19858875503f965aaa2295</t>
  </si>
  <si>
    <t xml:space="preserve">library/035_heritance-aarah/dive_prices/2023_Heritance-Hotels-Labour_Nondiscrimination-Policy-V2.pdf</t>
  </si>
  <si>
    <t xml:space="preserve">2026_Excursion-Brochure_HAR.pdf</t>
  </si>
  <si>
    <t xml:space="preserve">https://heritancehotels.eme-devops.com/sites/2/2026/04/Excursion-Brochure_HAR.pdf</t>
  </si>
  <si>
    <t xml:space="preserve">4902889fd662c13c08ccc356b10e3b12008c2a5157b53681c0c6ab81a6525c5d</t>
  </si>
  <si>
    <t xml:space="preserve">library/035_heritance-aarah/excursions/2026_Excursion-Brochure_HAR.pdf</t>
  </si>
  <si>
    <t xml:space="preserve">2025_Heritance-Aarah-Zing-Swing-2025.06.25.pdf</t>
  </si>
  <si>
    <t xml:space="preserve">https://heritancehotels.eme-devops.com/sites/2/2025/06/Heritance-Aarah-Zing-Swing-2025.06.25.pdf</t>
  </si>
  <si>
    <t xml:space="preserve">01897c3aa0cebbd144a972b5ab4886b086cb65236c3bb27795fd4bda82c8593c</t>
  </si>
  <si>
    <t xml:space="preserve">library/035_heritance-aarah/excursions/2025_Heritance-Aarah-Zing-Swing-2025.06.25.pdf</t>
  </si>
  <si>
    <t xml:space="preserve">2024_Excursion-List.pdf</t>
  </si>
  <si>
    <t xml:space="preserve">https://heritancehotels.eme-devops.com/2025/02/Excursion-List.pdf</t>
  </si>
  <si>
    <t xml:space="preserve">826efb63dabc870db21512f45b6a35cc60e4f527719813b943d14146de876c8d</t>
  </si>
  <si>
    <t xml:space="preserve">library/035_heritance-aarah/excursions/2024_Excursion-List.pdf</t>
  </si>
  <si>
    <t xml:space="preserve">2024_HAR-Kokaa-Kids-Club-Weekly-Activity.pdf</t>
  </si>
  <si>
    <t xml:space="preserve">https://heritancehotels.eme-devops.com/sites/2/2024/12/HAR-Kokaa-Kids-Club-Weekly-Activity.pdf</t>
  </si>
  <si>
    <t xml:space="preserve">56271cc19375f1da0a333bfcf9725bb61719d5ba5eece344016908cf4ddbf453</t>
  </si>
  <si>
    <t xml:space="preserve">library/035_heritance-aarah/excursions/2024_HAR-Kokaa-Kids-Club-Weekly-Activity.pdf</t>
  </si>
  <si>
    <t xml:space="preserve">2022_Aarah-Paradise-Unfolded-The-Heritance-Experience.pdf</t>
  </si>
  <si>
    <t xml:space="preserve">https://heritancehotels.eme-devops.com/2025/03/Aarah-Paradise-Unfolded-The-Heritance-Experience.pdf</t>
  </si>
  <si>
    <t xml:space="preserve">fee62f08618572def9d7f7970e42570912dc3280d368f8a268e9caa24f5aad98</t>
  </si>
  <si>
    <t xml:space="preserve">library/035_heritance-aarah/excursions/2022_Aarah-Paradise-Unfolded-The-Heritance-Experience.pdf</t>
  </si>
  <si>
    <t xml:space="preserve">2021_Aarah-Kids-Club-Baby-Sitting-Services.pdf</t>
  </si>
  <si>
    <t xml:space="preserve">https://heritancehotels.eme-devops.com/2025/03/Aarah-Kids-Club-Baby-Sitting-Services.pdf</t>
  </si>
  <si>
    <t xml:space="preserve">8493fe29faddf12c995ef5ac3e012ebaccd0ca515d397acdb65f2041f22935ac</t>
  </si>
  <si>
    <t xml:space="preserve">library/035_heritance-aarah/kids/2021_Aarah-Kids-Club-Baby-Sitting-Services.pdf</t>
  </si>
  <si>
    <t xml:space="preserve">2021_Koka-Kids-Club-Babysitting-Services-November-2021-onward.pdf</t>
  </si>
  <si>
    <t xml:space="preserve">https://heritancehotels.eme-devops.com/sites/2/2024/12/Koka-Kids-Club-Babysitting-Services-November-2021-onward.pdf</t>
  </si>
  <si>
    <t xml:space="preserve">7672d317c7540056062e9dd97c6e78c29acb931b36ba22e8c5fd45a1b8fe5cfd</t>
  </si>
  <si>
    <t xml:space="preserve">library/035_heritance-aarah/kids/2021_Koka-Kids-Club-Babysitting-Services-November-2021-onward.pdf</t>
  </si>
  <si>
    <t xml:space="preserve">2026_Heritance-Aarah-Premium-All-Inclusive.pdf</t>
  </si>
  <si>
    <t xml:space="preserve">https://heritancehotels.eme-devops.com/sites/2/2026/09/Heritance-Aarah-Premium-All-Inclusive.pdf</t>
  </si>
  <si>
    <t xml:space="preserve">02acdd56e1c8c4d007003480bf63ff4dc3ff68a9f78797d56d4e1ce5ccc65859</t>
  </si>
  <si>
    <t xml:space="preserve">library/035_heritance-aarah/all_inclusive/2026_Heritance-Aarah-Premium-All-Inclusive.pdf</t>
  </si>
  <si>
    <t xml:space="preserve">2025_HAH_003-FB-Promotions-Booklet.pdf</t>
  </si>
  <si>
    <t xml:space="preserve">https://heritancehotels.eme-devops.com/2026/09/HAH_003-FB-Promotions-Booklet.pdf</t>
  </si>
  <si>
    <t xml:space="preserve">https://heritancehotels.eme-devops.com/2026/09/HAH_003-FB-Promotions-Booklet.pdf | https://heritancehotels.eme-devops.com/sites/2/2025/07/HAR-FB-Promotions-Booklet-03.07.2025.pdf</t>
  </si>
  <si>
    <t xml:space="preserve">1bf469b0ffcc47777c61dcccd8182e9cac3d17a097542d68031d3a8b9407e8b9</t>
  </si>
  <si>
    <t xml:space="preserve">library/035_heritance-aarah/all_inclusive/2025_HAH_003-FB-Promotions-Booklet.pdf</t>
  </si>
  <si>
    <t xml:space="preserve">2025_Heritance-Aarah-FB-Promotions-Booklet-13.06.2025.pdf</t>
  </si>
  <si>
    <t xml:space="preserve">https://heritancehotels.eme-devops.com/2025/06/Heritance-Aarah-FB-Promotions-Booklet-13.06.2025.pdf</t>
  </si>
  <si>
    <t xml:space="preserve">35bd2b70420428198ea4bbbd4bbaa568c44835be1fc159b01b3b9ee15505966a</t>
  </si>
  <si>
    <t xml:space="preserve">library/035_heritance-aarah/all_inclusive/2025_Heritance-Aarah-FB-Promotions-Booklet-13.06.2025.pdf</t>
  </si>
  <si>
    <t xml:space="preserve">2025_DN_HAH_003-FB-Promotions-Booklet.pdf</t>
  </si>
  <si>
    <t xml:space="preserve">https://heritancehotels.eme-devops.com/sites/2/2025/07/DN_HAH_003-FB-Promotions-Booklet.pdf</t>
  </si>
  <si>
    <t xml:space="preserve">b6e93e4da12ab9c10bf68134b0823850ee6cb3db24eb510fdf031dfa9c155449</t>
  </si>
  <si>
    <t xml:space="preserve">library/035_heritance-aarah/all_inclusive/2025_DN_HAH_003-FB-Promotions-Booklet.pdf</t>
  </si>
  <si>
    <t xml:space="preserve">2023_Heritance-Hotels-Community-Engagement-Policy-V2.pdf</t>
  </si>
  <si>
    <t xml:space="preserve">https://heritancehotels.eme-devops.com/2025/01/Heritance-Hotels-Community-Engagement-Policy-V2.pdf</t>
  </si>
  <si>
    <t xml:space="preserve">d35d03006b4add2b2c20fa72b6ec5e31e4af1daa5e71c5f9e16dbd908ae125bd</t>
  </si>
  <si>
    <t xml:space="preserve">library/035_heritance-aarah/all_inclusive/2023_Heritance-Hotels-Community-Engagement-Policy-V2.pdf</t>
  </si>
  <si>
    <t xml:space="preserve">2016_ASH-Integrated-Sustainability-Policy-1.pdf</t>
  </si>
  <si>
    <t xml:space="preserve">https://heritancehotels.eme-devops.com/2025/01/ASH-Integrated-Sustainability-Policy-1.pdf</t>
  </si>
  <si>
    <t xml:space="preserve">1c2523d813d1867ded6ac18d45f316843723129906dd2c78436c933d0387e759</t>
  </si>
  <si>
    <t xml:space="preserve">library/035_heritance-aarah/all_inclusive/2016_ASH-Integrated-Sustainability-Policy-1.pdf</t>
  </si>
  <si>
    <t xml:space="preserve">2026_Heritance-Aarah-SMP-2026.pdf</t>
  </si>
  <si>
    <t xml:space="preserve">https://heritancehotels.eme-devops.com/sites/2/2026/06/Heritance-Aarah-SMP-2026.pdf</t>
  </si>
  <si>
    <t xml:space="preserve">44c7ee7536f32e015ca5e5ba952d558df5d83a051c6707ecc28fd3a62482ca98</t>
  </si>
  <si>
    <t xml:space="preserve">library/035_heritance-aarah/sustainability/2026_Heritance-Aarah-SMP-2026.pdf</t>
  </si>
  <si>
    <t xml:space="preserve">2026_2026-Environment-Policy-Heritance-Aarah.pdf</t>
  </si>
  <si>
    <t xml:space="preserve">https://heritancehotels.eme-devops.com/sites/2/2026/06/2026-Environment-Policy-Heritance-Aarah.pdf</t>
  </si>
  <si>
    <t xml:space="preserve">0281f2c7cb18138c4a515c423952371e0ccdb95a5c2ec2c715fd60254f03e4a0</t>
  </si>
  <si>
    <t xml:space="preserve">library/035_heritance-aarah/sustainability/2026_2026-Environment-Policy-Heritance-Aarah.pdf</t>
  </si>
  <si>
    <t xml:space="preserve">2025_SHN-Sustainability-report-2025_compressed.pdf</t>
  </si>
  <si>
    <t xml:space="preserve">https://heritancehotels.eme-devops.com/2026/09/SHN-Sustainability-report-2025_compressed.pdf</t>
  </si>
  <si>
    <t xml:space="preserve">c06b57c7a4dd467e6692d9fd67f11921b5c38fc4fc6b1a1d43c30563ae7ef7ca</t>
  </si>
  <si>
    <t xml:space="preserve">library/035_heritance-aarah/sustainability/2025_SHN-Sustainability-report-2025_compressed.pdf</t>
  </si>
  <si>
    <t xml:space="preserve">2025_Sustainabilty-Report-HA-2025-26-Compressed.pdf</t>
  </si>
  <si>
    <t xml:space="preserve">https://heritancehotels.eme-devops.com/2026/05/Sustainabilty-Report-HA-2025-26-Compressed.pdf</t>
  </si>
  <si>
    <t xml:space="preserve">https://heritancehotels.eme-devops.com/2026/05/Sustainabilty-Report-HA-2025-26-Compressed.pdf | https://heritancehotels.eme-devops.com/sites/2/2026/05/Sustainabilty-Report-HA-2025-26-Compressed.pdf</t>
  </si>
  <si>
    <t xml:space="preserve">e200ef634d191c75041149878a7e4530fbbee4dcb2783b4ab09e6aaa3cbfb0c9</t>
  </si>
  <si>
    <t xml:space="preserve">library/035_heritance-aarah/sustainability/2025_Sustainabilty-Report-HA-2025-26-Compressed.pdf</t>
  </si>
  <si>
    <t xml:space="preserve">2024_Heritance-Aarah-Sustainability-Report-2024-25_compressed-1.pdf</t>
  </si>
  <si>
    <t xml:space="preserve">https://d3a2q5al71qg9.cloudfront.net/2025/05/Heritance-Aarah-Sustainability-Report-2024-25_compressed-1.pdf</t>
  </si>
  <si>
    <t xml:space="preserve">003cdc7f1102eb250ee49c67bcf3aca68cc0efd3ec779bf23b600167196c316b</t>
  </si>
  <si>
    <t xml:space="preserve">library/035_heritance-aarah/sustainability/2024_Heritance-Aarah-Sustainability-Report-2024-25_compressed-1.pdf</t>
  </si>
  <si>
    <t xml:space="preserve">2023_Heritance-Aarah-Sustainability-Report-2023-24-_compressed.pdf</t>
  </si>
  <si>
    <t xml:space="preserve">https://heritancehotels.eme-devops.com/2025/01/Heritance-Aarah-Sustainability-Report-2023-24-_compressed.pdf</t>
  </si>
  <si>
    <t xml:space="preserve">https://heritancehotels.eme-devops.com/2025/01/Heritance-Aarah-Sustainability-Report-2023-24-_compressed.pdf | https://d3a2q5al71qg9.cloudfront.net/2024/09/Heritance-Aarah-Sustainability-Report-2023-24-_compressed.pdf</t>
  </si>
  <si>
    <t xml:space="preserve">d7130ea4f5c6a1248d43a856a3c9a9792f86df0e99d0d44b140b8bf18f2658f4</t>
  </si>
  <si>
    <t xml:space="preserve">library/035_heritance-aarah/sustainability/2023_Heritance-Aarah-Sustainability-Report-2023-24-_compressed.pdf</t>
  </si>
  <si>
    <t xml:space="preserve">2023_SHN-Sustainability-Progress-Report-2023-24.pdf</t>
  </si>
  <si>
    <t xml:space="preserve">https://heritancehotels.eme-devops.com/2025/01/SHN-Sustainability-Progress-Report-2023-24.pdf</t>
  </si>
  <si>
    <t xml:space="preserve">3e0570607e14f37fe1b499e1d27bf5d4fa8250ef6496c48aa11254fc2fd584cd</t>
  </si>
  <si>
    <t xml:space="preserve">library/035_heritance-aarah/sustainability/2023_SHN-Sustainability-Progress-Report-2023-24.pdf</t>
  </si>
  <si>
    <t xml:space="preserve">2023_HTF-Sustainability-Report-2023-24.pdf</t>
  </si>
  <si>
    <t xml:space="preserve">https://heritancehotels.eme-devops.com/2025/01/HTF-Sustainability-Report-2023-24.pdf</t>
  </si>
  <si>
    <t xml:space="preserve">def9da3d3771930300a774507964d6d949b4e26e4e71fa2f1f3f65398e46ac93</t>
  </si>
  <si>
    <t xml:space="preserve">library/035_heritance-aarah/sustainability/2023_HTF-Sustainability-Report-2023-24.pdf</t>
  </si>
  <si>
    <t xml:space="preserve">2023_HAMG-Sustainability-Report-2023-24.pdf</t>
  </si>
  <si>
    <t xml:space="preserve">https://heritancehotels.eme-devops.com/2025/01/HAMG-Sustainability-Report-2023-24.pdf</t>
  </si>
  <si>
    <t xml:space="preserve">b933ca71611cb41a13c3bdd01c2f56ac734a7d4e9aa1964ba1f0143f60595ad4</t>
  </si>
  <si>
    <t xml:space="preserve">library/035_heritance-aarah/sustainability/2023_HAMG-Sustainability-Report-2023-24.pdf</t>
  </si>
  <si>
    <t xml:space="preserve">2023_HA-Sustainability-Report-2023-24.pdf</t>
  </si>
  <si>
    <t xml:space="preserve">https://heritancehotels.eme-devops.com/2025/01/HA-Sustainability-Report-2023-24.pdf</t>
  </si>
  <si>
    <t xml:space="preserve">0a33c9a5685eb219a1ead7382cb54e4a4b2f58cd797261956424a1b0b054421f</t>
  </si>
  <si>
    <t xml:space="preserve">library/035_heritance-aarah/sustainability/2023_HA-Sustainability-Report-2023-24.pdf</t>
  </si>
  <si>
    <t xml:space="preserve">2023_Heritance-Hotels-Environmental-Policy-V3.pdf</t>
  </si>
  <si>
    <t xml:space="preserve">https://heritancehotels.eme-devops.com/2025/01/Heritance-Hotels-Environmental-Policy-V3.pdf</t>
  </si>
  <si>
    <t xml:space="preserve">eee981660b132a9edd2799b11f3212dfdc5a9498fc56416c6e0a4015e245c10a</t>
  </si>
  <si>
    <t xml:space="preserve">library/035_heritance-aarah/sustainability/2023_Heritance-Hotels-Environmental-Policy-V3.pdf</t>
  </si>
  <si>
    <t xml:space="preserve">2022_1.-HA-Sustainability-Report-2022-23.pdf</t>
  </si>
  <si>
    <t xml:space="preserve">https://heritancehotels.eme-devops.com/2025/01/1.-HA-Sustainability-Report-2022-23.pdf</t>
  </si>
  <si>
    <t xml:space="preserve">https://heritancehotels.eme-devops.com/2025/01/1.-HA-Sustainability-Report-2022-23.pdf | https://d3a2q5al71qg9.cloudfront.net/2023/09/1.-HA-Sustainability-Report-2022-23.pdf</t>
  </si>
  <si>
    <t xml:space="preserve">e4c5bfe614adf0bcd166b0b6e4a9fcf7a61de952a835b6a45b38b188e49d0001</t>
  </si>
  <si>
    <t xml:space="preserve">library/035_heritance-aarah/sustainability/2022_1.-HA-Sustainability-Report-2022-23.pdf</t>
  </si>
  <si>
    <t xml:space="preserve">2022_Heritance-Tea-Factory-Sustainability-Report-2021-2022.pdf</t>
  </si>
  <si>
    <t xml:space="preserve">https://heritancehotels.eme-devops.com/2025/01/Heritance-Tea-Factory-Sustainability-Report-2021-2022.pdf</t>
  </si>
  <si>
    <t xml:space="preserve">37de6ed396244ddeab630f94e2019b2702d5e1b5da9c84bb4fece637efcabff2</t>
  </si>
  <si>
    <t xml:space="preserve">library/035_heritance-aarah/sustainability/2022_Heritance-Tea-Factory-Sustainability-Report-2021-2022.pdf</t>
  </si>
  <si>
    <t xml:space="preserve">2022_Heritance-Ahungalla-Sustainability-Report-2021-2022.pdf</t>
  </si>
  <si>
    <t xml:space="preserve">https://heritancehotels.eme-devops.com/2025/01/Heritance-Ahungalla-Sustainability-Report-2021-2022.pdf</t>
  </si>
  <si>
    <t xml:space="preserve">93381f1d00b31a937f0b25699e541361c0c157d7b8e153a5cbbf669735f16ed9</t>
  </si>
  <si>
    <t xml:space="preserve">library/035_heritance-aarah/sustainability/2022_Heritance-Ahungalla-Sustainability-Report-2021-2022.pdf</t>
  </si>
  <si>
    <t xml:space="preserve">2022_Heritance-Kandalama-Sustainability-Report-2021-2022.pdf</t>
  </si>
  <si>
    <t xml:space="preserve">https://heritancehotels.eme-devops.com/2025/01/Heritance-Kandalama-Sustainability-Report-2021-2022.pdf</t>
  </si>
  <si>
    <t xml:space="preserve">f992b907a713ff853cd076f83956b5bc3af03c9cbd9e0bec99bf095aba5555af</t>
  </si>
  <si>
    <t xml:space="preserve">library/035_heritance-aarah/sustainability/2022_Heritance-Kandalama-Sustainability-Report-2021-2022.pdf</t>
  </si>
  <si>
    <t xml:space="preserve">2021_Heritance-Aaarah-Sustainability-Report-2019-2020-2021.pdf</t>
  </si>
  <si>
    <t xml:space="preserve">https://heritancehotels.eme-devops.com/2025/01/Heritance-Aaarah-Sustainability-Report-2019-2020-2021.pdf</t>
  </si>
  <si>
    <t xml:space="preserve">https://heritancehotels.eme-devops.com/2025/01/Heritance-Aaarah-Sustainability-Report-2019-2020-2021.pdf | https://d3a2q5al71qg9.cloudfront.net/2023/09/Heritance-Aaarah-Sustainability-Report-2019-2020-2021.pdf</t>
  </si>
  <si>
    <t xml:space="preserve">ab29779c64d4fe79324a282a4e7ca56c12d7b162721542bbea675a3a56278129</t>
  </si>
  <si>
    <t xml:space="preserve">library/035_heritance-aarah/sustainability/2021_Heritance-Aaarah-Sustainability-Report-2019-2020-2021.pdf</t>
  </si>
  <si>
    <t xml:space="preserve">2021_HA-Sustainability-Report-2021-22.pdf</t>
  </si>
  <si>
    <t xml:space="preserve">https://heritancehotels.eme-devops.com/2025/01/HA-Sustainability-Report-2021-22.pdf</t>
  </si>
  <si>
    <t xml:space="preserve">https://heritancehotels.eme-devops.com/2025/01/HA-Sustainability-Report-2021-22.pdf | https://d3a2q5al71qg9.cloudfront.net/2023/06/HA-Sustainability-Report-2021-22.pdf</t>
  </si>
  <si>
    <t xml:space="preserve">ea2d54ec983c4ed21363bb047d80c7b0f8fcc914d8b595957f8da1de8728eba8</t>
  </si>
  <si>
    <t xml:space="preserve">library/035_heritance-aarah/sustainability/2021_HA-Sustainability-Report-2021-22.pdf</t>
  </si>
  <si>
    <t xml:space="preserve">2026_Bandhi-Pizza-Light-Snacks-Russian.pdf</t>
  </si>
  <si>
    <t xml:space="preserve">https://heritancehotels.eme-devops.com/2026/10/Bandhi-Pizza-Light-Snacks-Russian.pdf</t>
  </si>
  <si>
    <t xml:space="preserve">0e800c6d33c73538a6772b06874d863ab05a72dd45dd29edd7b48973ab969d5d</t>
  </si>
  <si>
    <t xml:space="preserve">library/035_heritance-aarah/brochure/2026_Bandhi-Pizza-Light-Snacks-Russian.pdf</t>
  </si>
  <si>
    <t xml:space="preserve">2020_RESORT-SAFETY-INFORMATION.pdf</t>
  </si>
  <si>
    <t xml:space="preserve">https://heritancehotels.eme-devops.com/2025/03/RESORT-SAFETY-INFORMATION.pdf</t>
  </si>
  <si>
    <t xml:space="preserve">f607a7069baab8fa2763bae496289c131e155f7317c143dd6332e606c6bbc37a</t>
  </si>
  <si>
    <t xml:space="preserve">library/035_heritance-aarah/brochure/2020_RESORT-SAFETY-INFORMATION.pdf</t>
  </si>
  <si>
    <t xml:space="preserve">2026_Ambula-Non-Vegetarian-Simplified-Chinese.pdf</t>
  </si>
  <si>
    <t xml:space="preserve">https://heritancehotels.eme-devops.com/2026/10/Ambula-Non-Vegetarian-Simplified-Chinese.pdf</t>
  </si>
  <si>
    <t xml:space="preserve">fdeab58bb406f44bc70490c688e581410732df483f2af7777dc376114961f93f</t>
  </si>
  <si>
    <t xml:space="preserve">library/035_heritance-aarah/other/2026_Ambula-Non-Vegetarian-Simplified-Chinese.pdf</t>
  </si>
  <si>
    <t xml:space="preserve">2022_Aarah-Kaito-Prices.pdf</t>
  </si>
  <si>
    <t xml:space="preserve">https://heritancehotels.eme-devops.com/2025/03/Aarah-Kaito-Prices.pdf</t>
  </si>
  <si>
    <t xml:space="preserve">9d4f9d785db08b88a8cba1a07f7af63f730ba8f1a4b50c1064694961ab09c446</t>
  </si>
  <si>
    <t xml:space="preserve">library/035_heritance-aarah/other/2022_Aarah-Kaito-Prices.pdf</t>
  </si>
  <si>
    <t xml:space="preserve">2021_The-Ritz-Carlton-Maldives-Factsheet.pdf</t>
  </si>
  <si>
    <t xml:space="preserve">https://www.neoscapesmaldives.com/wp-content/uploads/The-Ritz-Carlton-Maldives-Factsheet.pdf</t>
  </si>
  <si>
    <t xml:space="preserve">0b999049304d5753eb91ffd06f2ee4e827d28951f546b20354aa977ac2cd5c07</t>
  </si>
  <si>
    <t xml:space="preserve">library/037_the-ritz-carlton-maldives-fari-islands/factsheet/2021_The-Ritz-Carlton-Maldives-Factsheet.pdf</t>
  </si>
  <si>
    <t xml:space="preserve">2022_The-Ritz-Carlton-Maldives-Fari-Islands-Map.pdf</t>
  </si>
  <si>
    <t xml:space="preserve">https://www.neoscapesmaldives.com/wp-content/uploads/The-Ritz-Carlton-Maldives-Fari-Islands-Map.pdf</t>
  </si>
  <si>
    <t xml:space="preserve">51c0e6b1be1c78a77d4f5143dba4aa74bf4d9ddb25e423e81455f51e63e55730</t>
  </si>
  <si>
    <t xml:space="preserve">library/037_the-ritz-carlton-maldives-fari-islands/map/2022_The-Ritz-Carlton-Maldives-Fari-Islands-Map.pdf</t>
  </si>
  <si>
    <t xml:space="preserve">2025_Veli-Factsheet-W25-26S26Ver17062025.pdf</t>
  </si>
  <si>
    <t xml:space="preserve">https://sales.crownandchamparesorts.com/wp-content/uploads/2025/08/Veli-Factsheet-W25-26S26Ver17062025.pdf</t>
  </si>
  <si>
    <t xml:space="preserve">18a080bf8ba1859116b360ff14bff70325c4113d16f27acb988554b11321fa86</t>
  </si>
  <si>
    <t xml:space="preserve">library/038_veligandu-maldives-resort-island/factsheet/2025_Veli-Factsheet-W25-26S26Ver17062025.pdf</t>
  </si>
  <si>
    <t xml:space="preserve">ambiguous match [38]</t>
  </si>
  <si>
    <t xml:space="preserve">2025_Factsheet-W25-26S26Ver17062025.pdf</t>
  </si>
  <si>
    <t xml:space="preserve">veligandu.com</t>
  </si>
  <si>
    <t xml:space="preserve">https://veligandu.com/wp-content/uploads/2025/06/Factsheet-W25-26S26Ver17062025.pdf</t>
  </si>
  <si>
    <t xml:space="preserve">5335b3af3563d2b820d6ad132391241cd55311ddebff76e5a804208ff618ab34</t>
  </si>
  <si>
    <t xml:space="preserve">library/038_veligandu-maldives-resort-island/factsheet/2025_Factsheet-W25-26S26Ver17062025.pdf</t>
  </si>
  <si>
    <t xml:space="preserve">2019_FactSheetVeligandu110119103120Rev111619.pdf</t>
  </si>
  <si>
    <t xml:space="preserve">https://sales.crownandchamparesorts.com/wp-content/uploads/2018/04/FactSheetVeligandu110119103120Rev111619.pdf</t>
  </si>
  <si>
    <t xml:space="preserve">c46fa7037910af809b77bcbbb3798430a89add4ecfedbc897f5158b9285272b5</t>
  </si>
  <si>
    <t xml:space="preserve">library/038_veligandu-maldives-resort-island/factsheet/2019_FactSheetVeligandu110119103120Rev111619.pdf</t>
  </si>
  <si>
    <t xml:space="preserve">2024_Veli-HoneymoonGuestInfoRenewalsOfVows_110124-103125_Rev081524-240924.pdf</t>
  </si>
  <si>
    <t xml:space="preserve">https://veligandu.com/wp-content/uploads/2024/09/Veli-HoneymoonGuestInfoRenewalsOfVows_110124-103125_Rev081524-240924.pdf</t>
  </si>
  <si>
    <t xml:space="preserve">96db0da86705518932cf907e5c4818575c802ddc8df27b97aa60d2005aa6a9ef</t>
  </si>
  <si>
    <t xml:space="preserve">library/038_veligandu-maldives-resort-island/wedding/2024_Veli-HoneymoonGuestInfoRenewalsOfVows_110124-103125_Rev081524-240924.pdf</t>
  </si>
  <si>
    <t xml:space="preserve">2026_Veli-IslandMapFY2026Ver092126.pdf</t>
  </si>
  <si>
    <t xml:space="preserve">https://veligandu.com/wp-content/uploads/2026/09/Veli-IslandMapFY2026Ver092126.pdf</t>
  </si>
  <si>
    <t xml:space="preserve">9e97bed1fdb2a0e8b5d1aeba828ec3fbb8d3cac9d7b4c9f75628bc072d082ddb</t>
  </si>
  <si>
    <t xml:space="preserve">library/038_veligandu-maldives-resort-island/map/2026_Veli-IslandMapFY2026Ver092126.pdf</t>
  </si>
  <si>
    <t xml:space="preserve">2025_Veli-IslandMap110125103126Ver140625.pdf</t>
  </si>
  <si>
    <t xml:space="preserve">https://sales.crownandchamparesorts.com/wp-content/uploads/2025/08/Veli-IslandMap110125103126Ver140625.pdf</t>
  </si>
  <si>
    <t xml:space="preserve">4e815a1b8b2556fe0727cafe9aba2ef9dfeb5076ba5568782a2aeb42f6bd3b06</t>
  </si>
  <si>
    <t xml:space="preserve">library/038_veligandu-maldives-resort-island/map/2025_Veli-IslandMap110125103126Ver140625.pdf</t>
  </si>
  <si>
    <t xml:space="preserve">2025_Veli-IslandMapVer140625.pdf</t>
  </si>
  <si>
    <t xml:space="preserve">https://veligandu.com/wp-content/uploads/2025/06/Veli-IslandMapVer140625.pdf</t>
  </si>
  <si>
    <t xml:space="preserve">561ded314cf21f5cc7384ae89f068706f769da46b07558ceb2e513b903509048</t>
  </si>
  <si>
    <t xml:space="preserve">library/038_veligandu-maldives-resort-island/map/2025_Veli-IslandMapVer140625.pdf</t>
  </si>
  <si>
    <t xml:space="preserve">2024_Veligandu-Island-Map-290724.pdf</t>
  </si>
  <si>
    <t xml:space="preserve">https://sales.crownandchamparesorts.com/wp-content/uploads/2025/06/Veligandu-Island-Map-290724.pdf</t>
  </si>
  <si>
    <t xml:space="preserve">dceeaeb28b408bf03995679784cfa56c97434293c6b21b340327692ecebb4876</t>
  </si>
  <si>
    <t xml:space="preserve">library/038_veligandu-maldives-resort-island/map/2024_Veligandu-Island-Map-290724.pdf</t>
  </si>
  <si>
    <t xml:space="preserve">2024_Veli-FloorPlan3D_Rev062524.pdf</t>
  </si>
  <si>
    <t xml:space="preserve">https://veligandu.com/wp-content/uploads/2024/09/Veli-FloorPlan3D_Rev062524.pdf</t>
  </si>
  <si>
    <t xml:space="preserve">f79a1c1fae227dce6cd014ab5f192c600d51566c01c18411ceea345d36d2901f</t>
  </si>
  <si>
    <t xml:space="preserve">library/038_veligandu-maldives-resort-island/map/2024_Veli-FloorPlan3D_Rev062524.pdf</t>
  </si>
  <si>
    <t xml:space="preserve">2019_IslandMapColourRev060219.pdf</t>
  </si>
  <si>
    <t xml:space="preserve">https://sales.crownandchamparesorts.com/wp-content/uploads/2018/03/IslandMapColourRev060219.pdf</t>
  </si>
  <si>
    <t xml:space="preserve">b46067de679f1783d5b0bae639d967585c5f2896315aa7e1bc7de87c0749e853</t>
  </si>
  <si>
    <t xml:space="preserve">library/038_veligandu-maldives-resort-island/map/2019_IslandMapColourRev060219.pdf</t>
  </si>
  <si>
    <t xml:space="preserve">ambiguous match [38, 159]</t>
  </si>
  <si>
    <t xml:space="preserve">2017_MapVeliganduColor110117.pdf</t>
  </si>
  <si>
    <t xml:space="preserve">https://sales.crownandchamparesorts.com/wp-content/uploads/2018/04/MapVeliganduColor110117.pdf</t>
  </si>
  <si>
    <t xml:space="preserve">af611da61efadde8cf8d0b493c7d4fa80e881aaeb4c87e0a850c336d6d49c3d3</t>
  </si>
  <si>
    <t xml:space="preserve">library/038_veligandu-maldives-resort-island/map/2017_MapVeliganduColor110117.pdf</t>
  </si>
  <si>
    <t xml:space="preserve">2026_Veli-IslandSnorkelingMapFY2026Ver092126.pdf</t>
  </si>
  <si>
    <t xml:space="preserve">https://veligandu.com/wp-content/uploads/2026/09/Veli-IslandSnorkelingMapFY2026Ver092126.pdf</t>
  </si>
  <si>
    <t xml:space="preserve">dede035755fdc865fc52d1958a12b570f75e7fea8401af22bf013e70828d4eda</t>
  </si>
  <si>
    <t xml:space="preserve">library/038_veligandu-maldives-resort-island/dive_map/2026_Veli-IslandSnorkelingMapFY2026Ver092126.pdf</t>
  </si>
  <si>
    <t xml:space="preserve">2025_HimeynSpaMenuVer300425.pdf</t>
  </si>
  <si>
    <t xml:space="preserve">https://veligandu.com/wp-content/uploads/2025/06/HimeynSpaMenuVer300425.pdf</t>
  </si>
  <si>
    <t xml:space="preserve">46c9dc9e08245b49edac1172fce5a4b612f61015ee76eeb51f01b6fe307d82b8</t>
  </si>
  <si>
    <t xml:space="preserve">library/038_veligandu-maldives-resort-island/spa_menu/2025_HimeynSpaMenuVer300425.pdf</t>
  </si>
  <si>
    <t xml:space="preserve">2024_Veligandu_TeppanyakiSetMenu_09-11-2024.pdf</t>
  </si>
  <si>
    <t xml:space="preserve">https://veligandu.com/wp-content/uploads/2024/11/Veligandu_TeppanyakiSetMenu_09-11-2024.pdf</t>
  </si>
  <si>
    <t xml:space="preserve">b2d0ad6860f762472a6b4c5043b12bd9273e97be9968d909cc2198a7a9cbaeb9</t>
  </si>
  <si>
    <t xml:space="preserve">library/038_veligandu-maldives-resort-island/dining_menu/2024_Veligandu_TeppanyakiSetMenu_09-11-2024.pdf</t>
  </si>
  <si>
    <t xml:space="preserve">2024_Veligandu_SushiSashimiMenu-09-11-2024.pdf</t>
  </si>
  <si>
    <t xml:space="preserve">https://veligandu.com/wp-content/uploads/2024/11/Veligandu_SushiSashimiMenu-09-11-2024.pdf</t>
  </si>
  <si>
    <t xml:space="preserve">0f4c6c688b85ed7f3ba845940667acb714c26caffe7b786f9de2a1030802599b</t>
  </si>
  <si>
    <t xml:space="preserve">library/038_veligandu-maldives-resort-island/dining_menu/2024_Veligandu_SushiSashimiMenu-09-11-2024.pdf</t>
  </si>
  <si>
    <t xml:space="preserve">2024_Veligandu_RaalhuWineMenu_Landscape-09-11-2024.pdf</t>
  </si>
  <si>
    <t xml:space="preserve">https://veligandu.com/wp-content/uploads/2024/11/Veligandu_RaalhuWineMenu_Landscape-09-11-2024.pdf</t>
  </si>
  <si>
    <t xml:space="preserve">9927097b5c7a5318e35c06e8894c6062fee5f06a5821b1beb1c8dc8cba3bab19</t>
  </si>
  <si>
    <t xml:space="preserve">library/038_veligandu-maldives-resort-island/dining_menu/2024_Veligandu_RaalhuWineMenu_Landscape-09-11-2024.pdf</t>
  </si>
  <si>
    <t xml:space="preserve">2024_Veligandu_MasterWineMenu_Landscape_09-11-2024.pdf</t>
  </si>
  <si>
    <t xml:space="preserve">https://veligandu.com/wp-content/uploads/2024/11/Veligandu_MasterWineMenu_Landscape_09-11-2024.pdf</t>
  </si>
  <si>
    <t xml:space="preserve">f1fd7c8a1e2a96d8e35f7eb6f46b70d59c902b6e357266940049558f271a44f6</t>
  </si>
  <si>
    <t xml:space="preserve">library/038_veligandu-maldives-resort-island/dining_menu/2024_Veligandu_MasterWineMenu_Landscape_09-11-2024.pdf</t>
  </si>
  <si>
    <t xml:space="preserve">2024_Veligandu_MadivaruWineMenu_Landscape_09-11-2024.pdf</t>
  </si>
  <si>
    <t xml:space="preserve">https://veligandu.com/wp-content/uploads/2024/11/Veligandu_MadivaruWineMenu_Landscape_09-11-2024.pdf</t>
  </si>
  <si>
    <t xml:space="preserve">9fb5001fa26f5a4e331f7114e8e66ba458047ddb109c62ca4099057869c602fa</t>
  </si>
  <si>
    <t xml:space="preserve">library/038_veligandu-maldives-resort-island/dining_menu/2024_Veligandu_MadivaruWineMenu_Landscape_09-11-2024.pdf</t>
  </si>
  <si>
    <t xml:space="preserve">2024_Veligandu_MadivaruFoodMenu_09-11-2024.pdf</t>
  </si>
  <si>
    <t xml:space="preserve">https://veligandu.com/wp-content/uploads/2024/11/Veligandu_MadivaruFoodMenu_09-11-2024.pdf</t>
  </si>
  <si>
    <t xml:space="preserve">5dca7d20694b9e9578b3439c51d88c00ea9a87000408e0a26a46134029e54df7</t>
  </si>
  <si>
    <t xml:space="preserve">library/038_veligandu-maldives-resort-island/dining_menu/2024_Veligandu_MadivaruFoodMenu_09-11-2024.pdf</t>
  </si>
  <si>
    <t xml:space="preserve">2024_Veligandu_IVD-Menu_09-11-2024.pdf</t>
  </si>
  <si>
    <t xml:space="preserve">https://veligandu.com/wp-content/uploads/2024/11/Veligandu_IVD-Menu_09-11-2024.pdf</t>
  </si>
  <si>
    <t xml:space="preserve">9de4e2d91667a92714a789a7b8d7dbc6cc3ee74439b78777048b9cab57e07127</t>
  </si>
  <si>
    <t xml:space="preserve">library/038_veligandu-maldives-resort-island/dining_menu/2024_Veligandu_IVD-Menu_09-11-2024.pdf</t>
  </si>
  <si>
    <t xml:space="preserve">2023_MasterWineList_050226.pdf</t>
  </si>
  <si>
    <t xml:space="preserve">https://veligandu.com/wp-content/uploads/2026/05/MasterWineList_050226.pdf</t>
  </si>
  <si>
    <t xml:space="preserve">de7b3e4be2799e10230b5049ee6026eefcd383d4bd976b8f6b66a34d50994abc</t>
  </si>
  <si>
    <t xml:space="preserve">library/038_veligandu-maldives-resort-island/dining_menu/2023_MasterWineList_050226.pdf</t>
  </si>
  <si>
    <t xml:space="preserve">2022_MasterWineList_030326.pdf</t>
  </si>
  <si>
    <t xml:space="preserve">https://veligandu.com/wp-content/uploads/2026/05/MasterWineList_030326.pdf</t>
  </si>
  <si>
    <t xml:space="preserve">a67fa2555b873f86751c8ae3788bbb2e7b11d9b2ae9ff89ea6d90c9d48f0c44c</t>
  </si>
  <si>
    <t xml:space="preserve">library/038_veligandu-maldives-resort-island/dining_menu/2022_MasterWineList_030326.pdf</t>
  </si>
  <si>
    <t xml:space="preserve">2026_VeliExcursionPriceList2026_010126-123126.pdf</t>
  </si>
  <si>
    <t xml:space="preserve">https://veligandu.com/wp-content/uploads/2026/01/VeliExcursionPriceList2026_010126-123126.pdf</t>
  </si>
  <si>
    <t xml:space="preserve">08b9bebd294b938426ecd5f04046d7262560ab5ecc031db015dec9b05b720593</t>
  </si>
  <si>
    <t xml:space="preserve">library/038_veligandu-maldives-resort-island/dive_prices/2026_VeliExcursionPriceList2026_010126-123126.pdf</t>
  </si>
  <si>
    <t xml:space="preserve">2026_VeliWaterSportsCentre2026_010126-123126.pdf</t>
  </si>
  <si>
    <t xml:space="preserve">https://veligandu.com/wp-content/uploads/2026/01/VeliWaterSportsCentre2026_010126-123126.pdf</t>
  </si>
  <si>
    <t xml:space="preserve">9f8c67f880aaab787c9ec660fe170e3d6812609ef75e5872d3e40c78e18ea3de</t>
  </si>
  <si>
    <t xml:space="preserve">library/038_veligandu-maldives-resort-island/dive_prices/2026_VeliWaterSportsCentre2026_010126-123126.pdf</t>
  </si>
  <si>
    <t xml:space="preserve">2026_VMomentsPacakgesVer041525.pdf</t>
  </si>
  <si>
    <t xml:space="preserve">https://veligandu.com/wp-content/uploads/2025/06/VMomentsPacakgesVer041525.pdf</t>
  </si>
  <si>
    <t xml:space="preserve">9495f4db9a30b474330c2f4cbbffb0fc635154380a56ca96addb3b5708043872</t>
  </si>
  <si>
    <t xml:space="preserve">library/038_veligandu-maldives-resort-island/dive_prices/2026_VMomentsPacakgesVer041525.pdf</t>
  </si>
  <si>
    <t xml:space="preserve">2026_VeliDiveCentreCatalogue2026_010126-123126.pdf</t>
  </si>
  <si>
    <t xml:space="preserve">https://veligandu.com/wp-content/uploads/2026/01/VeliDiveCentreCatalogue2026_010126-123126.pdf</t>
  </si>
  <si>
    <t xml:space="preserve">be4ec7b5b9a6a82519c72f799060834e5f63199aa421d3d42db8b3c5f1b3c152</t>
  </si>
  <si>
    <t xml:space="preserve">library/038_veligandu-maldives-resort-island/dive_prices/2026_VeliDiveCentreCatalogue2026_010126-123126.pdf</t>
  </si>
  <si>
    <t xml:space="preserve">2025_Veli-ExcursionPriceList110125103126_Rev050126.pdf</t>
  </si>
  <si>
    <t xml:space="preserve">https://veligandu.com/wp-content/uploads/2026/05/Veli-ExcursionPriceList110125103126_Rev050126.pdf</t>
  </si>
  <si>
    <t xml:space="preserve">515a16443b3c0312c5868d2595ff1661f4a3fca4f57b30229da21ca0a5cd4a52</t>
  </si>
  <si>
    <t xml:space="preserve">library/038_veligandu-maldives-resort-island/dive_prices/2025_Veli-ExcursionPriceList110125103126_Rev050126.pdf</t>
  </si>
  <si>
    <t xml:space="preserve">2025_Veli-DiveCenterCatalog110125103126_Rev050126.pdf</t>
  </si>
  <si>
    <t xml:space="preserve">https://veligandu.com/wp-content/uploads/2026/05/Veli-DiveCenterCatalog110125103126_Rev050126.pdf</t>
  </si>
  <si>
    <t xml:space="preserve">65cbaf428339a160e127ead2a9ebb82ec7569366d12174ba074c3c33cce978fa</t>
  </si>
  <si>
    <t xml:space="preserve">library/038_veligandu-maldives-resort-island/dive_prices/2025_Veli-DiveCenterCatalog110125103126_Rev050126.pdf</t>
  </si>
  <si>
    <t xml:space="preserve">2025_Veli-WaterSportsCatalog110125103126_Rev050126.pdf</t>
  </si>
  <si>
    <t xml:space="preserve">https://veligandu.com/wp-content/uploads/2026/05/Veli-WaterSportsCatalog110125103126_Rev050126.pdf</t>
  </si>
  <si>
    <t xml:space="preserve">fa51dee6a4b1f64e6f907dd345bbf374c90b66694aa0c20dbc882ed908c805f7</t>
  </si>
  <si>
    <t xml:space="preserve">library/038_veligandu-maldives-resort-island/dive_prices/2025_Veli-WaterSportsCatalog110125103126_Rev050126.pdf</t>
  </si>
  <si>
    <t xml:space="preserve">2024_15.-Veli-WatersportsCatalog_110124-113024_Rev072424-240924.pdf</t>
  </si>
  <si>
    <t xml:space="preserve">https://veligandu.com/wp-content/uploads/2024/09/15.-Veli-WatersportsCatalog_110124-113024_Rev072424-240924.pdf</t>
  </si>
  <si>
    <t xml:space="preserve">ab70d56df22c9e81292eca323fff82ee483a70f44affd6c6b71a646fa7e32eaf</t>
  </si>
  <si>
    <t xml:space="preserve">library/038_veligandu-maldives-resort-island/dive_prices/2024_15.-Veli-WatersportsCatalog_110124-113024_Rev072424-240924.pdf</t>
  </si>
  <si>
    <t xml:space="preserve">2024_11.-Veli-DiveCatalog_110124-113025_Rev072324_240924.pdf</t>
  </si>
  <si>
    <t xml:space="preserve">https://veligandu.com/wp-content/uploads/2024/09/11.-Veli-DiveCatalog_110124-113025_Rev072324_240924.pdf</t>
  </si>
  <si>
    <t xml:space="preserve">ec246af80ed6b51505136a81a40458e1089fc7f90d7e673fb0fde95a2e009de8</t>
  </si>
  <si>
    <t xml:space="preserve">library/038_veligandu-maldives-resort-island/dive_prices/2024_11.-Veli-DiveCatalog_110124-113025_Rev072324_240924.pdf</t>
  </si>
  <si>
    <t xml:space="preserve">2020_OceanDiveandSportsCenterSOP-071720VELI.pdf</t>
  </si>
  <si>
    <t xml:space="preserve">https://sales.crownandchamparesorts.com/wp-content/uploads/2020/07/OceanDiveandSportsCenterSOP-071720VELI.pdf</t>
  </si>
  <si>
    <t xml:space="preserve">9ecdc49cbf1f018e65bd21112dd46389caec9dbf1cc73f41c7a1c915d7667433</t>
  </si>
  <si>
    <t xml:space="preserve">library/038_veligandu-maldives-resort-island/dive_prices/2020_OceanDiveandSportsCenterSOP-071720VELI.pdf</t>
  </si>
  <si>
    <t xml:space="preserve">2026_ListIndoorOutdoorSportsActivitiesVer072926-1.pdf</t>
  </si>
  <si>
    <t xml:space="preserve">https://veligandu.com/wp-content/uploads/2026/07/ListIndoorOutdoorSportsActivitiesVer072926-1.pdf</t>
  </si>
  <si>
    <t xml:space="preserve">9330ff20623f38d711e80b161fc6c5b163d9d1653efa43d917084d45f76ac580</t>
  </si>
  <si>
    <t xml:space="preserve">library/038_veligandu-maldives-resort-island/excursions/2026_ListIndoorOutdoorSportsActivitiesVer072926-1.pdf</t>
  </si>
  <si>
    <t xml:space="preserve">2026_VeliWeeklyExcursionSchedule2026_010126-123126.pdf</t>
  </si>
  <si>
    <t xml:space="preserve">https://veligandu.com/wp-content/uploads/2026/01/VeliWeeklyExcursionSchedule2026_010126-123126.pdf</t>
  </si>
  <si>
    <t xml:space="preserve">6cee7f5d1dccd6b7401d0bc2a56df72627aec2a4e5a08a9ec6406353c50636a2</t>
  </si>
  <si>
    <t xml:space="preserve">library/038_veligandu-maldives-resort-island/excursions/2026_VeliWeeklyExcursionSchedule2026_010126-123126.pdf</t>
  </si>
  <si>
    <t xml:space="preserve">2026_VeliExcursionsCentreCatalogue2026_010126-123126_.pdf</t>
  </si>
  <si>
    <t xml:space="preserve">https://veligandu.com/wp-content/uploads/2026/01/VeliExcursionsCentreCatalogue2026_010126-123126_.pdf</t>
  </si>
  <si>
    <t xml:space="preserve">c6795a50850b2ba0c7828ece40f0291b871f58d758c1e1c92977ab79dfafa176</t>
  </si>
  <si>
    <t xml:space="preserve">library/038_veligandu-maldives-resort-island/excursions/2026_VeliExcursionsCentreCatalogue2026_010126-123126_.pdf</t>
  </si>
  <si>
    <t xml:space="preserve">2026_ListIndoorOutdoorSportsActivitiesVer041525.pdf</t>
  </si>
  <si>
    <t xml:space="preserve">https://veligandu.com/wp-content/uploads/2025/06/ListIndoorOutdoorSportsActivitiesVer041525.pdf</t>
  </si>
  <si>
    <t xml:space="preserve">cb2afc5ce8c792da0a1f08ee6fe1d102283d37015ea3a30b094adaea5e928232</t>
  </si>
  <si>
    <t xml:space="preserve">library/038_veligandu-maldives-resort-island/excursions/2026_ListIndoorOutdoorSportsActivitiesVer041525.pdf</t>
  </si>
  <si>
    <t xml:space="preserve">2025_Veli-ExcursionWeeklySchedule110125103126_Rev050126.pdf</t>
  </si>
  <si>
    <t xml:space="preserve">https://veligandu.com/wp-content/uploads/2026/05/Veli-ExcursionWeeklySchedule110125103126_Rev050126.pdf</t>
  </si>
  <si>
    <t xml:space="preserve">4b40c47c4f04c18038356f765ae438ec05e9a8019c771367c40d514e7946de74</t>
  </si>
  <si>
    <t xml:space="preserve">library/038_veligandu-maldives-resort-island/excursions/2025_Veli-ExcursionWeeklySchedule110125103126_Rev050126.pdf</t>
  </si>
  <si>
    <t xml:space="preserve">2025_Veli-ExcursionCatalog110125103126_Rev050126.pdf</t>
  </si>
  <si>
    <t xml:space="preserve">https://veligandu.com/wp-content/uploads/2026/05/Veli-ExcursionCatalog110125103126_Rev050126.pdf</t>
  </si>
  <si>
    <t xml:space="preserve">6169caf4296d7de3f9f2c5ae153c9dd1e061913da5e4c2558d19029c1102faed</t>
  </si>
  <si>
    <t xml:space="preserve">library/038_veligandu-maldives-resort-island/excursions/2025_Veli-ExcursionCatalog110125103126_Rev050126.pdf</t>
  </si>
  <si>
    <t xml:space="preserve">2025_ListIndoorOutdoorSportsActivitiesVer081524.pdf</t>
  </si>
  <si>
    <t xml:space="preserve">https://veligandu.com/wp-content/uploads/2025/09/ListIndoorOutdoorSportsActivitiesVer081524.pdf</t>
  </si>
  <si>
    <t xml:space="preserve">ecb300cfc33d66ce8c812e9754d021183e2a1f8989be8d8124240c510730af58</t>
  </si>
  <si>
    <t xml:space="preserve">library/038_veligandu-maldives-resort-island/excursions/2025_ListIndoorOutdoorSportsActivitiesVer081524.pdf</t>
  </si>
  <si>
    <t xml:space="preserve">2025_WeeklyExcursionsScheduleVer300425.pdf</t>
  </si>
  <si>
    <t xml:space="preserve">https://veligandu.com/wp-content/uploads/2025/06/WeeklyExcursionsScheduleVer300425.pdf</t>
  </si>
  <si>
    <t xml:space="preserve">f713417620c623c623acf027131968af921853d68e818cd30cd8e6c0fd2bc4dd</t>
  </si>
  <si>
    <t xml:space="preserve">library/038_veligandu-maldives-resort-island/excursions/2025_WeeklyExcursionsScheduleVer300425.pdf</t>
  </si>
  <si>
    <t xml:space="preserve">2024_13.-Veli-ExcursionsCatalog_110124-113024_Rev072324-240924.pdf</t>
  </si>
  <si>
    <t xml:space="preserve">https://veligandu.com/wp-content/uploads/2024/09/13.-Veli-ExcursionsCatalog_110124-113024_Rev072324-240924.pdf</t>
  </si>
  <si>
    <t xml:space="preserve">817216f94b758ccc74958ff11425805d8b92ee4aafa27c61e000a71ed9f4f3f4</t>
  </si>
  <si>
    <t xml:space="preserve">library/038_veligandu-maldives-resort-island/excursions/2024_13.-Veli-ExcursionsCatalog_110124-113024_Rev072324-240924.pdf</t>
  </si>
  <si>
    <t xml:space="preserve">2024_Veli-GuestVillaSizes_Rev081524.pdf</t>
  </si>
  <si>
    <t xml:space="preserve">https://veligandu.com/wp-content/uploads/2024/09/Veli-GuestVillaSizes_Rev081524.pdf</t>
  </si>
  <si>
    <t xml:space="preserve">454a52d6ff2ce29b1435120c2792100e876e737f4616cac49c1561adf3bcf1ef</t>
  </si>
  <si>
    <t xml:space="preserve">library/038_veligandu-maldives-resort-island/villa_plans/2024_Veli-GuestVillaSizes_Rev081524.pdf</t>
  </si>
  <si>
    <t xml:space="preserve">2025_AIl-InclusiveDineAroundPack103125_Rev24.pdf</t>
  </si>
  <si>
    <t xml:space="preserve">https://veligandu.com/wp-content/uploads/2025/06/AIl-InclusiveDineAroundPack103125_Rev24.pdf</t>
  </si>
  <si>
    <t xml:space="preserve">8d2568346bffd2512515f279eff1509d01b2df7ed5aa9f6d869bca4a9eae7b2f</t>
  </si>
  <si>
    <t xml:space="preserve">library/038_veligandu-maldives-resort-island/all_inclusive/2025_AIl-InclusiveDineAroundPack103125_Rev24.pdf</t>
  </si>
  <si>
    <t xml:space="preserve">2024_Veli-AIl-InclusiveDineAroundPackageBrochuRev281024.pdf</t>
  </si>
  <si>
    <t xml:space="preserve">https://veligandu.com/wp-content/uploads/2024/10/Veli-AIl-InclusiveDineAroundPackageBrochuRev281024.pdf</t>
  </si>
  <si>
    <t xml:space="preserve">13ca1b5f1da903288f03ac55da9c5aca7edd5ef828a93f306e8b1c4b591a76bb</t>
  </si>
  <si>
    <t xml:space="preserve">library/038_veligandu-maldives-resort-island/all_inclusive/2024_Veli-AIl-InclusiveDineAroundPackageBrochuRev281024.pdf</t>
  </si>
  <si>
    <t xml:space="preserve">2026_VeliOceanConservationCatalogue2026_010126-123126.pdf</t>
  </si>
  <si>
    <t xml:space="preserve">https://veligandu.com/wp-content/uploads/2026/01/VeliOceanConservationCatalogue2026_010126-123126.pdf</t>
  </si>
  <si>
    <t xml:space="preserve">75f8be5c6e5738cf605e702eb89180ef4fbce2fcd2638e8e48775a754fe1007e</t>
  </si>
  <si>
    <t xml:space="preserve">library/038_veligandu-maldives-resort-island/sustainability/2026_VeliOceanConservationCatalogue2026_010126-123126.pdf</t>
  </si>
  <si>
    <t xml:space="preserve">2026_January-Calendar-2026.pdf</t>
  </si>
  <si>
    <t xml:space="preserve">https://veligandu.com/wp-content/uploads/2026/01/January-Calendar-2026.pdf</t>
  </si>
  <si>
    <t xml:space="preserve">6129a7b5a4682242c414e0f132246d525323bb562b9de78d1ae5d047ee5a929d</t>
  </si>
  <si>
    <t xml:space="preserve">library/038_veligandu-maldives-resort-island/calendar/2026_January-Calendar-2026.pdf</t>
  </si>
  <si>
    <t xml:space="preserve">2026_March-2026-Calendar.pdf</t>
  </si>
  <si>
    <t xml:space="preserve">https://veligandu.com/wp-content/uploads/2026/01/March-2026-Calendar.pdf</t>
  </si>
  <si>
    <t xml:space="preserve">40da8854b15466ec00108f348785fbda9c4c5eae141d0f8a325a1526ccb51ffa</t>
  </si>
  <si>
    <t xml:space="preserve">library/038_veligandu-maldives-resort-island/calendar/2026_March-2026-Calendar.pdf</t>
  </si>
  <si>
    <t xml:space="preserve">2026_February-2026-Calendar.pdf</t>
  </si>
  <si>
    <t xml:space="preserve">https://veligandu.com/wp-content/uploads/2026/01/February-2026-Calendar.pdf</t>
  </si>
  <si>
    <t xml:space="preserve">3b98b783143b320c3ef240efe224f61fe252fcd1cec973c6501c59032b02da65</t>
  </si>
  <si>
    <t xml:space="preserve">library/038_veligandu-maldives-resort-island/calendar/2026_February-2026-Calendar.pdf</t>
  </si>
  <si>
    <t xml:space="preserve">2026_veligandu-festive-brochure-25-26-compressed-24092025.pdf</t>
  </si>
  <si>
    <t xml:space="preserve">https://veligandu.com/wp-content/uploads/2025/09/veligandu-festive-brochure-25-26-compressed-24092025.pdf</t>
  </si>
  <si>
    <t xml:space="preserve">d8468da8f4b4ddc75d97361bb62dbbb2f495c8d56db27fd3e1d57ab0d64a2df9</t>
  </si>
  <si>
    <t xml:space="preserve">library/038_veligandu-maldives-resort-island/calendar/2026_veligandu-festive-brochure-25-26-compressed-24092025.pdf</t>
  </si>
  <si>
    <t xml:space="preserve">2026_WeeklyEntertainmentScheduleVer041525.pdf</t>
  </si>
  <si>
    <t xml:space="preserve">https://veligandu.com/wp-content/uploads/2025/06/WeeklyEntertainmentScheduleVer041525.pdf</t>
  </si>
  <si>
    <t xml:space="preserve">e9846c52c120bbd0508fb5dc24ad736dffcbb78bc72ca9971bf898b6743a0708</t>
  </si>
  <si>
    <t xml:space="preserve">library/038_veligandu-maldives-resort-island/calendar/2026_WeeklyEntertainmentScheduleVer041525.pdf</t>
  </si>
  <si>
    <t xml:space="preserve">2025_veligandu-valentines-day-brochure-2025.pdf</t>
  </si>
  <si>
    <t xml:space="preserve">https://veligandu.com/wp-content/uploads/2025/02/veligandu-valentines-day-brochure-2025.pdf</t>
  </si>
  <si>
    <t xml:space="preserve">42b53410ea0ee0922d6bac0c733d18f61cb2c7ae61f3bcdb12080b2026376cd9</t>
  </si>
  <si>
    <t xml:space="preserve">library/038_veligandu-maldives-resort-island/brochure/2025_veligandu-valentines-day-brochure-2025.pdf</t>
  </si>
  <si>
    <t xml:space="preserve">2018_Amari-Havodda-Factsheet.pdf</t>
  </si>
  <si>
    <t xml:space="preserve">https://neoscapesmaldives.com/wp-content/uploads/Amari-Havodda-Factsheet.pdf</t>
  </si>
  <si>
    <t xml:space="preserve">a59811f843e1f7cf3193925c78af54428dcd0fbe03d169ef8da498661ab8092a</t>
  </si>
  <si>
    <t xml:space="preserve">library/039_nh-collection-maldives-havodda-resort/factsheet/2018_Amari-Havodda-Factsheet.pdf</t>
  </si>
  <si>
    <t xml:space="preserve">2019_Amari-Havodda-Maldives-Map.pdf</t>
  </si>
  <si>
    <t xml:space="preserve">https://neoscapesmaldives.com/wp-content/uploads/Amari-Havodda-Maldives-Map.pdf</t>
  </si>
  <si>
    <t xml:space="preserve">fd7d720baa1b7f08607fbf7b03c29035e9cf1b26f05a304c9b2d9ccd1c5cc366</t>
  </si>
  <si>
    <t xml:space="preserve">library/039_nh-collection-maldives-havodda-resort/map/2019_Amari-Havodda-Maldives-Map.pdf</t>
  </si>
  <si>
    <t xml:space="preserve">2022_Resort-Factsheet-Le-Meridien-Maldives.pdf</t>
  </si>
  <si>
    <t xml:space="preserve">https://www.neoscapesmaldives.com/wp-content/uploads/Resort-Factsheet-Le-Meridien-Maldives.pdf</t>
  </si>
  <si>
    <t xml:space="preserve">eddd25783828b410c3f4b20c2eda00dbf2a3ef2f4e1ad4e0f69993fb8e200fbf</t>
  </si>
  <si>
    <t xml:space="preserve">library/040_le-meridien-maldives-resort-and-spa/factsheet/2022_Resort-Factsheet-Le-Meridien-Maldives.pdf</t>
  </si>
  <si>
    <t xml:space="preserve">2022_Resort-Map-Le-Meridien-Maldives.pdf</t>
  </si>
  <si>
    <t xml:space="preserve">https://www.neoscapesmaldives.com/wp-content/uploads/Resort-Map-Le-Meridien-Maldives.pdf</t>
  </si>
  <si>
    <t xml:space="preserve">0a3799bcf0f130852efb17b9ae67d986d6c6fe806e6ce88c968a736116f2db0c</t>
  </si>
  <si>
    <t xml:space="preserve">library/040_le-meridien-maldives-resort-and-spa/map/2022_Resort-Map-Le-Meridien-Maldives.pdf</t>
  </si>
  <si>
    <t xml:space="preserve">2025_OZEN-LIFE-MAADHOO-Fact-Sheet-2025.pdf</t>
  </si>
  <si>
    <t xml:space="preserve">https://www.neoscapesmaldives.com/wp-content/uploads/OZEN-LIFE-MAADHOO-Fact-Sheet-2025.pdf</t>
  </si>
  <si>
    <t xml:space="preserve">e3425d1fc89e17e25df5289874ac600227e6fb4cecf880383b7726bcfcf0c90b</t>
  </si>
  <si>
    <t xml:space="preserve">library/041_ozen-by-atmosphere-at-maadhoo/factsheet/2025_OZEN-LIFE-MAADHOO-Fact-Sheet-2025.pdf</t>
  </si>
  <si>
    <t xml:space="preserve">2023_OZEN-LIFE-MAADHOO-Resort-Map-1.pdf</t>
  </si>
  <si>
    <t xml:space="preserve">https://www.neoscapesmaldives.com/wp-content/uploads/OZEN-LIFE-MAADHOO-Resort-Map-1.pdf</t>
  </si>
  <si>
    <t xml:space="preserve">6e09bb8abd272db0ce8fd33dc58f291886eeb4aea1e963338c03041a44a71b28</t>
  </si>
  <si>
    <t xml:space="preserve">library/041_ozen-by-atmosphere-at-maadhoo/map/2023_OZEN-LIFE-MAADHOO-Resort-Map-1.pdf</t>
  </si>
  <si>
    <t xml:space="preserve">2025_Dhigufaru-Fact-Sheet-English.pdf</t>
  </si>
  <si>
    <t xml:space="preserve">dhigufaru.com</t>
  </si>
  <si>
    <t xml:space="preserve">https://dhigufaru.com/app/wp-content/uploads/2026/06/Dhigufaru-Fact-Sheet-English.pdf</t>
  </si>
  <si>
    <t xml:space="preserve">0f6090ce4810a14457ec36910b96ade00b9478c4f17959d1c9f4b5f96989f71e</t>
  </si>
  <si>
    <t xml:space="preserve">library/043_dhigufaru-island-resort/factsheet/2025_Dhigufaru-Fact-Sheet-English.pdf</t>
  </si>
  <si>
    <t xml:space="preserve">2024_Dhigufaru-Island-Resort-Fact-Sheet-July-2024.pdf</t>
  </si>
  <si>
    <t xml:space="preserve">https://dhigufaru.com/app/wp-content/uploads/2024/08/Dhigufaru-Island-Resort-Fact-Sheet-July-2024.pdf</t>
  </si>
  <si>
    <t xml:space="preserve">7adae9e79a30b94fa76c4699689944bf1489bd092ab7d21dc985e178da9d5360</t>
  </si>
  <si>
    <t xml:space="preserve">library/043_dhigufaru-island-resort/factsheet/2024_Dhigufaru-Island-Resort-Fact-Sheet-July-2024.pdf</t>
  </si>
  <si>
    <t xml:space="preserve">2020_Dhigufaru-Fact-Sheet-2020.pdf</t>
  </si>
  <si>
    <t xml:space="preserve">https://dhigufaru.com/app/wp-content/uploads/2020/10/Dhigufaru-Fact-Sheet-2020.pdf</t>
  </si>
  <si>
    <t xml:space="preserve">d508a9d40c4979e02e80fd62608228adf367a24852a41abf45376a839675ebad</t>
  </si>
  <si>
    <t xml:space="preserve">library/043_dhigufaru-island-resort/factsheet/2020_Dhigufaru-Fact-Sheet-2020.pdf</t>
  </si>
  <si>
    <t xml:space="preserve">2017_Dhigufaru_Factsheet.pdf</t>
  </si>
  <si>
    <t xml:space="preserve">https://dhigufaru.com/app/wp-content/uploads/2018/07/Dhigufaru_Factsheet.pdf</t>
  </si>
  <si>
    <t xml:space="preserve">https://dhigufaru.com/app/wp-content/uploads/2018/07/Dhigufaru_Factsheet.pdf | https://dhigufaru.com/app/wp-content/uploads/2017/08/Dhigufaru-Factsheet.pdf</t>
  </si>
  <si>
    <t xml:space="preserve">2e6ba33d0ddc998bf55aa412d36dcf31c87c99f7c63865782771fda61a374fd6</t>
  </si>
  <si>
    <t xml:space="preserve">library/043_dhigufaru-island-resort/factsheet/2017_Dhigufaru_Factsheet.pdf</t>
  </si>
  <si>
    <t xml:space="preserve">2024_Dhigufaru-Wedding-Proposal-Packages-2024.pdf</t>
  </si>
  <si>
    <t xml:space="preserve">https://dhigufaru.com/app/wp-content/uploads/2024/12/Dhigufaru-Wedding-Proposal-Packages-2024.pdf</t>
  </si>
  <si>
    <t xml:space="preserve">8d0072b331b826056733e995ded45c8d54d42a1b277032a628904246b047821e</t>
  </si>
  <si>
    <t xml:space="preserve">library/043_dhigufaru-island-resort/wedding/2024_Dhigufaru-Wedding-Proposal-Packages-2024.pdf</t>
  </si>
  <si>
    <t xml:space="preserve">2017_Huifilandaa-Pavilion.pdf</t>
  </si>
  <si>
    <t xml:space="preserve">https://dhigufaru.com/app/wp-content/uploads/2016/03/Huifilandaa-Pavilion.pdf</t>
  </si>
  <si>
    <t xml:space="preserve">5d0caafba1d3458d281de18909e19727ba6cf084df01ec1090f829a1263a9ef5</t>
  </si>
  <si>
    <t xml:space="preserve">library/043_dhigufaru-island-resort/spa_menu/2017_Huifilandaa-Pavilion.pdf</t>
  </si>
  <si>
    <t xml:space="preserve">2016_FS-fp-screen.pdf</t>
  </si>
  <si>
    <t xml:space="preserve">https://dhigufaru.com/app/wp-content/uploads/2016/03/FS-fp-screen.pdf</t>
  </si>
  <si>
    <t xml:space="preserve">7bab34316d8992098696b51359b6298fbb2e9e5356d06f07fa7fb31d76d79a9c</t>
  </si>
  <si>
    <t xml:space="preserve">library/043_dhigufaru-island-resort/villa_plans/2016_FS-fp-screen.pdf</t>
  </si>
  <si>
    <t xml:space="preserve">2018_Dhigufaru_Brochure_2018-s.pdf</t>
  </si>
  <si>
    <t xml:space="preserve">https://dhigufaru.com/app/wp-content/uploads/2018/07/Dhigufaru_Brochure_2018-s.pdf</t>
  </si>
  <si>
    <t xml:space="preserve">fa370a622d7528dfecce293819861e5da7c15f365abfe339b34b1bae2e0c9a3e</t>
  </si>
  <si>
    <t xml:space="preserve">library/043_dhigufaru-island-resort/brochure/2018_Dhigufaru_Brochure_2018-s.pdf</t>
  </si>
  <si>
    <t xml:space="preserve">2017_Dhigufaru_brochure.pdf</t>
  </si>
  <si>
    <t xml:space="preserve">https://dhigufaru.com/Dhigufaru_brochure.pdf</t>
  </si>
  <si>
    <t xml:space="preserve">70a70710f6c3a8f57629fb094342080d905a4b70b9a39f8803a197fb35d1f8cd</t>
  </si>
  <si>
    <t xml:space="preserve">library/043_dhigufaru-island-resort/brochure/2017_Dhigufaru_brochure.pdf</t>
  </si>
  <si>
    <t xml:space="preserve">2016_Dhigu-brochure-screen.pdf</t>
  </si>
  <si>
    <t xml:space="preserve">https://dhigufaru.com/app/wp-content/uploads/2016/03/Dhigu-brochure-screen.pdf</t>
  </si>
  <si>
    <t xml:space="preserve">0bb1ffdfcc4de2550a40618fcaa7bdf0bf68c489e6a18d318c9c37ae84408a96</t>
  </si>
  <si>
    <t xml:space="preserve">library/043_dhigufaru-island-resort/brochure/2016_Dhigu-brochure-screen.pdf</t>
  </si>
  <si>
    <t xml:space="preserve">2026_HRH_Wedding_Brochure_2026.pdf</t>
  </si>
  <si>
    <t xml:space="preserve">hardrockhotels.com</t>
  </si>
  <si>
    <t xml:space="preserve">https://hotel.hardrock.com/maldives/files/6016/HRH_Wedding_Brochure_2026.pdf</t>
  </si>
  <si>
    <t xml:space="preserve">345078772eeecaab5fe5e0ae7af43d70e2d16937480a97aab6ab036abe68ced4</t>
  </si>
  <si>
    <t xml:space="preserve">library/044_hard-rock-hotel-maldives/wedding/2026_HRH_Wedding_Brochure_2026.pdf</t>
  </si>
  <si>
    <t xml:space="preserve">2026_Hard_Rock_Maldives_Reosrt_Map_2026.pdf</t>
  </si>
  <si>
    <t xml:space="preserve">https://hotel.hardrock.com/maldives/files/6016/Hard_Rock_Maldives_Reosrt_Map_2026.pdf</t>
  </si>
  <si>
    <t xml:space="preserve">beb84d1388aefb3e95c84bc6e3b1727435ad4eb461e04cc5da2f2dba833be164</t>
  </si>
  <si>
    <t xml:space="preserve">library/044_hard-rock-hotel-maldives/map/2026_Hard_Rock_Maldives_Reosrt_Map_2026.pdf</t>
  </si>
  <si>
    <t xml:space="preserve">2024_Hard_Rock_Hotel_Maldives_Island_Map_-_December_2024.pdf</t>
  </si>
  <si>
    <t xml:space="preserve">https://hotel.hardrock.com/maldives/files/6016/Hard_Rock_Hotel_Maldives_Island_Map_-_December_2024.pdf</t>
  </si>
  <si>
    <t xml:space="preserve">2d38c38cb9274eed3e8595930e6792e083ae2a6d0ff7cc0c24be0f6243dff06a</t>
  </si>
  <si>
    <t xml:space="preserve">library/044_hard-rock-hotel-maldives/map/2024_Hard_Rock_Hotel_Maldives_Island_Map_-_December_2024.pdf</t>
  </si>
  <si>
    <t xml:space="preserve">2026_Body_Rock_Private_Lessons.pdf</t>
  </si>
  <si>
    <t xml:space="preserve">https://hotel.hardrock.com/maldives/files/6016/Body_Rock_Private_Lessons.pdf</t>
  </si>
  <si>
    <t xml:space="preserve">b45b9e4f88753861d7afc8965502b067a487d59cba228c1bec87d718ced65ffd</t>
  </si>
  <si>
    <t xml:space="preserve">library/044_hard-rock-hotel-maldives/spa_menu/2026_Body_Rock_Private_Lessons.pdf</t>
  </si>
  <si>
    <t xml:space="preserve">ambiguous match [44]</t>
  </si>
  <si>
    <t xml:space="preserve">2025_RockSpa_Menu_2025.pdf</t>
  </si>
  <si>
    <t xml:space="preserve">https://hotel.hardrock.com/maldives/files/6016/RockSpa_Menu_2025.pdf</t>
  </si>
  <si>
    <t xml:space="preserve">b1bfe1af84a738406e3c0a4bc8ecdab9841bfefe2ca029c9b758dd51657dee04</t>
  </si>
  <si>
    <t xml:space="preserve">library/044_hard-rock-hotel-maldives/spa_menu/2025_RockSpa_Menu_2025.pdf</t>
  </si>
  <si>
    <t xml:space="preserve">2025_RockSpa_Pricelist_2025.pdf</t>
  </si>
  <si>
    <t xml:space="preserve">https://hotel.hardrock.com/maldives/files/6016/RockSpa_Pricelist_2025.pdf</t>
  </si>
  <si>
    <t xml:space="preserve">e5eb1de337847263ebdab4fd408b1c3624b1d3abdd439223c2ae6e2378d24deb</t>
  </si>
  <si>
    <t xml:space="preserve">library/044_hard-rock-hotel-maldives/spa_menu/2025_RockSpa_Pricelist_2025.pdf</t>
  </si>
  <si>
    <t xml:space="preserve">2026_E_B_Lunch_Menu_A3_2026.06.24.pdf</t>
  </si>
  <si>
    <t xml:space="preserve">https://hotel.hardrock.com/maldives/files/6016/E&amp;B_Lunch_Menu_A3_2026.06.24.pdf</t>
  </si>
  <si>
    <t xml:space="preserve">024fc187bb645ff989d58940f2a478ef4e29d1d37ed38a9c7b5d7e747ad9ce86</t>
  </si>
  <si>
    <t xml:space="preserve">library/044_hard-rock-hotel-maldives/dining_menu/2026_E_B_Lunch_Menu_A3_2026.06.24.pdf</t>
  </si>
  <si>
    <t xml:space="preserve">2026_CN_Sessions_All_Day_Dining_A3_2026.08.27.pdf</t>
  </si>
  <si>
    <t xml:space="preserve">https://hotel.hardrock.com/maldives/files/6016/CN_Sessions_All_Day_Dining_A3_2026.08.27.pdf</t>
  </si>
  <si>
    <t xml:space="preserve">d8beecd22be92d319abb0bff4c7fb6354b80ab46e6aee833058116524ada2826</t>
  </si>
  <si>
    <t xml:space="preserve">library/044_hard-rock-hotel-maldives/dining_menu/2026_CN_Sessions_All_Day_Dining_A3_2026.08.27.pdf</t>
  </si>
  <si>
    <t xml:space="preserve">2026_ENB_Pizza_Menu_2026.06.27.pdf</t>
  </si>
  <si>
    <t xml:space="preserve">https://hotel.hardrock.com/maldives/files/6016/ENB_Pizza_Menu_2026.06.27.pdf</t>
  </si>
  <si>
    <t xml:space="preserve">6452485182f47e625a19954b75721d4e7b2aadb103abbbd8603aa0bd284e9a93</t>
  </si>
  <si>
    <t xml:space="preserve">library/044_hard-rock-hotel-maldives/dining_menu/2026_ENB_Pizza_Menu_2026.06.27.pdf</t>
  </si>
  <si>
    <t xml:space="preserve">2026_RUS_E_B_Lunch_Menu_A3_2026.06.24.pdf</t>
  </si>
  <si>
    <t xml:space="preserve">https://hotel.hardrock.com/maldives/files/6016/RUS_E&amp;B_Lunch_Menu_A3_2026.06.24.pdf</t>
  </si>
  <si>
    <t xml:space="preserve">0197979cfd2ca451cfc4324a99b3f18ab7f22c002de7e8673f8aca8e29317910</t>
  </si>
  <si>
    <t xml:space="preserve">library/044_hard-rock-hotel-maldives/dining_menu/2026_RUS_E_B_Lunch_Menu_A3_2026.06.24.pdf</t>
  </si>
  <si>
    <t xml:space="preserve">2026_CN_E_B_Dinner_Menu_A3_2026.04.05.pdf</t>
  </si>
  <si>
    <t xml:space="preserve">https://hotel.hardrock.com/maldives/files/6016/CN_E&amp;B_Dinner_Menu_A3_2026.04.05.pdf</t>
  </si>
  <si>
    <t xml:space="preserve">a6dcc0c245b381f39de2cac84d2a112bc1990aec41f80e425f990eb7bc6407b7</t>
  </si>
  <si>
    <t xml:space="preserve">library/044_hard-rock-hotel-maldives/dining_menu/2026_CN_E_B_Dinner_Menu_A3_2026.04.05.pdf</t>
  </si>
  <si>
    <t xml:space="preserve">2026_CN_E_B_Pizza_Menu.pdf</t>
  </si>
  <si>
    <t xml:space="preserve">https://hotel.hardrock.com/maldives/files/6016/CN_E&amp;B_Pizza_Menu.pdf</t>
  </si>
  <si>
    <t xml:space="preserve">76e1919177abe73121237eda5d808bf793a12646bdc7e126c2f2d5091844d92d</t>
  </si>
  <si>
    <t xml:space="preserve">library/044_hard-rock-hotel-maldives/dining_menu/2026_CN_E_B_Pizza_Menu.pdf</t>
  </si>
  <si>
    <t xml:space="preserve">2026_Sessions_Kids_Menu_with_images.pdf</t>
  </si>
  <si>
    <t xml:space="preserve">https://hotel.hardrock.com/maldives/files/6016/Sessions_Kids_Menu_with_images.pdf</t>
  </si>
  <si>
    <t xml:space="preserve">5143246c4346bb122f35196a42683bafe186245d407570948cf61b9e50d042f8</t>
  </si>
  <si>
    <t xml:space="preserve">library/044_hard-rock-hotel-maldives/dining_menu/2026_Sessions_Kids_Menu_with_images.pdf</t>
  </si>
  <si>
    <t xml:space="preserve">2026_RUS_E_B_Dinner_Menu_A3_2026.04.05.pdf</t>
  </si>
  <si>
    <t xml:space="preserve">https://hotel.hardrock.com/maldives/files/6016/RUS_E&amp;B_Dinner_Menu_A3_2026.04.05.pdf</t>
  </si>
  <si>
    <t xml:space="preserve">c4385aa6c65ac86cdb9f1417912c2946363a0556b79d7f4f7efc3bde1159b7fe</t>
  </si>
  <si>
    <t xml:space="preserve">library/044_hard-rock-hotel-maldives/dining_menu/2026_RUS_E_B_Dinner_Menu_A3_2026.04.05.pdf</t>
  </si>
  <si>
    <t xml:space="preserve">2026_CN_E_B_Lunch_Menu_A3_2026.06.24.pdf</t>
  </si>
  <si>
    <t xml:space="preserve">https://hotel.hardrock.com/maldives/files/6016/CN_E&amp;B_Lunch_Menu_A3_2026.06.24.pdf</t>
  </si>
  <si>
    <t xml:space="preserve">fce9217245d2b790466d33433092965f930adc1df175be8f77d50a8a76334dcb</t>
  </si>
  <si>
    <t xml:space="preserve">library/044_hard-rock-hotel-maldives/dining_menu/2026_CN_E_B_Lunch_Menu_A3_2026.06.24.pdf</t>
  </si>
  <si>
    <t xml:space="preserve">2026_Sessions_All_Day_Dining_A3_2026.08.27.pdf</t>
  </si>
  <si>
    <t xml:space="preserve">https://hotel.hardrock.com/maldives/files/6016/Sessions_All_Day_Dining_A3_2026.08.27.pdf</t>
  </si>
  <si>
    <t xml:space="preserve">2e7324856fd059f96def56adfbc31ed44b4e28d90af8e71dfb1194e3c772da89</t>
  </si>
  <si>
    <t xml:space="preserve">library/044_hard-rock-hotel-maldives/dining_menu/2026_Sessions_All_Day_Dining_A3_2026.08.27.pdf</t>
  </si>
  <si>
    <t xml:space="preserve">2026_RUS_Sessions_All_Day_Dining_A3_2026.08.27.pdf</t>
  </si>
  <si>
    <t xml:space="preserve">https://hotel.hardrock.com/maldives/files/6016/RUS_Sessions_All_Day_Dining_A3_2026.08.27.pdf</t>
  </si>
  <si>
    <t xml:space="preserve">313e89b7ece00198e772942e0c1c14b5f06d8e849952c818668a36924636cb3a</t>
  </si>
  <si>
    <t xml:space="preserve">library/044_hard-rock-hotel-maldives/dining_menu/2026_RUS_Sessions_All_Day_Dining_A3_2026.08.27.pdf</t>
  </si>
  <si>
    <t xml:space="preserve">2026_HRH_Signature_Menu_2026.06.21.pdf</t>
  </si>
  <si>
    <t xml:space="preserve">https://hotel.hardrock.com/maldives/files/6016/HRH_Signature_Menu_2026.06.21.pdf</t>
  </si>
  <si>
    <t xml:space="preserve">8190a6160ca19f0f8ac3ef1f40205c4a4ef6d3f38b3e78838a6b3860b5b47bbd</t>
  </si>
  <si>
    <t xml:space="preserve">library/044_hard-rock-hotel-maldives/dining_menu/2026_HRH_Signature_Menu_2026.06.21.pdf</t>
  </si>
  <si>
    <t xml:space="preserve">2026_RUS_E_B_Pizza_Menu.pdf</t>
  </si>
  <si>
    <t xml:space="preserve">https://hotel.hardrock.com/maldives/files/6016/RUS_E&amp;B_Pizza_Menu.pdf</t>
  </si>
  <si>
    <t xml:space="preserve">e854c61cb84d52e6e7f029cdaa06f8294a9afa15b8f2a5638cecb3d8abc9f26e</t>
  </si>
  <si>
    <t xml:space="preserve">library/044_hard-rock-hotel-maldives/dining_menu/2026_RUS_E_B_Pizza_Menu.pdf</t>
  </si>
  <si>
    <t xml:space="preserve">2026_E_B_Dinner_Menu_A3_2026.04.05.pdf</t>
  </si>
  <si>
    <t xml:space="preserve">https://hotel.hardrock.com/maldives/files/6016/E&amp;B_Dinner_Menu_A3_2026.04.05.pdf</t>
  </si>
  <si>
    <t xml:space="preserve">3b10d0a107d8bf58f905bf8a4ed8e441a701c1c0f482689d5b91bb548850b45f</t>
  </si>
  <si>
    <t xml:space="preserve">library/044_hard-rock-hotel-maldives/dining_menu/2026_E_B_Dinner_Menu_A3_2026.04.05.pdf</t>
  </si>
  <si>
    <t xml:space="preserve">2026_HRH_Wine_Menu_2026.04.05.pdf</t>
  </si>
  <si>
    <t xml:space="preserve">https://hotel.hardrock.com/maldives/files/6016/HRH_Wine_Menu_2026.04.05.pdf</t>
  </si>
  <si>
    <t xml:space="preserve">f46bea39c2d954d3d0bf6a2951844166283d5ffdd34dce780a77f4a161e87256</t>
  </si>
  <si>
    <t xml:space="preserve">library/044_hard-rock-hotel-maldives/dining_menu/2026_HRH_Wine_Menu_2026.04.05.pdf</t>
  </si>
  <si>
    <t xml:space="preserve">2026_HRH_AI_Drinks_Menu.pdf</t>
  </si>
  <si>
    <t xml:space="preserve">https://hotel.hardrock.com/maldives/files/6016/HRH_AI_Drinks_Menu.pdf</t>
  </si>
  <si>
    <t xml:space="preserve">e76f1c80a8757cf8d2526248c426917886dd7075ed1ec4c66c27a1b49686965e</t>
  </si>
  <si>
    <t xml:space="preserve">library/044_hard-rock-hotel-maldives/dining_menu/2026_HRH_AI_Drinks_Menu.pdf</t>
  </si>
  <si>
    <t xml:space="preserve">2025_HRC_Drinks_Menu.pdf</t>
  </si>
  <si>
    <t xml:space="preserve">https://hotel.hardrock.com/maldives/files/6016/HRC_Drinks_Menu.pdf</t>
  </si>
  <si>
    <t xml:space="preserve">b4719de6edcc142537352d3058b48a46b86e2edb0cc7934fe2fff8a64c6a6f81</t>
  </si>
  <si>
    <t xml:space="preserve">library/044_hard-rock-hotel-maldives/dining_menu/2025_HRC_Drinks_Menu.pdf</t>
  </si>
  <si>
    <t xml:space="preserve">2025_IVD-Menu.pdf</t>
  </si>
  <si>
    <t xml:space="preserve">https://hotel.hardrock.com/maldives/files/6016/IVD-Menu.pdf</t>
  </si>
  <si>
    <t xml:space="preserve">cd38b94d816e957f49ae37e6b358ed6eb65609486b7fd6b55de13b176245cc49</t>
  </si>
  <si>
    <t xml:space="preserve">library/044_hard-rock-hotel-maldives/dining_menu/2025_IVD-Menu.pdf</t>
  </si>
  <si>
    <t xml:space="preserve">2025_HRC_Food_Menu.pdf</t>
  </si>
  <si>
    <t xml:space="preserve">https://hotel.hardrock.com/maldives/files/6016/HRC_Food_Menu.pdf</t>
  </si>
  <si>
    <t xml:space="preserve">71c33545b77af126be0fc1c9a165ce6cda0359026b8274fb1be7b21a61cf0aa3</t>
  </si>
  <si>
    <t xml:space="preserve">library/044_hard-rock-hotel-maldives/dining_menu/2025_HRC_Food_Menu.pdf</t>
  </si>
  <si>
    <t xml:space="preserve">2025_RUS_HRC_Food_Menu.pdf</t>
  </si>
  <si>
    <t xml:space="preserve">https://hotel.hardrock.com/maldives/files/6016/RUS_HRC_Food_Menu.pdf</t>
  </si>
  <si>
    <t xml:space="preserve">c321d57479492727c608d34326db8a9e723b7fa8c2043b73bdb0795113c2477d</t>
  </si>
  <si>
    <t xml:space="preserve">library/044_hard-rock-hotel-maldives/dining_menu/2025_RUS_HRC_Food_Menu.pdf</t>
  </si>
  <si>
    <t xml:space="preserve">2025_CN_HRC_Food_Menu.pdf</t>
  </si>
  <si>
    <t xml:space="preserve">https://hotel.hardrock.com/maldives/files/6016/CN_HRC_Food_Menu.pdf</t>
  </si>
  <si>
    <t xml:space="preserve">464b358b7dde37bd546409ab70c280134b87f85422b501c7e5282b5705396559</t>
  </si>
  <si>
    <t xml:space="preserve">library/044_hard-rock-hotel-maldives/dining_menu/2025_CN_HRC_Food_Menu.pdf</t>
  </si>
  <si>
    <t xml:space="preserve">2024_HRC_kids_menu.pdf</t>
  </si>
  <si>
    <t xml:space="preserve">https://hotel.hardrock.com/maldives/files/6016/HRC_kids_menu.pdf</t>
  </si>
  <si>
    <t xml:space="preserve">417430f9c2757fed4c3c1483840d707aa02d072e95fc8c28a1ae7dc65e564ac7</t>
  </si>
  <si>
    <t xml:space="preserve">library/044_hard-rock-hotel-maldives/dining_menu/2024_HRC_kids_menu.pdf</t>
  </si>
  <si>
    <t xml:space="preserve">2024_HRH-AI-Premium-Drinks-Menu.pdf</t>
  </si>
  <si>
    <t xml:space="preserve">https://hotel.hardrock.com/maldives/files/6016/HRH-AI-Premium-Drinks-Menu.pdf</t>
  </si>
  <si>
    <t xml:space="preserve">5bb45203c3397cf1bc4c5f47f9115860a5a3f103fc519b9aeca8a55b67d34128</t>
  </si>
  <si>
    <t xml:space="preserve">library/044_hard-rock-hotel-maldives/dining_menu/2024_HRH-AI-Premium-Drinks-Menu.pdf</t>
  </si>
  <si>
    <t xml:space="preserve">2019_Hard_Rock_Hotel_Maldives_Guitar_Menu.pdf</t>
  </si>
  <si>
    <t xml:space="preserve">https://hotel.hardrock.com/maldives/files/6016/Hard_Rock_Hotel_Maldives_Guitar_Menu.pdf</t>
  </si>
  <si>
    <t xml:space="preserve">a0a34d122f8b6b85c0d356d62eed4dbcc1c7a1c83e82ac079c70c087a108cc11</t>
  </si>
  <si>
    <t xml:space="preserve">library/044_hard-rock-hotel-maldives/dining_menu/2019_Hard_Rock_Hotel_Maldives_Guitar_Menu.pdf</t>
  </si>
  <si>
    <t xml:space="preserve">2024_HRH_Green_Book.pdf</t>
  </si>
  <si>
    <t xml:space="preserve">https://hotel.hardrock.com/maldives/files/6016/HRH_Green_Book.pdf</t>
  </si>
  <si>
    <t xml:space="preserve">10bce7c97fe8147258dae1e3197c117da5a42d6d792f81302e77761e6ea1b967</t>
  </si>
  <si>
    <t xml:space="preserve">library/044_hard-rock-hotel-maldives/sustainability/2024_HRH_Green_Book.pdf</t>
  </si>
  <si>
    <t xml:space="preserve">2025_Hard-Rock-Hotel-Maldives-Info-Sheet-2025.pdf</t>
  </si>
  <si>
    <t xml:space="preserve">https://www.neoscapesmaldives.com/wp-content/uploads/Hard-Rock-Hotel-Maldives-Info-Sheet-2025.pdf</t>
  </si>
  <si>
    <t xml:space="preserve">576d02dcb439c3859451b99d290cef43389da4bc7ba36a4bf75b227c9435afed</t>
  </si>
  <si>
    <t xml:space="preserve">library/044_hard-rock-hotel-maldives/brochure/2025_Hard-Rock-Hotel-Maldives-Info-Sheet-2025.pdf</t>
  </si>
  <si>
    <t xml:space="preserve">2019_babies_toddlers_amenities.pdf</t>
  </si>
  <si>
    <t xml:space="preserve">https://hotel.hardrock.com/maldives/files/6016/babies_toddlers_amenities.pdf</t>
  </si>
  <si>
    <t xml:space="preserve">f0dc3b27fdaf3199a66c2e7e9b415752b904f5a3da4b02f413eccd10af976724</t>
  </si>
  <si>
    <t xml:space="preserve">library/044_hard-rock-hotel-maldives/brochure/2019_babies_toddlers_amenities.pdf</t>
  </si>
  <si>
    <t xml:space="preserve">2025_SAii-Lagoon-Maldives-Factsheet-2025.pdf</t>
  </si>
  <si>
    <t xml:space="preserve">saiiresorts.com</t>
  </si>
  <si>
    <t xml:space="preserve">https://www.saiihotels.com/wp-content/uploads/2025/10/SAii-Lagoon-Maldives-Factsheet-2025.pdf</t>
  </si>
  <si>
    <t xml:space="preserve">https://www.neoscapesmaldives.com/wp-content/uploads/SAii-Lagoon-Maldives-Factsheet-2025.pdf | https://www.saiihotels.com/wp-content/uploads/2025/10/SAii-Lagoon-Maldives-Factsheet-2025.pdf</t>
  </si>
  <si>
    <t xml:space="preserve">edd2776c2f3092554dba0e05d7a2e84378db61d7899e2f444214804fab533257</t>
  </si>
  <si>
    <t xml:space="preserve">library/045_saii-lagoon-maldives/factsheet/2025_SAii-Lagoon-Maldives-Factsheet-2025.pdf</t>
  </si>
  <si>
    <t xml:space="preserve">2025_SAii-Phi-Phi_Trade_Factsheet.pdf</t>
  </si>
  <si>
    <t xml:space="preserve">https://www.saiihotels.com/wp-content/uploads/2025/10/SAii-Phi-Phi_Trade_Factsheet.pdf</t>
  </si>
  <si>
    <t xml:space="preserve">d661622a4f85df9ad92398d47fbcac7f3bd229d38cb84e4788ed94ebff8049ff</t>
  </si>
  <si>
    <t xml:space="preserve">library/045_saii-lagoon-maldives/factsheet/2025_SAii-Phi-Phi_Trade_Factsheet.pdf</t>
  </si>
  <si>
    <t xml:space="preserve">ambiguous match [45]</t>
  </si>
  <si>
    <t xml:space="preserve">2026_June-Recreation-English.pdf</t>
  </si>
  <si>
    <t xml:space="preserve">https://www.saiihotels.com/wp-content/uploads/2026/06/June-Recreation-English.pdf</t>
  </si>
  <si>
    <t xml:space="preserve">37143687a08f31ed7b8253f8274d809f53c5cf31249096d82534522aaca84c2f</t>
  </si>
  <si>
    <t xml:space="preserve">library/045_saii-lagoon-maldives/events/2026_June-Recreation-English.pdf</t>
  </si>
  <si>
    <t xml:space="preserve">2026_MARCH-Recreation-ENG-1.pdf</t>
  </si>
  <si>
    <t xml:space="preserve">https://www.saiihotels.com/wp-content/uploads/2026/03/MARCH-Recreation-ENG-1.pdf</t>
  </si>
  <si>
    <t xml:space="preserve">787d9f31cd9d3d857e465d4b128dc5a20257b79b299a69a8b91f3a3a86c54a59</t>
  </si>
  <si>
    <t xml:space="preserve">library/045_saii-lagoon-maldives/events/2026_MARCH-Recreation-ENG-1.pdf</t>
  </si>
  <si>
    <t xml:space="preserve">2026_MARCH-Recreation-ENG.pdf</t>
  </si>
  <si>
    <t xml:space="preserve">https://www.saiihotels.com/wp-content/uploads/2026/02/MARCH-Recreation-ENG.pdf</t>
  </si>
  <si>
    <t xml:space="preserve">b1a964d3b37ec7345bf57748b7d80aa08c8693bb135fc17af149f37d8231ac63</t>
  </si>
  <si>
    <t xml:space="preserve">library/045_saii-lagoon-maldives/events/2026_MARCH-Recreation-ENG.pdf</t>
  </si>
  <si>
    <t xml:space="preserve">2026_FEB-Recreation-ENG.pdf</t>
  </si>
  <si>
    <t xml:space="preserve">https://www.saiihotels.com/wp-content/uploads/2026/01/FEB-Recreation-ENG.pdf</t>
  </si>
  <si>
    <t xml:space="preserve">a232612fe73b4fdef5f5fe55058d38ed90c2e01d49ac55cbdf9aecaaa9f6f079</t>
  </si>
  <si>
    <t xml:space="preserve">library/045_saii-lagoon-maldives/events/2026_FEB-Recreation-ENG.pdf</t>
  </si>
  <si>
    <t xml:space="preserve">2026_SAii-Shabu-Shabu-2026-1.pdf</t>
  </si>
  <si>
    <t xml:space="preserve">https://www.saiihotels.com/wp-content/uploads/2026/06/SAii-Shabu-Shabu-2026-1.pdf</t>
  </si>
  <si>
    <t xml:space="preserve">9155e1412f2ccf2bfd529b1d68ced83b7f6cfbaeb583b58713706b52275737d4</t>
  </si>
  <si>
    <t xml:space="preserve">library/045_saii-lagoon-maldives/map/2026_SAii-Shabu-Shabu-2026-1.pdf</t>
  </si>
  <si>
    <t xml:space="preserve">2025_EO-GEN-010D_Energy-Management-Plan-Crossroads-Maldives.pdf</t>
  </si>
  <si>
    <t xml:space="preserve">https://www.saiihotels.com/wp-content/uploads/2025/11/EO-GEN-010D_Energy-Management-Plan-Crossroads-Maldives.pdf</t>
  </si>
  <si>
    <t xml:space="preserve">https://www.saiihotels.com/wp-content/uploads/2025/11/EO-GEN-010D_Energy-Management-Plan-Crossroads-Maldives.pdf | https://hotel.hardrock.com/maldives/files/6016/EO-GEN-010D_Energy_Management_Plan_-_Crossroads_Maldives.pdf</t>
  </si>
  <si>
    <t xml:space="preserve">0f3fb3dc8442c10ab732601fd16d92769d264bd7280de1943276020290d191d1</t>
  </si>
  <si>
    <t xml:space="preserve">library/045_saii-lagoon-maldives/map/2025_EO-GEN-010D_Energy-Management-Plan-Crossroads-Maldives.pdf</t>
  </si>
  <si>
    <t xml:space="preserve">2025_SLP-Sustainability-Management-Plan-2025_04-September-2025_signed.pdf</t>
  </si>
  <si>
    <t xml:space="preserve">https://www.saiihotels.com/wp-content/uploads/2025/10/SLP-Sustainability-Management-Plan-2025_04-September-2025_signed.pdf</t>
  </si>
  <si>
    <t xml:space="preserve">90ad35689716c64117dfc655ffcff2d9e47e89f3a41e0b1409d5c275fd899655</t>
  </si>
  <si>
    <t xml:space="preserve">library/045_saii-lagoon-maldives/map/2025_SLP-Sustainability-Management-Plan-2025_04-September-2025_signed.pdf</t>
  </si>
  <si>
    <t xml:space="preserve">2024_SAii-Lagoon-Map-without-Rooms-numbers-2024-1.pdf</t>
  </si>
  <si>
    <t xml:space="preserve">https://www.neoscapesmaldives.com/wp-content/uploads/SAii-Lagoon-Map-without-Rooms-numbers-2024-1.pdf</t>
  </si>
  <si>
    <t xml:space="preserve">c273c802233d362deb5309e21e4c1aeceaca1d25745265090d9f841a3db745dc</t>
  </si>
  <si>
    <t xml:space="preserve">library/045_saii-lagoon-maldives/map/2024_SAii-Lagoon-Map-without-Rooms-numbers-2024-1.pdf</t>
  </si>
  <si>
    <t xml:space="preserve">2025_SAii-Spa-Menu.pdf</t>
  </si>
  <si>
    <t xml:space="preserve">https://www.saiihotels.com/wp-content/uploads/2025/11/SAii-Spa-Menu.pdf</t>
  </si>
  <si>
    <t xml:space="preserve">f5f7798be572e2be2564f58dd044c8c510aecd534a67776bb30e25f8f892b898</t>
  </si>
  <si>
    <t xml:space="preserve">library/045_saii-lagoon-maldives/spa_menu/2025_SAii-Spa-Menu.pdf</t>
  </si>
  <si>
    <t xml:space="preserve">2025_SAii-Spa-Pricelist.pdf</t>
  </si>
  <si>
    <t xml:space="preserve">https://www.saiihotels.com/wp-content/uploads/2025/11/SAii-Spa-Pricelist.pdf</t>
  </si>
  <si>
    <t xml:space="preserve">a3766620ba1037069ffd7a99e197e8dabc28813aa8e7a469187c5b169af47a3f</t>
  </si>
  <si>
    <t xml:space="preserve">library/045_saii-lagoon-maldives/spa_menu/2025_SAii-Spa-Pricelist.pdf</t>
  </si>
  <si>
    <t xml:space="preserve">2025_Spa-price-list2025.pdf</t>
  </si>
  <si>
    <t xml:space="preserve">https://www.saiihotels.com/wp-content/uploads/2025/10/Spa-price-list2025.pdf</t>
  </si>
  <si>
    <t xml:space="preserve">https://www.saiihotels.com/wp-content/uploads/2025/10/Spa-price-list2025.pdf | https://www.saiihotels.com/wp-content/uploads/2025/10/Spa-price-list.pdf</t>
  </si>
  <si>
    <t xml:space="preserve">ef8b555d2a743f50ef5ad14fd032c8f652bc1a1df683e667d2cac827db0bae01</t>
  </si>
  <si>
    <t xml:space="preserve">library/045_saii-lagoon-maldives/spa_menu/2025_Spa-price-list2025.pdf</t>
  </si>
  <si>
    <t xml:space="preserve">2025_SKS-SPA_Price-List-Menu-Nov2025_02_compressed.pdf</t>
  </si>
  <si>
    <t xml:space="preserve">https://www.saiihotels.com/wp-content/uploads/2025/10/SKS-SPA_Price-List-Menu-Nov2025_02_compressed.pdf</t>
  </si>
  <si>
    <t xml:space="preserve">e6a690e22c46a40f5660dce1b7b702e33313fa6147ff1ccba366f52232dccaff</t>
  </si>
  <si>
    <t xml:space="preserve">library/045_saii-lagoon-maldives/spa_menu/2025_SKS-SPA_Price-List-Menu-Nov2025_02_compressed.pdf</t>
  </si>
  <si>
    <t xml:space="preserve">2025_SAii_SPA_A4_menu_07c_low.pdf</t>
  </si>
  <si>
    <t xml:space="preserve">https://www.saiihotels.com/wp-content/uploads/2025/10/SAii_SPA_A4_menu_07c_low.pdf</t>
  </si>
  <si>
    <t xml:space="preserve">c7501c489f448c7f7d5c3bfe8a8ecfc25d07aec0c160959d7ae92ecc4c1213bc</t>
  </si>
  <si>
    <t xml:space="preserve">library/045_saii-lagoon-maldives/spa_menu/2025_SAii_SPA_A4_menu_07c_low.pdf</t>
  </si>
  <si>
    <t xml:space="preserve">2025_SPP_SAii-Spa-Menu_Lowres.pdf</t>
  </si>
  <si>
    <t xml:space="preserve">https://www.saiihotels.com/wp-content/uploads/2025/10/SPP_SAii-Spa-Menu_Lowres.pdf</t>
  </si>
  <si>
    <t xml:space="preserve">147a0f87e99edae46b3fc2c6ef44849480eeb426d9dc69b6e37490a2110e3dd6</t>
  </si>
  <si>
    <t xml:space="preserve">library/045_saii-lagoon-maldives/spa_menu/2025_SPP_SAii-Spa-Menu_Lowres.pdf</t>
  </si>
  <si>
    <t xml:space="preserve">2026_SAii-Maldives-Independence-Day-2026.pdf</t>
  </si>
  <si>
    <t xml:space="preserve">https://www.saiihotels.com/wp-content/uploads/2026/07/SAii-Maldives-Independence-Day-2026.pdf</t>
  </si>
  <si>
    <t xml:space="preserve">1469b79fb4ed35606a206260d64c9fd0d60abd47c4e77cea83b2975db1af352c</t>
  </si>
  <si>
    <t xml:space="preserve">library/045_saii-lagoon-maldives/dining_menu/2026_SAii-Maldives-Independence-Day-2026.pdf</t>
  </si>
  <si>
    <t xml:space="preserve">2026_June-Recreation-Russian.pdf</t>
  </si>
  <si>
    <t xml:space="preserve">https://www.saiihotels.com/wp-content/uploads/2026/06/June-Recreation-Russian.pdf</t>
  </si>
  <si>
    <t xml:space="preserve">04da9163de2c2d64405b7dda7ceb681a3758d76f8849f0bb17ae64fe4b104fad</t>
  </si>
  <si>
    <t xml:space="preserve">library/045_saii-lagoon-maldives/dining_menu/2026_June-Recreation-Russian.pdf</t>
  </si>
  <si>
    <t xml:space="preserve">2026_SAii-Eid-Special-BBQ-Dinner-2026-1.pdf</t>
  </si>
  <si>
    <t xml:space="preserve">https://www.saiihotels.com/wp-content/uploads/2026/05/SAii-Eid-Special-BBQ-Dinner-2026-1.pdf</t>
  </si>
  <si>
    <t xml:space="preserve">77fef3dd97dcf86dce0a7b0c43d89aa8355fccdc2f79cedfda7e61274b9ba4e3</t>
  </si>
  <si>
    <t xml:space="preserve">library/045_saii-lagoon-maldives/dining_menu/2026_SAii-Eid-Special-BBQ-Dinner-2026-1.pdf</t>
  </si>
  <si>
    <t xml:space="preserve">2026_SAii-Songkran-2026.pdf</t>
  </si>
  <si>
    <t xml:space="preserve">https://www.saiihotels.com/wp-content/uploads/2026/03/SAii-Songkran-2026.pdf</t>
  </si>
  <si>
    <t xml:space="preserve">f5bdfe25dc3f52ce678fa0689f399ed9e36ef91b7a77f4b457e62477b5c7c275</t>
  </si>
  <si>
    <t xml:space="preserve">library/045_saii-lagoon-maldives/dining_menu/2026_SAii-Songkran-2026.pdf</t>
  </si>
  <si>
    <t xml:space="preserve">2026_SAii-International-Womens-Day-2026.pdf</t>
  </si>
  <si>
    <t xml:space="preserve">https://www.saiihotels.com/wp-content/uploads/2026/02/SAii-International-Womens-Day-2026.pdf</t>
  </si>
  <si>
    <t xml:space="preserve">6f8c3852441cc35b92d9c9fce70f04349c7e28020dc6036a835147535ee5d7c8</t>
  </si>
  <si>
    <t xml:space="preserve">library/045_saii-lagoon-maldives/dining_menu/2026_SAii-International-Womens-Day-2026.pdf</t>
  </si>
  <si>
    <t xml:space="preserve">2026_SPP_WineDrinks-2026.pdf</t>
  </si>
  <si>
    <t xml:space="preserve">https://www.saiihotels.com/wp-content/uploads/2026/02/SPP_WineDrinks-2026.pdf</t>
  </si>
  <si>
    <t xml:space="preserve">1ef74e51748314948e3c58ced2a81f3b4dab4b574753b37de38e27abfb0e989a</t>
  </si>
  <si>
    <t xml:space="preserve">library/045_saii-lagoon-maldives/dining_menu/2026_SPP_WineDrinks-2026.pdf</t>
  </si>
  <si>
    <t xml:space="preserve">2026_SAii-Valentines-Day-2026.pdf</t>
  </si>
  <si>
    <t xml:space="preserve">https://www.saiihotels.com/wp-content/uploads/2026/01/SAii-Valentines-Day-2026.pdf</t>
  </si>
  <si>
    <t xml:space="preserve">fb929c0316a940e137450f113361879fe81912a669c0d97f7509a18f052f8fc6</t>
  </si>
  <si>
    <t xml:space="preserve">library/045_saii-lagoon-maldives/dining_menu/2026_SAii-Valentines-Day-2026.pdf</t>
  </si>
  <si>
    <t xml:space="preserve">2025_SKS-SAii-Club-TerraMar.pdf</t>
  </si>
  <si>
    <t xml:space="preserve">https://www.saiihotels.com/wp-content/uploads/2025/12/SKS-SAii-Club-TerraMar.pdf</t>
  </si>
  <si>
    <t xml:space="preserve">28c4796789768e31b81ea7b1c542e2cbf0d5d696f5cee377eb47dcfab6383db7</t>
  </si>
  <si>
    <t xml:space="preserve">library/045_saii-lagoon-maldives/dining_menu/2025_SKS-SAii-Club-TerraMar.pdf</t>
  </si>
  <si>
    <t xml:space="preserve">2025_SKS-SAii-Club-BeanCo.pdf</t>
  </si>
  <si>
    <t xml:space="preserve">https://www.saiihotels.com/wp-content/uploads/2025/12/SKS-SAii-Club-BeanCo.pdf</t>
  </si>
  <si>
    <t xml:space="preserve">c0eb1b686440fcdd7dd8cdf6879025ffca5da40699b829c2889795ae81be3569</t>
  </si>
  <si>
    <t xml:space="preserve">library/045_saii-lagoon-maldives/dining_menu/2025_SKS-SAii-Club-BeanCo.pdf</t>
  </si>
  <si>
    <t xml:space="preserve">2025_SKS-SAii-Club-Miss-Olive-Oyl.pdf</t>
  </si>
  <si>
    <t xml:space="preserve">https://www.saiihotels.com/wp-content/uploads/2025/12/SKS-SAii-Club-Miss-Olive-Oyl.pdf</t>
  </si>
  <si>
    <t xml:space="preserve">00467e9bd3e016abec45d90b849718b37df03ffaf2ea1eab0d32a3cda194ef38</t>
  </si>
  <si>
    <t xml:space="preserve">library/045_saii-lagoon-maldives/dining_menu/2025_SKS-SAii-Club-Miss-Olive-Oyl.pdf</t>
  </si>
  <si>
    <t xml:space="preserve">2025_Dinner-on-the-beach.pdf</t>
  </si>
  <si>
    <t xml:space="preserve">https://www.saiihotels.com/wp-content/uploads/2025/10/Dinner-on-the-beach.pdf</t>
  </si>
  <si>
    <t xml:space="preserve">d4804a5ce5145d31cf2489e8015122a0796a0b0bc77e54a351028d762ac89e3a</t>
  </si>
  <si>
    <t xml:space="preserve">library/045_saii-lagoon-maldives/dining_menu/2025_Dinner-on-the-beach.pdf</t>
  </si>
  <si>
    <t xml:space="preserve">2025_Miss-Olive-Oyl-Main-Menu-2025-ENG_compressed.pdf</t>
  </si>
  <si>
    <t xml:space="preserve">https://www.saiihotels.com/wp-content/uploads/2025/10/Miss-Olive-Oyl-Main-Menu-2025-ENG_compressed.pdf</t>
  </si>
  <si>
    <t xml:space="preserve">2f077b0a1b557cf1d2acc465fcc376f84bc8c4162b1c074e9f7371597b336989</t>
  </si>
  <si>
    <t xml:space="preserve">library/045_saii-lagoon-maldives/dining_menu/2025_Miss-Olive-Oyl-Main-Menu-2025-ENG_compressed.pdf</t>
  </si>
  <si>
    <t xml:space="preserve">2022_SKS-SAii-Club-Wine-List.pdf</t>
  </si>
  <si>
    <t xml:space="preserve">https://www.saiihotels.com/wp-content/uploads/2025/12/SKS-SAii-Club-Wine-List.pdf</t>
  </si>
  <si>
    <t xml:space="preserve">e903bc812e8d881218b09010dfa7dc23098715ce91f79a2f1f434c47be263da8</t>
  </si>
  <si>
    <t xml:space="preserve">library/045_saii-lagoon-maldives/dining_menu/2022_SKS-SAii-Club-Wine-List.pdf</t>
  </si>
  <si>
    <t xml:space="preserve">2026_Tennis-Price-List-Sep-Dec-2026.pdf</t>
  </si>
  <si>
    <t xml:space="preserve">https://www.saiihotels.com/wp-content/uploads/2026/09/Tennis-Price-List-Sep-Dec-2026.pdf</t>
  </si>
  <si>
    <t xml:space="preserve">159e9f859d73593caf881dc433b777525eaf096ab730caa08e2fb49b06348ded</t>
  </si>
  <si>
    <t xml:space="preserve">library/045_saii-lagoon-maldives/dive_prices/2026_Tennis-Price-List-Sep-Dec-2026.pdf</t>
  </si>
  <si>
    <t xml:space="preserve">2026_Sport-and-Recreation-Price-List-Sep-Dec-2026.pdf</t>
  </si>
  <si>
    <t xml:space="preserve">https://www.saiihotels.com/wp-content/uploads/2026/09/Sport-and-Recreation-Price-List-Sep-Dec-2026.pdf</t>
  </si>
  <si>
    <t xml:space="preserve">6bdf0de543b434b0e99648d0102e94bb7eac62ed52d7f67224e40e790e2bee87</t>
  </si>
  <si>
    <t xml:space="preserve">library/045_saii-lagoon-maldives/dive_prices/2026_Sport-and-Recreation-Price-List-Sep-Dec-2026.pdf</t>
  </si>
  <si>
    <t xml:space="preserve">2026_Sport-and-Recreation-Price-List_Feb-Apr-2026.pdf</t>
  </si>
  <si>
    <t xml:space="preserve">https://www.saiihotels.com/wp-content/uploads/2026/02/Sport-and-Recreation-Price-List_Feb-Apr-2026.pdf</t>
  </si>
  <si>
    <t xml:space="preserve">c582f3e0bf191b60daee702e5c3a6d72c34f9497ea39b62a5508dc49f7282588</t>
  </si>
  <si>
    <t xml:space="preserve">library/045_saii-lagoon-maldives/dive_prices/2026_Sport-and-Recreation-Price-List_Feb-Apr-2026.pdf</t>
  </si>
  <si>
    <t xml:space="preserve">2026_Tennis-Price-List_Feb-Ap2026.pdf</t>
  </si>
  <si>
    <t xml:space="preserve">https://www.saiihotels.com/wp-content/uploads/2026/01/Tennis-Price-List_Feb-Ap2026.pdf</t>
  </si>
  <si>
    <t xml:space="preserve">6d510266faf40857872cfc184db907069ff4b0741b500ed6cb359e3b1dc15959</t>
  </si>
  <si>
    <t xml:space="preserve">library/045_saii-lagoon-maldives/dive_prices/2026_Tennis-Price-List_Feb-Ap2026.pdf</t>
  </si>
  <si>
    <t xml:space="preserve">2026_SAii-Daily-Sport-Activity-Sep-Dec-2026.pdf</t>
  </si>
  <si>
    <t xml:space="preserve">https://www.saiihotels.com/wp-content/uploads/2026/09/SAii-Daily-Sport-Activity-Sep-Dec-2026.pdf</t>
  </si>
  <si>
    <t xml:space="preserve">f8aeae4e0651db2986e1203eed8f1ca24bbfa1403d9efaee1774a8d04c81dab7</t>
  </si>
  <si>
    <t xml:space="preserve">library/045_saii-lagoon-maldives/excursions/2026_SAii-Daily-Sport-Activity-Sep-Dec-2026.pdf</t>
  </si>
  <si>
    <t xml:space="preserve">2026_SAii-Daily-Sport-Activity_May-Oct-2026.pdf</t>
  </si>
  <si>
    <t xml:space="preserve">https://www.saiihotels.com/wp-content/uploads/2026/04/SAii-Daily-Sport-Activity_May-Oct-2026.pdf</t>
  </si>
  <si>
    <t xml:space="preserve">9f2a6ec6af8024f59cdf519a0dee59ee3d2b36a8bbcdd69557c8e7a512be6306</t>
  </si>
  <si>
    <t xml:space="preserve">library/045_saii-lagoon-maldives/excursions/2026_SAii-Daily-Sport-Activity_May-Oct-2026.pdf</t>
  </si>
  <si>
    <t xml:space="preserve">2026_SAii-Kids-Club-Activities_Russian.pdf</t>
  </si>
  <si>
    <t xml:space="preserve">https://www.saiihotels.com/wp-content/uploads/2026/04/SAii-Kids-Club-Activities_Russian.pdf</t>
  </si>
  <si>
    <t xml:space="preserve">135689565867213ce22596dd0f4e8d0c6a6a05cfa63e2e011184ead95b677a25</t>
  </si>
  <si>
    <t xml:space="preserve">library/045_saii-lagoon-maldives/excursions/2026_SAii-Kids-Club-Activities_Russian.pdf</t>
  </si>
  <si>
    <t xml:space="preserve">2026_SAii-Kids-Club-Activities_English.pdf</t>
  </si>
  <si>
    <t xml:space="preserve">https://www.saiihotels.com/wp-content/uploads/2026/04/SAii-Kids-Club-Activities_English.pdf</t>
  </si>
  <si>
    <t xml:space="preserve">e77780ea1d428faf463f77410276d1612c68422e9fdbf09cc178c7a944a8b525</t>
  </si>
  <si>
    <t xml:space="preserve">library/045_saii-lagoon-maldives/excursions/2026_SAii-Kids-Club-Activities_English.pdf</t>
  </si>
  <si>
    <t xml:space="preserve">2026_SAii-Kids-Club-Activities-3.pdf</t>
  </si>
  <si>
    <t xml:space="preserve">https://www.saiihotels.com/wp-content/uploads/2026/04/SAii-Kids-Club-Activities-3.pdf</t>
  </si>
  <si>
    <t xml:space="preserve">ddaefa7eba4f48884afbbd8c4e2c4ed038dd96bbfc9ce09e8e0db6de0489aa6c</t>
  </si>
  <si>
    <t xml:space="preserve">library/045_saii-lagoon-maldives/excursions/2026_SAii-Kids-Club-Activities-3.pdf</t>
  </si>
  <si>
    <t xml:space="preserve">2026_SAii-Kids-Club-Activities-RUSSIAN.pdf</t>
  </si>
  <si>
    <t xml:space="preserve">https://www.saiihotels.com/wp-content/uploads/2026/04/SAii-Kids-Club-Activities-RUSSIAN.pdf</t>
  </si>
  <si>
    <t xml:space="preserve">693ff437eb3536570fc3fd7a7c3f4765788fb696ee34238d8fdafe82380a1f9a</t>
  </si>
  <si>
    <t xml:space="preserve">library/045_saii-lagoon-maldives/excursions/2026_SAii-Kids-Club-Activities-RUSSIAN.pdf</t>
  </si>
  <si>
    <t xml:space="preserve">2026_SAii-Daily-Sport-Activity_Feb-Apr-2026.pdf</t>
  </si>
  <si>
    <t xml:space="preserve">https://www.saiihotels.com/wp-content/uploads/2026/01/SAii-Daily-Sport-Activity_Feb-Apr-2026.pdf</t>
  </si>
  <si>
    <t xml:space="preserve">d9fec87f8abed1d298e3d95933decd92fc6889219b863a7d683684533bac6059</t>
  </si>
  <si>
    <t xml:space="preserve">library/045_saii-lagoon-maldives/excursions/2026_SAii-Daily-Sport-Activity_Feb-Apr-2026.pdf</t>
  </si>
  <si>
    <t xml:space="preserve">2026_SAii-Kids-Club-Activities-2-compressed.pdf</t>
  </si>
  <si>
    <t xml:space="preserve">https://www.saiihotels.com/wp-content/uploads/2026/01/SAii-Kids-Club-Activities-2-compressed.pdf</t>
  </si>
  <si>
    <t xml:space="preserve">38b652e567e4ac7e6fba30d3858fdea034bda9dce2845e53b4d841280c50ddbc</t>
  </si>
  <si>
    <t xml:space="preserve">library/045_saii-lagoon-maldives/excursions/2026_SAii-Kids-Club-Activities-2-compressed.pdf</t>
  </si>
  <si>
    <t xml:space="preserve">2026_SAii-Kids-Activity-Nov-Jan-2026_compressed.pdf</t>
  </si>
  <si>
    <t xml:space="preserve">https://www.saiihotels.com/wp-content/uploads/2025/11/SAii-Kids-Activity-Nov-Jan-2026_compressed.pdf</t>
  </si>
  <si>
    <t xml:space="preserve">ea6ccca836a44d6f07960f62477430cf3feaf0337135b1f7b2f51c39e8428ca7</t>
  </si>
  <si>
    <t xml:space="preserve">library/045_saii-lagoon-maldives/excursions/2026_SAii-Kids-Activity-Nov-Jan-2026_compressed.pdf</t>
  </si>
  <si>
    <t xml:space="preserve">2026_SAii-Daily-Sport-Activity_Nov-Jan-2026_compressed.pdf</t>
  </si>
  <si>
    <t xml:space="preserve">https://www.saiihotels.com/wp-content/uploads/2025/11/SAii-Daily-Sport-Activity_Nov-Jan-2026_compressed.pdf</t>
  </si>
  <si>
    <t xml:space="preserve">f873ba18d414f9425e277fb3ddab3ac08dd753d5c41cd1db67df58dd7e31297e</t>
  </si>
  <si>
    <t xml:space="preserve">library/045_saii-lagoon-maldives/excursions/2026_SAii-Daily-Sport-Activity_Nov-Jan-2026_compressed.pdf</t>
  </si>
  <si>
    <t xml:space="preserve">2026_SAiiKids-Summer-Camp-2026-RUSSIAN.pdf</t>
  </si>
  <si>
    <t xml:space="preserve">https://www.saiihotels.com/wp-content/uploads/2026/04/SAiiKids-Summer-Camp-2026-RUSSIAN.pdf</t>
  </si>
  <si>
    <t xml:space="preserve">d4c82dc8d792c2db54d129a1efe39eb863bf9918b39850062845554aa3357c02</t>
  </si>
  <si>
    <t xml:space="preserve">library/045_saii-lagoon-maldives/kids/2026_SAiiKids-Summer-Camp-2026-RUSSIAN.pdf</t>
  </si>
  <si>
    <t xml:space="preserve">2026_SAiiKids-Summer-Camp-2026.pdf</t>
  </si>
  <si>
    <t xml:space="preserve">https://www.saiihotels.com/wp-content/uploads/2026/04/SAiiKids-Summer-Camp-2026.pdf</t>
  </si>
  <si>
    <t xml:space="preserve">f52ea6bb09329e5f9b81aa87e89ac00bc9825766c511f235c1783cea65cc97e0</t>
  </si>
  <si>
    <t xml:space="preserve">library/045_saii-lagoon-maldives/kids/2026_SAiiKids-Summer-Camp-2026.pdf</t>
  </si>
  <si>
    <t xml:space="preserve">2026_SAii-Kuda-Eid-2026-2.pdf</t>
  </si>
  <si>
    <t xml:space="preserve">https://www.saiihotels.com/wp-content/uploads/2026/03/SAii-Kuda-Eid-2026-2.pdf</t>
  </si>
  <si>
    <t xml:space="preserve">bcd82e85a5641b7e3697046693e79d045c8892b2c3b1a15751735c6a3528cb88</t>
  </si>
  <si>
    <t xml:space="preserve">library/045_saii-lagoon-maldives/kids/2026_SAii-Kuda-Eid-2026-2.pdf</t>
  </si>
  <si>
    <t xml:space="preserve">2026_SAii-Kids-Easter-Programme-2026.pdf</t>
  </si>
  <si>
    <t xml:space="preserve">https://www.saiihotels.com/wp-content/uploads/2026/03/SAii-Kids-Easter-Programme-2026.pdf</t>
  </si>
  <si>
    <t xml:space="preserve">60deed9cc06f3b10e6381da57a41c6569d48959293e14a1e90ad48b6c3ad3960</t>
  </si>
  <si>
    <t xml:space="preserve">library/045_saii-lagoon-maldives/kids/2026_SAii-Kids-Easter-Programme-2026.pdf</t>
  </si>
  <si>
    <t xml:space="preserve">2026_SAii-Kids-Easter-Programme-2026-RUS.pdf</t>
  </si>
  <si>
    <t xml:space="preserve">https://www.saiihotels.com/wp-content/uploads/2026/03/SAii-Kids-Easter-Programme-2026-RUS.pdf</t>
  </si>
  <si>
    <t xml:space="preserve">f53212d416f0ba66d1764030ae9184dad231a31a682256a089d750aa5a4fe0b2</t>
  </si>
  <si>
    <t xml:space="preserve">library/045_saii-lagoon-maldives/kids/2026_SAii-Kids-Easter-Programme-2026-RUS.pdf</t>
  </si>
  <si>
    <t xml:space="preserve">2025_Padel-Tennis-Guest-20-12-2025.pdf</t>
  </si>
  <si>
    <t xml:space="preserve">https://www.saiihotels.com/wp-content/uploads/2025/12/Padel-Tennis-Guest-20-12-2025.pdf</t>
  </si>
  <si>
    <t xml:space="preserve">fe02ed1a3075e2303248b57213f96c1e8231af4012deac7ee9e1ca40abc76f14</t>
  </si>
  <si>
    <t xml:space="preserve">library/045_saii-lagoon-maldives/kids/2025_Padel-Tennis-Guest-20-12-2025.pdf</t>
  </si>
  <si>
    <t xml:space="preserve">2025_SKS-SAii-Club-Mr-Tom-Yam.pdf</t>
  </si>
  <si>
    <t xml:space="preserve">https://www.saiihotels.com/wp-content/uploads/2025/12/SKS-SAii-Club-Mr-Tom-Yam.pdf</t>
  </si>
  <si>
    <t xml:space="preserve">14702a3940169a619ae8cb9aeeb2dff5473e6f948cf888aa22cec77a8e832cca</t>
  </si>
  <si>
    <t xml:space="preserve">library/045_saii-lagoon-maldives/villa_plans/2025_SKS-SAii-Club-Mr-Tom-Yam.pdf</t>
  </si>
  <si>
    <t xml:space="preserve">2025_SAii-Phi-Phi-Village-10-Reasons-Why.pdf</t>
  </si>
  <si>
    <t xml:space="preserve">https://www.saiihotels.com/wp-content/uploads/2025/08/SAii-Phi-Phi-Village-10-Reasons-Why.pdf</t>
  </si>
  <si>
    <t xml:space="preserve">62c681cf621e04e36742291e38a97ff58680880bdfcfdafda4a9ad7ce042dddd</t>
  </si>
  <si>
    <t xml:space="preserve">library/045_saii-lagoon-maldives/villa_plans/2025_SAii-Phi-Phi-Village-10-Reasons-Why.pdf</t>
  </si>
  <si>
    <t xml:space="preserve">2023_SAii-Phi-Phi-Village-Online-Resources.pdf</t>
  </si>
  <si>
    <t xml:space="preserve">https://www.saiihotels.com/wp-content/uploads/2025/08/SAii-Phi-Phi-Village-Online-Resources.pdf</t>
  </si>
  <si>
    <t xml:space="preserve">07fb8644329080c94dcc8944e73ec8cd2ca85d02d3939ce00fabdadf80fd5cc5</t>
  </si>
  <si>
    <t xml:space="preserve">library/045_saii-lagoon-maldives/villa_plans/2023_SAii-Phi-Phi-Village-Online-Resources.pdf</t>
  </si>
  <si>
    <t xml:space="preserve">2026_DMC-Iftar-Event-Invitation.pdf</t>
  </si>
  <si>
    <t xml:space="preserve">https://letsgomaldives.com/wp-content/uploads/2026/03/DMC-Iftar-Event-Invitation.pdf</t>
  </si>
  <si>
    <t xml:space="preserve">5f4ec42314cf72a3916aaa80a6b70932a520c9d90a7c7a7fe161525095be838f</t>
  </si>
  <si>
    <t xml:space="preserve">library/045_saii-lagoon-maldives/all_inclusive/2026_DMC-Iftar-Event-Invitation.pdf</t>
  </si>
  <si>
    <t xml:space="preserve">2025_Padel-Tennis-V3.pdf</t>
  </si>
  <si>
    <t xml:space="preserve">https://www.saiihotels.com/wp-content/uploads/2025/11/Padel-Tennis-V3.pdf</t>
  </si>
  <si>
    <t xml:space="preserve">ea952d4b0bb0d8c638e8f6cb2a4c5bf29dc072d58d66207527664cf09c81ec20</t>
  </si>
  <si>
    <t xml:space="preserve">library/045_saii-lagoon-maldives/all_inclusive/2025_Padel-Tennis-V3.pdf</t>
  </si>
  <si>
    <t xml:space="preserve">2024_SAii-Green-Book.pdf</t>
  </si>
  <si>
    <t xml:space="preserve">https://www.saiihotels.com/wp-content/uploads/2025/11/SAii-Green-Book.pdf</t>
  </si>
  <si>
    <t xml:space="preserve">4fc75daf7180ea65d68c3eeff61a122b1c670da8fb2e0b24abe87b45459b8c7c</t>
  </si>
  <si>
    <t xml:space="preserve">library/045_saii-lagoon-maldives/sustainability/2024_SAii-Green-Book.pdf</t>
  </si>
  <si>
    <t xml:space="preserve">2026_SAii-SKS-Festive-Brochure-2026_Final.pdf</t>
  </si>
  <si>
    <t xml:space="preserve">https://www.saiihotels.com/wp-content/uploads/2026/08/SAii-SKS-Festive-Brochure-2026_Final.pdf</t>
  </si>
  <si>
    <t xml:space="preserve">15ad241180e1dbb8923b632550b2aba15bed282dade13aa139300b2261a9d251</t>
  </si>
  <si>
    <t xml:space="preserve">library/045_saii-lagoon-maldives/calendar/2026_SAii-SKS-Festive-Brochure-2026_Final.pdf</t>
  </si>
  <si>
    <t xml:space="preserve">2026_SAii-Recreation-Program_IPTV.pdf</t>
  </si>
  <si>
    <t xml:space="preserve">https://www.saiihotels.com/wp-content/uploads/2026/04/SAii-Recreation-Program_IPTV.pdf</t>
  </si>
  <si>
    <t xml:space="preserve">c67fbb536fad578280e0a10e672ce0e752cff1d44296ac0f31c24dc296a42de6</t>
  </si>
  <si>
    <t xml:space="preserve">library/045_saii-lagoon-maldives/calendar/2026_SAii-Recreation-Program_IPTV.pdf</t>
  </si>
  <si>
    <t xml:space="preserve">2026_SAii-Easter-Programme-2026-RUS.pdf</t>
  </si>
  <si>
    <t xml:space="preserve">https://www.saiihotels.com/wp-content/uploads/2026/03/SAii-Easter-Programme-2026-RUS.pdf</t>
  </si>
  <si>
    <t xml:space="preserve">4d806ea19028ea6d4743ee87b1c4a6734c273b41e4e740bb8a607d9bb84e9b4d</t>
  </si>
  <si>
    <t xml:space="preserve">library/045_saii-lagoon-maldives/calendar/2026_SAii-Easter-Programme-2026-RUS.pdf</t>
  </si>
  <si>
    <t xml:space="preserve">2026_SAii-Easter-Programme-2026.pdf</t>
  </si>
  <si>
    <t xml:space="preserve">https://www.saiihotels.com/wp-content/uploads/2026/03/SAii-Easter-Programme-2026.pdf</t>
  </si>
  <si>
    <t xml:space="preserve">9cee2cf844edc565f4b9bbf2a55b4d1a8aab234c4711702b61a46dd7ba256dee</t>
  </si>
  <si>
    <t xml:space="preserve">library/045_saii-lagoon-maldives/calendar/2026_SAii-Easter-Programme-2026.pdf</t>
  </si>
  <si>
    <t xml:space="preserve">2026_SAii-Chinese-New-Year-2026.pdf</t>
  </si>
  <si>
    <t xml:space="preserve">https://www.saiihotels.com/wp-content/uploads/2026/01/SAii-Chinese-New-Year-2026.pdf</t>
  </si>
  <si>
    <t xml:space="preserve">ac0fae67fc5568ee4fdaca887bacda53700a8461624813990b070c277313e9ce</t>
  </si>
  <si>
    <t xml:space="preserve">library/045_saii-lagoon-maldives/calendar/2026_SAii-Chinese-New-Year-2026.pdf</t>
  </si>
  <si>
    <t xml:space="preserve">2026_SPP-Festive-brochure-25.pdf</t>
  </si>
  <si>
    <t xml:space="preserve">https://www.saiihotels.com/wp-content/uploads/2025/09/SPP-Festive-brochure-25.pdf</t>
  </si>
  <si>
    <t xml:space="preserve">0359a3a1437436859644c228ec64f89d91e949dbe672d2572cb6d65888ccc9a9</t>
  </si>
  <si>
    <t xml:space="preserve">library/045_saii-lagoon-maldives/calendar/2026_SPP-Festive-brochure-25.pdf</t>
  </si>
  <si>
    <t xml:space="preserve">2025_SKS-Festive-Winter-Sparkle-Brochure.pdf</t>
  </si>
  <si>
    <t xml:space="preserve">https://www.saiihotels.com/wp-content/uploads/2025/09/SKS-Festive-Winter-Sparkle-Brochure.pdf</t>
  </si>
  <si>
    <t xml:space="preserve">7e6f606bb7341ddd6cd36797f8d1d8a0849f2e0db0cace37250a704f12d27973</t>
  </si>
  <si>
    <t xml:space="preserve">library/045_saii-lagoon-maldives/calendar/2025_SKS-Festive-Winter-Sparkle-Brochure.pdf</t>
  </si>
  <si>
    <t xml:space="preserve">2026_SRMDV-Stories.pdf</t>
  </si>
  <si>
    <t xml:space="preserve">https://www.saiihotels.com/wp-content/uploads/2026/09/SRMDV-Stories.pdf</t>
  </si>
  <si>
    <t xml:space="preserve">c03dc7fda64c5f48944e5f85139cab73c7f82111299dc014efcf5400dd81a44f</t>
  </si>
  <si>
    <t xml:space="preserve">library/045_saii-lagoon-maldives/other/2026_SRMDV-Stories.pdf</t>
  </si>
  <si>
    <t xml:space="preserve">2026_SunRay_A4-Food-AllDay_04b.pdf</t>
  </si>
  <si>
    <t xml:space="preserve">https://www.saiihotels.com/wp-content/uploads/2026/07/SunRay_A4-Food-AllDay_04b.pdf</t>
  </si>
  <si>
    <t xml:space="preserve">0fd367eefded622a6edc0f1d47615de97c801aee281a08fa2bcfe7d548090d76</t>
  </si>
  <si>
    <t xml:space="preserve">library/045_saii-lagoon-maldives/other/2026_SunRay_A4-Food-AllDay_04b.pdf</t>
  </si>
  <si>
    <t xml:space="preserve">2026_MARCH-Recreation-RUS.pdf</t>
  </si>
  <si>
    <t xml:space="preserve">https://www.saiihotels.com/wp-content/uploads/2026/02/MARCH-Recreation-RUS.pdf</t>
  </si>
  <si>
    <t xml:space="preserve">afaa7a9cf74d2ada0c7ceb82f8ade7a6f277963e98c34180496924d5cecc4825</t>
  </si>
  <si>
    <t xml:space="preserve">library/045_saii-lagoon-maldives/other/2026_MARCH-Recreation-RUS.pdf</t>
  </si>
  <si>
    <t xml:space="preserve">2026_FEB-Recreation-RUS.pdf</t>
  </si>
  <si>
    <t xml:space="preserve">https://www.saiihotels.com/wp-content/uploads/2026/01/FEB-Recreation-RUS.pdf</t>
  </si>
  <si>
    <t xml:space="preserve">55a89dd1e2c1cf48ab8ad08764e77489dbe5b9b9e0cdff24334ab269a5477192</t>
  </si>
  <si>
    <t xml:space="preserve">library/045_saii-lagoon-maldives/other/2026_FEB-Recreation-RUS.pdf</t>
  </si>
  <si>
    <t xml:space="preserve">2026_SLP-Feastive-2025-2026.pdf</t>
  </si>
  <si>
    <t xml:space="preserve">https://www.saiihotels.com/wp-content/uploads/2025/08/SLP-Feastive-2025-2026.pdf</t>
  </si>
  <si>
    <t xml:space="preserve">a90fa6f5e2640f0f278bbb08ba63603613fc58d9c6c63ce88142ada03893ce25</t>
  </si>
  <si>
    <t xml:space="preserve">library/045_saii-lagoon-maldives/other/2026_SLP-Feastive-2025-2026.pdf</t>
  </si>
  <si>
    <t xml:space="preserve">2025_SO-Maldives-Factsheet_Eng.pdf</t>
  </si>
  <si>
    <t xml:space="preserve">https://www.neoscapesmaldives.com/wp-content/uploads/SO-Maldives-Factsheet_Eng.pdf</t>
  </si>
  <si>
    <t xml:space="preserve">0e6ac36637ec8ab0067708d7e8730953e1095293b7a3f206555bf6ed79c408df</t>
  </si>
  <si>
    <t xml:space="preserve">library/046_so-maldives/factsheet/2025_SO-Maldives-Factsheet_Eng.pdf</t>
  </si>
  <si>
    <t xml:space="preserve">2026_SOWedding_Brochure.pdf</t>
  </si>
  <si>
    <t xml:space="preserve">https://so-hotels.com/wp-content/uploads/sites/19/2026/03/SOWedding_Brochure.pdf</t>
  </si>
  <si>
    <t xml:space="preserve">f8f3541a14093d280bc3484cc71e158f31155dc55d46f97fc23a4fdfd93227f3</t>
  </si>
  <si>
    <t xml:space="preserve">library/046_so-maldives/wedding/2026_SOWedding_Brochure.pdf</t>
  </si>
  <si>
    <t xml:space="preserve">ambiguous match [46]</t>
  </si>
  <si>
    <t xml:space="preserve">2025_so_maldives_meetings-occassions_weddings_wedding-brochure_1225.pdf</t>
  </si>
  <si>
    <t xml:space="preserve">https://so-hotels.com/wp-content/uploads/sites/19/2025/12/so_maldives_meetings-occassions_weddings_wedding-brochure_1225.pdf</t>
  </si>
  <si>
    <t xml:space="preserve">981a4d2a649feb0292c89b733debd679fd3a20361c8042036862e57a4535c432</t>
  </si>
  <si>
    <t xml:space="preserve">library/046_so-maldives/wedding/2025_so_maldives_meetings-occassions_weddings_wedding-brochure_1225.pdf</t>
  </si>
  <si>
    <t xml:space="preserve">2026_so_vienna_meetings-and-celebrations_brochure_DE-2026.pdf</t>
  </si>
  <si>
    <t xml:space="preserve">https://so-hotels.com/wp-content/uploads/sites/19/2026/04/so_vienna_meetings-and-celebrations_brochure_DE-2026.pdf</t>
  </si>
  <si>
    <t xml:space="preserve">eac48d9c0e88639332ae4511e7f75dd4cff234e2afd5568f192505934c215b33</t>
  </si>
  <si>
    <t xml:space="preserve">library/046_so-maldives/events/2026_so_vienna_meetings-and-celebrations_brochure_DE-2026.pdf</t>
  </si>
  <si>
    <t xml:space="preserve">2026_so_vienna_meetings-and-celebrations_brochure_ENG-2026.pdf</t>
  </si>
  <si>
    <t xml:space="preserve">https://so-hotels.com/wp-content/uploads/sites/19/2026/04/so_vienna_meetings-and-celebrations_brochure_ENG-2026.pdf</t>
  </si>
  <si>
    <t xml:space="preserve">426f96c3153f75aa0542dafb29e97a73954f747e783aac521e0dc2eaa7f77fdf</t>
  </si>
  <si>
    <t xml:space="preserve">library/046_so-maldives/events/2026_so_vienna_meetings-and-celebrations_brochure_ENG-2026.pdf</t>
  </si>
  <si>
    <t xml:space="preserve">2026_so_huahin_fitness_cycling_map_0226.pdf</t>
  </si>
  <si>
    <t xml:space="preserve">https://so-hotels.com/wp-content/uploads/sites/19/2026/02/so_huahin_fitness_cycling_map_0226.pdf</t>
  </si>
  <si>
    <t xml:space="preserve">c7197eecff38ad7e5cc86d4a70c2d7bf321e5b85c641326eb213636ab48e3f0a</t>
  </si>
  <si>
    <t xml:space="preserve">library/046_so-maldives/map/2026_so_huahin_fitness_cycling_map_0226.pdf</t>
  </si>
  <si>
    <t xml:space="preserve">2025_so_maldives_green-key_sustainabilityy-management-plan_281025.pdf</t>
  </si>
  <si>
    <t xml:space="preserve">https://so-hotels.com/wp-content/uploads/sites/19/2025/10/so_maldives_green-key_sustainabilityy-management-plan_281025.pdf</t>
  </si>
  <si>
    <t xml:space="preserve">e6ff0e7629a57767f5b5f64d516a80c31a65f28bef33ce3753235387e0a19504</t>
  </si>
  <si>
    <t xml:space="preserve">library/046_so-maldives/map/2025_so_maldives_green-key_sustainabilityy-management-plan_281025.pdf</t>
  </si>
  <si>
    <t xml:space="preserve">2024_SO_Maldives_Resort_Map_-March-11-2024-Updated-1.pdf</t>
  </si>
  <si>
    <t xml:space="preserve">https://www.neoscapesmaldives.com/wp-content/uploads/SO_Maldives_Resort_Map_-March-11-2024-Updated-1.pdf</t>
  </si>
  <si>
    <t xml:space="preserve">27e3cd9912db14d28643b1a847c348a056e3363831f3266a1db803c51a4ecdf0</t>
  </si>
  <si>
    <t xml:space="preserve">library/046_so-maldives/map/2024_SO_Maldives_Resort_Map_-March-11-2024-Updated-1.pdf</t>
  </si>
  <si>
    <t xml:space="preserve">2026_so_rasalkhaimah_spa-menu_0926.pdf</t>
  </si>
  <si>
    <t xml:space="preserve">https://so-hotels.com/wp-content/uploads/sites/19/2026/09/so_rasalkhaimah_spa-menu_0926.pdf</t>
  </si>
  <si>
    <t xml:space="preserve">ba5e1cc447ca022d5a58b43aa8ae10ff873f96840b611284faca4c362a52c7ef</t>
  </si>
  <si>
    <t xml:space="preserve">library/046_so-maldives/spa_menu/2026_so_rasalkhaimah_spa-menu_0926.pdf</t>
  </si>
  <si>
    <t xml:space="preserve">2026_uptowndubai_offers_afternoontea_menu.pdf</t>
  </si>
  <si>
    <t xml:space="preserve">https://so-hotels.com/wp-content/uploads/sites/19/2026/09/uptowndubai_offers_afternoontea_menu.pdf</t>
  </si>
  <si>
    <t xml:space="preserve">5977237f2c217a8f2904861957572c85e6c5ec684bc70edfd4c04b5e1ed9ff8e</t>
  </si>
  <si>
    <t xml:space="preserve">library/046_so-maldives/dining_menu/2026_uptowndubai_offers_afternoontea_menu.pdf</t>
  </si>
  <si>
    <t xml:space="preserve">2026_so_uptowndubai_offers_afternoon-tea-menu.pdf</t>
  </si>
  <si>
    <t xml:space="preserve">https://so-hotels.com/wp-content/uploads/sites/19/2026/08/so_uptowndubai_offers_afternoon-tea-menu.pdf</t>
  </si>
  <si>
    <t xml:space="preserve">5c9e4512312edb775fbb15b80a44f27670ec6d715dfab08802a528f9f5bdac7c</t>
  </si>
  <si>
    <t xml:space="preserve">library/046_so-maldives/dining_menu/2026_so_uptowndubai_offers_afternoon-tea-menu.pdf</t>
  </si>
  <si>
    <t xml:space="preserve">2026_so_auckland_offer_Pho-Yen-x-SO-menu.pdf</t>
  </si>
  <si>
    <t xml:space="preserve">https://so-hotels.com/wp-content/uploads/sites/19/2026/07/so_auckland_offer_Pho-Yen-x-SO-menu.pdf</t>
  </si>
  <si>
    <t xml:space="preserve">40778086a7456e05b5ca31932ad23f129d62a8deba60b7920f6f072b9fe887fc</t>
  </si>
  <si>
    <t xml:space="preserve">library/046_so-maldives/dining_menu/2026_so_auckland_offer_Pho-Yen-x-SO-menu.pdf</t>
  </si>
  <si>
    <t xml:space="preserve">2026_so_auckland_tuhono_matariki_menu.pdf</t>
  </si>
  <si>
    <t xml:space="preserve">https://so-hotels.com/wp-content/uploads/sites/19/2026/06/so_auckland_tuhono_matariki_menu.pdf</t>
  </si>
  <si>
    <t xml:space="preserve">9a5b55dba32c6338fbf80a37117fc41781c15490ffc607386b55cde67c3a8f55</t>
  </si>
  <si>
    <t xml:space="preserve">library/046_so-maldives/dining_menu/2026_so_auckland_tuhono_matariki_menu.pdf</t>
  </si>
  <si>
    <t xml:space="preserve">2025_HISO-Rooftop-Bar-Menu-2025.pdf</t>
  </si>
  <si>
    <t xml:space="preserve">https://so-hotels.com/wp-content/uploads/sites/19/2023/03/HISO-Rooftop-Bar-Menu-2025.pdf</t>
  </si>
  <si>
    <t xml:space="preserve">a40984b0c34c992ae2f09c6906464ef740996678e5a2073e61466e17ef8feb3e</t>
  </si>
  <si>
    <t xml:space="preserve">library/046_so-maldives/dining_menu/2025_HISO-Rooftop-Bar-Menu-2025.pdf</t>
  </si>
  <si>
    <t xml:space="preserve">2025_so_maldives_hadaba_food-menu_1225.pdf</t>
  </si>
  <si>
    <t xml:space="preserve">https://so-hotels.com/wp-content/uploads/sites/19/2024/08/so_maldives_hadaba_food-menu_1225.pdf</t>
  </si>
  <si>
    <t xml:space="preserve">3ec89580ab5b51746392532171e7f1b877146f4466e13906f5a1ef261b6514a7</t>
  </si>
  <si>
    <t xml:space="preserve">library/046_so-maldives/dining_menu/2025_so_maldives_hadaba_food-menu_1225.pdf</t>
  </si>
  <si>
    <t xml:space="preserve">2025_so_maldives_hadaba_beverage-menu_1225.pdf</t>
  </si>
  <si>
    <t xml:space="preserve">https://so-hotels.com/wp-content/uploads/sites/19/2024/08/so_maldives_hadaba_beverage-menu_1225.pdf</t>
  </si>
  <si>
    <t xml:space="preserve">d5a1263f3c6f4ec7a58d9f170401d7b05b709c7904aa51d23e2e8aef7fb0c935</t>
  </si>
  <si>
    <t xml:space="preserve">library/046_so-maldives/dining_menu/2025_so_maldives_hadaba_beverage-menu_1225.pdf</t>
  </si>
  <si>
    <t xml:space="preserve">2025_so_maldives_hadaba_vegan-menu_1225.pdf</t>
  </si>
  <si>
    <t xml:space="preserve">https://so-hotels.com/wp-content/uploads/sites/19/2024/08/so_maldives_hadaba_vegan-menu_1225.pdf</t>
  </si>
  <si>
    <t xml:space="preserve">cc82db97d6669fad3d7c84180ff0f3f34a3bbb9135258d1c1e4c9375330a3ca6</t>
  </si>
  <si>
    <t xml:space="preserve">library/046_so-maldives/dining_menu/2025_so_maldives_hadaba_vegan-menu_1225.pdf</t>
  </si>
  <si>
    <t xml:space="preserve">2025_so_maldives_citronelle-club_drinks-menu_1225.pdf</t>
  </si>
  <si>
    <t xml:space="preserve">https://so-hotels.com/wp-content/uploads/sites/19/2024/08/so_maldives_citronelle-club_drinks-menu_1225.pdf</t>
  </si>
  <si>
    <t xml:space="preserve">48c120bd657b72fab5a818b9c74f94afeab58acab1ec728056aec5fc09c45bef</t>
  </si>
  <si>
    <t xml:space="preserve">library/046_so-maldives/dining_menu/2025_so_maldives_citronelle-club_drinks-menu_1225.pdf</t>
  </si>
  <si>
    <t xml:space="preserve">2025_so_maldives_citronelle-club_indian-menu_1225.pdf</t>
  </si>
  <si>
    <t xml:space="preserve">https://so-hotels.com/wp-content/uploads/sites/19/2024/08/so_maldives_citronelle-club_indian-menu_1225.pdf</t>
  </si>
  <si>
    <t xml:space="preserve">20ca6e309a7130d709add9913989106d7a0a30da12f1fbd969f763b16b379e6e</t>
  </si>
  <si>
    <t xml:space="preserve">library/046_so-maldives/dining_menu/2025_so_maldives_citronelle-club_indian-menu_1225.pdf</t>
  </si>
  <si>
    <t xml:space="preserve">2025_so_maldives_citronelle-club_dinner-menu_1225.pdf</t>
  </si>
  <si>
    <t xml:space="preserve">https://so-hotels.com/wp-content/uploads/sites/19/2024/08/so_maldives_citronelle-club_dinner-menu_1225.pdf</t>
  </si>
  <si>
    <t xml:space="preserve">4925878672d6156e5d3333ec40a34b65c30f865830886189cddeb24e3026a196</t>
  </si>
  <si>
    <t xml:space="preserve">library/046_so-maldives/dining_menu/2025_so_maldives_citronelle-club_dinner-menu_1225.pdf</t>
  </si>
  <si>
    <t xml:space="preserve">2025_so_maldives_citronelle-club_lunch-menu_1225.pdf</t>
  </si>
  <si>
    <t xml:space="preserve">https://so-hotels.com/wp-content/uploads/sites/19/2024/08/so_maldives_citronelle-club_lunch-menu_1225.pdf</t>
  </si>
  <si>
    <t xml:space="preserve">ce5cd668d758ceac805b5028bd6301a76bbba69aea9b714d29e48fcc3183a9c4</t>
  </si>
  <si>
    <t xml:space="preserve">library/046_so-maldives/dining_menu/2025_so_maldives_citronelle-club_lunch-menu_1225.pdf</t>
  </si>
  <si>
    <t xml:space="preserve">2025_so_maldives_citronelle-club_breakfast-menu_1225.pdf</t>
  </si>
  <si>
    <t xml:space="preserve">https://so-hotels.com/wp-content/uploads/sites/19/2024/08/so_maldives_citronelle-club_breakfast-menu_1225.pdf</t>
  </si>
  <si>
    <t xml:space="preserve">1e550e6058a767d10a83c03ebd3efb49fcf881851c5d9c602cfb093821c1fa67</t>
  </si>
  <si>
    <t xml:space="preserve">library/046_so-maldives/dining_menu/2025_so_maldives_citronelle-club_breakfast-menu_1225.pdf</t>
  </si>
  <si>
    <t xml:space="preserve">2025_so_maldives_citronelle-club_kids-menu_1225.pdf</t>
  </si>
  <si>
    <t xml:space="preserve">https://so-hotels.com/wp-content/uploads/sites/19/2024/08/so_maldives_citronelle-club_kids-menu_1225.pdf</t>
  </si>
  <si>
    <t xml:space="preserve">6dca8217427c55dd23d1c91769966d123bb42b44c9b3182cfebcb6940215be82</t>
  </si>
  <si>
    <t xml:space="preserve">library/046_so-maldives/dining_menu/2025_so_maldives_citronelle-club_kids-menu_1225.pdf</t>
  </si>
  <si>
    <t xml:space="preserve">2025_so_maldives_citronelle-club_kinds-breakfast-menu_1225.pdf</t>
  </si>
  <si>
    <t xml:space="preserve">https://so-hotels.com/wp-content/uploads/sites/19/2024/08/so_maldives_citronelle-club_kinds-breakfast-menu_1225.pdf</t>
  </si>
  <si>
    <t xml:space="preserve">6155361af196a3ee71acf287a01891b8a0c87caeef37a6a17760991879d1a925</t>
  </si>
  <si>
    <t xml:space="preserve">library/046_so-maldives/dining_menu/2025_so_maldives_citronelle-club_kinds-breakfast-menu_1225.pdf</t>
  </si>
  <si>
    <t xml:space="preserve">2025_so_maldives_in-villa-dining_drinks-menu_1225.pdf</t>
  </si>
  <si>
    <t xml:space="preserve">https://so-hotels.com/wp-content/uploads/sites/19/2024/08/so_maldives_in-villa-dining_drinks-menu_1225.pdf</t>
  </si>
  <si>
    <t xml:space="preserve">c7048102ef92885861c401c4ae8d27652726ec5a1cf498a97e0351380d71504a</t>
  </si>
  <si>
    <t xml:space="preserve">library/046_so-maldives/dining_menu/2025_so_maldives_in-villa-dining_drinks-menu_1225.pdf</t>
  </si>
  <si>
    <t xml:space="preserve">2025_so_maldives_in-villa-dining_food-menu_1225.pdf</t>
  </si>
  <si>
    <t xml:space="preserve">https://so-hotels.com/wp-content/uploads/sites/19/2024/08/so_maldives_in-villa-dining_food-menu_1225.pdf</t>
  </si>
  <si>
    <t xml:space="preserve">654ca66bd438d30904e2cd5c500e908a8f1d73272c8f669c73d3006728bb4c19</t>
  </si>
  <si>
    <t xml:space="preserve">library/046_so-maldives/dining_menu/2025_so_maldives_in-villa-dining_food-menu_1225.pdf</t>
  </si>
  <si>
    <t xml:space="preserve">2025_so_maldives_destination-dining_1225.pdf</t>
  </si>
  <si>
    <t xml:space="preserve">https://so-hotels.com/wp-content/uploads/sites/19/2024/08/so_maldives_destination-dining_1225.pdf</t>
  </si>
  <si>
    <t xml:space="preserve">bd9619a0a7fa20e4456d49f4f4647ef26344968294adc9dcced7efa6eaa770c4</t>
  </si>
  <si>
    <t xml:space="preserve">library/046_so-maldives/dining_menu/2025_so_maldives_destination-dining_1225.pdf</t>
  </si>
  <si>
    <t xml:space="preserve">2025_so_maldives_floating-breakfast_1225.pdf</t>
  </si>
  <si>
    <t xml:space="preserve">https://so-hotels.com/wp-content/uploads/sites/19/2024/08/so_maldives_floating-breakfast_1225.pdf</t>
  </si>
  <si>
    <t xml:space="preserve">3c5683e34972a2ddffc8bec1e9537b398ee680ae510e08385285ee98ef431778</t>
  </si>
  <si>
    <t xml:space="preserve">library/046_so-maldives/dining_menu/2025_so_maldives_floating-breakfast_1225.pdf</t>
  </si>
  <si>
    <t xml:space="preserve">2018_so_maldives_hadaba_wine-menu_1225.pdf</t>
  </si>
  <si>
    <t xml:space="preserve">https://so-hotels.com/wp-content/uploads/sites/19/2024/08/so_maldives_hadaba_wine-menu_1225.pdf</t>
  </si>
  <si>
    <t xml:space="preserve">ffa2261bec0cff9f1a4d8d64f8bac3ad8a700e0e11cac930852550d9a8d29e82</t>
  </si>
  <si>
    <t xml:space="preserve">library/046_so-maldives/dining_menu/2018_so_maldives_hadaba_wine-menu_1225.pdf</t>
  </si>
  <si>
    <t xml:space="preserve">2018_so_maldives_citronelle-club_wine-menu_1225.pdf</t>
  </si>
  <si>
    <t xml:space="preserve">https://so-hotels.com/wp-content/uploads/sites/19/2024/08/so_maldives_citronelle-club_wine-menu_1225.pdf</t>
  </si>
  <si>
    <t xml:space="preserve">6396fbbb5137330a07e559222ea80984fee04b8015436d79f15b57e6d93eb0f1</t>
  </si>
  <si>
    <t xml:space="preserve">library/046_so-maldives/dining_menu/2018_so_maldives_citronelle-club_wine-menu_1225.pdf</t>
  </si>
  <si>
    <t xml:space="preserve">2026_so_maldives_experiences_island-discoveries_crossroads.pdf</t>
  </si>
  <si>
    <t xml:space="preserve">https://so-hotels.com/wp-content/uploads/sites/19/2025/07/so_maldives_experiences_island-discoveries_crossroads.pdf</t>
  </si>
  <si>
    <t xml:space="preserve">b21bc08760ca90384d294774133d1c633c619e5821c737138674a4908e187697</t>
  </si>
  <si>
    <t xml:space="preserve">library/046_so-maldives/excursions/2026_so_maldives_experiences_island-discoveries_crossroads.pdf</t>
  </si>
  <si>
    <t xml:space="preserve">2025_so_maldives_activities_photography_pricing_july2025.pdf</t>
  </si>
  <si>
    <t xml:space="preserve">https://so-hotels.com/wp-content/uploads/sites/19/2025/07/so_maldives_activities_photography_pricing_july2025.pdf</t>
  </si>
  <si>
    <t xml:space="preserve">6390b08013057459e7bbd7b8effb1846d2cffe6da932a5644d54a4650678eae0</t>
  </si>
  <si>
    <t xml:space="preserve">library/046_so-maldives/excursions/2025_so_maldives_activities_photography_pricing_july2025.pdf</t>
  </si>
  <si>
    <t xml:space="preserve">2025_so_global_press-release_suites_DE.pdf</t>
  </si>
  <si>
    <t xml:space="preserve">https://so-hotels.com/wp-content/uploads/sites/19/2026/02/so_global_press-release_suites_DE.pdf</t>
  </si>
  <si>
    <t xml:space="preserve">cebb8188edef2f4995885c126ab250f37aa8e133f9568ec1cf88e433cb009c67</t>
  </si>
  <si>
    <t xml:space="preserve">library/046_so-maldives/villa_plans/2025_so_global_press-release_suites_DE.pdf</t>
  </si>
  <si>
    <t xml:space="preserve">2025_so_global_press-release_suites_EN.pdf</t>
  </si>
  <si>
    <t xml:space="preserve">https://so-hotels.com/wp-content/uploads/sites/19/2026/02/so_global_press-release_suites_EN.pdf</t>
  </si>
  <si>
    <t xml:space="preserve">e315f9909682c162ec2bf739a619768fe3ec2dbc4180bc5945b56ffd84d721bc</t>
  </si>
  <si>
    <t xml:space="preserve">library/046_so-maldives/villa_plans/2025_so_global_press-release_suites_EN.pdf</t>
  </si>
  <si>
    <t xml:space="preserve">2026_so_vienna_christmas-packages_2026_EN.pdf</t>
  </si>
  <si>
    <t xml:space="preserve">https://so-hotels.com/wp-content/uploads/sites/19/2026/09/so_vienna_christmas-packages_2026_EN.pdf</t>
  </si>
  <si>
    <t xml:space="preserve">f89f78c5cf43fb234be83b944ebb6e5a64f5357a7fbfbaa6de2ad5b9118999c6</t>
  </si>
  <si>
    <t xml:space="preserve">library/046_so-maldives/all_inclusive/2026_so_vienna_christmas-packages_2026_EN.pdf</t>
  </si>
  <si>
    <t xml:space="preserve">2026_so_vienna_christmas-packages_2026_DE.pdf</t>
  </si>
  <si>
    <t xml:space="preserve">https://so-hotels.com/wp-content/uploads/sites/19/2026/09/so_vienna_christmas-packages_2026_DE.pdf</t>
  </si>
  <si>
    <t xml:space="preserve">2fa79772459653ad31260243568a7c7ba10266bde34af755841ab8ac52f83ef3</t>
  </si>
  <si>
    <t xml:space="preserve">library/046_so-maldives/all_inclusive/2026_so_vienna_christmas-packages_2026_DE.pdf</t>
  </si>
  <si>
    <t xml:space="preserve">2025_so_maldives_rampb_meal-plans_sep2025.pdf</t>
  </si>
  <si>
    <t xml:space="preserve">https://so-hotels.com/wp-content/uploads/sites/19/2025/09/so_maldives_rampb_meal-plans_sep2025.pdf</t>
  </si>
  <si>
    <t xml:space="preserve">048c27420e302e1bc98cdddc71690ca9104faddc94e15d2bbee50d57d745e9ea</t>
  </si>
  <si>
    <t xml:space="preserve">library/046_so-maldives/all_inclusive/2025_so_maldives_rampb_meal-plans_sep2025.pdf</t>
  </si>
  <si>
    <t xml:space="preserve">2025_so_maldives_press-release_greenglobe_EN.pdf</t>
  </si>
  <si>
    <t xml:space="preserve">https://so-hotels.com/wp-content/uploads/sites/19/2025/12/so_maldives_press-release_greenglobe_EN.pdf</t>
  </si>
  <si>
    <t xml:space="preserve">406e2aac04f685a9307c76c8d76c6d256b8623be71a9f922972a31158aa9c5e6</t>
  </si>
  <si>
    <t xml:space="preserve">library/046_so-maldives/sustainability/2025_so_maldives_press-release_greenglobe_EN.pdf</t>
  </si>
  <si>
    <t xml:space="preserve">2025_so_maldives_green-key_environmental-policy_281025.pdf</t>
  </si>
  <si>
    <t xml:space="preserve">https://so-hotels.com/wp-content/uploads/sites/19/2025/10/so_maldives_green-key_environmental-policy_281025.pdf</t>
  </si>
  <si>
    <t xml:space="preserve">86fd81be257afedea8fb929a19316e3ba62ef609c8f8237c47d50f3ad61b803e</t>
  </si>
  <si>
    <t xml:space="preserve">library/046_so-maldives/sustainability/2025_so_maldives_green-key_environmental-policy_281025.pdf</t>
  </si>
  <si>
    <t xml:space="preserve">2024_Auckland_SO_Gallery_C_E_Information_2024.pdf</t>
  </si>
  <si>
    <t xml:space="preserve">https://so-hotels.com/wp-content/uploads/sites/19/2024/04/Auckland_SO_Gallery_C_E_Information_2024.pdf</t>
  </si>
  <si>
    <t xml:space="preserve">2c4e6169dd8a17e84c1a13e677eaa9bcc40770e9bb4c82242581d75027d08366</t>
  </si>
  <si>
    <t xml:space="preserve">library/046_so-maldives/sustainability/2024_Auckland_SO_Gallery_C_E_Information_2024.pdf</t>
  </si>
  <si>
    <t xml:space="preserve">2026_somaldives-festive_brochure-2026.pdf</t>
  </si>
  <si>
    <t xml:space="preserve">https://so-hotels.com/wp-content/uploads/sites/19/2026/10/somaldives-festive_brochure-2026.pdf</t>
  </si>
  <si>
    <t xml:space="preserve">56f1886a8423613993c4cfcf080bcec0af08a65b412c47e85ce23a3cf66cc47b</t>
  </si>
  <si>
    <t xml:space="preserve">library/046_so-maldives/calendar/2026_somaldives-festive_brochure-2026.pdf</t>
  </si>
  <si>
    <t xml:space="preserve">2026_so_sotogrande_easter_0326_es.pdf</t>
  </si>
  <si>
    <t xml:space="preserve">https://so-hotels.com/wp-content/uploads/sites/19/2026/03/so_sotogrande_easter_0326_es.pdf</t>
  </si>
  <si>
    <t xml:space="preserve">ad2023a10600be67679d64cf7c1d846ea06af264cda1fdc245543011425cf6e4</t>
  </si>
  <si>
    <t xml:space="preserve">library/046_so-maldives/calendar/2026_so_sotogrande_easter_0326_es.pdf</t>
  </si>
  <si>
    <t xml:space="preserve">2026_so_sotogrande_easter_0326_de.pdf</t>
  </si>
  <si>
    <t xml:space="preserve">https://so-hotels.com/wp-content/uploads/sites/19/2026/03/so_sotogrande_easter_0326_de.pdf</t>
  </si>
  <si>
    <t xml:space="preserve">d044e2fd81a88d0437445551f7491c4154a111a1fb542cee67891a0faa6d7ed4</t>
  </si>
  <si>
    <t xml:space="preserve">library/046_so-maldives/calendar/2026_so_sotogrande_easter_0326_de.pdf</t>
  </si>
  <si>
    <t xml:space="preserve">2026_so_sotogrande_easter_0326_en.pdf</t>
  </si>
  <si>
    <t xml:space="preserve">https://so-hotels.com/wp-content/uploads/sites/19/2026/03/so_sotogrande_easter_0326_en.pdf</t>
  </si>
  <si>
    <t xml:space="preserve">8480ca70ee2dc7fb7b22da0f61113b26cf30695b9872250d70ff2c9e12706285</t>
  </si>
  <si>
    <t xml:space="preserve">library/046_so-maldives/calendar/2026_so_sotogrande_easter_0326_en.pdf</t>
  </si>
  <si>
    <t xml:space="preserve">2025_so_maldives_press-release_festive-2025_EN.pdf</t>
  </si>
  <si>
    <t xml:space="preserve">https://so-hotels.com/wp-content/uploads/sites/19/2025/12/so_maldives_press-release_festive-2025_EN.pdf</t>
  </si>
  <si>
    <t xml:space="preserve">59f4aa7418b9781a591fd217cfe3f8b36bda0438f9dbf2d0c95e9af0f651750b</t>
  </si>
  <si>
    <t xml:space="preserve">library/046_so-maldives/calendar/2025_so_maldives_press-release_festive-2025_EN.pdf</t>
  </si>
  <si>
    <t xml:space="preserve">2025_so_ras-al-khaimah_press-release_festive-season-2025_EN.pdf</t>
  </si>
  <si>
    <t xml:space="preserve">https://so-hotels.com/wp-content/uploads/sites/19/2025/12/so_ras-al-khaimah_press-release_festive-season-2025_EN.pdf</t>
  </si>
  <si>
    <t xml:space="preserve">c319478278facdd9e49a69768b731914481c71c37f0b492638be83acbf4db5ab</t>
  </si>
  <si>
    <t xml:space="preserve">library/046_so-maldives/calendar/2025_so_ras-al-khaimah_press-release_festive-season-2025_EN.pdf</t>
  </si>
  <si>
    <t xml:space="preserve">2026_so_sotogrande_press-release_thalasso-inspired_EN.pdf</t>
  </si>
  <si>
    <t xml:space="preserve">https://so-hotels.com/wp-content/uploads/sites/19/2026/07/so_sotogrande_press-release_thalasso-inspired_EN.pdf</t>
  </si>
  <si>
    <t xml:space="preserve">b92ef9a29df81d488e3ef0215bd7b25e00df7073ef537c2e0a3c15272f8f2aea</t>
  </si>
  <si>
    <t xml:space="preserve">library/046_so-maldives/press_kit/2026_so_sotogrande_press-release_thalasso-inspired_EN.pdf</t>
  </si>
  <si>
    <t xml:space="preserve">2026_so_sotogrande_press-release_thalasso-inspired_DE.pdf</t>
  </si>
  <si>
    <t xml:space="preserve">https://so-hotels.com/wp-content/uploads/sites/19/2026/07/so_sotogrande_press-release_thalasso-inspired_DE.pdf</t>
  </si>
  <si>
    <t xml:space="preserve">c12f6c04cb68ddb4db26ec3048c0a9e5402173da3597f9328de573981a33bf4e</t>
  </si>
  <si>
    <t xml:space="preserve">library/046_so-maldives/press_kit/2026_so_sotogrande_press-release_thalasso-inspired_DE.pdf</t>
  </si>
  <si>
    <t xml:space="preserve">2026_so_sotogrande-vienna_press-release_rendl_EN.pdf</t>
  </si>
  <si>
    <t xml:space="preserve">https://so-hotels.com/wp-content/uploads/sites/19/2026/06/so_sotogrande-vienna_press-release_rendl_EN.pdf</t>
  </si>
  <si>
    <t xml:space="preserve">d1d36e1c9d5ba0ef615cae71a155710b0cd361e80c4d167f94f0c682b1386a5a</t>
  </si>
  <si>
    <t xml:space="preserve">library/046_so-maldives/press_kit/2026_so_sotogrande-vienna_press-release_rendl_EN.pdf</t>
  </si>
  <si>
    <t xml:space="preserve">2026_so_paris_press-release_j.simone_FR.pdf</t>
  </si>
  <si>
    <t xml:space="preserve">https://so-hotels.com/wp-content/uploads/sites/19/2026/05/so_paris_press-release_j.simone_FR.pdf</t>
  </si>
  <si>
    <t xml:space="preserve">8cf08eb1a88da44d466ba51a47211f55d6cebf44432a04d1ea4e13932fa1810f</t>
  </si>
  <si>
    <t xml:space="preserve">library/046_so-maldives/press_kit/2026_so_paris_press-release_j.simone_FR.pdf</t>
  </si>
  <si>
    <t xml:space="preserve">2026_so_ras-al-khaimah_press-releases_staycation.pdf</t>
  </si>
  <si>
    <t xml:space="preserve">https://so-hotels.com/wp-content/uploads/sites/19/2026/04/so_ras-al-khaimah_press-releases_staycation.pdf</t>
  </si>
  <si>
    <t xml:space="preserve">1b298f2a6ebf8b4de84f34f7146ae9788e27dfaa3cb3f6625d79c80837268289</t>
  </si>
  <si>
    <t xml:space="preserve">library/046_so-maldives/press_kit/2026_so_ras-al-khaimah_press-releases_staycation.pdf</t>
  </si>
  <si>
    <t xml:space="preserve">2026_so_sotogrand_press-release_valentines-2026_ES.pdf</t>
  </si>
  <si>
    <t xml:space="preserve">https://so-hotels.com/wp-content/uploads/sites/19/2026/01/so_sotogrand_press-release_valentines-2026_ES.pdf</t>
  </si>
  <si>
    <t xml:space="preserve">5d86fa680584bd41ae66098a00f7ac15a5ab2f5dcf5d0aef4b0c4ed13551eb26</t>
  </si>
  <si>
    <t xml:space="preserve">library/046_so-maldives/press_kit/2026_so_sotogrand_press-release_valentines-2026_ES.pdf</t>
  </si>
  <si>
    <t xml:space="preserve">2026_so_paris_press-release_galette-des-rois-2026_FR.pdf</t>
  </si>
  <si>
    <t xml:space="preserve">https://so-hotels.com/wp-content/uploads/sites/19/2026/01/so_paris_press-release_galette-des-rois-2026_FR.pdf</t>
  </si>
  <si>
    <t xml:space="preserve">4a763aebde51ff4604bac182cfb2c0b7969b4e6e92a75da4daafac983f1e9cbf</t>
  </si>
  <si>
    <t xml:space="preserve">library/046_so-maldives/press_kit/2026_so_paris_press-release_galette-des-rois-2026_FR.pdf</t>
  </si>
  <si>
    <t xml:space="preserve">2025_so_maldives_press-release_visiting-practitioner_EN.pdf</t>
  </si>
  <si>
    <t xml:space="preserve">https://so-hotels.com/wp-content/uploads/sites/19/2025/12/so_maldives_press-release_visiting-practitioner_EN.pdf</t>
  </si>
  <si>
    <t xml:space="preserve">088751c3034750fceba4d8dae4ebf1472f51a268f87ddec1a8cecafb78f3fe0e</t>
  </si>
  <si>
    <t xml:space="preserve">library/046_so-maldives/press_kit/2025_so_maldives_press-release_visiting-practitioner_EN.pdf</t>
  </si>
  <si>
    <t xml:space="preserve">2025_so_maldives_press-release_award_EN.pdf</t>
  </si>
  <si>
    <t xml:space="preserve">https://so-hotels.com/wp-content/uploads/sites/19/2025/12/so_maldives_press-release_award_EN.pdf</t>
  </si>
  <si>
    <t xml:space="preserve">a0a876e71c8163b16adcd9a48fd44c06e6bb62ae66e9a75fd36bf070c62622c6</t>
  </si>
  <si>
    <t xml:space="preserve">library/046_so-maldives/press_kit/2025_so_maldives_press-release_award_EN.pdf</t>
  </si>
  <si>
    <t xml:space="preserve">2023_so_global_press-release_female-chefs_DE.pdf</t>
  </si>
  <si>
    <t xml:space="preserve">https://so-hotels.com/wp-content/uploads/sites/19/2026/06/so_global_press-release_female-chefs_DE.pdf</t>
  </si>
  <si>
    <t xml:space="preserve">e0502a6e7fb65d64923a1758c3dc3a090c7062f6a3504c30db1e80ca35e995e6</t>
  </si>
  <si>
    <t xml:space="preserve">library/046_so-maldives/press_kit/2023_so_global_press-release_female-chefs_DE.pdf</t>
  </si>
  <si>
    <t xml:space="preserve">2023_so_global_press-release_female-chefs_EN.pdf</t>
  </si>
  <si>
    <t xml:space="preserve">https://so-hotels.com/wp-content/uploads/sites/19/2026/06/so_global_press-release_female-chefs_EN.pdf</t>
  </si>
  <si>
    <t xml:space="preserve">043d880d4de4c7a4093678c98b3c0072559e6d45a081c6886d41db1127070be2</t>
  </si>
  <si>
    <t xml:space="preserve">library/046_so-maldives/press_kit/2023_so_global_press-release_female-chefs_EN.pdf</t>
  </si>
  <si>
    <t xml:space="preserve">2026_New-Dusit-Thani-Maldives-Property-Fact-Sheet-1.pdf</t>
  </si>
  <si>
    <t xml:space="preserve">https://www.neoscapesmaldives.com/wp-content/uploads/New-Dusit-Thani-Maldives-Property-Fact-Sheet-1.pdf</t>
  </si>
  <si>
    <t xml:space="preserve">d86fc1529d55814810ad43cbb73dbdf4f6e0e66790439b2d4826209657a7ee1d</t>
  </si>
  <si>
    <t xml:space="preserve">library/048_dusit-thani-maldives/factsheet/2026_New-Dusit-Thani-Maldives-Property-Fact-Sheet-1.pdf</t>
  </si>
  <si>
    <t xml:space="preserve">2024_Dusit-Thani-Maldives-Island-Map.pdf</t>
  </si>
  <si>
    <t xml:space="preserve">https://www.neoscapesmaldives.com/wp-content/uploads/Dusit-Thani-Maldives-Island-Map.pdf</t>
  </si>
  <si>
    <t xml:space="preserve">69077361230dc32e3a2f0d4352a70f07b0048a457334f1c9920d88ecde10dcec</t>
  </si>
  <si>
    <t xml:space="preserve">library/048_dusit-thani-maldives/map/2024_Dusit-Thani-Maldives-Island-Map.pdf</t>
  </si>
  <si>
    <t xml:space="preserve">2026_Ocean-Carnival-Festive-Celebrations-at-Dusit-Thani-Maldives_LGM_DMC.pdf</t>
  </si>
  <si>
    <t xml:space="preserve">https://letsgomaldives.com/wp-content/uploads/2026/09/Ocean-Carnival-Festive-Celebrations-at-Dusit-Thani-Maldives_LGM_DMC.pdf</t>
  </si>
  <si>
    <t xml:space="preserve">e7ab54484c7b0b86d515422ea4a8f5ef919a3f383ee8c68e9887b7928f2f0fb9</t>
  </si>
  <si>
    <t xml:space="preserve">library/048_dusit-thani-maldives/calendar/2026_Ocean-Carnival-Festive-Celebrations-at-Dusit-Thani-Maldives_LGM_DMC.pdf</t>
  </si>
  <si>
    <t xml:space="preserve">2026_Ocean-Carnival-Festive-Celebrations-at-Dusit-Thani-Maldives_LGM.pdf</t>
  </si>
  <si>
    <t xml:space="preserve">https://letsgomaldives.com/wp-content/uploads/2026/09/Ocean-Carnival-Festive-Celebrations-at-Dusit-Thani-Maldives_LGM.pdf</t>
  </si>
  <si>
    <t xml:space="preserve">f5ea74d2bbe83c97f96bab8a83f12d2c48d61cf182f7475bfa6c66c05557718b</t>
  </si>
  <si>
    <t xml:space="preserve">library/048_dusit-thani-maldives/calendar/2026_Ocean-Carnival-Festive-Celebrations-at-Dusit-Thani-Maldives_LGM.pdf</t>
  </si>
  <si>
    <t xml:space="preserve">2025_vakkaru-maldives-fact-sheet-2025.pdf</t>
  </si>
  <si>
    <t xml:space="preserve">vakkarumaldives.com</t>
  </si>
  <si>
    <t xml:space="preserve">https://www.vakkarumaldives.com/pdfs/vakkaru-maldives-fact-sheet-2025.pdf</t>
  </si>
  <si>
    <t xml:space="preserve">67052f201fc0070794d0e44fd560216d2cb1e769fe81cf11ce2d6db19355ee9b</t>
  </si>
  <si>
    <t xml:space="preserve">library/049_vakkaru-maldives/factsheet/2025_vakkaru-maldives-fact-sheet-2025.pdf</t>
  </si>
  <si>
    <t xml:space="preserve">2022_Vakkaru-Maldives-Fact-Sheet-2022.pdf</t>
  </si>
  <si>
    <t xml:space="preserve">https://www.neoscapesmaldives.com/wp-content/uploads/Vakkaru-Maldives-Fact-Sheet-2022.pdf</t>
  </si>
  <si>
    <t xml:space="preserve">c65f4e4bddc0bc31a0158eee110c03dc829454d25948303ba278cac4673dafb8</t>
  </si>
  <si>
    <t xml:space="preserve">library/049_vakkaru-maldives/factsheet/2022_Vakkaru-Maldives-Fact-Sheet-2022.pdf</t>
  </si>
  <si>
    <t xml:space="preserve">2024_valentines-day-2024.pdf</t>
  </si>
  <si>
    <t xml:space="preserve">https://www.vakkarumaldives.com/pdfs/news/valentines-day-2024.pdf</t>
  </si>
  <si>
    <t xml:space="preserve">34fbb855253559538073f9ba8259d02fdbf2d30513fc37fbb0e595056886fbee</t>
  </si>
  <si>
    <t xml:space="preserve">library/049_vakkaru-maldives/wedding/2024_valentines-day-2024.pdf</t>
  </si>
  <si>
    <t xml:space="preserve">2019_vakkaru-maldives-awarded-favorite-romantic-getaway.pdf</t>
  </si>
  <si>
    <t xml:space="preserve">https://www.vakkarumaldives.com/pdfs/vakkaru-maldives-awarded-favorite-romantic-getaway.pdf</t>
  </si>
  <si>
    <t xml:space="preserve">1157e46152422a1e85bd7dfbec130ef1e98bf83526c406842d2757bdcd52b407</t>
  </si>
  <si>
    <t xml:space="preserve">library/049_vakkaru-maldives/wedding/2019_vakkaru-maldives-awarded-favorite-romantic-getaway.pdf</t>
  </si>
  <si>
    <t xml:space="preserve">2019_Vakkaru-Maldives-Resort-Map-A4.pdf</t>
  </si>
  <si>
    <t xml:space="preserve">https://www.neoscapesmaldives.com/wp-content/uploads/Vakkaru-Maldives-Resort-Map-A4.pdf</t>
  </si>
  <si>
    <t xml:space="preserve">02bbbfe2610044e789cfa6a82f8d8d0ce1514ea0bb9149849dac5d81498d66db</t>
  </si>
  <si>
    <t xml:space="preserve">library/049_vakkaru-maldives/map/2019_Vakkaru-Maldives-Resort-Map-A4.pdf</t>
  </si>
  <si>
    <t xml:space="preserve">2026_merana-spa_menu_2026.pdf</t>
  </si>
  <si>
    <t xml:space="preserve">https://www.vakkarumaldives.com/pdfs/spa-menus/merana-spa_menu_2026.pdf</t>
  </si>
  <si>
    <t xml:space="preserve">8bc6113229330843c2f207ffda9e612b393a94c2ff4c84c6d589282ede1b6c21</t>
  </si>
  <si>
    <t xml:space="preserve">library/049_vakkaru-maldives/spa_menu/2026_merana-spa_menu_2026.pdf</t>
  </si>
  <si>
    <t xml:space="preserve">2026_merana-spa---wellness-activity-flyer---june.pdf</t>
  </si>
  <si>
    <t xml:space="preserve">https://www.vakkarumaldives.com/pdfs/spa-menus/merana-spa---wellness-activity-flyer---june.pdf</t>
  </si>
  <si>
    <t xml:space="preserve">101de0f3b7451838f597ac6237b17ec22e5e03b47d6eef61415e639eb772141d</t>
  </si>
  <si>
    <t xml:space="preserve">library/049_vakkaru-maldives/spa_menu/2026_merana-spa---wellness-activity-flyer---june.pdf</t>
  </si>
  <si>
    <t xml:space="preserve">2026_merana-spa_ayurvedic-menu.pdf</t>
  </si>
  <si>
    <t xml:space="preserve">https://www.vakkarumaldives.com/pdfs/spa-menus/merana-spa_ayurvedic-menu.pdf</t>
  </si>
  <si>
    <t xml:space="preserve">36314bde8a25b7373ca62bb82ecea425c6bf51e2a858a05c389cd55dd5b9d3d3</t>
  </si>
  <si>
    <t xml:space="preserve">library/049_vakkaru-maldives/spa_menu/2026_merana-spa_ayurvedic-menu.pdf</t>
  </si>
  <si>
    <t xml:space="preserve">2026_merana-spa-wellness-activity-flyer-october-2026.pdf</t>
  </si>
  <si>
    <t xml:space="preserve">https://www.vakkarumaldives.com/pdfs/spa-menus/merana-spa-wellness-activity-flyer-october-2026.pdf</t>
  </si>
  <si>
    <t xml:space="preserve">fec592001ee45fae292067cd5acdb573229af72db3ea4adc690122561fcfa8e9</t>
  </si>
  <si>
    <t xml:space="preserve">library/049_vakkaru-maldives/spa_menu/2026_merana-spa-wellness-activity-flyer-october-2026.pdf</t>
  </si>
  <si>
    <t xml:space="preserve">2026_vakku-dinner-menu-en.pdf</t>
  </si>
  <si>
    <t xml:space="preserve">https://www.vakkarumaldives.com/pdfs/dining-restaurant-menus/vakku-dinner-menu-en.pdf</t>
  </si>
  <si>
    <t xml:space="preserve">5d216771d2c3f34688b729ca34326113a83c6d80f2070e2a58ffb189d0c34f1d</t>
  </si>
  <si>
    <t xml:space="preserve">library/049_vakkaru-maldives/dining_menu/2026_vakku-dinner-menu-en.pdf</t>
  </si>
  <si>
    <t xml:space="preserve">2026_isoletta-lunch.pdf</t>
  </si>
  <si>
    <t xml:space="preserve">https://www.vakkarumaldives.com/pdfs/dining-restaurant-menus/isoletta-lunch.pdf</t>
  </si>
  <si>
    <t xml:space="preserve">2a4b2eb995a64e3fd34b63ab34e0eab45b9f06d1d93558eee4c1fe6eaae8190b</t>
  </si>
  <si>
    <t xml:space="preserve">library/049_vakkaru-maldives/dining_menu/2026_isoletta-lunch.pdf</t>
  </si>
  <si>
    <t xml:space="preserve">2026_anguru-menu-2026.pdf</t>
  </si>
  <si>
    <t xml:space="preserve">https://www.vakkarumaldives.com/pdfs/dining-restaurant-menus/anguru-menu-2026.pdf</t>
  </si>
  <si>
    <t xml:space="preserve">d031e8d78f476b9356c6c50e28af3266712f3ee5637a7f44faf2f930484e2c15</t>
  </si>
  <si>
    <t xml:space="preserve">library/049_vakkaru-maldives/dining_menu/2026_anguru-menu-2026.pdf</t>
  </si>
  <si>
    <t xml:space="preserve">2026_amaany-breakfast.pdf</t>
  </si>
  <si>
    <t xml:space="preserve">https://www.vakkarumaldives.com/pdfs/dining-restaurant-menus/amaany-breakfast.pdf</t>
  </si>
  <si>
    <t xml:space="preserve">0c6f6b704240972ac0a8d5082ca0919661bb370e1774c3360cd6e2509d761461</t>
  </si>
  <si>
    <t xml:space="preserve">library/049_vakkaru-maldives/dining_menu/2026_amaany-breakfast.pdf</t>
  </si>
  <si>
    <t xml:space="preserve">2026_lagoon-bar-dinner.pdf</t>
  </si>
  <si>
    <t xml:space="preserve">https://www.vakkarumaldives.com/pdfs/dining-restaurant-menus/lagoon-bar-dinner.pdf</t>
  </si>
  <si>
    <t xml:space="preserve">f59a86a58e238e246cb751d1253af845f7cb5e2944cb401e1d48a354c8d05eb9</t>
  </si>
  <si>
    <t xml:space="preserve">library/049_vakkaru-maldives/dining_menu/2026_lagoon-bar-dinner.pdf</t>
  </si>
  <si>
    <t xml:space="preserve">2026_cabana-bev-menu-2026.pdf</t>
  </si>
  <si>
    <t xml:space="preserve">https://www.vakkarumaldives.com/pdfs/dining-restaurant-menus/cabana-bev-menu-2026.pdf</t>
  </si>
  <si>
    <t xml:space="preserve">e4da792fbd5be7818df618edb5e17b44ab07396dc420ab71c84f86ea9e945872</t>
  </si>
  <si>
    <t xml:space="preserve">library/049_vakkaru-maldives/dining_menu/2026_cabana-bev-menu-2026.pdf</t>
  </si>
  <si>
    <t xml:space="preserve">2026_isoletta-dinner.pdf</t>
  </si>
  <si>
    <t xml:space="preserve">https://www.vakkarumaldives.com/pdfs/dining-restaurant-menus/isoletta-dinner.pdf</t>
  </si>
  <si>
    <t xml:space="preserve">4e3a69b5326e8a6ba073eb98fc977f67c135b86bc54a64cb75962a19e9dc9d92</t>
  </si>
  <si>
    <t xml:space="preserve">library/049_vakkaru-maldives/dining_menu/2026_isoletta-dinner.pdf</t>
  </si>
  <si>
    <t xml:space="preserve">2026_master-wine-list.-2026.pdf</t>
  </si>
  <si>
    <t xml:space="preserve">https://www.vakkarumaldives.com/pdfs/dining-restaurant-menus/master-wine-list.-2026.pdf</t>
  </si>
  <si>
    <t xml:space="preserve">26bca6e235e1ee0850edb1d1153b8298bff3c32e3cd690fb1c7deb00aaf7fd8f</t>
  </si>
  <si>
    <t xml:space="preserve">library/049_vakkaru-maldives/dining_menu/2026_master-wine-list.-2026.pdf</t>
  </si>
  <si>
    <t xml:space="preserve">2026_lagoon-bar-lunch.pdf</t>
  </si>
  <si>
    <t xml:space="preserve">https://www.vakkarumaldives.com/pdfs/dining-restaurant-menus/lagoon-bar-lunch.pdf</t>
  </si>
  <si>
    <t xml:space="preserve">7b763cf8c883f26f4acc777df4dbe2bdc83df03d53d3a6a34c1416aeb2383daf</t>
  </si>
  <si>
    <t xml:space="preserve">library/049_vakkaru-maldives/dining_menu/2026_lagoon-bar-lunch.pdf</t>
  </si>
  <si>
    <t xml:space="preserve">2026_onu-menu.pdf</t>
  </si>
  <si>
    <t xml:space="preserve">https://www.vakkarumaldives.com/pdfs/dining-restaurant-menus/onu-menu.pdf</t>
  </si>
  <si>
    <t xml:space="preserve">56962793c355c6e9dbcd3e5a4a1823b63e9fbe7c341f25723e84fa7444645f05</t>
  </si>
  <si>
    <t xml:space="preserve">library/049_vakkaru-maldives/dining_menu/2026_onu-menu.pdf</t>
  </si>
  <si>
    <t xml:space="preserve">2019_vakkaru-maldives_house-and-garden_june-2019.pdf</t>
  </si>
  <si>
    <t xml:space="preserve">https://www.vakkarumaldives.com/pdfs/vakkaru-maldives_house-and-garden_june-2019.pdf</t>
  </si>
  <si>
    <t xml:space="preserve">c460767be8bdbe150028bf01a20cc4d29d41b786dc9205a955ee531824b71749</t>
  </si>
  <si>
    <t xml:space="preserve">library/049_vakkaru-maldives/dining_menu/2019_vakkaru-maldives_house-and-garden_june-2019.pdf</t>
  </si>
  <si>
    <t xml:space="preserve">2019_alistair-burt-head-pastry-chef-of-harrods-london-at-vakkaru-maldives.pdf</t>
  </si>
  <si>
    <t xml:space="preserve">https://www.vakkarumaldives.com/pdfs/alistair-burt-head-pastry-chef-of-harrods-london-at-vakkaru-maldives.pdf</t>
  </si>
  <si>
    <t xml:space="preserve">e34a54cfb64d5ca3584f124c0ae7428b0d745985d9623df50e75eb98825f1fc2</t>
  </si>
  <si>
    <t xml:space="preserve">library/049_vakkaru-maldives/dining_menu/2019_alistair-burt-head-pastry-chef-of-harrods-london-at-vakkaru-maldives.pdf</t>
  </si>
  <si>
    <t xml:space="preserve">2026_vakkaru-maldives_parrotfish-activity-schedule.pdf</t>
  </si>
  <si>
    <t xml:space="preserve">https://www.vakkarumaldives.com/pdfs/experience/vakkaru-maldives_parrotfish-activity-schedule.pdf</t>
  </si>
  <si>
    <t xml:space="preserve">33693e7aead0bd7a9fc9f8fa03b9b18745b8af220bc469e6cf6c262df249ee5d</t>
  </si>
  <si>
    <t xml:space="preserve">library/049_vakkaru-maldives/excursions/2026_vakkaru-maldives_parrotfish-activity-schedule.pdf</t>
  </si>
  <si>
    <t xml:space="preserve">2024_coconut-club-activity-schedule.pdf</t>
  </si>
  <si>
    <t xml:space="preserve">https://www.vakkarumaldives.com/pdfs/experience/coconut-club-activity-schedule.pdf</t>
  </si>
  <si>
    <t xml:space="preserve">ae15c61e237d592eaa766978c7e3823f6a8ff2bc54844ff16fdd21b67fc3c2ba</t>
  </si>
  <si>
    <t xml:space="preserve">library/049_vakkaru-maldives/excursions/2024_coconut-club-activity-schedule.pdf</t>
  </si>
  <si>
    <t xml:space="preserve">2019_masterchef-marcel-thiele-brings-sustainable-and-ethical-culinary-experience.pdf</t>
  </si>
  <si>
    <t xml:space="preserve">https://www.vakkarumaldives.com/pdfs/masterchef-marcel-thiele-brings-sustainable-and-ethical-culinary-experience.pdf</t>
  </si>
  <si>
    <t xml:space="preserve">6939ba0cc049dd8a33c635a214625ed3da0476b9d9362de0962d8555e2dd6c53</t>
  </si>
  <si>
    <t xml:space="preserve">library/049_vakkaru-maldives/excursions/2019_masterchef-marcel-thiele-brings-sustainable-and-ethical-culinary-experience.pdf</t>
  </si>
  <si>
    <t xml:space="preserve">2019_hack-your-21st-century-digitised-body.pdf</t>
  </si>
  <si>
    <t xml:space="preserve">https://www.vakkarumaldives.com/pdfs/hack-your-21st-century-digitised-body.pdf</t>
  </si>
  <si>
    <t xml:space="preserve">9855f325c6a7783ac96cf03c86381982a86f136b70709ada40afdaaff2aec6f2</t>
  </si>
  <si>
    <t xml:space="preserve">library/049_vakkaru-maldives/excursions/2019_hack-your-21st-century-digitised-body.pdf</t>
  </si>
  <si>
    <t xml:space="preserve">2017_vakkaru-maldives-a-timeless-sanctuary-in-unesco-biosphere-reserve.pdf</t>
  </si>
  <si>
    <t xml:space="preserve">https://www.vakkarumaldives.com/pdfs/vakkaru-maldives-a-timeless-sanctuary-in-unesco-biosphere-reserve.pdf</t>
  </si>
  <si>
    <t xml:space="preserve">1e0b0b7cba52e1718c39435249a03b00e16ddf47369ae219fe50e433fd4e2d0a</t>
  </si>
  <si>
    <t xml:space="preserve">library/049_vakkaru-maldives/villa_plans/2017_vakkaru-maldives-a-timeless-sanctuary-in-unesco-biosphere-reserve.pdf</t>
  </si>
  <si>
    <t xml:space="preserve">2019_vakkaru-maldives-irish-daily-mail-22.07.2019.pdf</t>
  </si>
  <si>
    <t xml:space="preserve">https://www.vakkarumaldives.com/pdfs/vakkaru-maldives-irish-daily-mail-22.07.2019.pdf</t>
  </si>
  <si>
    <t xml:space="preserve">4a0a83e9328aa2ee8cd043286af22163812a22c46c1bc00c5957bb85777dd8a6</t>
  </si>
  <si>
    <t xml:space="preserve">library/049_vakkaru-maldives/all_inclusive/2019_vakkaru-maldives-irish-daily-mail-22.07.2019.pdf</t>
  </si>
  <si>
    <t xml:space="preserve">2024_easter-brochure-2024.pdf</t>
  </si>
  <si>
    <t xml:space="preserve">https://www.vakkarumaldives.com/pdfs/news/easter-brochure-2024.pdf</t>
  </si>
  <si>
    <t xml:space="preserve">a6ad756880e9627fc46d5e58f64bde2f7c40d46fe4ab79dc468683fa18538de9</t>
  </si>
  <si>
    <t xml:space="preserve">library/049_vakkaru-maldives/calendar/2024_easter-brochure-2024.pdf</t>
  </si>
  <si>
    <t xml:space="preserve">2023_five-days-in-wonderland-easter-celebration-2023.pdf</t>
  </si>
  <si>
    <t xml:space="preserve">https://www.vakkarumaldives.com/pdfs/news/five-days-in-wonderland-easter-celebration-2023.pdf</t>
  </si>
  <si>
    <t xml:space="preserve">b2ca01b7cb44a3f413d5d2c3f9dbebc492a890ccd6e827d0bf21eb7e2b9c25a9</t>
  </si>
  <si>
    <t xml:space="preserve">library/049_vakkaru-maldives/calendar/2023_five-days-in-wonderland-easter-celebration-2023.pdf</t>
  </si>
  <si>
    <t xml:space="preserve">2023_Press-release-International-Womens-Day-Programmes-2023.pdf</t>
  </si>
  <si>
    <t xml:space="preserve">https://letsgomaldives.com/wp-content/uploads/2023/02/Press-release-International-Womens-Day-Programmes-2023.pdf</t>
  </si>
  <si>
    <t xml:space="preserve">c09fdbbb49c762edcb65cfd392e44458600730a1b6d400b0b89131720be2b5e6</t>
  </si>
  <si>
    <t xml:space="preserve">library/049_vakkaru-maldives/calendar/2023_Press-release-International-Womens-Day-Programmes-2023.pdf</t>
  </si>
  <si>
    <t xml:space="preserve">2026_vakkaru-maldives---splash-brochure.pdf</t>
  </si>
  <si>
    <t xml:space="preserve">https://www.vakkarumaldives.com/pdfs/splash/vakkaru-maldives---splash-brochure.pdf</t>
  </si>
  <si>
    <t xml:space="preserve">e31dc6751d734d50c1d742abd82101000c619b2e90dd60d51b447c315bc46325</t>
  </si>
  <si>
    <t xml:space="preserve">library/049_vakkaru-maldives/brochure/2026_vakkaru-maldives---splash-brochure.pdf</t>
  </si>
  <si>
    <t xml:space="preserve">2026_splash-catalogue.pdf</t>
  </si>
  <si>
    <t xml:space="preserve">https://www.vakkarumaldives.com/pdfs/splash/splash-catalogue.pdf</t>
  </si>
  <si>
    <t xml:space="preserve">47d2e9f0414867e32e2149b4d2ddf145b380e94a34503ab05e9f09f8bc80f405</t>
  </si>
  <si>
    <t xml:space="preserve">library/049_vakkaru-maldives/brochure/2026_splash-catalogue.pdf</t>
  </si>
  <si>
    <t xml:space="preserve">2025_meet-our-resident-tennis-pro.pdf</t>
  </si>
  <si>
    <t xml:space="preserve">https://www.vakkarumaldives.com/pdfs/news/meet-our-resident-tennis-pro.pdf</t>
  </si>
  <si>
    <t xml:space="preserve">f2aaa29c39887af167731404bb970dfb0e6310806b57469588a277ccbe9db7cd</t>
  </si>
  <si>
    <t xml:space="preserve">library/049_vakkaru-maldives/brochure/2025_meet-our-resident-tennis-pro.pdf</t>
  </si>
  <si>
    <t xml:space="preserve">2022_press-release-work-well-at-vakkaru-maldives.pdf</t>
  </si>
  <si>
    <t xml:space="preserve">https://www.vakkarumaldives.com/pdfs/press-release-work-well-at-vakkaru-maldives.pdf</t>
  </si>
  <si>
    <t xml:space="preserve">6f7a95fd1ae0e0bf05cefacdd7747a82487d3f8db116830796dcd1f65e22bba4</t>
  </si>
  <si>
    <t xml:space="preserve">library/049_vakkaru-maldives/press_kit/2022_press-release-work-well-at-vakkaru-maldives.pdf</t>
  </si>
  <si>
    <t xml:space="preserve">2019_vakkaru-maldives-gq-middle-east-july-2019.pdf</t>
  </si>
  <si>
    <t xml:space="preserve">https://www.vakkarumaldives.com/pdfs/vakkaru-maldives-gq-middle-east-july-2019.pdf</t>
  </si>
  <si>
    <t xml:space="preserve">b88f6f1e4b01ec0d47ddd073131ddfa8b9ab900ab1dc1f52e254fbd1cb9d2a5f</t>
  </si>
  <si>
    <t xml:space="preserve">library/049_vakkaru-maldives/other/2019_vakkaru-maldives-gq-middle-east-july-2019.pdf</t>
  </si>
  <si>
    <t xml:space="preserve">2026_factsheet-olhuveli-2026-aug.pdf</t>
  </si>
  <si>
    <t xml:space="preserve">sunsiyam.com</t>
  </si>
  <si>
    <t xml:space="preserve">https://www.sunsiyam.com/media/21sbkbn1/factsheet-olhuveli-2026-aug.pdf</t>
  </si>
  <si>
    <t xml:space="preserve">f50eb309028ad3f1bb33cb542779b910b6205aab398a2983c8d2e377f5181753</t>
  </si>
  <si>
    <t xml:space="preserve">library/050_sun-siyam-olhuveli-maldives/factsheet/2026_factsheet-olhuveli-2026-aug.pdf</t>
  </si>
  <si>
    <t xml:space="preserve">2025_SSO-Factsheet-EN-24_25.pdf</t>
  </si>
  <si>
    <t xml:space="preserve">https://www.neoscapesmaldives.com/wp-content/uploads/SSO-Factsheet-EN-24_25.pdf</t>
  </si>
  <si>
    <t xml:space="preserve">bc4d4ab79d193e794992d6039a71d757a1624de8729c483523445fb7c9b5fb8a</t>
  </si>
  <si>
    <t xml:space="preserve">library/050_sun-siyam-olhuveli-maldives/factsheet/2025_SSO-Factsheet-EN-24_25.pdf</t>
  </si>
  <si>
    <t xml:space="preserve">2025_Olhuveli-Dream-Romance-Map-2025-A4-updated-March-2025-final.pdf</t>
  </si>
  <si>
    <t xml:space="preserve">https://www.neoscapesmaldives.com/wp-content/uploads/Olhuveli-Dream-Romance-Map-2025-A4-updated-March-2025-final.pdf</t>
  </si>
  <si>
    <t xml:space="preserve">d94f08ae682fb7ef4313b135e49359396380dca469d5069dbaaa074e1e0c5a2c</t>
  </si>
  <si>
    <t xml:space="preserve">library/050_sun-siyam-olhuveli-maldives/wedding/2025_Olhuveli-Dream-Romance-Map-2025-A4-updated-March-2025-final.pdf</t>
  </si>
  <si>
    <t xml:space="preserve">2025_ultimate-honeymoon-olhuveli.pdf</t>
  </si>
  <si>
    <t xml:space="preserve">https://www.sunsiyam.com/media/030ixlp0/ultimate-honeymoon-olhuveli.pdf</t>
  </si>
  <si>
    <t xml:space="preserve">097c393c7adfde6f171ea163df404911599aa7bc916b859502687512bdb0a25e</t>
  </si>
  <si>
    <t xml:space="preserve">library/050_sun-siyam-olhuveli-maldives/wedding/2025_ultimate-honeymoon-olhuveli.pdf</t>
  </si>
  <si>
    <t xml:space="preserve">2025_wedding-package-ssom-2024-2025-direct.pdf</t>
  </si>
  <si>
    <t xml:space="preserve">https://www.sunsiyam.com/media/g0lnezdr/wedding-package-ssom-2024-2025-direct.pdf</t>
  </si>
  <si>
    <t xml:space="preserve">67aca7879a174215314a3c61589ce238675fb88aff30092a594319cc7ed6f504</t>
  </si>
  <si>
    <t xml:space="preserve">library/050_sun-siyam-olhuveli-maldives/wedding/2025_wedding-package-ssom-2024-2025-direct.pdf</t>
  </si>
  <si>
    <t xml:space="preserve">2026_ssr-mice-digital-book-2026.pdf</t>
  </si>
  <si>
    <t xml:space="preserve">https://www.sunsiyam.com/media/gkhhf31k/ssr-mice-digital-book-2026.pdf</t>
  </si>
  <si>
    <t xml:space="preserve">f9dcb3093e7316ffee44745d052077703323f60e421c7054f83b4f083096fbf7</t>
  </si>
  <si>
    <t xml:space="preserve">library/050_sun-siyam-olhuveli-maldives/events/2026_ssr-mice-digital-book-2026.pdf</t>
  </si>
  <si>
    <t xml:space="preserve">ambiguous match [50]</t>
  </si>
  <si>
    <t xml:space="preserve">2026_sso-ai-meal-plan-2026.pdf</t>
  </si>
  <si>
    <t xml:space="preserve">https://www.sunsiyam.com/media/qiflblcy/sso-ai-meal-plan-2026.pdf</t>
  </si>
  <si>
    <t xml:space="preserve">156f64e78ffe8549120077c88ab7b18d1ff4521667e37aa98e91f1559291e514</t>
  </si>
  <si>
    <t xml:space="preserve">library/050_sun-siyam-olhuveli-maldives/map/2026_sso-ai-meal-plan-2026.pdf</t>
  </si>
  <si>
    <t xml:space="preserve">2025_sso-repeater-guest-entitlements-2025pdf.pdf</t>
  </si>
  <si>
    <t xml:space="preserve">https://www.sunsiyam.com/media/sluirhj5/sso-repeater-guest-entitlements-2025pdf.pdf</t>
  </si>
  <si>
    <t xml:space="preserve">a889d79f11c2bfb24942f234dfa659d628ece332b9ee996520fbac77f173186e</t>
  </si>
  <si>
    <t xml:space="preserve">library/050_sun-siyam-olhuveli-maldives/spa_menu/2025_sso-repeater-guest-entitlements-2025pdf.pdf</t>
  </si>
  <si>
    <t xml:space="preserve">2026_oktoberfest-sun-siyam-olhuveli-sep-2026.pdf</t>
  </si>
  <si>
    <t xml:space="preserve">https://www.sunsiyam.com/media/ijlfprg1/oktoberfest-sun-siyam-olhuveli-sep-2026.pdf</t>
  </si>
  <si>
    <t xml:space="preserve">250434470e9bc2babf3146574e4e55c6b8e4c4b8019b22c4eac9a98cc42204ac</t>
  </si>
  <si>
    <t xml:space="preserve">library/050_sun-siyam-olhuveli-maldives/dive_prices/2026_oktoberfest-sun-siyam-olhuveli-sep-2026.pdf</t>
  </si>
  <si>
    <t xml:space="preserve">2026_Sun-Siyam-Olhuveli.pdf</t>
  </si>
  <si>
    <t xml:space="preserve">https://letsgomaldives.com/wp-content/uploads/2026/08/Sun-Siyam-Olhuveli.pdf</t>
  </si>
  <si>
    <t xml:space="preserve">269a958155194a97a7f6df5c771a5b1779ddb90a3f2baec822c07303154fa407</t>
  </si>
  <si>
    <t xml:space="preserve">library/050_sun-siyam-olhuveli-maldives/excursions/2026_Sun-Siyam-Olhuveli.pdf</t>
  </si>
  <si>
    <t xml:space="preserve">2027_carnival-of-the-isles-festive-programme-2026-2027.pdf</t>
  </si>
  <si>
    <t xml:space="preserve">https://www.sunsiyam.com/media/zirlx1ub/carnival-of-the-isles-festive-programme-2026-2027.pdf</t>
  </si>
  <si>
    <t xml:space="preserve">0272b572afe1931b3d94391262a27a3dc1e6f92fd92f9df5f0c0f14bfe26dada</t>
  </si>
  <si>
    <t xml:space="preserve">library/050_sun-siyam-olhuveli-maldives/calendar/2027_carnival-of-the-isles-festive-programme-2026-2027.pdf</t>
  </si>
  <si>
    <t xml:space="preserve">2026_olhuveli-festive-26-27.pdf</t>
  </si>
  <si>
    <t xml:space="preserve">https://www.sunsiyam.com/media/qljd5bsk/olhuveli-festive-26-27.pdf</t>
  </si>
  <si>
    <t xml:space="preserve">9e8aab48377b8c2008cb2e22119420055bec5f787dc18a33e9a0bbd55bfd1068</t>
  </si>
  <si>
    <t xml:space="preserve">library/050_sun-siyam-olhuveli-maldives/calendar/2026_olhuveli-festive-26-27.pdf</t>
  </si>
  <si>
    <t xml:space="preserve">2022_Festive-Brochure-2022_Back-to-the-80s_Sun-Siyam-Olhuveli-Maldives.pdf</t>
  </si>
  <si>
    <t xml:space="preserve">https://letsgomaldives.com/wp-content/uploads/2022/12/Festive-Brochure-2022_Back-to-the-80s_Sun-Siyam-Olhuveli-Maldives.pdf</t>
  </si>
  <si>
    <t xml:space="preserve">c886dbdf472385d3e517c4ed2785aff217f89f0364f7b842a850a85b0669b88d</t>
  </si>
  <si>
    <t xml:space="preserve">library/050_sun-siyam-olhuveli-maldives/calendar/2022_Festive-Brochure-2022_Back-to-the-80s_Sun-Siyam-Olhuveli-Maldives.pdf</t>
  </si>
  <si>
    <t xml:space="preserve">2023_olhuveli-photography.pdf</t>
  </si>
  <si>
    <t xml:space="preserve">https://www.sunsiyam.com/media/0eimmztw/olhuveli-photography.pdf</t>
  </si>
  <si>
    <t xml:space="preserve">1ed15ab0c3251e4e42ec1a999a0f646a57e8951a35313af2d18d65b1694565ea</t>
  </si>
  <si>
    <t xml:space="preserve">library/050_sun-siyam-olhuveli-maldives/other/2023_olhuveli-photography.pdf</t>
  </si>
  <si>
    <t xml:space="preserve">2025_68de48e4e56f6c18c495e7aa_1025Sustainability Management Plan 2025.pdf</t>
  </si>
  <si>
    <t xml:space="preserve">emerald-maldives.com</t>
  </si>
  <si>
    <t xml:space="preserve">https://cdn.prod.website-files.com/5d39ad82040fc87640dfdea6/68de48e4e56f6c18c495e7aa_1025Sustainability%20Management%20Plan%202025.pdf</t>
  </si>
  <si>
    <t xml:space="preserve">8fc06a74e4797b757eaede7ae4f4a4909711b1a008f68061a20c182326b7590d</t>
  </si>
  <si>
    <t xml:space="preserve">library/051_emerald-maldives-resort-spa-fasmendho/map/2025_68de48e4e56f6c18c495e7aa_1025Sustainability Management Plan 2025.pdf</t>
  </si>
  <si>
    <t xml:space="preserve">2024_66f3c09417c35eb3202534f7_Sustainability Management Plan.pdf</t>
  </si>
  <si>
    <t xml:space="preserve">https://cdn.prod.website-files.com/5d39ad82040fc87640dfdea6/66f3c09417c35eb3202534f7_Sustainability%20Management%20Plan.pdf</t>
  </si>
  <si>
    <t xml:space="preserve">1527380602649ce190d9a0f422b3b74f7c637b812c546d6782b6d44787bd1687</t>
  </si>
  <si>
    <t xml:space="preserve">library/051_emerald-maldives-resort-spa-fasmendho/map/2024_66f3c09417c35eb3202534f7_Sustainability Management Plan.pdf</t>
  </si>
  <si>
    <t xml:space="preserve">2019_RESORT-MAP-Emerald-Maldives-Resort-Spa.pdf</t>
  </si>
  <si>
    <t xml:space="preserve">https://www.neoscapesmaldives.com/wp-content/uploads/RESORT-MAP-Emerald-Maldives-Resort-Spa.pdf</t>
  </si>
  <si>
    <t xml:space="preserve">2f62bb255e3426202acc666107a62d9a886d4d070b75e1eb5b81c100f7691aea</t>
  </si>
  <si>
    <t xml:space="preserve">library/051_emerald-maldives-resort-spa-fasmendho/map/2019_RESORT-MAP-Emerald-Maldives-Resort-Spa.pdf</t>
  </si>
  <si>
    <t xml:space="preserve">2022_671234c24998a4c8b7f21fb3_The Emerald Spa Menu - English.pdf</t>
  </si>
  <si>
    <t xml:space="preserve">https://cdn.prod.website-files.com/5d39ad82040fc87640dfdea6/671234c24998a4c8b7f21fb3_The%20Emerald%20Spa%20Menu%20-%20English.pdf</t>
  </si>
  <si>
    <t xml:space="preserve">244219d845acfe78218a5d7836a0e7bdcedcd56529afa2e3d215ca7b883d0a28</t>
  </si>
  <si>
    <t xml:space="preserve">library/051_emerald-maldives-resort-spa-fasmendho/spa_menu/2022_671234c24998a4c8b7f21fb3_The Emerald Spa Menu - English.pdf</t>
  </si>
  <si>
    <t xml:space="preserve">2020_5e54fe6ad58b3ebfa8196023_E-Brochure Emerald Maldives Resort _ Spa_ENG.pdf</t>
  </si>
  <si>
    <t xml:space="preserve">https://cdn.prod.website-files.com/5d39ad82040fc87640dfdea6/5e54fe6ad58b3ebfa8196023_E-Brochure%20Emerald%20Maldives%20Resort%20%26%20Spa_ENG.pdf</t>
  </si>
  <si>
    <t xml:space="preserve">3396619bd98e608fb00ee8b9d27528e6954f5f2c807ee49819def7f5aad3aa37</t>
  </si>
  <si>
    <t xml:space="preserve">library/051_emerald-maldives-resort-spa-fasmendho/spa_menu/2020_5e54fe6ad58b3ebfa8196023_E-Brochure Emerald Maldives Resort _ Spa_ENG.pdf</t>
  </si>
  <si>
    <t xml:space="preserve">2020_5f9af74736f0d92cf9f20498_GBAC-STAR-Announcement-Emerald Maldives Resort _ Spa-Accredited.pdf</t>
  </si>
  <si>
    <t xml:space="preserve">https://cdn.prod.website-files.com/5d39ad82040fc87640dfdea6/5f9af74736f0d92cf9f20498_GBAC-STAR-Announcement-Emerald%20Maldives%20Resort%20%26%20Spa-Accredited.pdf</t>
  </si>
  <si>
    <t xml:space="preserve">5a10d8c59fa03efaf888f2444db8e518522ac784615d1b4d1a6183d26c1af478</t>
  </si>
  <si>
    <t xml:space="preserve">library/051_emerald-maldives-resort-spa-fasmendho/spa_menu/2020_5f9af74736f0d92cf9f20498_GBAC-STAR-Announcement-Emerald Maldives Resort _ Spa-Accredited.pdf</t>
  </si>
  <si>
    <t xml:space="preserve">2019_E-Brochure-Emerald-Maldives-Resort-Spa.pdf</t>
  </si>
  <si>
    <t xml:space="preserve">https://www.neoscapesmaldives.com/wp-content/uploads/E-Brochure-Emerald-Maldives-Resort-Spa.pdf</t>
  </si>
  <si>
    <t xml:space="preserve">f48a3cd3ac31b72f34f40918acbce5fe47e3f0f45448f09ecca0a689c540f82f</t>
  </si>
  <si>
    <t xml:space="preserve">library/051_emerald-maldives-resort-spa-fasmendho/spa_menu/2019_E-Brochure-Emerald-Maldives-Resort-Spa.pdf</t>
  </si>
  <si>
    <t xml:space="preserve">2019_5dca9dce4d247fddde806ddc_The Emerald Spa Menu Price List.pdf</t>
  </si>
  <si>
    <t xml:space="preserve">https://global-uploads.webflow.com/5d39ad82040fc87640dfdea6/5dca9dce4d247fddde806ddc_The%20Emerald%20Spa%20Menu%20Price%20List.pdf</t>
  </si>
  <si>
    <t xml:space="preserve">d8096e724c606540eaaea3a1cf9eae6a4cb78b235c57bac5f424de2efe5646d7</t>
  </si>
  <si>
    <t xml:space="preserve">library/051_emerald-maldives-resort-spa-fasmendho/spa_menu/2019_5dca9dce4d247fddde806ddc_The Emerald Spa Menu Price List.pdf</t>
  </si>
  <si>
    <t xml:space="preserve">ambiguous match [51]</t>
  </si>
  <si>
    <t xml:space="preserve">2026_69e9c7ea3f1ba46570ef6d9d_PriceList_2026_Fasmendhoo_070426.pdf</t>
  </si>
  <si>
    <t xml:space="preserve">https://cdn.prod.website-files.com/5d39ad82040fc87640dfdea6/69e9c7ea3f1ba46570ef6d9d_PriceList_2026_Fasmendhoo_070426.pdf</t>
  </si>
  <si>
    <t xml:space="preserve">234602fa8d29e825c24be7b3dfa916c7c4602bf6b0a13b49bf492dfc696c9d10</t>
  </si>
  <si>
    <t xml:space="preserve">library/051_emerald-maldives-resort-spa-fasmendho/dive_prices/2026_69e9c7ea3f1ba46570ef6d9d_PriceList_2026_Fasmendhoo_070426.pdf</t>
  </si>
  <si>
    <t xml:space="preserve">2022_63b307cb52015469ab1c64f5_MALDIVE_WEB-ING-NOV2022.pdf</t>
  </si>
  <si>
    <t xml:space="preserve">https://cdn.prod.website-files.com/5d39ad82040fc87640dfdea6/63b307cb52015469ab1c64f5_MALDIVE_WEB-ING-NOV2022.pdf</t>
  </si>
  <si>
    <t xml:space="preserve">bbc409b71a191f6684e52430083ba415ba3caa503a363a23fcf036d199088b6d</t>
  </si>
  <si>
    <t xml:space="preserve">library/051_emerald-maldives-resort-spa-fasmendho/villa_plans/2022_63b307cb52015469ab1c64f5_MALDIVE_WEB-ING-NOV2022.pdf</t>
  </si>
  <si>
    <t xml:space="preserve">2020_6242d361af5d5510091fc463_DELUXE ALL INCLUSIVE PACKAGE_EN.pdf</t>
  </si>
  <si>
    <t xml:space="preserve">https://cdn.prod.website-files.com/5d39ad82040fc87640dfdea6/6242d361af5d5510091fc463_DELUXE%20ALL%20INCLUSIVE%20PACKAGE_EN.pdf</t>
  </si>
  <si>
    <t xml:space="preserve">5ad1f57d9d4bd73161ce70a424db1f803693ec08a12ee5aeb5377e31a4d5ba4a</t>
  </si>
  <si>
    <t xml:space="preserve">library/051_emerald-maldives-resort-spa-fasmendho/all_inclusive/2020_6242d361af5d5510091fc463_DELUXE ALL INCLUSIVE PACKAGE_EN.pdf</t>
  </si>
  <si>
    <t xml:space="preserve">2025_68de48caa2449afd6503a063_1025Environmental Policy 2025.pdf</t>
  </si>
  <si>
    <t xml:space="preserve">https://cdn.prod.website-files.com/5d39ad82040fc87640dfdea6/68de48caa2449afd6503a063_1025Environmental%20Policy%202025.pdf</t>
  </si>
  <si>
    <t xml:space="preserve">1ab8afc385d59a3cff4e453f566903a6cb0ebf85393daa76087d722d9727541e</t>
  </si>
  <si>
    <t xml:space="preserve">library/051_emerald-maldives-resort-spa-fasmendho/sustainability/2025_68de48caa2449afd6503a063_1025Environmental Policy 2025.pdf</t>
  </si>
  <si>
    <t xml:space="preserve">2025_68d546d244c9242c98cd58c6_09025Annual Sustainability Report _24-_25.pdf</t>
  </si>
  <si>
    <t xml:space="preserve">https://cdn.prod.website-files.com/5d39ad82040fc87640dfdea6/68d546d244c9242c98cd58c6_09025Annual%20Sustainability%20Report%20%2724-%2725.pdf</t>
  </si>
  <si>
    <t xml:space="preserve">c7bb3d22661ac771f5b638cff1bea96e6959506305545424fdd413e03e3d5e02</t>
  </si>
  <si>
    <t xml:space="preserve">library/051_emerald-maldives-resort-spa-fasmendho/sustainability/2025_68d546d244c9242c98cd58c6_09025Annual Sustainability Report _24-_25.pdf</t>
  </si>
  <si>
    <t xml:space="preserve">2024_68e763ff50d7502382de2f1c_Green Globe Policy V.1.724.pdf</t>
  </si>
  <si>
    <t xml:space="preserve">https://cdn.prod.website-files.com/5d39ad82040fc87640dfdea6/68e763ff50d7502382de2f1c_Green%20Globe%20Policy%20V.1.724.pdf</t>
  </si>
  <si>
    <t xml:space="preserve">https://cdn.prod.website-files.com/5d39ad82040fc87640dfdea6/68e763ff50d7502382de2f1c_Green%20Globe%20Policy%20V.1.724.pdf | https://cdn.prod.website-files.com/614dd23228b0182a7ae09c18/68e7c73e6c30b00f6d99bfcb_Green%20Globe%20Policy%20V.1.724.pdf</t>
  </si>
  <si>
    <t xml:space="preserve">d087f04e2297dc9cd9d9d3bf4906c8c1088b942bbcd3bf8514902f08ccf3432a</t>
  </si>
  <si>
    <t xml:space="preserve">library/051_emerald-maldives-resort-spa-fasmendho/sustainability/2024_68e763ff50d7502382de2f1c_Green Globe Policy V.1.724.pdf</t>
  </si>
  <si>
    <t xml:space="preserve">2024_66f3c097816be8fdac1879d4_Environmental Policy.pdf</t>
  </si>
  <si>
    <t xml:space="preserve">https://cdn.prod.website-files.com/5d39ad82040fc87640dfdea6/66f3c097816be8fdac1879d4_Environmental%20Policy.pdf</t>
  </si>
  <si>
    <t xml:space="preserve">2797e98ca84a219c54ad037b49cfb0fa49b7a722c3baad3a3b76333aa28f06f0</t>
  </si>
  <si>
    <t xml:space="preserve">library/051_emerald-maldives-resort-spa-fasmendho/sustainability/2024_66f3c097816be8fdac1879d4_Environmental Policy.pdf</t>
  </si>
  <si>
    <t xml:space="preserve">2012_68de48d59a836f9927674fdc_1025Green Book.pdf</t>
  </si>
  <si>
    <t xml:space="preserve">https://cdn.prod.website-files.com/5d39ad82040fc87640dfdea6/68de48d59a836f9927674fdc_1025Green%20Book.pdf</t>
  </si>
  <si>
    <t xml:space="preserve">a2f898fa66987b071531e2088f9b820b1889fe4b8a54dd3f9b6935db2870b078</t>
  </si>
  <si>
    <t xml:space="preserve">library/051_emerald-maldives-resort-spa-fasmendho/sustainability/2012_68de48d59a836f9927674fdc_1025Green Book.pdf</t>
  </si>
  <si>
    <t xml:space="preserve">2026_6994537c7086e11ff13c63a5_Emerald Maldives Brochure Web.pdf</t>
  </si>
  <si>
    <t xml:space="preserve">https://cdn.prod.website-files.com/5d39ad82040fc87640dfdea6/6994537c7086e11ff13c63a5_Emerald%20Maldives%20Brochure%20Web.pdf</t>
  </si>
  <si>
    <t xml:space="preserve">a2c6b7e99e9db29d2c6651b81e71fde84de006e77e0c5c4da0cd82fdb734fb82</t>
  </si>
  <si>
    <t xml:space="preserve">library/051_emerald-maldives-resort-spa-fasmendho/brochure/2026_6994537c7086e11ff13c63a5_Emerald Maldives Brochure Web.pdf</t>
  </si>
  <si>
    <t xml:space="preserve">2026_6a0f27eb6e46406ad3c05d11_EMRS SUMMER 2026.pdf</t>
  </si>
  <si>
    <t xml:space="preserve">https://cdn.prod.website-files.com/5d39ad82040fc87640dfdea6/6a0f27eb6e46406ad3c05d11_EMRS%20SUMMER%202026.pdf</t>
  </si>
  <si>
    <t xml:space="preserve">213a322e798804430c387a4728468d7597fcac79888c3cf36d2420322c9e11b3</t>
  </si>
  <si>
    <t xml:space="preserve">library/051_emerald-maldives-resort-spa-fasmendho/other/2026_6a0f27eb6e46406ad3c05d11_EMRS SUMMER 2026.pdf</t>
  </si>
  <si>
    <t xml:space="preserve">2026_Eri Maldives - Factsheet _7_.pdf</t>
  </si>
  <si>
    <t xml:space="preserve">pulse.dash.app</t>
  </si>
  <si>
    <t xml:space="preserve">https://d7h9v39iheghu.cloudfront.net/previews/7837a234-9635-4da8-b132-476aacd9b4c1/d6f35137-6068-41a9-96c1-bb25264b80c9/8ee78a05-4865-4cc5-9e4c-09fb2b6ca406?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</si>
  <si>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315313490f59e31a8b33c7e6c2798f030d9c809be5b2865ad0c9aa1e5eba2825</t>
  </si>
  <si>
    <t xml:space="preserve">library/052_eri-maldives/factsheet/2026_Eri Maldives - Factsheet _7_.pdf</t>
  </si>
  <si>
    <t xml:space="preserve">2024_Furaveri-Maldives_Factsheet_Rev24102024.pdf</t>
  </si>
  <si>
    <t xml:space="preserve">https://www.neoscapesmaldives.com/wp-content/uploads/Furaveri-Maldives_Factsheet_Rev24102024.pdf</t>
  </si>
  <si>
    <t xml:space="preserve">88875b7fa1a627ab3b37d995eed0ab329dae77543570ee1459e9d39136740cb0</t>
  </si>
  <si>
    <t xml:space="preserve">library/052_eri-maldives/factsheet/2024_Furaveri-Maldives_Factsheet_Rev24102024.pdf</t>
  </si>
  <si>
    <t xml:space="preserve">2026_Eri - Renewal of Vows Package.pdf</t>
  </si>
  <si>
    <t xml:space="preserve">https://d7h9v39iheghu.cloudfront.net/previews/7837a234-9635-4da8-b132-476aacd9b4c1/d10617e8-ce68-4acc-8fc4-e29b9ab61393/d10617e8-ce68-4acc-8fc4-e29b9ab61393?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</si>
  <si>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6c902cd5eeab0d6a8578d56c8e70b543fb7d479fde0c3b20a08f3f24910efb3e</t>
  </si>
  <si>
    <t xml:space="preserve">library/052_eri-maldives/wedding/2026_Eri - Renewal of Vows Package.pdf</t>
  </si>
  <si>
    <t xml:space="preserve">2026_ERI-MAP-NEW-202_AUG.pdf</t>
  </si>
  <si>
    <t xml:space="preserve">https://d7h9v39iheghu.cloudfront.net/previews/7837a234-9635-4da8-b132-476aacd9b4c1/8624a082-cbfe-4903-b8b8-23933e083ca5/1948dbbc-1f67-4755-bd4d-cff9fffc7702?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</si>
  <si>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e9eccbc90da703b426741141fdb48830b20283f124e4330961d4446882cd3e22</t>
  </si>
  <si>
    <t xml:space="preserve">library/052_eri-maldives/map/2026_ERI-MAP-NEW-202_AUG.pdf</t>
  </si>
  <si>
    <t xml:space="preserve">2024_Island_map_updated-27.10.2024.pdf</t>
  </si>
  <si>
    <t xml:space="preserve">https://www.neoscapesmaldives.com/wp-content/uploads/Island_map_updated-27.10.2024.pdf</t>
  </si>
  <si>
    <t xml:space="preserve">1f717f13dd083a65b0d27e67432378bcb6702900f269b4083311f668ab67720c</t>
  </si>
  <si>
    <t xml:space="preserve">library/052_eri-maldives/map/2024_Island_map_updated-27.10.2024.pdf</t>
  </si>
  <si>
    <t xml:space="preserve">ambiguous match [52]</t>
  </si>
  <si>
    <t xml:space="preserve">2026_Eri - Eskape Spa Temporary Menu.pdf</t>
  </si>
  <si>
    <t xml:space="preserve">https://d7h9v39iheghu.cloudfront.net/previews/7837a234-9635-4da8-b132-476aacd9b4c1/7748c6eb-8fff-472c-979b-04df1ae613cf/481b9077-8234-44e1-9b8e-16c246aa9cb8?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</si>
  <si>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934f28aab00ba527e65e0def6aa14cc32a8844c01506fed7f070ccde67decaba</t>
  </si>
  <si>
    <t xml:space="preserve">library/052_eri-maldives/spa_menu/2026_Eri - Eskape Spa Temporary Menu.pdf</t>
  </si>
  <si>
    <t xml:space="preserve">2026_Eri Maldives Sales Kit _5_.pdf</t>
  </si>
  <si>
    <t xml:space="preserve">https://d7h9v39iheghu.cloudfront.net/previews/7837a234-9635-4da8-b132-476aacd9b4c1/3157d74f-9ff4-49f7-8c1f-0824ea50e048/7e1bf591-f54e-4653-a57b-837ca70da2a6?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</si>
  <si>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0f5bf1a8489f172c6d87739b1c5b199ecc116e1ce13b4f3543635b43e4e5ba72</t>
  </si>
  <si>
    <t xml:space="preserve">library/052_eri-maldives/spa_menu/2026_Eri Maldives Sales Kit _5_.pdf</t>
  </si>
  <si>
    <t xml:space="preserve">2026_Eri - Destination Dining Menu _3_.pdf</t>
  </si>
  <si>
    <t xml:space="preserve">https://d7h9v39iheghu.cloudfront.net/previews/7837a234-9635-4da8-b132-476aacd9b4c1/f4c17a44-1a32-4877-b4dc-3acda996dc1b/f4c17a44-1a32-4877-b4dc-3acda996dc1b?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</si>
  <si>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374c95703ea47e581105fe0076a8abed551aab37b634167c9caf23f0354ba926</t>
  </si>
  <si>
    <t xml:space="preserve">library/052_eri-maldives/dining_menu/2026_Eri - Destination Dining Menu _3_.pdf</t>
  </si>
  <si>
    <t xml:space="preserve">2026_Eri - Beach Shack Menu _2_.pdf</t>
  </si>
  <si>
    <t xml:space="preserve">https://d7h9v39iheghu.cloudfront.net/previews/7837a234-9635-4da8-b132-476aacd9b4c1/e7c26357-094d-447a-9338-aa3f702db977/8a78b6db-9a02-406c-8222-eb28bec1b959?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</si>
  <si>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4de60aee7857b1b8c75929e4e02eacff27225658ab1f395c4bb1646d003849d5</t>
  </si>
  <si>
    <t xml:space="preserve">library/052_eri-maldives/dining_menu/2026_Eri - Beach Shack Menu _2_.pdf</t>
  </si>
  <si>
    <t xml:space="preserve">2026_Eri - Sip _ Dip Menu _2_.pdf</t>
  </si>
  <si>
    <t xml:space="preserve">https://d7h9v39iheghu.cloudfront.net/previews/7837a234-9635-4da8-b132-476aacd9b4c1/0ee53b84-2044-4430-b4e8-4a4a56de626f/a3aee771-747f-4408-9850-22ff8632a9f5?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</si>
  <si>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a30039efaa2b5a37bdb5f2ed009a1233680157edece3fae3fae66617d8a97dbb</t>
  </si>
  <si>
    <t xml:space="preserve">library/052_eri-maldives/dining_menu/2026_Eri - Sip _ Dip Menu _2_.pdf</t>
  </si>
  <si>
    <t xml:space="preserve">2025_Eri in-villa dining menu _1_.pdf</t>
  </si>
  <si>
    <t xml:space="preserve">https://d7h9v39iheghu.cloudfront.net/previews/7837a234-9635-4da8-b132-476aacd9b4c1/43a429aa-24d3-4257-a88f-06d91d2c7716/43a429aa-24d3-4257-a88f-06d91d2c7716?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</si>
  <si>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81f8b6b4eaeedbfcdd5c99d6d14a6257f52ad973a141afb6636ccd2bb926379d</t>
  </si>
  <si>
    <t xml:space="preserve">library/052_eri-maldives/dining_menu/2025_Eri in-villa dining menu _1_.pdf</t>
  </si>
  <si>
    <t xml:space="preserve">2023_Eri - Wine Menu _1_.pdf</t>
  </si>
  <si>
    <t xml:space="preserve">https://d7h9v39iheghu.cloudfront.net/previews/7837a234-9635-4da8-b132-476aacd9b4c1/b2b53452-fc01-4f1e-8303-f51038f4c065/b2b53452-fc01-4f1e-8303-f51038f4c065?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</si>
  <si>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f6fdb86de46e468ff3eb0419b0446bf97b70a5c4b43f43b99720ed16f1d8c855</t>
  </si>
  <si>
    <t xml:space="preserve">library/052_eri-maldives/dining_menu/2023_Eri - Wine Menu _1_.pdf</t>
  </si>
  <si>
    <t xml:space="preserve">2026_Eri - Eurodive Price List.pdf</t>
  </si>
  <si>
    <t xml:space="preserve">https://d7h9v39iheghu.cloudfront.net/previews/7837a234-9635-4da8-b132-476aacd9b4c1/211acdab-18f3-4cc6-99ee-f67a15a4c30d/13d49216-0e0d-4bb8-90ad-e37b4ac94c81?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</si>
  <si>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f016ae30e60684d3c4cd4a64be16040a377e956c8930a1f2ebdaf8732b316993</t>
  </si>
  <si>
    <t xml:space="preserve">library/052_eri-maldives/dive_prices/2026_Eri - Eurodive Price List.pdf</t>
  </si>
  <si>
    <t xml:space="preserve">2025_Eri - Snap Price List 2025 _1_.pdf</t>
  </si>
  <si>
    <t xml:space="preserve">https://d7h9v39iheghu.cloudfront.net/previews/7837a234-9635-4da8-b132-476aacd9b4c1/8c0ba6f4-331e-4c65-b17b-ee9cc2a557ea/8c0ba6f4-331e-4c65-b17b-ee9cc2a557ea?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</si>
  <si>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d5ee5ac871ea2a63c43b2a727d99b8c564e7702b3946b61c4581ef6b28ad1895</t>
  </si>
  <si>
    <t xml:space="preserve">library/052_eri-maldives/dive_prices/2025_Eri - Snap Price List 2025 _1_.pdf</t>
  </si>
  <si>
    <t xml:space="preserve">2025_Eri - Excursions Posters _1_ _1_.pdf</t>
  </si>
  <si>
    <t xml:space="preserve">https://d7h9v39iheghu.cloudfront.net/previews/7837a234-9635-4da8-b132-476aacd9b4c1/951281f7-d8a4-4fd2-9893-4801b3328de4/951281f7-d8a4-4fd2-9893-4801b3328de4?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</si>
  <si>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558e710f04e4c4b44ab8ab10e95b75ac7fdf1d0409e1cae4153108e4ab392f1d</t>
  </si>
  <si>
    <t xml:space="preserve">library/052_eri-maldives/excursions/2025_Eri - Excursions Posters _1_ _1_.pdf</t>
  </si>
  <si>
    <t xml:space="preserve">2028_Furaveri-Maldives-_Premium-All-Inclusive_2027-2028.pdf</t>
  </si>
  <si>
    <t xml:space="preserve">https://letsgomaldives.com/wp-content/uploads/2026/09/Furaveri-Maldives-_Premium-All-Inclusive_2027-2028.pdf</t>
  </si>
  <si>
    <t xml:space="preserve">b6b861ee7a171d7af34a5c2d6f8e2ff2769a89eb501542d24bc8b39fac3c84a6</t>
  </si>
  <si>
    <t xml:space="preserve">library/052_eri-maldives/all_inclusive/2028_Furaveri-Maldives-_Premium-All-Inclusive_2027-2028.pdf</t>
  </si>
  <si>
    <t xml:space="preserve">2026_Eri - Brochure - 2026 _2_.pdf</t>
  </si>
  <si>
    <t xml:space="preserve">https://d7h9v39iheghu.cloudfront.net/previews/7837a234-9635-4da8-b132-476aacd9b4c1/999db426-ea2a-4c44-b6e3-658ea396827e/def5341a-4bbd-4356-99ca-a82a64f92b76?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</si>
  <si>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817883bbe4edd5af1e667afe54132822b753d4df15bbacadfe2034b294510261</t>
  </si>
  <si>
    <t xml:space="preserve">library/052_eri-maldives/brochure/2026_Eri - Brochure - 2026 _2_.pdf</t>
  </si>
  <si>
    <t xml:space="preserve">2026_Emerald-Faarufushi-Resort-Spa-map.pdf</t>
  </si>
  <si>
    <t xml:space="preserve">https://www.neoscapesmaldives.com/wp-content/uploads/Emerald-Faarufushi-Resort-Spa-map.pdf</t>
  </si>
  <si>
    <t xml:space="preserve">de54b0639ce0774502822b10eda7a92544ee288900131a338b6d6bb78ea5096b</t>
  </si>
  <si>
    <t xml:space="preserve">library/054_emerald-faarufushi-resort-spa/map/2026_Emerald-Faarufushi-Resort-Spa-map.pdf</t>
  </si>
  <si>
    <t xml:space="preserve">2026_6aaa4bfb2a3a2eeaf42f7422_v2EFRS Sustainability Management Plan 2026.pdf</t>
  </si>
  <si>
    <t xml:space="preserve">emerald-faarufushi.com</t>
  </si>
  <si>
    <t xml:space="preserve">https://cdn.prod.website-files.com/614dd23228b0182a7ae09c18/6aaa4bfb2a3a2eeaf42f7422_v2EFRS%20Sustainability%20Management%20Plan%202026.pdf</t>
  </si>
  <si>
    <t xml:space="preserve">b6fa3fcfc24341ab016e93116bbf6293403e3ae861a5800f6ed182d2e799b60d</t>
  </si>
  <si>
    <t xml:space="preserve">library/054_emerald-faarufushi-resort-spa/map/2026_6aaa4bfb2a3a2eeaf42f7422_v2EFRS Sustainability Management Plan 2026.pdf</t>
  </si>
  <si>
    <t xml:space="preserve">2025_68dbb2e81249cc4efa8d0f6a_09EFRS Sustainability Management Plan 2025 Revised.pdf</t>
  </si>
  <si>
    <t xml:space="preserve">https://cdn.prod.website-files.com/614dd23228b0182a7ae09c18/68dbb2e81249cc4efa8d0f6a_09EFRS%20Sustainability%20Management%20Plan%202025%20Revised.pdf</t>
  </si>
  <si>
    <t xml:space="preserve">7c9e91f03a6f35d4e7114873b9952b67c51dd7351c4a2226e5d9557db1f2a0ea</t>
  </si>
  <si>
    <t xml:space="preserve">library/054_emerald-faarufushi-resort-spa/map/2025_68dbb2e81249cc4efa8d0f6a_09EFRS Sustainability Management Plan 2025 Revised.pdf</t>
  </si>
  <si>
    <t xml:space="preserve">2025_67d7e2f846395f12f2368f6d_03.25The Emerald Spa Menu Emerald Faarufushi Resort _ Spa.pdf</t>
  </si>
  <si>
    <t xml:space="preserve">https://cdn.prod.website-files.com/614dd23228b0182a7ae09c18/67d7e2f846395f12f2368f6d_03.25The%20Emerald%20Spa%20Menu%20Emerald%20Faarufushi%20Resort%20%26%20Spa.pdf</t>
  </si>
  <si>
    <t xml:space="preserve">0a27370e26cb635c90b7516960b1e30d2d330c67f4b82603d8ce71b411c6ad46</t>
  </si>
  <si>
    <t xml:space="preserve">library/054_emerald-faarufushi-resort-spa/spa_menu/2025_67d7e2f846395f12f2368f6d_03.25The Emerald Spa Menu Emerald Faarufushi Resort _ Spa.pdf</t>
  </si>
  <si>
    <t xml:space="preserve">2022_6242d62770076bb85d28df10_E-Brochure Emerald Faarufushi Resort _ Spa_ENG.pdf</t>
  </si>
  <si>
    <t xml:space="preserve">https://cdn.prod.website-files.com/614dd23228b0182a7ae09c18/6242d62770076bb85d28df10_E-Brochure%20Emerald%20Faarufushi%20Resort%20%26%20Spa_ENG.pdf</t>
  </si>
  <si>
    <t xml:space="preserve">b06c1028f0e9c834258f29f88672406313d31605bd9ba5f4729a98bc7c01dcfe</t>
  </si>
  <si>
    <t xml:space="preserve">library/054_emerald-faarufushi-resort-spa/spa_menu/2022_6242d62770076bb85d28df10_E-Brochure Emerald Faarufushi Resort _ Spa_ENG.pdf</t>
  </si>
  <si>
    <t xml:space="preserve">2023_671236c0675bb0d2c5ac8504_Farufushi DC _amp_ WS PRICE LIST from 08.04.2023.pdf</t>
  </si>
  <si>
    <t xml:space="preserve">https://cdn.prod.website-files.com/614dd23228b0182a7ae09c18/671236c0675bb0d2c5ac8504_Farufushi%20DC%20%26amp%3B%20WS%20PRICE%20LIST%20from%2008.04.2023.pdf</t>
  </si>
  <si>
    <t xml:space="preserve">44f6cb078182f20e59fe432736cd84997177f0533ce7c677fabb3698999b000e</t>
  </si>
  <si>
    <t xml:space="preserve">library/054_emerald-faarufushi-resort-spa/dive_prices/2023_671236c0675bb0d2c5ac8504_Farufushi DC _amp_ WS PRICE LIST from 08.04.2023.pdf</t>
  </si>
  <si>
    <t xml:space="preserve">ambiguous match [54]</t>
  </si>
  <si>
    <t xml:space="preserve">2025_68a5899fa91a1971564ee4e4_082025Emerald Faarufushi Deluxe All-Inclusive Package_EN.pdf</t>
  </si>
  <si>
    <t xml:space="preserve">https://cdn.prod.website-files.com/614dd23228b0182a7ae09c18/68a5899fa91a1971564ee4e4_082025Emerald%20Faarufushi%20Deluxe%20All-Inclusive%20Package_EN.pdf</t>
  </si>
  <si>
    <t xml:space="preserve">1b28efdc3626186e868bbe6703251451851102fd104ea08902b2206e387bb6c5</t>
  </si>
  <si>
    <t xml:space="preserve">library/054_emerald-faarufushi-resort-spa/all_inclusive/2025_68a5899fa91a1971564ee4e4_082025Emerald Faarufushi Deluxe All-Inclusive Package_EN.pdf</t>
  </si>
  <si>
    <t xml:space="preserve">2022_6242d6821001acc11caed847_Emerald Faarufushi Deluxe All-Inclusive Package_EN.pdf</t>
  </si>
  <si>
    <t xml:space="preserve">https://cdn.prod.website-files.com/614dd23228b0182a7ae09c18/6242d6821001acc11caed847_Emerald%20Faarufushi%20Deluxe%20All-Inclusive%20Package_EN.pdf</t>
  </si>
  <si>
    <t xml:space="preserve">7d750b7f6235e3b1a8ab9114a97923494b4c878b82938f91c9509bae4e7ca839</t>
  </si>
  <si>
    <t xml:space="preserve">library/054_emerald-faarufushi-resort-spa/all_inclusive/2022_6242d6821001acc11caed847_Emerald Faarufushi Deluxe All-Inclusive Package_EN.pdf</t>
  </si>
  <si>
    <t xml:space="preserve">2025_6aa3f6fe58c728c6831b9ec2_EO-003 EFRS Environmental Policy 092026.pdf</t>
  </si>
  <si>
    <t xml:space="preserve">https://cdn.prod.website-files.com/614dd23228b0182a7ae09c18/6aa3f6fe58c728c6831b9ec2_EO-003%20EFRS%20Environmental%20Policy%20092026.pdf</t>
  </si>
  <si>
    <t xml:space="preserve">13592de27d074593b59106438c0cfcb7b752cf8603ee3c12c0b5eeda4464942e</t>
  </si>
  <si>
    <t xml:space="preserve">library/054_emerald-faarufushi-resort-spa/sustainability/2025_6aa3f6fe58c728c6831b9ec2_EO-003 EFRS Environmental Policy 092026.pdf</t>
  </si>
  <si>
    <t xml:space="preserve">2025_68dbb2f366767a441c648abf_09EFRS Environmental Policy 2025.pdf</t>
  </si>
  <si>
    <t xml:space="preserve">https://cdn.prod.website-files.com/614dd23228b0182a7ae09c18/68dbb2f366767a441c648abf_09EFRS%20Environmental%20Policy%202025.pdf</t>
  </si>
  <si>
    <t xml:space="preserve">461564d428fb3c2302b76341892f685df2210ce95fe0081960dae911733ed40a</t>
  </si>
  <si>
    <t xml:space="preserve">library/054_emerald-faarufushi-resort-spa/sustainability/2025_68dbb2f366767a441c648abf_09EFRS Environmental Policy 2025.pdf</t>
  </si>
  <si>
    <t xml:space="preserve">2025_Emerald-Faarufushi-Brochure-Web.pdf</t>
  </si>
  <si>
    <t xml:space="preserve">https://www.neoscapesmaldives.com/wp-content/uploads/Emerald-Faarufushi-Brochure-Web.pdf</t>
  </si>
  <si>
    <t xml:space="preserve">9d5c2421c5642204879003dbd9b93d0ecf4ab227de2532078a3540e1c8f6d297</t>
  </si>
  <si>
    <t xml:space="preserve">library/054_emerald-faarufushi-resort-spa/brochure/2025_Emerald-Faarufushi-Brochure-Web.pdf</t>
  </si>
  <si>
    <t xml:space="preserve">2023_68baa377da7cf0f48a728e12_Emerald Faarufushi Brochure Web.pdf</t>
  </si>
  <si>
    <t xml:space="preserve">https://cdn.prod.website-files.com/614dd23228b0182a7ae09c18/68baa377da7cf0f48a728e12_Emerald%20Faarufushi%20Brochure%20Web.pdf</t>
  </si>
  <si>
    <t xml:space="preserve">488a93066e17ccc0ddf41887a0980fb92347cb2716e695d49e903298f4560804</t>
  </si>
  <si>
    <t xml:space="preserve">library/054_emerald-faarufushi-resort-spa/brochure/2023_68baa377da7cf0f48a728e12_Emerald Faarufushi Brochure Web.pdf</t>
  </si>
  <si>
    <t xml:space="preserve">2026_69f86682118d573ca5b3cfc4_EFRS Summer 2026 ver3_compressed.pdf</t>
  </si>
  <si>
    <t xml:space="preserve">https://cdn.prod.website-files.com/614dd23228b0182a7ae09c18/69f86682118d573ca5b3cfc4_EFRS%20Summer%202026%20ver3_compressed.pdf</t>
  </si>
  <si>
    <t xml:space="preserve">50a21a4b5cdad8187210d7565a2d68794f4b73e52fae5bd31e0d05ca11a4ee8d</t>
  </si>
  <si>
    <t xml:space="preserve">library/054_emerald-faarufushi-resort-spa/press_kit/2026_69f86682118d573ca5b3cfc4_EFRS Summer 2026 ver3_compressed.pdf</t>
  </si>
  <si>
    <t xml:space="preserve">2019_KH-Resort-map_v2.pdf</t>
  </si>
  <si>
    <t xml:space="preserve">https://neoscapesmaldives.com/wp-content/uploads/KH-Resort-map_v2.pdf</t>
  </si>
  <si>
    <t xml:space="preserve">886d7ec92945303122fb6af664be6dc58cce72aad2f5d6ab3f4d314c507e8475</t>
  </si>
  <si>
    <t xml:space="preserve">library/056_four-seasons-resort-maldives-at-kuda-huraa/map/2019_KH-Resort-map_v2.pdf</t>
  </si>
  <si>
    <t xml:space="preserve">ambiguous match [56]</t>
  </si>
  <si>
    <t xml:space="preserve">2019_facts-1.pdf</t>
  </si>
  <si>
    <t xml:space="preserve">https://neoscapesmaldives.com/wp-content/uploads/facts-1.pdf</t>
  </si>
  <si>
    <t xml:space="preserve">69ef29f4b98fbddfcf7e54cd28848e5841a32e712da9e330dae7fd44ed795c34</t>
  </si>
  <si>
    <t xml:space="preserve">library/056_four-seasons-resort-maldives-at-kuda-huraa/spa_menu/2019_facts-1.pdf</t>
  </si>
  <si>
    <t xml:space="preserve">2024_Easter-2024-Programme-Fushifaru-Maldives-mail-version-v2.pdf</t>
  </si>
  <si>
    <t xml:space="preserve">https://letsgomaldives.com/wp-content/uploads/2024/03/Easter-2024-Programme-Fushifaru-Maldives-mail-version-v2.pdf</t>
  </si>
  <si>
    <t xml:space="preserve">2e953233bee928296e97a20d2e6ed7a8cb7cb356421348abfdfe7a9ee1c35cf8</t>
  </si>
  <si>
    <t xml:space="preserve">library/057_fushifaru-maldives/calendar/2024_Easter-2024-Programme-Fushifaru-Maldives-mail-version-v2.pdf</t>
  </si>
  <si>
    <t xml:space="preserve">2023_Fairmont-Maldives-Fact-Sheet-2023.pdf</t>
  </si>
  <si>
    <t xml:space="preserve">https://www.neoscapesmaldives.com/wp-content/uploads/Fairmont-Maldives-Fact-Sheet-2023.pdf</t>
  </si>
  <si>
    <t xml:space="preserve">95b0d873e7b016c64b8ad963f230d7698811b6f42e0cd05163e5af0ad7e4db45</t>
  </si>
  <si>
    <t xml:space="preserve">library/058_sirru-fen-fushi/factsheet/2023_Fairmont-Maldives-Fact-Sheet-2023.pdf</t>
  </si>
  <si>
    <t xml:space="preserve">2019_Fairmont-Maldives_ISLAND-MAP.pdf</t>
  </si>
  <si>
    <t xml:space="preserve">https://neoscapesmaldives.com/wp-content/uploads/Fairmont-Maldives_ISLAND-MAP.pdf</t>
  </si>
  <si>
    <t xml:space="preserve">946ebdb30c501805f96a120b3ba9d573e1ae802c6aad798f76c699bbeeb41e8e</t>
  </si>
  <si>
    <t xml:space="preserve">library/058_sirru-fen-fushi/map/2019_Fairmont-Maldives_ISLAND-MAP.pdf</t>
  </si>
  <si>
    <t xml:space="preserve">2026_Eid-Al-Fitr-Sirru-Fen-Fushi.pdf</t>
  </si>
  <si>
    <t xml:space="preserve">https://letsgomaldives.com/wp-content/uploads/2026/03/Eid-Al-Fitr-Sirru-Fen-Fushi.pdf</t>
  </si>
  <si>
    <t xml:space="preserve">f8e36ed8b2a130c6af4db1dc19326c537f5e2d8485113ea210152db88d2de7c5</t>
  </si>
  <si>
    <t xml:space="preserve">library/058_sirru-fen-fushi/dive_prices/2026_Eid-Al-Fitr-Sirru-Fen-Fushi.pdf</t>
  </si>
  <si>
    <t xml:space="preserve">2019_Fairmont-Maldives_House-Reef-Snorkeling-and-Diving-Spots.pdf</t>
  </si>
  <si>
    <t xml:space="preserve">https://neoscapesmaldives.com/wp-content/uploads/Fairmont-Maldives_House-Reef-Snorkeling-and-Diving-Spots.pdf</t>
  </si>
  <si>
    <t xml:space="preserve">11d63d7fee0ca273862e1d69367f0e8d0251256413d4818c92c59871d808e01a</t>
  </si>
  <si>
    <t xml:space="preserve">library/058_sirru-fen-fushi/dive_prices/2019_Fairmont-Maldives_House-Reef-Snorkeling-and-Diving-Spots.pdf</t>
  </si>
  <si>
    <t xml:space="preserve">2025_Jumeirah-Olhahali-Island-Resort-Factsheet-2025.pdf</t>
  </si>
  <si>
    <t xml:space="preserve">https://www.neoscapesmaldives.com/wp-content/uploads/Jumeirah-Olhahali-Island-Resort-Factsheet-2025.pdf</t>
  </si>
  <si>
    <t xml:space="preserve">c8c77201ac7ffb8a45a206ffad81786cd9387ba91b6368abceec973ad76d3324</t>
  </si>
  <si>
    <t xml:space="preserve">library/059_jumeirah-maldives-olhahali-island/factsheet/2025_Jumeirah-Olhahali-Island-Resort-Factsheet-2025.pdf</t>
  </si>
  <si>
    <t xml:space="preserve">2025_Jumeirah-Olhahali-Island-Resort-Map-2025.pdf</t>
  </si>
  <si>
    <t xml:space="preserve">https://www.neoscapesmaldives.com/wp-content/uploads/Jumeirah-Olhahali-Island-Resort-Map-2025.pdf</t>
  </si>
  <si>
    <t xml:space="preserve">667731aeb3ed1a2d21b0cc02be030bc99acafd760e81deae59b7ee7f697b556a</t>
  </si>
  <si>
    <t xml:space="preserve">library/059_jumeirah-maldives-olhahali-island/map/2025_Jumeirah-Olhahali-Island-Resort-Map-2025.pdf</t>
  </si>
  <si>
    <t xml:space="preserve">2022_mggoe5ku.pdf</t>
  </si>
  <si>
    <t xml:space="preserve">https://visitmaldives.s3.amazonaws.com/KqrvXKqg/mggoe5ku.pdf</t>
  </si>
  <si>
    <t xml:space="preserve">fbd7f9df946140e337ce1a230970bf503624d0a795da3e4b45af4cb1c8c50213</t>
  </si>
  <si>
    <t xml:space="preserve">library/059_jumeirah-maldives-olhahali-island/spa_menu/2022_mggoe5ku.pdf</t>
  </si>
  <si>
    <t xml:space="preserve">ambiguous match [59, 133, 27, 41, 171, 50, 110, 44, 19]</t>
  </si>
  <si>
    <t xml:space="preserve">2026_Jumeirah-Olhahali-Island-From-Seasons-to-Stories-Eid-Al-Fitr-2026-1.pdf</t>
  </si>
  <si>
    <t xml:space="preserve">https://letsgomaldives.com/wp-content/uploads/2026/03/Jumeirah-Olhahali-Island-From-Seasons-to-Stories-Eid-Al-Fitr-2026-1.pdf</t>
  </si>
  <si>
    <t xml:space="preserve">c5bf3218684c18e0f335e03d62b30fecd8e4330853b00b07dfae7bec4355d53b</t>
  </si>
  <si>
    <t xml:space="preserve">library/059_jumeirah-maldives-olhahali-island/calendar/2026_Jumeirah-Olhahali-Island-From-Seasons-to-Stories-Eid-Al-Fitr-2026-1.pdf</t>
  </si>
  <si>
    <t xml:space="preserve">2026_Jumeirah-Olhahali-Island-From-Seasons-to-Stories-Easter-2026.pdf</t>
  </si>
  <si>
    <t xml:space="preserve">https://letsgomaldives.com/wp-content/uploads/2026/02/Jumeirah-Olhahali-Island-From-Seasons-to-Stories-Easter-2026.pdf</t>
  </si>
  <si>
    <t xml:space="preserve">https://letsgomaldives.com/wp-content/uploads/2026/02/Jumeirah-Olhahali-Island-From-Seasons-to-Stories-Easter-2026.pdf | https://letsgomaldives.com/wp-content/uploads/2026/02/Jumeirah-Olhahali-Island-From-Seasons-to-Stories-Easter-2026-1.pdf</t>
  </si>
  <si>
    <t xml:space="preserve">72a7d0af942602a86e14324ca55fb154aacbc001ce3aa011952b065aa1dd3b6d</t>
  </si>
  <si>
    <t xml:space="preserve">library/059_jumeirah-maldives-olhahali-island/calendar/2026_Jumeirah-Olhahali-Island-From-Seasons-to-Stories-Easter-2026.pdf</t>
  </si>
  <si>
    <t xml:space="preserve">2021_CCM-Factsheet.pdf</t>
  </si>
  <si>
    <t xml:space="preserve">https://www.neoscapesmaldives.com/wp-content/uploads/CCM-Factsheet.pdf</t>
  </si>
  <si>
    <t xml:space="preserve">bfebc8900b4aadfa732e6be0148afb0e00bc85ed19cc2abebfc0aa9e3bd9d4a0</t>
  </si>
  <si>
    <t xml:space="preserve">library/062_cora-cora-maldives/factsheet/2021_CCM-Factsheet.pdf</t>
  </si>
  <si>
    <t xml:space="preserve">2025_CCM-Island-Map-1.pdf</t>
  </si>
  <si>
    <t xml:space="preserve">https://www.neoscapesmaldives.com/wp-content/uploads/CCM-Island-Map-1.pdf</t>
  </si>
  <si>
    <t xml:space="preserve">f112acf98761e0a94073f473ab2831c8889a8beb662b33b10ab243b1dd079e40</t>
  </si>
  <si>
    <t xml:space="preserve">library/062_cora-cora-maldives/map/2025_CCM-Island-Map-1.pdf</t>
  </si>
  <si>
    <t xml:space="preserve">ambiguous match [62]</t>
  </si>
  <si>
    <t xml:space="preserve">2025_Radisson-Blu-Resort-Maldives-Map.pdf</t>
  </si>
  <si>
    <t xml:space="preserve">https://www.neoscapesmaldives.com/wp-content/uploads/Radisson-Blu-Resort-Maldives-Map.pdf</t>
  </si>
  <si>
    <t xml:space="preserve">c10fee1c9d082243c2bddfb507906931224783e01b343539dc499fac550401a9</t>
  </si>
  <si>
    <t xml:space="preserve">library/064_radisson-blu-resort-maldives/map/2025_Radisson-Blu-Resort-Maldives-Map.pdf</t>
  </si>
  <si>
    <t xml:space="preserve">2026_Radisson-Blu-Resort-Maldives_Eid_2026.pdf</t>
  </si>
  <si>
    <t xml:space="preserve">https://letsgomaldives.com/wp-content/uploads/2026/03/Radisson-Blu-Resort-Maldives_Eid_2026.pdf</t>
  </si>
  <si>
    <t xml:space="preserve">c6a36f4b605af85708e564503ff20bf9c509fb33e216c405070a0ab96e3154f1</t>
  </si>
  <si>
    <t xml:space="preserve">library/064_radisson-blu-resort-maldives/dining_menu/2026_Radisson-Blu-Resort-Maldives_Eid_2026.pdf</t>
  </si>
  <si>
    <t xml:space="preserve">2025_Radisson-Blu-Resort-Maldives-August_2025_Newsletter.pdf</t>
  </si>
  <si>
    <t xml:space="preserve">https://www.neoscapesmaldives.com/wp-content/uploads/Radisson-Blu-Resort-Maldives-August_2025_Newsletter.pdf</t>
  </si>
  <si>
    <t xml:space="preserve">8ff781ac63a437375958d4b57280baf47c0566379eaaa77c18e9105aee4ddae8</t>
  </si>
  <si>
    <t xml:space="preserve">library/064_radisson-blu-resort-maldives/press_kit/2025_Radisson-Blu-Resort-Maldives-August_2025_Newsletter.pdf</t>
  </si>
  <si>
    <t xml:space="preserve">2026_Cheval-Blanc-Randheli.pdf</t>
  </si>
  <si>
    <t xml:space="preserve">https://awesomegetawaymaldives.com/wp-content/uploads/2026/04/Cheval-Blanc-Randheli.pdf</t>
  </si>
  <si>
    <t xml:space="preserve">19bcabfe121338a66562a2686e728162afbf3aec62021288562390cd83dfacfe</t>
  </si>
  <si>
    <t xml:space="preserve">library/065_cheval-blanc-randheli/factsheet/2026_Cheval-Blanc-Randheli.pdf</t>
  </si>
  <si>
    <t xml:space="preserve">2022_Cheval-Blanc-Randheli-Factsheet.pdf</t>
  </si>
  <si>
    <t xml:space="preserve">https://www.neoscapesmaldives.com/wp-content/uploads/Cheval-Blanc-Randheli-Factsheet.pdf</t>
  </si>
  <si>
    <t xml:space="preserve">81c625ad9c4f4b1ec792543edfadd11e873430a9bca9a7742fee85bd9a094d6e</t>
  </si>
  <si>
    <t xml:space="preserve">library/065_cheval-blanc-randheli/factsheet/2022_Cheval-Blanc-Randheli-Factsheet.pdf</t>
  </si>
  <si>
    <t xml:space="preserve">2018_Cheval-Blanc-Randheli-Factsheet-EN.pdf</t>
  </si>
  <si>
    <t xml:space="preserve">https://www.neoscapesmaldives.com/wp-content/uploads/Cheval-Blanc-Randheli-Factsheet-EN.pdf</t>
  </si>
  <si>
    <t xml:space="preserve">7c210e865fef54f915e2599c9be10457f80352a37ebe68f24dfa4696f1becffc</t>
  </si>
  <si>
    <t xml:space="preserve">library/065_cheval-blanc-randheli/factsheet/2018_Cheval-Blanc-Randheli-Factsheet-EN.pdf</t>
  </si>
  <si>
    <t xml:space="preserve">2019_COMO-Maalifushi-Fact-Sheet.pdf</t>
  </si>
  <si>
    <t xml:space="preserve">https://neoscapesmaldives.com/wp-content/uploads/COMO-Maalifushi-Fact-Sheet.pdf</t>
  </si>
  <si>
    <t xml:space="preserve">6bd9c06a4d43e0772ad94b315a1f5fcf24fc750da311f6fa85ef20a4de19cf72</t>
  </si>
  <si>
    <t xml:space="preserve">library/066_como-maalifushi/factsheet/2019_COMO-Maalifushi-Fact-Sheet.pdf</t>
  </si>
  <si>
    <t xml:space="preserve">2019_COMO-Maalifushi-Island-Map.pdf</t>
  </si>
  <si>
    <t xml:space="preserve">https://neoscapesmaldives.com/wp-content/uploads/COMO-Maalifushi-Island-Map.pdf</t>
  </si>
  <si>
    <t xml:space="preserve">c624bc434b81d21b74c779a88daaaa59299ec07e2153fb2e25b59353e6b552f9</t>
  </si>
  <si>
    <t xml:space="preserve">library/066_como-maalifushi/map/2019_COMO-Maalifushi-Island-Map.pdf</t>
  </si>
  <si>
    <t xml:space="preserve">2025_Fact-Sheet.pdf</t>
  </si>
  <si>
    <t xml:space="preserve">https://www.neoscapesmaldives.com/wp-content/uploads/Fact-Sheet.pdf</t>
  </si>
  <si>
    <t xml:space="preserve">5c8a537273268db7a5b28cd9627a7d1816482746ea564d1e2a10379497b7c68b</t>
  </si>
  <si>
    <t xml:space="preserve">library/067_waldorf-astoria-maldives-ithaafushi/factsheet/2025_Fact-Sheet.pdf</t>
  </si>
  <si>
    <t xml:space="preserve">2023_Ithaafushi-The-Private-Island-Fact-Sheet_2023-1.pdf</t>
  </si>
  <si>
    <t xml:space="preserve">https://www.neoscapesmaldives.com/wp-content/uploads/Ithaafushi-The-Private-Island-Fact-Sheet_2023-1.pdf</t>
  </si>
  <si>
    <t xml:space="preserve">945fbbf8ddba937f77a96c1dc6156751567e529418c97ad92cddbce9020e2cac</t>
  </si>
  <si>
    <t xml:space="preserve">library/067_waldorf-astoria-maldives-ithaafushi/factsheet/2023_Ithaafushi-The-Private-Island-Fact-Sheet_2023-1.pdf</t>
  </si>
  <si>
    <t xml:space="preserve">2025_Resort-Map-1.pdf</t>
  </si>
  <si>
    <t xml:space="preserve">https://www.neoscapesmaldives.com/wp-content/uploads/Resort-Map-1.pdf</t>
  </si>
  <si>
    <t xml:space="preserve">c9aaa752d9f5772a8f596fef8840dc5d656ab0952bd8e9adc9fb82508d17c6ca</t>
  </si>
  <si>
    <t xml:space="preserve">library/067_waldorf-astoria-maldives-ithaafushi/map/2025_Resort-Map-1.pdf</t>
  </si>
  <si>
    <t xml:space="preserve">ambiguous match [67]</t>
  </si>
  <si>
    <t xml:space="preserve">2025_Ithaafushi-Private-Island-Map.pdf</t>
  </si>
  <si>
    <t xml:space="preserve">https://www.neoscapesmaldives.com/wp-content/uploads/Ithaafushi-Private-Island-Map.pdf</t>
  </si>
  <si>
    <t xml:space="preserve">96a25c830d9aa1eccc300d1a3b6081ed2809a88aad82e75db8e946f0d5db6b7f</t>
  </si>
  <si>
    <t xml:space="preserve">library/067_waldorf-astoria-maldives-ithaafushi/map/2025_Ithaafushi-Private-Island-Map.pdf</t>
  </si>
  <si>
    <t xml:space="preserve">2026_Eid-Al-Fitr-1.pdf</t>
  </si>
  <si>
    <t xml:space="preserve">https://letsgomaldives.com/wp-content/uploads/2026/03/Eid-Al-Fitr-1.pdf</t>
  </si>
  <si>
    <t xml:space="preserve">042f422839ddda32a279c204406b8a4e9c4de08d5998f178fcb11cc2174bfe44</t>
  </si>
  <si>
    <t xml:space="preserve">library/067_waldorf-astoria-maldives-ithaafushi/excursions/2026_Eid-Al-Fitr-1.pdf</t>
  </si>
  <si>
    <t xml:space="preserve">2024_ja-jam-factsheet-digital.pdf</t>
  </si>
  <si>
    <t xml:space="preserve">https://www.neoscapesmaldives.com/wp-content/uploads/ja-jam-factsheet-digital.pdf</t>
  </si>
  <si>
    <t xml:space="preserve">55ff65cf939beb7824d57ff10f5731f4434f93bac651a92ff964a8a2262ea730</t>
  </si>
  <si>
    <t xml:space="preserve">library/068_ja-manafaru/factsheet/2024_ja-jam-factsheet-digital.pdf</t>
  </si>
  <si>
    <t xml:space="preserve">2024_JA-Manafaru-Map-24.pdf</t>
  </si>
  <si>
    <t xml:space="preserve">https://www.neoscapesmaldives.com/wp-content/uploads/JA-Manafaru-Map-24.pdf</t>
  </si>
  <si>
    <t xml:space="preserve">de4ca4c8804707624f8672c5e384a768a3a8ebc8328b3fd515b5ca8d87e67ef0</t>
  </si>
  <si>
    <t xml:space="preserve">library/068_ja-manafaru/map/2024_JA-Manafaru-Map-24.pdf</t>
  </si>
  <si>
    <t xml:space="preserve">2027_JA-Manafaru.pdf</t>
  </si>
  <si>
    <t xml:space="preserve">https://letsgomaldives.com/wp-content/uploads/2026/08/JA-Manafaru.pdf</t>
  </si>
  <si>
    <t xml:space="preserve">0784c7050207fead78664333082c4b6776223d7e2a2ad359d945d78cbf740ceb</t>
  </si>
  <si>
    <t xml:space="preserve">library/068_ja-manafaru/calendar/2027_JA-Manafaru.pdf</t>
  </si>
  <si>
    <t xml:space="preserve">2025_Fact-Sheet-Adaaran-Club-Rannalhi.pdf</t>
  </si>
  <si>
    <t xml:space="preserve">https://www.neoscapesmaldives.com/wp-content/uploads/Fact-Sheet-Adaaran-Club-Rannalhi.pdf</t>
  </si>
  <si>
    <t xml:space="preserve">781c0f991a1217e1d87e11bc69e66b432a5e438106554078fa92d365a688059c</t>
  </si>
  <si>
    <t xml:space="preserve">library/069_adaaran-club-rannalhi/factsheet/2025_Fact-Sheet-Adaaran-Club-Rannalhi.pdf</t>
  </si>
  <si>
    <t xml:space="preserve">2020_Adaaran-Ranalhi-Island-Map.pdf</t>
  </si>
  <si>
    <t xml:space="preserve">https://www.neoscapesmaldives.com/wp-content/uploads/Adaaran-Ranalhi-Island-Map.pdf</t>
  </si>
  <si>
    <t xml:space="preserve">81577f8cad95ee7d1ac4840eb83bb607b805a7230cb4335b443030367b372453</t>
  </si>
  <si>
    <t xml:space="preserve">library/069_adaaran-club-rannalhi/map/2020_Adaaran-Ranalhi-Island-Map.pdf</t>
  </si>
  <si>
    <t xml:space="preserve">ambiguous match [69]</t>
  </si>
  <si>
    <t xml:space="preserve">2025_Sustainabilty-Report-ACR_compressed-2025-26.pdf</t>
  </si>
  <si>
    <t xml:space="preserve">https://adaaran.eme-devops.com/2026/05/Sustainabilty-Report-ACR_compressed-2025-26.pdf</t>
  </si>
  <si>
    <t xml:space="preserve">fe84e5b1fda4f2f2cbb157d34bd0236fe3dc42283c0fdf1fbb995b68bca0c55a</t>
  </si>
  <si>
    <t xml:space="preserve">library/069_adaaran-club-rannalhi/sustainability/2025_Sustainabilty-Report-ACR_compressed-2025-26.pdf</t>
  </si>
  <si>
    <t xml:space="preserve">2024_Adaaran-Club-Rannalhi-Sustainability-Report-2024-25.pdf</t>
  </si>
  <si>
    <t xml:space="preserve">https://adaaran.eme-devops.com/2025/08/Adaaran-Club-Rannalhi-Sustainability-Report-2024-25.pdf</t>
  </si>
  <si>
    <t xml:space="preserve">b139c477f027bff3f37129886f4f0dacc706b257439c649f454a3a03f07d5f3a</t>
  </si>
  <si>
    <t xml:space="preserve">library/069_adaaran-club-rannalhi/sustainability/2024_Adaaran-Club-Rannalhi-Sustainability-Report-2024-25.pdf</t>
  </si>
  <si>
    <t xml:space="preserve">2023_Adaaran-Club-Rannalhi-Sustainability-Report-2023-24.pdf</t>
  </si>
  <si>
    <t xml:space="preserve">https://adaaran.eme-devops.com/2025/08/Adaaran-Club-Rannalhi-Sustainability-Report-2023-24.pdf</t>
  </si>
  <si>
    <t xml:space="preserve">efbef08a0ff4edd864b6ec6ea23f3a1f93dddfa3f8042f1056a33e3196655895</t>
  </si>
  <si>
    <t xml:space="preserve">library/069_adaaran-club-rannalhi/sustainability/2023_Adaaran-Club-Rannalhi-Sustainability-Report-2023-24.pdf</t>
  </si>
  <si>
    <t xml:space="preserve">2022_Adaaran-Club-Rannalhi-Sustainability-Report-2022-23.pdf</t>
  </si>
  <si>
    <t xml:space="preserve">https://adaaran.eme-devops.com/2025/08/Adaaran-Club-Rannalhi-Sustainability-Report-2022-23.pdf</t>
  </si>
  <si>
    <t xml:space="preserve">1060ea865b6dbbba069e7179753ed81c844a292198752f6ad72db29aee5dcfc1</t>
  </si>
  <si>
    <t xml:space="preserve">library/069_adaaran-club-rannalhi/sustainability/2022_Adaaran-Club-Rannalhi-Sustainability-Report-2022-23.pdf</t>
  </si>
  <si>
    <t xml:space="preserve">2021_Adaaran-Club-Rannalhi-Sustainability-Report-2021-22.pdf</t>
  </si>
  <si>
    <t xml:space="preserve">https://adaaran.eme-devops.com/2025/08/Adaaran-Club-Rannalhi-Sustainability-Report-2021-22.pdf</t>
  </si>
  <si>
    <t xml:space="preserve">a1b4c8fa301d92172018390434cc085d933c495e046d396745f15ccb4875797d</t>
  </si>
  <si>
    <t xml:space="preserve">library/069_adaaran-club-rannalhi/sustainability/2021_Adaaran-Club-Rannalhi-Sustainability-Report-2021-22.pdf</t>
  </si>
  <si>
    <t xml:space="preserve">2019_Adaaran-Club-Rannalhi-Sustainability-Report-2019-20-21.pdf</t>
  </si>
  <si>
    <t xml:space="preserve">https://adaaran.eme-devops.com/2025/08/Adaaran-Club-Rannalhi-Sustainability-Report-2019-20-21.pdf</t>
  </si>
  <si>
    <t xml:space="preserve">70ee924ec239117ec6acfacf7b4b24ab94cbb6b23af1049c7102684ec0032948</t>
  </si>
  <si>
    <t xml:space="preserve">library/069_adaaran-club-rannalhi/sustainability/2019_Adaaran-Club-Rannalhi-Sustainability-Report-2019-20-21.pdf</t>
  </si>
  <si>
    <t xml:space="preserve">2026_Villa Park - Two Bedroom Beach Pool Residence - Factsheet.pdf</t>
  </si>
  <si>
    <t xml:space="preserve">villaresorts.dash.app</t>
  </si>
  <si>
    <t xml:space="preserve">https://d7h9v39iheghu.cloudfront.net/previews/42de57ca-7efe-4d5a-8d86-d9172148eacf/712f206d-41a8-4b34-9995-3943d4414af0/712f206d-41a8-4b34-9995-3943d4414af0?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</si>
  <si>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3b44882d46ce40ad8471b75d907217046e4e88e1d798397c35e43e660a6fb638</t>
  </si>
  <si>
    <t xml:space="preserve">library/070_joy-island/factsheet/2026_Villa Park - Two Bedroom Beach Pool Residence - Factsheet.pdf</t>
  </si>
  <si>
    <t xml:space="preserve">ambiguous match [70, 176]</t>
  </si>
  <si>
    <t xml:space="preserve">2025_Joy-Island-_-Fact-Sheet-2025.pdf</t>
  </si>
  <si>
    <t xml:space="preserve">https://www.neoscapesmaldives.com/wp-content/uploads/Joy-Island-_-Fact-Sheet-2025.pdf</t>
  </si>
  <si>
    <t xml:space="preserve">eb0efc6e14d8e989274c777c41ea70999a7441e8a7df95e6a614dabd0bb378fc</t>
  </si>
  <si>
    <t xml:space="preserve">library/070_joy-island/factsheet/2025_Joy-Island-_-Fact-Sheet-2025.pdf</t>
  </si>
  <si>
    <t xml:space="preserve">2025_Joy-Island-Maldives-_-Resort-Map.pdf</t>
  </si>
  <si>
    <t xml:space="preserve">https://www.neoscapesmaldives.com/wp-content/uploads/Joy-Island-Maldives-_-Resort-Map.pdf</t>
  </si>
  <si>
    <t xml:space="preserve">d835076065bd8a01b798de23774c6138a2c4c1965f466d26ce2937344297dc20</t>
  </si>
  <si>
    <t xml:space="preserve">library/070_joy-island/map/2025_Joy-Island-Maldives-_-Resort-Map.pdf</t>
  </si>
  <si>
    <t xml:space="preserve">2026_Easter-Program-2026-Joy-Island.pdf</t>
  </si>
  <si>
    <t xml:space="preserve">https://letsgomaldives.com/wp-content/uploads/2026/02/Easter-Program-2026-Joy-Island.pdf</t>
  </si>
  <si>
    <t xml:space="preserve">aa8879a2c2a81b431ca8efa3825da0eb0cbd49fda8b47cf7679a4698741eec54</t>
  </si>
  <si>
    <t xml:space="preserve">library/070_joy-island/calendar/2026_Easter-Program-2026-Joy-Island.pdf</t>
  </si>
  <si>
    <t xml:space="preserve">2023_FactSheetKagi11012210312322Rev011122_compressed-1.pdf</t>
  </si>
  <si>
    <t xml:space="preserve">https://sales.crownandchamparesorts.com/wp-content/uploads/2023/08/FactSheetKagi11012210312322Rev011122_compressed-1.pdf</t>
  </si>
  <si>
    <t xml:space="preserve">8160f11401a02e6c888a6162980fa7d1942600dd6609aa27cfebe8626869f25a</t>
  </si>
  <si>
    <t xml:space="preserve">library/071_kagi-maldives-resort-and-spa/factsheet/2023_FactSheetKagi11012210312322Rev011122_compressed-1.pdf</t>
  </si>
  <si>
    <t xml:space="preserve">2020_FactSheetKagi110120103121Rev040120.pdf</t>
  </si>
  <si>
    <t xml:space="preserve">https://sales.crownandchamparesorts.com/wp-content/uploads/2020/04/FactSheetKagi110120103121Rev040120.pdf</t>
  </si>
  <si>
    <t xml:space="preserve">7e3bf82184370a5e5d01889a54266e4238d5c2a36ba501c804f189aac6ca2ec0</t>
  </si>
  <si>
    <t xml:space="preserve">library/071_kagi-maldives-resort-and-spa/factsheet/2020_FactSheetKagi110120103121Rev040120.pdf</t>
  </si>
  <si>
    <t xml:space="preserve">2025_Kagi_Map_Rev22082025.pdf</t>
  </si>
  <si>
    <t xml:space="preserve">https://sales.crownandchamparesorts.com/wp-content/uploads/2025/08/Kagi_Map_Rev22082025.pdf</t>
  </si>
  <si>
    <t xml:space="preserve">d93f7f2968ffb7eb5c58afe47137c97403af54c46f53c2df843f66dd8e9eea6a</t>
  </si>
  <si>
    <t xml:space="preserve">library/071_kagi-maldives-resort-and-spa/map/2025_Kagi_Map_Rev22082025.pdf</t>
  </si>
  <si>
    <t xml:space="preserve">2023_KagiMap121123.pdf</t>
  </si>
  <si>
    <t xml:space="preserve">https://sales.crownandchamparesorts.com/wp-content/uploads/2023/11/KagiMap121123.pdf</t>
  </si>
  <si>
    <t xml:space="preserve">c2f429a15ccb821114fa8ab555406bb5a5aab42a24a47a06d2c6d4bf2bd1b9d3</t>
  </si>
  <si>
    <t xml:space="preserve">library/071_kagi-maldives-resort-and-spa/map/2023_KagiMap121123.pdf</t>
  </si>
  <si>
    <t xml:space="preserve">2019_KAGI_BaaniSpaMenu_16Dec2019.pdf</t>
  </si>
  <si>
    <t xml:space="preserve">https://sales.crownandchamparesorts.com/wp-content/uploads/2020/01/KAGI_BaaniSpaMenu_16Dec2019.pdf</t>
  </si>
  <si>
    <t xml:space="preserve">3331211a2378c9e30e15b991a5b2d2fcab009e0d932f4c29b4fa5eec851fc63c</t>
  </si>
  <si>
    <t xml:space="preserve">library/071_kagi-maldives-resort-and-spa/spa_menu/2019_KAGI_BaaniSpaMenu_16Dec2019.pdf</t>
  </si>
  <si>
    <t xml:space="preserve">2026_SunRay_Drink_AllDay_297x105mm_05.pdf</t>
  </si>
  <si>
    <t xml:space="preserve">https://www.saiihotels.com/wp-content/uploads/2026/07/SunRay_Drink_AllDay_297x105mm_05.pdf</t>
  </si>
  <si>
    <t xml:space="preserve">cd1296344bf54794f827f37e4da17b4bc6017c1e9b628f5613e177401fd0a54d</t>
  </si>
  <si>
    <t xml:space="preserve">library/071_kagi-maldives-resort-and-spa/dining_menu/2026_SunRay_Drink_AllDay_297x105mm_05.pdf</t>
  </si>
  <si>
    <t xml:space="preserve">2026_E_B_Beverage_2026.04.05.pdf</t>
  </si>
  <si>
    <t xml:space="preserve">https://hotel.hardrock.com/maldives/files/6016/E&amp;B_Beverage_2026.04.05.pdf</t>
  </si>
  <si>
    <t xml:space="preserve">777b12d4d9513da29d07c8a43c060763227856c7a31a3cc2f399810a6003ce1c</t>
  </si>
  <si>
    <t xml:space="preserve">library/071_kagi-maldives-resort-and-spa/dining_menu/2026_E_B_Beverage_2026.04.05.pdf</t>
  </si>
  <si>
    <t xml:space="preserve">2026_Sessions_Beverage_2026.04.05.pdf</t>
  </si>
  <si>
    <t xml:space="preserve">https://hotel.hardrock.com/maldives/files/6016/Sessions_Beverage_2026.04.05.pdf</t>
  </si>
  <si>
    <t xml:space="preserve">5a9f63dcfdc02d452df76b41af8ce6d75b929e8a1e1ba8a57ef26970c52ec368</t>
  </si>
  <si>
    <t xml:space="preserve">library/071_kagi-maldives-resort-and-spa/dining_menu/2026_Sessions_Beverage_2026.04.05.pdf</t>
  </si>
  <si>
    <t xml:space="preserve">2018_KagiConcept.pdf</t>
  </si>
  <si>
    <t xml:space="preserve">https://sales.crownandchamparesorts.com/wp-content/uploads/2019/02/KagiConcept.pdf</t>
  </si>
  <si>
    <t xml:space="preserve">1691f2bcced91cdf081a3fec2e273cab349be410d1eb50fb0dd5b8d4a207bbf6</t>
  </si>
  <si>
    <t xml:space="preserve">library/071_kagi-maldives-resort-and-spa/dining_menu/2018_KagiConcept.pdf</t>
  </si>
  <si>
    <t xml:space="preserve">ambiguous match [71]</t>
  </si>
  <si>
    <t xml:space="preserve">2019_Kagi-beach-villa.pdf</t>
  </si>
  <si>
    <t xml:space="preserve">https://sales.crownandchamparesorts.com/wp-content/uploads/2019/03/Kagi-beach-villa.pdf</t>
  </si>
  <si>
    <t xml:space="preserve">6cbfcf2c9f59e7a0291785b727d6e674a2e24c50417bfcd56c34aa1b96d6c3b6</t>
  </si>
  <si>
    <t xml:space="preserve">library/071_kagi-maldives-resort-and-spa/villa_plans/2019_Kagi-beach-villa.pdf</t>
  </si>
  <si>
    <t xml:space="preserve">2019_Kagi-water-villa.pdf</t>
  </si>
  <si>
    <t xml:space="preserve">https://sales.crownandchamparesorts.com/wp-content/uploads/2019/03/Kagi-water-villa.pdf</t>
  </si>
  <si>
    <t xml:space="preserve">341d74cec8602f2289e54e35bf826a1d4d234b7f7fcebd4e7f4ae7ba9e5fb85f</t>
  </si>
  <si>
    <t xml:space="preserve">library/071_kagi-maldives-resort-and-spa/villa_plans/2019_Kagi-water-villa.pdf</t>
  </si>
  <si>
    <t xml:space="preserve">2018_A100B_Villa-Plans_110118s.pdf</t>
  </si>
  <si>
    <t xml:space="preserve">https://sales.crownandchamparesorts.com/wp-content/uploads/2019/03/A100B_Villa-Plans_110118s.pdf</t>
  </si>
  <si>
    <t xml:space="preserve">https://sales.crownandchamparesorts.com/wp-content/uploads/2019/03/A100B_Villa-Plans_110118s.pdf | https://sales.crownandchamparesorts.com/wp-content/uploads/2019/02/KagiVillaPlans.pdf</t>
  </si>
  <si>
    <t xml:space="preserve">f7ac39011acdd038c86e2cf71cf7dbffdc133d3294b382d6b7de0b14876b5bec</t>
  </si>
  <si>
    <t xml:space="preserve">library/071_kagi-maldives-resort-and-spa/villa_plans/2018_A100B_Villa-Plans_110118s.pdf</t>
  </si>
  <si>
    <t xml:space="preserve">2023_PremiumAllInclusivePlusPackageKagi110123103124Rev010923.pdf</t>
  </si>
  <si>
    <t xml:space="preserve">https://sales.crownandchamparesorts.com/wp-content/uploads/2023/11/PremiumAllInclusivePlusPackageKagi110123103124Rev010923.pdf</t>
  </si>
  <si>
    <t xml:space="preserve">ca11a937d8fec78aa2c121ea76a067a53d63030174b7c8bef63dfb2871f290f3</t>
  </si>
  <si>
    <t xml:space="preserve">library/071_kagi-maldives-resort-and-spa/all_inclusive/2023_PremiumAllInclusivePlusPackageKagi110123103124Rev010923.pdf</t>
  </si>
  <si>
    <t xml:space="preserve">2022_PremiumAllInclusivePlusPackageKagi110122103123Ver011122.pdf</t>
  </si>
  <si>
    <t xml:space="preserve">https://sales.crownandchamparesorts.com/wp-content/uploads/2023/08/PremiumAllInclusivePlusPackageKagi110122103123Ver011122.pdf</t>
  </si>
  <si>
    <t xml:space="preserve">cd8f3b2fe26f4a46941a826a102cae77a68a8a65fcdea0fa75553af8a3513a91</t>
  </si>
  <si>
    <t xml:space="preserve">library/071_kagi-maldives-resort-and-spa/all_inclusive/2022_PremiumAllInclusivePlusPackageKagi110122103123Ver011122.pdf</t>
  </si>
  <si>
    <t xml:space="preserve">2023_Heritance-Hotels-Purchasing-and-supplier-Policy-V2-1.pdf</t>
  </si>
  <si>
    <t xml:space="preserve">https://heritancehotels.eme-devops.com/2025/01/Heritance-Hotels-Purchasing-and-supplier-Policy-V2-1.pdf</t>
  </si>
  <si>
    <t xml:space="preserve">https://heritancehotels.eme-devops.com/2025/01/Heritance-Hotels-Purchasing-and-supplier-Policy-V2-1.pdf | https://heritancehotels.eme-devops.com/2025/01/Heritance-Hotels-Purchasing-and-supplier-Policy-V2.pdf</t>
  </si>
  <si>
    <t xml:space="preserve">38607c14b5082002aa6e1de7ef1a7963c3a953e5d6c6cf8e17f6e15aa111adca</t>
  </si>
  <si>
    <t xml:space="preserve">library/071_kagi-maldives-resort-and-spa/sustainability/2023_Heritance-Hotels-Purchasing-and-supplier-Policy-V2-1.pdf</t>
  </si>
  <si>
    <t xml:space="preserve">2018_KagiInteriorDesigns.pdf</t>
  </si>
  <si>
    <t xml:space="preserve">https://sales.crownandchamparesorts.com/wp-content/uploads/2019/02/KagiInteriorDesigns.pdf</t>
  </si>
  <si>
    <t xml:space="preserve">9a3d7cf168bc08e275eb9b7f98f28536dfd26d6d55cf9786423f8d5236a81cc1</t>
  </si>
  <si>
    <t xml:space="preserve">library/071_kagi-maldives-resort-and-spa/other/2018_KagiInteriorDesigns.pdf</t>
  </si>
  <si>
    <t xml:space="preserve">2019_kandolhu-maldives-factsheet.pdf</t>
  </si>
  <si>
    <t xml:space="preserve">https://www.neoscapesmaldives.com/wp-content/uploads/kandolhu-maldives-factsheet.pdf</t>
  </si>
  <si>
    <t xml:space="preserve">70f81f1e5d68a608c7a27601d650e812f9f45bd39a0bd6522f6024cbe5adc6c0</t>
  </si>
  <si>
    <t xml:space="preserve">library/074_kandolhu-island-maldives/factsheet/2019_kandolhu-maldives-factsheet.pdf</t>
  </si>
  <si>
    <t xml:space="preserve">2019_kandolhu-maldives-resort-map-may-2019.pdf</t>
  </si>
  <si>
    <t xml:space="preserve">https://www.neoscapesmaldives.com/wp-content/uploads/kandolhu-maldives-resort-map-may-2019.pdf</t>
  </si>
  <si>
    <t xml:space="preserve">a38176efb363d926d5cf91bb5a52ccf2684d7248d39edb7c87035ea776529641</t>
  </si>
  <si>
    <t xml:space="preserve">library/074_kandolhu-island-maldives/map/2019_kandolhu-maldives-resort-map-may-2019.pdf</t>
  </si>
  <si>
    <t xml:space="preserve">2025_Kandima Maldives Enhanced Facilities Fact Sheet.pdf</t>
  </si>
  <si>
    <t xml:space="preserve">https://d7h9v39iheghu.cloudfront.net/previews/7837a234-9635-4da8-b132-476aacd9b4c1/08d5fb4a-3c75-4f03-9593-362d00c15bcf/e2bbc463-d094-42fa-b480-fd9cdbb53f46?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</si>
  <si>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929bd7fbd26d85374e093279b26e8d4ac8a9d18729c5cff35fdbf0c78b90f95d</t>
  </si>
  <si>
    <t xml:space="preserve">library/075_kandima-maldives/factsheet/2025_Kandima Maldives Enhanced Facilities Fact Sheet.pdf</t>
  </si>
  <si>
    <t xml:space="preserve">2024_Kandima Maldives Factsheet - 2024 _1_.pdf _1_.pdf</t>
  </si>
  <si>
    <t xml:space="preserve">https://d7h9v39iheghu.cloudfront.net/previews/7837a234-9635-4da8-b132-476aacd9b4c1/1fdf46df-b819-4df6-a051-20665328e2ce/1fdf46df-b819-4df6-a051-20665328e2ce?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</si>
  <si>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f8468e70a3f1062cd90b82e6951bfb3916f65122ab65e1866c3f1a3bc6852aeb</t>
  </si>
  <si>
    <t xml:space="preserve">library/075_kandima-maldives/factsheet/2024_Kandima Maldives Factsheet - 2024 _1_.pdf _1_.pdf</t>
  </si>
  <si>
    <t xml:space="preserve">2019_Kandima-Maldives-Resort-Factsheet.pdf</t>
  </si>
  <si>
    <t xml:space="preserve">https://www.neoscapesmaldives.com/wp-content/uploads/Kandima-Maldives-Resort-Factsheet.pdf</t>
  </si>
  <si>
    <t xml:space="preserve">50fda9fb952a318bc060d8dcf5cfa974074dcde7a417bf581c74d325efb57d87</t>
  </si>
  <si>
    <t xml:space="preserve">library/075_kandima-maldives/factsheet/2019_Kandima-Maldives-Resort-Factsheet.pdf</t>
  </si>
  <si>
    <t xml:space="preserve">2024_Kandima destination weddings presentation.pdf</t>
  </si>
  <si>
    <t xml:space="preserve">https://d7h9v39iheghu.cloudfront.net/previews/7837a234-9635-4da8-b132-476aacd9b4c1/31206170-5ea3-465a-a437-631202d5a54d/31206170-5ea3-465a-a437-631202d5a54d?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</si>
  <si>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90e4f30e491446d3b4bc654a30735022f615776068df443e92d83c36b34a30a0</t>
  </si>
  <si>
    <t xml:space="preserve">library/075_kandima-maldives/wedding/2024_Kandima destination weddings presentation.pdf</t>
  </si>
  <si>
    <t xml:space="preserve">2025_K_MAP_Final_2025.pdf</t>
  </si>
  <si>
    <t xml:space="preserve">https://d7h9v39iheghu.cloudfront.net/previews/7837a234-9635-4da8-b132-476aacd9b4c1/dac5aa8a-1fc5-4557-b1fe-7c350a0161e2/ccc5bed4-e045-45a7-91d2-13c6c2e3e3b5?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</si>
  <si>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41ce44a52d67a503b53ac86a4cbf14a7787b708c4f8dcc4c7d8fc1c8f1f49d50</t>
  </si>
  <si>
    <t xml:space="preserve">library/075_kandima-maldives/map/2025_K_MAP_Final_2025.pdf</t>
  </si>
  <si>
    <t xml:space="preserve">2019_Kandima-Maldives-Resort-map.pdf</t>
  </si>
  <si>
    <t xml:space="preserve">https://www.neoscapesmaldives.com/wp-content/uploads/Kandima-Maldives-Resort-map.pdf</t>
  </si>
  <si>
    <t xml:space="preserve">334d629597ed041ea7707cf5349470809a7dbe64386021c484d9e8ad7a33b249</t>
  </si>
  <si>
    <t xml:space="preserve">library/075_kandima-maldives/map/2019_Kandima-Maldives-Resort-map.pdf</t>
  </si>
  <si>
    <t xml:space="preserve">2026_PAI_English 2026.pdf</t>
  </si>
  <si>
    <t xml:space="preserve">https://d7h9v39iheghu.cloudfront.net/previews/7837a234-9635-4da8-b132-476aacd9b4c1/84e465ab-4226-4c7d-b4fd-780347f67f94/84e465ab-4226-4c7d-b4fd-780347f67f94?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</si>
  <si>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4fd1128118eb84bedad06b9afcd82b3acce9cd0201e858706461a8e2f6de4cd9</t>
  </si>
  <si>
    <t xml:space="preserve">library/075_kandima-maldives/dining_menu/2026_PAI_English 2026.pdf</t>
  </si>
  <si>
    <t xml:space="preserve">2026_Kandima Maldives Sales Kit.pdf</t>
  </si>
  <si>
    <t xml:space="preserve">https://d7h9v39iheghu.cloudfront.net/previews/7837a234-9635-4da8-b132-476aacd9b4c1/e8815e61-7ac8-4f7b-88f1-4aad63213494/7ea6dde9-fb4c-4648-91a7-77b325f08809?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</si>
  <si>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384e8bd839b6ab711d2ed00f172f3376833a560d3187fcf5d493b3981ceb6302</t>
  </si>
  <si>
    <t xml:space="preserve">library/075_kandima-maldives/dining_menu/2026_Kandima Maldives Sales Kit.pdf</t>
  </si>
  <si>
    <t xml:space="preserve">2024_Kandima Studios and Villas - Floor Plans 2024.pdf</t>
  </si>
  <si>
    <t xml:space="preserve">https://d7h9v39iheghu.cloudfront.net/previews/7837a234-9635-4da8-b132-476aacd9b4c1/d9281c6f-f671-40da-b757-9212fc48d819/d9281c6f-f671-40da-b757-9212fc48d819?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</si>
  <si>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801926ae15b3ada0dd26a2cc79c470ff10158a89d0218c0f1ae1233d57d13947</t>
  </si>
  <si>
    <t xml:space="preserve">library/075_kandima-maldives/villa_plans/2024_Kandima Studios and Villas - Floor Plans 2024.pdf</t>
  </si>
  <si>
    <t xml:space="preserve">2023_Holoworld_2023_Kandima_Maldives_Festive_Brochure.pdf</t>
  </si>
  <si>
    <t xml:space="preserve">https://letsgomaldives.com/wp-content/uploads/2023/11/Holoworld_2023_Kandima_Maldives_Festive_Brochure.pdf</t>
  </si>
  <si>
    <t xml:space="preserve">cdfeec33774beedbe141c78dfd5c46a8de3047dc27c29a155d1dcb269e929eaa</t>
  </si>
  <si>
    <t xml:space="preserve">library/075_kandima-maldives/calendar/2023_Holoworld_2023_Kandima_Maldives_Festive_Brochure.pdf</t>
  </si>
  <si>
    <t xml:space="preserve">2024_Fast Track - Presentation .pdf</t>
  </si>
  <si>
    <t xml:space="preserve">https://d7h9v39iheghu.cloudfront.net/previews/7837a234-9635-4da8-b132-476aacd9b4c1/6a6f4d3d-e1ff-4ba4-96c4-72551079a05d/6a6f4d3d-e1ff-4ba4-96c4-72551079a05d?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</si>
  <si>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981e7f7ba49b01c1b1c78265dd6315beb5bfda45efed43f926019f62f7dabe1e</t>
  </si>
  <si>
    <t xml:space="preserve">library/075_kandima-maldives/brochure/2024_Fast Track - Presentation .pdf</t>
  </si>
  <si>
    <t xml:space="preserve">2022_C U Soon Guide Revised.pdf</t>
  </si>
  <si>
    <t xml:space="preserve">https://d7h9v39iheghu.cloudfront.net/previews/7837a234-9635-4da8-b132-476aacd9b4c1/9a08e197-332f-4503-9475-e2aec18b6ccb/9a08e197-332f-4503-9475-e2aec18b6ccb?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</si>
  <si>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bc0d174a1712951cb7516a2b2e60e17c857ef39e527f62d448d7ba7e505f2e58</t>
  </si>
  <si>
    <t xml:space="preserve">library/075_kandima-maldives/brochure/2022_C U Soon Guide Revised.pdf</t>
  </si>
  <si>
    <t xml:space="preserve">2017_kandima_logotype-BW copy.pdf</t>
  </si>
  <si>
    <t xml:space="preserve">https://d7h9v39iheghu.cloudfront.net/previews/7837a234-9635-4da8-b132-476aacd9b4c1/460b8dd2-6638-4c85-93b3-790d22a2b9e0/460b8dd2-6638-4c85-93b3-790d22a2b9e0?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</si>
  <si>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ab07f7b70d9d774fca279261a774651544d7869612b9a04dc92c23b1c6a4d1f9</t>
  </si>
  <si>
    <t xml:space="preserve">library/075_kandima-maldives/other/2017_kandima_logotype-BW copy.pdf</t>
  </si>
  <si>
    <t xml:space="preserve">2020_Factsheet-Hideaway-Beach-Maldives-NEO.pdf</t>
  </si>
  <si>
    <t xml:space="preserve">https://www.neoscapesmaldives.com/wp-content/uploads/Factsheet-Hideaway-Beach-Maldives-NEO.pdf</t>
  </si>
  <si>
    <t xml:space="preserve">38e5077d60a8cf65c22b98ccb07a76a550efd029d799f31d8b3ee40ca757fd9f</t>
  </si>
  <si>
    <t xml:space="preserve">library/076_hideaway-beach-resort-and-spa-at-dhonakulhi-island/factsheet/2020_Factsheet-Hideaway-Beach-Maldives-NEO.pdf</t>
  </si>
  <si>
    <t xml:space="preserve">2018_Resort-Map-Hideaway-Beach-Maldives.pdf</t>
  </si>
  <si>
    <t xml:space="preserve">https://www.neoscapesmaldives.com/wp-content/uploads/Resort-Map-Hideaway-Beach-Maldives.pdf</t>
  </si>
  <si>
    <t xml:space="preserve">b9bdbbce4defe7fa506e05d0e2aa4e0b1c885f3ef898227db13a6f75c2bc0430</t>
  </si>
  <si>
    <t xml:space="preserve">library/076_hideaway-beach-resort-and-spa-at-dhonakulhi-island/map/2018_Resort-Map-Hideaway-Beach-Maldives.pdf</t>
  </si>
  <si>
    <t xml:space="preserve">2019_ATMOSPHERE-KANIFUSHI-MALDIVES-ISLAND-MAP-DEC2019.pdf</t>
  </si>
  <si>
    <t xml:space="preserve">https://www.neoscapesmaldives.com/wp-content/uploads/ATMOSPHERE-KANIFUSHI-MALDIVES-ISLAND-MAP-DEC2019.pdf</t>
  </si>
  <si>
    <t xml:space="preserve">f0f9875169f4793ba0810c0f041f3255f852d132536a2a4efb1dd0834714b0cd</t>
  </si>
  <si>
    <t xml:space="preserve">library/077_atmosphere-kanifushi-maldives/map/2019_ATMOSPHERE-KANIFUSHI-MALDIVES-ISLAND-MAP-DEC2019.pdf</t>
  </si>
  <si>
    <t xml:space="preserve">2024_Festive_Calendar_2023_2024_Atmosphere-Kanifushi_Maldives.pdf</t>
  </si>
  <si>
    <t xml:space="preserve">https://letsgomaldives.com/wp-content/uploads/2023/11/Festive_Calendar_2023_2024_Atmosphere-Kanifushi_Maldives.pdf</t>
  </si>
  <si>
    <t xml:space="preserve">dc679d1ef0af4c7743326c02a0b8302e41579031341625e4c3cc9c06c502df6a</t>
  </si>
  <si>
    <t xml:space="preserve">library/077_atmosphere-kanifushi-maldives/calendar/2024_Festive_Calendar_2023_2024_Atmosphere-Kanifushi_Maldives.pdf</t>
  </si>
  <si>
    <t xml:space="preserve">2025_AKM-Resort-Brochure-MAR-2025-1.pdf</t>
  </si>
  <si>
    <t xml:space="preserve">https://www.neoscapesmaldives.com/wp-content/uploads/AKM-Resort-Brochure-MAR-2025-1.pdf</t>
  </si>
  <si>
    <t xml:space="preserve">e6726b206e1ffe4d47155a59840d481aafb1cfe8ad10957a13a2b728d9b1c310</t>
  </si>
  <si>
    <t xml:space="preserve">library/077_atmosphere-kanifushi-maldives/brochure/2025_AKM-Resort-Brochure-MAR-2025-1.pdf</t>
  </si>
  <si>
    <t xml:space="preserve">2025_FactSheetMeeru110125103126Ver01022025-1.pdf</t>
  </si>
  <si>
    <t xml:space="preserve">https://sales.crownandchamparesorts.com/wp-content/uploads/2025/12/FactSheetMeeru110125103126Ver01022025-1.pdf</t>
  </si>
  <si>
    <t xml:space="preserve">30eb914028693086535fcce2c813320287d595fb4296615b162c8542ad2f78e2</t>
  </si>
  <si>
    <t xml:space="preserve">library/078_meeru-maldives-resort-island/factsheet/2025_FactSheetMeeru110125103126Ver01022025-1.pdf</t>
  </si>
  <si>
    <t xml:space="preserve">2025_FactSheetMeeru110125103126Ver01022025.pdf</t>
  </si>
  <si>
    <t xml:space="preserve">https://sales.crownandchamparesorts.com/wp-content/uploads/2025/12/FactSheetMeeru110125103126Ver01022025.pdf</t>
  </si>
  <si>
    <t xml:space="preserve">c823c98f31c880d7fd21016d5177d4dbea55817256e54becff49b9e9a2d25fac</t>
  </si>
  <si>
    <t xml:space="preserve">library/078_meeru-maldives-resort-island/factsheet/2025_FactSheetMeeru110125103126Ver01022025.pdf</t>
  </si>
  <si>
    <t xml:space="preserve">2022_FactSheetMeeru110122103123Rev090623.pdf</t>
  </si>
  <si>
    <t xml:space="preserve">https://sales.crownandchamparesorts.com/wp-content/uploads/2023/09/FactSheetMeeru110122103123Rev090623.pdf</t>
  </si>
  <si>
    <t xml:space="preserve">6cf3f39dc3a04cce040cdd1f410d17396e19a329fd0598c0525777f0d6798ecf</t>
  </si>
  <si>
    <t xml:space="preserve">library/078_meeru-maldives-resort-island/factsheet/2022_FactSheetMeeru110122103123Rev090623.pdf</t>
  </si>
  <si>
    <t xml:space="preserve">2019_FactSheetMeeru110119103120Rev051219.pdf</t>
  </si>
  <si>
    <t xml:space="preserve">https://sales.crownandchamparesorts.com/wp-content/uploads/2018/11/FactSheetMeeru110119103120Rev051219.pdf</t>
  </si>
  <si>
    <t xml:space="preserve">326843bf2f69b1768f49f676f68811613d012ec58c621080cbd904d4d06eb432</t>
  </si>
  <si>
    <t xml:space="preserve">library/078_meeru-maldives-resort-island/factsheet/2019_FactSheetMeeru110119103120Rev051219.pdf</t>
  </si>
  <si>
    <t xml:space="preserve">2018_FactSheetMeeru110118103119Rev040318.pdf</t>
  </si>
  <si>
    <t xml:space="preserve">2018-11-01</t>
  </si>
  <si>
    <t xml:space="preserve">https://sales.crownandchamparesorts.com/wp-content/uploads/2018/04/FactSheetMeeru110118103119Rev040318.pdf</t>
  </si>
  <si>
    <t xml:space="preserve">6641f27067c77a901f64814063834f99c71a9deead31d7623c0a62bf06a7fdda</t>
  </si>
  <si>
    <t xml:space="preserve">library/078_meeru-maldives-resort-island/factsheet/2018_FactSheetMeeru110118103119Rev040318.pdf</t>
  </si>
  <si>
    <t xml:space="preserve">2018_FactSheetCCH050118103118Rev033118.pdf</t>
  </si>
  <si>
    <t xml:space="preserve">2018-05-01</t>
  </si>
  <si>
    <t xml:space="preserve">2018-10-31</t>
  </si>
  <si>
    <t xml:space="preserve">https://sales.crownandchamparesorts.com/wp-content/uploads/2018/04/FactSheetCCH050118103118Rev033118.pdf</t>
  </si>
  <si>
    <t xml:space="preserve">c83f5aacc539df0d865709c9fd0e622fb2d50a3f8ea7ad6e21ba179e17b3f679</t>
  </si>
  <si>
    <t xml:space="preserve">library/078_meeru-maldives-resort-island/factsheet/2018_FactSheetCCH050118103118Rev033118.pdf</t>
  </si>
  <si>
    <t xml:space="preserve">2025_MeeruMaldivesColorMap110125103126Ver200425.pdf</t>
  </si>
  <si>
    <t xml:space="preserve">https://sales.crownandchamparesorts.com/wp-content/uploads/2025/08/MeeruMaldivesColorMap110125103126Ver200425.pdf</t>
  </si>
  <si>
    <t xml:space="preserve">9edae79491dd0ed15315b18f953b45798ce78b04354cf8e7abecffaa3b86eb9c</t>
  </si>
  <si>
    <t xml:space="preserve">library/078_meeru-maldives-resort-island/map/2025_MeeruMaldivesColorMap110125103126Ver200425.pdf</t>
  </si>
  <si>
    <t xml:space="preserve">2018_MapMeeru022218ColorEnglish.pdf</t>
  </si>
  <si>
    <t xml:space="preserve">https://sales.crownandchamparesorts.com/wp-content/uploads/2018/11/MapMeeru022218ColorEnglish.pdf</t>
  </si>
  <si>
    <t xml:space="preserve">e2c6ea490dccd459ba72ffec15fdab79632ee8dd7aef34ab5bb95dfc6d4ed277</t>
  </si>
  <si>
    <t xml:space="preserve">library/078_meeru-maldives-resort-island/map/2018_MapMeeru022218ColorEnglish.pdf</t>
  </si>
  <si>
    <t xml:space="preserve">obsolete</t>
  </si>
  <si>
    <t xml:space="preserve">2020_EURO-DIVERS-Covid-19-Precaution-and-Hygiene-Measures-071720-Meeru-and-Vilamendhoo.pdf</t>
  </si>
  <si>
    <t xml:space="preserve">https://sales.crownandchamparesorts.com/wp-content/uploads/2020/07/EURO-DIVERS-Covid-19-Precaution-and-Hygiene-Measures-071720-Meeru-and-Vilamendhoo.pdf</t>
  </si>
  <si>
    <t xml:space="preserve">3a51688ae4b24bb8b96d8a5e3fca5659bd4a3f5bef311f3727fab71e85723ca7</t>
  </si>
  <si>
    <t xml:space="preserve">library/078_meeru-maldives-resort-island/obsolete/2020_EURO-DIVERS-Covid-19-Precaution-and-Hygiene-Measures-071720-Meeru-and-Vilamendhoo.pdf</t>
  </si>
  <si>
    <t xml:space="preserve">2025_KomandooFactsheet110125103126Ver170824.pdf</t>
  </si>
  <si>
    <t xml:space="preserve">https://sales.crownandchamparesorts.com/wp-content/uploads/2025/12/KomandooFactsheet110125103126Ver170824.pdf</t>
  </si>
  <si>
    <t xml:space="preserve">c252eb24066c25e6035549933c8f27924c3d945de75a6c0a2081d187bfab0c97</t>
  </si>
  <si>
    <t xml:space="preserve">library/079_komandoo-island-resort/factsheet/2025_KomandooFactsheet110125103126Ver170824.pdf</t>
  </si>
  <si>
    <t xml:space="preserve">2021_FactSheetKomandoo110121103122Ver110121.pdf</t>
  </si>
  <si>
    <t xml:space="preserve">https://sales.crownandchamparesorts.com/wp-content/uploads/2023/08/FactSheetKomandoo110121103122Ver110121.pdf</t>
  </si>
  <si>
    <t xml:space="preserve">3ecab9f90259b84182da4f65675219c1faab96afe1b5c4114200b828c7dc1e36</t>
  </si>
  <si>
    <t xml:space="preserve">library/079_komandoo-island-resort/factsheet/2021_FactSheetKomandoo110121103122Ver110121.pdf</t>
  </si>
  <si>
    <t xml:space="preserve">2019_FactSheetKomandoo110119103120Rev010720.pdf</t>
  </si>
  <si>
    <t xml:space="preserve">https://sales.crownandchamparesorts.com/wp-content/uploads/2018/10/FactSheetKomandoo110119103120Rev010720.pdf</t>
  </si>
  <si>
    <t xml:space="preserve">178b11695641be942cc4c4a0bd17585722dfce343ce12c6f7b809af36c8211bb</t>
  </si>
  <si>
    <t xml:space="preserve">library/079_komandoo-island-resort/factsheet/2019_FactSheetKomandoo110119103120Rev010720.pdf</t>
  </si>
  <si>
    <t xml:space="preserve">2018_FactSheetKomandoo110118103119Rev011718.pdf</t>
  </si>
  <si>
    <t xml:space="preserve">https://sales.crownandchamparesorts.com/wp-content/uploads/2018/04/FactSheetKomandoo110118103119Rev011718.pdf</t>
  </si>
  <si>
    <t xml:space="preserve">ca37561b5d6c2eaf580d37cca41f0be043707809fa77b653001e175b2bf18d66</t>
  </si>
  <si>
    <t xml:space="preserve">library/079_komandoo-island-resort/factsheet/2018_FactSheetKomandoo110118103119Rev011718.pdf</t>
  </si>
  <si>
    <t xml:space="preserve">2025_KomandooMap110125103126Ver042024.pdf</t>
  </si>
  <si>
    <t xml:space="preserve">https://sales.crownandchamparesorts.com/wp-content/uploads/2025/12/KomandooMap110125103126Ver042024.pdf</t>
  </si>
  <si>
    <t xml:space="preserve">410bb96af26fc302914f2ce40b24c0b079e750a3a9186eabd40a851370fe6824</t>
  </si>
  <si>
    <t xml:space="preserve">library/079_komandoo-island-resort/map/2025_KomandooMap110125103126Ver042024.pdf</t>
  </si>
  <si>
    <t xml:space="preserve">2019_MapKomandooColorEnglish061719.pdf</t>
  </si>
  <si>
    <t xml:space="preserve">https://sales.crownandchamparesorts.com/wp-content/uploads/2020/01/MapKomandooColorEnglish061719.pdf</t>
  </si>
  <si>
    <t xml:space="preserve">5a309d7ddc1f54956d89ecbfbf9158f0d3cc9606f37c842e1449a9bf609bf885</t>
  </si>
  <si>
    <t xml:space="preserve">library/079_komandoo-island-resort/map/2019_MapKomandooColorEnglish061719.pdf</t>
  </si>
  <si>
    <t xml:space="preserve">2025_KomandooAll-InclusivePlus110125103126Ver081724.pdf</t>
  </si>
  <si>
    <t xml:space="preserve">https://sales.crownandchamparesorts.com/wp-content/uploads/2025/12/KomandooAll-InclusivePlus110125103126Ver081724.pdf</t>
  </si>
  <si>
    <t xml:space="preserve">977cf092d53ab4432def97c7e661b3030cebc1041b2619d2f03eac69d2f8ab79</t>
  </si>
  <si>
    <t xml:space="preserve">library/079_komandoo-island-resort/all_inclusive/2025_KomandooAll-InclusivePlus110125103126Ver081724.pdf</t>
  </si>
  <si>
    <t xml:space="preserve">2025_RAAYA-by-Atmosphere-Island-Map-MAR-2025-Portrait.pdf</t>
  </si>
  <si>
    <t xml:space="preserve">https://www.neoscapesmaldives.com/wp-content/uploads/RAAYA-by-Atmosphere-Island-Map-MAR-2025-Portrait.pdf</t>
  </si>
  <si>
    <t xml:space="preserve">42ec8c0b59426409d5a91899eff17ac731a9b68da14469dd7b42d2103c360029</t>
  </si>
  <si>
    <t xml:space="preserve">library/080_raaya-by-atmosphere/map/2025_RAAYA-by-Atmosphere-Island-Map-MAR-2025-Portrait.pdf</t>
  </si>
  <si>
    <t xml:space="preserve">2025_RAAYA-by-Atmosphere-Brochure-APR-2025.pdf</t>
  </si>
  <si>
    <t xml:space="preserve">https://www.neoscapesmaldives.com/wp-content/uploads/RAAYA-by-Atmosphere-Brochure-APR-2025.pdf</t>
  </si>
  <si>
    <t xml:space="preserve">f027b9e8d346c035a7dd44877d0107d3c262daa3f93078bd685428ab0176811f</t>
  </si>
  <si>
    <t xml:space="preserve">library/080_raaya-by-atmosphere/brochure/2025_RAAYA-by-Atmosphere-Brochure-APR-2025.pdf</t>
  </si>
  <si>
    <t xml:space="preserve">2025_KureduFactsheet110125103126Rev301025.pdf</t>
  </si>
  <si>
    <t xml:space="preserve">https://sales.crownandchamparesorts.com/wp-content/uploads/2025/12/KureduFactsheet110125103126Rev301025.pdf</t>
  </si>
  <si>
    <t xml:space="preserve">ddf9264a8554119b252bcf2cafb129bb353a6ae186f9071d3fc49113670a57af</t>
  </si>
  <si>
    <t xml:space="preserve">library/081_kuredu-island-resort/factsheet/2025_KureduFactsheet110125103126Rev301025.pdf</t>
  </si>
  <si>
    <t xml:space="preserve">2021_FactSheetKuredu110121103122Rev010122.pdf</t>
  </si>
  <si>
    <t xml:space="preserve">https://sales.crownandchamparesorts.com/wp-content/uploads/2023/08/FactSheetKuredu110121103122Rev010122.pdf</t>
  </si>
  <si>
    <t xml:space="preserve">a0f13b52b0e36331958715b2bdf65675518c8e989f2796dd42f2746c668dac85</t>
  </si>
  <si>
    <t xml:space="preserve">library/081_kuredu-island-resort/factsheet/2021_FactSheetKuredu110121103122Rev010122.pdf</t>
  </si>
  <si>
    <t xml:space="preserve">2020_FactSheetKuredu110120103121Ver091720.pdf</t>
  </si>
  <si>
    <t xml:space="preserve">https://sales.crownandchamparesorts.com/wp-content/uploads/2018/10/FactSheetKuredu110120103121Ver091720.pdf</t>
  </si>
  <si>
    <t xml:space="preserve">861f87402265b9e7da0302001dabb24246a3fb813cede751b8499fadcd8b960e</t>
  </si>
  <si>
    <t xml:space="preserve">library/081_kuredu-island-resort/factsheet/2020_FactSheetKuredu110120103121Ver091720.pdf</t>
  </si>
  <si>
    <t xml:space="preserve">2025_Kuredu_IslandMapVer301025.pdf</t>
  </si>
  <si>
    <t xml:space="preserve">https://sales.crownandchamparesorts.com/wp-content/uploads/2025/12/Kuredu_IslandMapVer301025.pdf</t>
  </si>
  <si>
    <t xml:space="preserve">9417934d7cd6f4050aecbd6d9669b91451e011384a61062ad3433efae7210e38</t>
  </si>
  <si>
    <t xml:space="preserve">library/081_kuredu-island-resort/map/2025_Kuredu_IslandMapVer301025.pdf</t>
  </si>
  <si>
    <t xml:space="preserve">2018_MapKuredu070318ColorEnglish.pdf</t>
  </si>
  <si>
    <t xml:space="preserve">https://sales.crownandchamparesorts.com/wp-content/uploads/2018/10/MapKuredu070318ColorEnglish.pdf</t>
  </si>
  <si>
    <t xml:space="preserve">4c19a94ccc4e04d60dc20c00df6c254c4779e3f580b98d9dd52d7f4790d252d9</t>
  </si>
  <si>
    <t xml:space="preserve">library/081_kuredu-island-resort/map/2018_MapKuredu070318ColorEnglish.pdf</t>
  </si>
  <si>
    <t xml:space="preserve">2017_MapKuredu120617ColorEnglish.pdf</t>
  </si>
  <si>
    <t xml:space="preserve">https://sales.crownandchamparesorts.com/wp-content/uploads/2018/04/MapKuredu120617ColorEnglish.pdf</t>
  </si>
  <si>
    <t xml:space="preserve">5c96108643fb179fae9f4e3321be70debea473bd7517fbf1cacb1ddd402fd4a1</t>
  </si>
  <si>
    <t xml:space="preserve">library/081_kuredu-island-resort/map/2017_MapKuredu120617ColorEnglish.pdf</t>
  </si>
  <si>
    <t xml:space="preserve">2020_General-ProDivers-operation-guidelines-071720KURKOMHURKUDINN.pdf</t>
  </si>
  <si>
    <t xml:space="preserve">https://sales.crownandchamparesorts.com/wp-content/uploads/2020/07/General-ProDivers-operation-guidelines-071720KURKOMHURKUDINN.pdf</t>
  </si>
  <si>
    <t xml:space="preserve">71fdb2ecc01246c303436cbc79372100f51d34f876f86a5a661efdff1016081e</t>
  </si>
  <si>
    <t xml:space="preserve">library/081_kuredu-island-resort/dive_prices/2020_General-ProDivers-operation-guidelines-071720KURKOMHURKUDINN.pdf</t>
  </si>
  <si>
    <t xml:space="preserve">2023_IFURU-ISLAND-MALDIVES-Fact-Sheet.pdf</t>
  </si>
  <si>
    <t xml:space="preserve">https://www.neoscapesmaldives.com/wp-content/uploads/IFURU-ISLAND-MALDIVES-Fact-Sheet.pdf</t>
  </si>
  <si>
    <t xml:space="preserve">71d64a9924ddbe1235de7c1dcab68a809eabe6e8cb8514a4c234900b70221b24</t>
  </si>
  <si>
    <t xml:space="preserve">library/082_ifuru-island-maldives/factsheet/2023_IFURU-ISLAND-MALDIVES-Fact-Sheet.pdf</t>
  </si>
  <si>
    <t xml:space="preserve">2024_Ifuru_Island_Resort_Island_Map.pdf</t>
  </si>
  <si>
    <t xml:space="preserve">https://www.neoscapesmaldives.com/wp-content/uploads/Ifuru_Island_Resort_Island_Map.pdf</t>
  </si>
  <si>
    <t xml:space="preserve">7e3319d172fd1f90c7af23cfc81403777dfebeb9e765b669bdba19cd9c4218e8</t>
  </si>
  <si>
    <t xml:space="preserve">library/082_ifuru-island-maldives/map/2024_Ifuru_Island_Resort_Island_Map.pdf</t>
  </si>
  <si>
    <t xml:space="preserve">2025_Centara-Mirage-Lagoon-Factsheet-October-2025.pdf</t>
  </si>
  <si>
    <t xml:space="preserve">https://www.neoscapesmaldives.com/wp-content/uploads/Centara-Mirage-Lagoon-Factsheet-October-2025.pdf</t>
  </si>
  <si>
    <t xml:space="preserve">6a3cdfbc08a22fc696211ad40a62f6961ccda38380a935d7cd26f4deb4349f8c</t>
  </si>
  <si>
    <t xml:space="preserve">library/085_centara-mirage-lagoon-maldives-centara-grand-lagoo/factsheet/2025_Centara-Mirage-Lagoon-Factsheet-October-2025.pdf</t>
  </si>
  <si>
    <t xml:space="preserve">2024_CGLM-Factsheet.pdf</t>
  </si>
  <si>
    <t xml:space="preserve">https://www.neoscapesmaldives.com/wp-content/uploads/CGLM-Factsheet.pdf</t>
  </si>
  <si>
    <t xml:space="preserve">b8f27aec747504948b35a66d571b099ad9ace3ae633e3dddf6a79ba6f85e40ce</t>
  </si>
  <si>
    <t xml:space="preserve">library/085_centara-mirage-lagoon-maldives-centara-grand-lagoo/factsheet/2024_CGLM-Factsheet.pdf</t>
  </si>
  <si>
    <t xml:space="preserve">2025_Centara-Grand-Lagoon-Maldives-Resort-Map_09.10.25.pdf</t>
  </si>
  <si>
    <t xml:space="preserve">https://www.neoscapesmaldives.com/wp-content/uploads/Centara-Grand-Lagoon-Maldives-Resort-Map_09.10.25.pdf</t>
  </si>
  <si>
    <t xml:space="preserve">cffd97348d603fcd44dee7ca20a366dabbee67e12fc958a6ebbe03a5868a39f2</t>
  </si>
  <si>
    <t xml:space="preserve">library/085_centara-mirage-lagoon-maldives-centara-grand-lagoo/map/2025_Centara-Grand-Lagoon-Maldives-Resort-Map_09.10.25.pdf</t>
  </si>
  <si>
    <t xml:space="preserve">2025_Centara-Mirage-Lagoon-Maldives-Resort-Map-2025.pdf</t>
  </si>
  <si>
    <t xml:space="preserve">https://www.neoscapesmaldives.com/wp-content/uploads/Centara-Mirage-Lagoon-Maldives-Resort-Map-2025.pdf</t>
  </si>
  <si>
    <t xml:space="preserve">5ea1ebb802c23bc1d407e3f32e3e0ffd007a9c059c7353f4a08bbe8e3c2e4a10</t>
  </si>
  <si>
    <t xml:space="preserve">library/085_centara-mirage-lagoon-maldives-centara-grand-lagoo/map/2025_Centara-Mirage-Lagoon-Maldives-Resort-Map-2025.pdf</t>
  </si>
  <si>
    <t xml:space="preserve">2023_Landaa-Giraavaru-Resort-Map.pdf</t>
  </si>
  <si>
    <t xml:space="preserve">https://www.neoscapesmaldives.com/wp-content/uploads/Landaa-Giraavaru-Resort-Map.pdf</t>
  </si>
  <si>
    <t xml:space="preserve">35c6d9c544bbb87799071a78826db8e7a33e9390447e7c8827da931cbea861e0</t>
  </si>
  <si>
    <t xml:space="preserve">library/087_four-seasons-resort-maldives-at-landaa-giraavaru/map/2023_Landaa-Giraavaru-Resort-Map.pdf</t>
  </si>
  <si>
    <t xml:space="preserve">2025_Amilla-Sustainability-Policy.pdf</t>
  </si>
  <si>
    <t xml:space="preserve">https://amilla.com/wp-content/uploads/Amilla-Sustainability-Policy.pdf</t>
  </si>
  <si>
    <t xml:space="preserve">6336ec3c575d2d2a6ebb058b30f1a5661f107db6f79b3e48a743b7fa3644319e</t>
  </si>
  <si>
    <t xml:space="preserve">library/087_four-seasons-resort-maldives-at-landaa-giraavaru/sustainability/2025_Amilla-Sustainability-Policy.pdf</t>
  </si>
  <si>
    <t xml:space="preserve">2024_Amilla-Maldives-Sustainability-Policy.pdf</t>
  </si>
  <si>
    <t xml:space="preserve">https://amilla.com/wp-content/uploads/Amilla-Maldives-Sustainability-Policy.pdf</t>
  </si>
  <si>
    <t xml:space="preserve">746fa1c0dcae1f6cbfdcf8eaa61d98b5404a5c01caa7f7f837d88399ab307186</t>
  </si>
  <si>
    <t xml:space="preserve">library/087_four-seasons-resort-maldives-at-landaa-giraavaru/sustainability/2024_Amilla-Maldives-Sustainability-Policy.pdf</t>
  </si>
  <si>
    <t xml:space="preserve">2023_Four-Seasons-Resorts-Maldives-Press-Kit..pdf</t>
  </si>
  <si>
    <t xml:space="preserve">https://www.neoscapesmaldives.com/wp-content/uploads/Four-Seasons-Resorts-Maldives-Press-Kit..pdf</t>
  </si>
  <si>
    <t xml:space="preserve">a3f52a5cc3100d23bfc2b233a17f510458bbda6afabcfa2a4f7a57000ae124d9</t>
  </si>
  <si>
    <t xml:space="preserve">library/087_four-seasons-resort-maldives-at-landaa-giraavaru/press_kit/2023_Four-Seasons-Resorts-Maldives-Press-Kit..pdf</t>
  </si>
  <si>
    <t xml:space="preserve">2020_InterContinental-Maldives-Maamunagau-Resort-Factsheet-NEO.pdf</t>
  </si>
  <si>
    <t xml:space="preserve">https://www.neoscapesmaldives.com/wp-content/uploads/InterContinental-Maldives-Maamunagau-Resort-Factsheet-NEO.pdf</t>
  </si>
  <si>
    <t xml:space="preserve">e1c6f4b7b4335fb7f2794c49930372c724884896f5934fe2cc32f4c697485966</t>
  </si>
  <si>
    <t xml:space="preserve">library/089_inter-continental-maldives-maamunagau/factsheet/2020_InterContinental-Maldives-Maamunagau-Resort-Factsheet-NEO.pdf</t>
  </si>
  <si>
    <t xml:space="preserve">2018_Factsheet_2018_NEW.pdf</t>
  </si>
  <si>
    <t xml:space="preserve">https://www.neoscapesmaldives.com/wp-content/uploads/Factsheet_2018_NEW.pdf</t>
  </si>
  <si>
    <t xml:space="preserve">464cf761fd32f4742d79b158dee6fffb19204b97eea30851563854164bc66159</t>
  </si>
  <si>
    <t xml:space="preserve">library/090_six-senses-kanuhura/factsheet/2018_Factsheet_2018_NEW.pdf</t>
  </si>
  <si>
    <t xml:space="preserve">2026_Six-Senses-Kanuhura.pdf</t>
  </si>
  <si>
    <t xml:space="preserve">https://awesomegetawaymaldives.com/wp-content/uploads/2026/03/Six-Senses-Kanuhura.pdf</t>
  </si>
  <si>
    <t xml:space="preserve">https://awesomegetawaymaldives.com/wp-content/uploads/2026/03/Six-Senses-Kanuhura.pdf | https://awesomegetawaymaldives.com/wp-content/uploads/2026/03/Six-Senses-Kanuhura-Factsheet.pdf</t>
  </si>
  <si>
    <t xml:space="preserve">812179f478d134d93ed0a98031488e3bb4cbbe9d91f7e003ed50fa9df7f3e333</t>
  </si>
  <si>
    <t xml:space="preserve">library/090_six-senses-kanuhura/villa_plans/2026_Six-Senses-Kanuhura.pdf</t>
  </si>
  <si>
    <t xml:space="preserve">2020_LilyBeach-Factsheet-Resort-NEO.pdf</t>
  </si>
  <si>
    <t xml:space="preserve">https://www.neoscapesmaldives.com/wp-content/uploads/LilyBeach-Factsheet-Resort-NEO.pdf</t>
  </si>
  <si>
    <t xml:space="preserve">01ab97c5627beba4cf46a210fe56f535c07908c1e29e9632e174a1b195e43a43</t>
  </si>
  <si>
    <t xml:space="preserve">library/091_lily-beach-resort/factsheet/2020_LilyBeach-Factsheet-Resort-NEO.pdf</t>
  </si>
  <si>
    <t xml:space="preserve">2020_LilyBeach-Resort-Map.pdf</t>
  </si>
  <si>
    <t xml:space="preserve">https://www.neoscapesmaldives.com/wp-content/uploads/LilyBeach-Resort-Map.pdf</t>
  </si>
  <si>
    <t xml:space="preserve">d61bed104b44f2f9c7aa42736a026279023dc33776e151960024c52277bbf934</t>
  </si>
  <si>
    <t xml:space="preserve">library/091_lily-beach-resort/map/2020_LilyBeach-Resort-Map.pdf</t>
  </si>
  <si>
    <t xml:space="preserve">2024_NH-Maldives-Kuda-Rah-Fact-Sheet.pdf</t>
  </si>
  <si>
    <t xml:space="preserve">https://www.neoscapesmaldives.com/wp-content/uploads/NH-Maldives-Kuda-Rah-Fact-Sheet.pdf</t>
  </si>
  <si>
    <t xml:space="preserve">e92ab16ceeb876893b8905db269d20f6592491f0130ef8cfc5cc625fe576a534</t>
  </si>
  <si>
    <t xml:space="preserve">library/092_amaya-kuda-rah-maldives/factsheet/2024_NH-Maldives-Kuda-Rah-Fact-Sheet.pdf</t>
  </si>
  <si>
    <t xml:space="preserve">2024_Pages-from-NH-Maldives-Kuda-Rah-map.pdf</t>
  </si>
  <si>
    <t xml:space="preserve">https://www.neoscapesmaldives.com/wp-content/uploads/Pages-from-NH-Maldives-Kuda-Rah-map.pdf</t>
  </si>
  <si>
    <t xml:space="preserve">e4a85342a070f9514db82042d6144159047b292d99b3ef4c504a219c04e6bad9</t>
  </si>
  <si>
    <t xml:space="preserve">library/092_amaya-kuda-rah-maldives/map/2024_Pages-from-NH-Maldives-Kuda-Rah-map.pdf</t>
  </si>
  <si>
    <t xml:space="preserve">2017_Malahini-Kuda-Bandos-E-factsheet_2017.pdf</t>
  </si>
  <si>
    <t xml:space="preserve">https://www.neoscapesmaldives.com/wp-content/uploads/Malahini-Kuda-Bandos-E-factsheet_2017.pdf</t>
  </si>
  <si>
    <t xml:space="preserve">440ea169e2f4d214d00dab89b6fb49e21ed60e3c163dead36260de5aaf432e8d</t>
  </si>
  <si>
    <t xml:space="preserve">library/095_malahini-kuda-bandos/factsheet/2017_Malahini-Kuda-Bandos-E-factsheet_2017.pdf</t>
  </si>
  <si>
    <t xml:space="preserve">2020_Malahini-Kuda-Bandos-Map.pdf</t>
  </si>
  <si>
    <t xml:space="preserve">https://www.neoscapesmaldives.com/wp-content/uploads/Malahini-Kuda-Bandos-Map.pdf</t>
  </si>
  <si>
    <t xml:space="preserve">8a9df1522250448ea91329bbe2dabc82e7343ceb433e67224f82a2671ec4e86f</t>
  </si>
  <si>
    <t xml:space="preserve">library/095_malahini-kuda-bandos/map/2020_Malahini-Kuda-Bandos-Map.pdf</t>
  </si>
  <si>
    <t xml:space="preserve">2025_DHMVIH-Fact-Sheet.pdf</t>
  </si>
  <si>
    <t xml:space="preserve">https://www.neoscapesmaldives.com/wp-content/uploads/DHMVIH-Fact-Sheet.pdf</t>
  </si>
  <si>
    <t xml:space="preserve">3a11a440fecceb2deadfac364216859e13527e858f6c42050ddbb72521edb849</t>
  </si>
  <si>
    <t xml:space="preserve">library/096_dhawa-ihuru/factsheet/2025_DHMVIH-Fact-Sheet.pdf</t>
  </si>
  <si>
    <t xml:space="preserve">2023_Fact-Sheet-Angsana-Velavaru.pdf</t>
  </si>
  <si>
    <t xml:space="preserve">https://www.neoscapesmaldives.com/wp-content/uploads/Fact-Sheet-Angsana-Velavaru.pdf</t>
  </si>
  <si>
    <t xml:space="preserve">d01d7d4d3b1ae39bdea196fd3a88d6f37f7591122e0e24d954bcd1ec436937dc</t>
  </si>
  <si>
    <t xml:space="preserve">library/097_angsana-resort-spa-maldives-velavaru/factsheet/2023_Fact-Sheet-Angsana-Velavaru.pdf</t>
  </si>
  <si>
    <t xml:space="preserve">2021_Villa-Categories-Update_08-04-2021_Angsana-Velavaru.pdf</t>
  </si>
  <si>
    <t xml:space="preserve">https://www.neoscapesmaldives.com/wp-content/uploads/Villa-Categories-Update_08-04-2021_Angsana-Velavaru.pdf</t>
  </si>
  <si>
    <t xml:space="preserve">09c2975965d55719b667d06acd377adf9cbae58770212932e53df89d9bcb0940</t>
  </si>
  <si>
    <t xml:space="preserve">library/097_angsana-resort-spa-maldives-velavaru/villa_plans/2021_Villa-Categories-Update_08-04-2021_Angsana-Velavaru.pdf</t>
  </si>
  <si>
    <t xml:space="preserve">2020_islandmap-velavaru.pdf</t>
  </si>
  <si>
    <t xml:space="preserve">https://www.neoscapesmaldives.com/wp-content/uploads/islandmap-velavaru.pdf</t>
  </si>
  <si>
    <t xml:space="preserve">0d83026592c5819caa7da30db8256ea967b26a4ed125be4aa4ae485b52a75063</t>
  </si>
  <si>
    <t xml:space="preserve">library/097_angsana-resort-spa-maldives-velavaru/other/2020_islandmap-velavaru.pdf</t>
  </si>
  <si>
    <t xml:space="preserve">2025_CMRI-Villa-Factsheet.pdf</t>
  </si>
  <si>
    <t xml:space="preserve">https://www.neoscapesmaldives.com/wp-content/uploads/CMRI-Villa-Factsheet.pdf</t>
  </si>
  <si>
    <t xml:space="preserve">d70860c1c698b2d87a9ef21544ca28778dd937b4abc511f529dbb2bf951cc85c</t>
  </si>
  <si>
    <t xml:space="preserve">library/099_conrad-maldives-rangali-island/factsheet/2025_CMRI-Villa-Factsheet.pdf</t>
  </si>
  <si>
    <t xml:space="preserve">2024_CMRI_Resort-FactSheet_082024.pdf</t>
  </si>
  <si>
    <t xml:space="preserve">https://www.neoscapesmaldives.com/wp-content/uploads/CMRI_Resort-FactSheet_082024.pdf</t>
  </si>
  <si>
    <t xml:space="preserve">797a902ce8a5201abd0741a38707b557b4414a1d2a5258aab1455a799ac2ba2b</t>
  </si>
  <si>
    <t xml:space="preserve">library/099_conrad-maldives-rangali-island/factsheet/2024_CMRI_Resort-FactSheet_082024.pdf</t>
  </si>
  <si>
    <t xml:space="preserve">2020_CONRAD-MALDIVES-RANGALI-MAP.pdf</t>
  </si>
  <si>
    <t xml:space="preserve">https://www.neoscapesmaldives.com/wp-content/uploads/CONRAD-MALDIVES-RANGALI-MAP.pdf</t>
  </si>
  <si>
    <t xml:space="preserve">b24bc93071d54bd0abe2e63187896a4fd174dc290ffc827002bd52d401e169c1</t>
  </si>
  <si>
    <t xml:space="preserve">library/099_conrad-maldives-rangali-island/map/2020_CONRAD-MALDIVES-RANGALI-MAP.pdf</t>
  </si>
  <si>
    <t xml:space="preserve">2026_An-Island-Safari-this-Easter-at-Conrad-Maldives.pdf</t>
  </si>
  <si>
    <t xml:space="preserve">https://letsgomaldives.com/wp-content/uploads/2026/02/An-Island-Safari-this-Easter-at-Conrad-Maldives.pdf</t>
  </si>
  <si>
    <t xml:space="preserve">ad59e90473bb6a6625b6466a5f4fb554626dc748fde5ac1b07bd818120eccf5e</t>
  </si>
  <si>
    <t xml:space="preserve">library/099_conrad-maldives-rangali-island/calendar/2026_An-Island-Safari-this-Easter-at-Conrad-Maldives.pdf</t>
  </si>
  <si>
    <t xml:space="preserve">2019_W_Retreat-Maldives-Factsheet.pdf</t>
  </si>
  <si>
    <t xml:space="preserve">https://neoscapesmaldives.com/wp-content/uploads/W_Retreat-Maldives-Factsheet.pdf</t>
  </si>
  <si>
    <t xml:space="preserve">45c64d783c1d4a4cb52e53c50d0ae14e8a35aeccdd750a224d01783e77fa5a96</t>
  </si>
  <si>
    <t xml:space="preserve">library/102_w-maldives/factsheet/2019_W_Retreat-Maldives-Factsheet.pdf</t>
  </si>
  <si>
    <t xml:space="preserve">2022_c8e7f1090122203c346dde7f8be2c290.pdf</t>
  </si>
  <si>
    <t xml:space="preserve">maldivesexperts.com</t>
  </si>
  <si>
    <t xml:space="preserve">https://www.maldivesexperts.com/uploads/resorts/c8e7f1090122203c346dde7f8be2c290.pdf</t>
  </si>
  <si>
    <t xml:space="preserve">75d951244a25c4f8c94b48048750ceb17c66155599b03f0895a10ec18556d53d</t>
  </si>
  <si>
    <t xml:space="preserve">library/102_w-maldives/spa_menu/2022_c8e7f1090122203c346dde7f8be2c290.pdf</t>
  </si>
  <si>
    <t xml:space="preserve">2023_W-Maldives-Whats-Next-January-2023.pdf</t>
  </si>
  <si>
    <t xml:space="preserve">https://letsgomaldives.com/wp-content/uploads/2023/01/W-Maldives-Whats-Next-January-2023.pdf</t>
  </si>
  <si>
    <t xml:space="preserve">b2e016c034c444eebb7b99d12be382c94455986725f7659d9bbef94b84ec450a</t>
  </si>
  <si>
    <t xml:space="preserve">library/102_w-maldives/dining_menu/2023_W-Maldives-Whats-Next-January-2023.pdf</t>
  </si>
  <si>
    <t xml:space="preserve">2022_538a360e92b56921329713a8af417bfc.pdf</t>
  </si>
  <si>
    <t xml:space="preserve">https://www.maldivesexperts.com/uploads/resorts/538a360e92b56921329713a8af417bfc.pdf</t>
  </si>
  <si>
    <t xml:space="preserve">d364789b77d0fa5cad42ab88c67aa2f5cd073524fbff68f7941848cc55c898ef</t>
  </si>
  <si>
    <t xml:space="preserve">library/102_w-maldives/brochure/2022_538a360e92b56921329713a8af417bfc.pdf</t>
  </si>
  <si>
    <t xml:space="preserve">2023_W-Maldives-Whats-Next-Newsletter-August-2023.pdf</t>
  </si>
  <si>
    <t xml:space="preserve">https://letsgomaldives.com/wp-content/uploads/2023/08/W-Maldives-Whats-Next-Newsletter-August-2023.pdf</t>
  </si>
  <si>
    <t xml:space="preserve">281830281e49f57db9bf943d9d976ad7dfd6b696a56e91bcc3109de43ab195f0</t>
  </si>
  <si>
    <t xml:space="preserve">library/102_w-maldives/press_kit/2023_W-Maldives-Whats-Next-Newsletter-August-2023.pdf</t>
  </si>
  <si>
    <t xml:space="preserve">2018_Fact-Sheet_EN.pdf</t>
  </si>
  <si>
    <t xml:space="preserve">https://www.neoscapesmaldives.com/wp-content/uploads/Fact-Sheet_EN.pdf</t>
  </si>
  <si>
    <t xml:space="preserve">fb4976f3c42e83d80f87a4fa2d98c8f95f91d6185a9be159f4b2c89f5de2c2b8</t>
  </si>
  <si>
    <t xml:space="preserve">library/103_sheraton-maldives-full-moon-resort-spa/factsheet/2018_Fact-Sheet_EN.pdf</t>
  </si>
  <si>
    <t xml:space="preserve">2025_Resort-Map_EN.pdf</t>
  </si>
  <si>
    <t xml:space="preserve">https://www.neoscapesmaldives.com/wp-content/uploads/Resort-Map_EN.pdf</t>
  </si>
  <si>
    <t xml:space="preserve">6bbda48d9817e59ab1ed0b8a4ea9928f29f8426c02c05966d149162ac1afab8a</t>
  </si>
  <si>
    <t xml:space="preserve">library/103_sheraton-maldives-full-moon-resort-spa/map/2025_Resort-Map_EN.pdf</t>
  </si>
  <si>
    <t xml:space="preserve">ambiguous match [103]</t>
  </si>
  <si>
    <t xml:space="preserve">2026_Finolhu-Easter-2026-Programme.pdf</t>
  </si>
  <si>
    <t xml:space="preserve">https://letsgomaldives.com/wp-content/uploads/2026/02/Finolhu-Easter-2026-Programme.pdf</t>
  </si>
  <si>
    <t xml:space="preserve">447517dc906c0eb85cf196e03f3d42dc2e434c35de48771277071c63a4abad2b</t>
  </si>
  <si>
    <t xml:space="preserve">library/103_sheraton-maldives-full-moon-resort-spa/calendar/2026_Finolhu-Easter-2026-Programme.pdf</t>
  </si>
  <si>
    <t xml:space="preserve">2025_241220_-_Factsheet.pdf</t>
  </si>
  <si>
    <t xml:space="preserve">https://www.neoscapesmaldives.com/wp-content/uploads/241220_-_Factsheet.pdf</t>
  </si>
  <si>
    <t xml:space="preserve">0c265544e28055a95e4b3c8ff1cf5a7365e294b3cd6b72851a9212f3deb68c8b</t>
  </si>
  <si>
    <t xml:space="preserve">library/105_kuda-villingili-resort-maldives/factsheet/2025_241220_-_Factsheet.pdf</t>
  </si>
  <si>
    <t xml:space="preserve">2024_Kuda-Villingili-Resort-Map.pdf</t>
  </si>
  <si>
    <t xml:space="preserve">https://www.neoscapesmaldives.com/wp-content/uploads/Kuda-Villingili-Resort-Map.pdf</t>
  </si>
  <si>
    <t xml:space="preserve">b00a71d24a5ee12e8e76b265fed9f126e2148493340829acfac188ca09e45947</t>
  </si>
  <si>
    <t xml:space="preserve">library/105_kuda-villingili-resort-maldives/map/2024_Kuda-Villingili-Resort-Map.pdf</t>
  </si>
  <si>
    <t xml:space="preserve">2021_Anantara_Kihavah_Maldives_Villas_Factsheet_Resort.pdf</t>
  </si>
  <si>
    <t xml:space="preserve">https://www.neoscapesmaldives.com/wp-content/uploads/Anantara_Kihavah_Maldives_Villas_Factsheet_Resort.pdf</t>
  </si>
  <si>
    <t xml:space="preserve">adc106ce0f1fd3de7b51a2a34cb8de17aac33e2a93d9b56ed75c3a6b4aae375a</t>
  </si>
  <si>
    <t xml:space="preserve">library/106_anantara-kihavah-villas/factsheet/2021_Anantara_Kihavah_Maldives_Villas_Factsheet_Resort.pdf</t>
  </si>
  <si>
    <t xml:space="preserve">2022_Anantara_Kihavah_Maldives_Villas_Resort_Map.pdf</t>
  </si>
  <si>
    <t xml:space="preserve">https://www.neoscapesmaldives.com/wp-content/uploads/Anantara_Kihavah_Maldives_Villas_Resort_Map.pdf</t>
  </si>
  <si>
    <t xml:space="preserve">9fa7397add16cfe62608c2606eca8bc0b3a499a4f6b9903dd7f1408e941bf2fb</t>
  </si>
  <si>
    <t xml:space="preserve">library/106_anantara-kihavah-villas/map/2022_Anantara_Kihavah_Maldives_Villas_Resort_Map.pdf</t>
  </si>
  <si>
    <t xml:space="preserve">2024_The-Westin-Maldives-2024-Easter-Celebration-Brochure.pdf</t>
  </si>
  <si>
    <t xml:space="preserve">https://letsgomaldives.com/wp-content/uploads/2024/03/The-Westin-Maldives-2024-Easter-Celebration-Brochure.pdf</t>
  </si>
  <si>
    <t xml:space="preserve">4ba0b52500d2828c8f7d88a84703891d8e3878cf40d5baf011671d436470c9ae</t>
  </si>
  <si>
    <t xml:space="preserve">library/107_the-westin-maldives-miriandhoo-resort/calendar/2024_The-Westin-Maldives-2024-Easter-Celebration-Brochure.pdf</t>
  </si>
  <si>
    <t xml:space="preserve">2024_RAHAA-RESORT-ALL-INCLUSIVE-MEAL-PLAN-2024.pdf</t>
  </si>
  <si>
    <t xml:space="preserve">https://letsgomaldives.com/wp-content/uploads/2024/03/RAHAA-RESORT-ALL-INCLUSIVE-MEAL-PLAN-2024.pdf</t>
  </si>
  <si>
    <t xml:space="preserve">3aa5bb782706b16f47b49dac82c778d9f83888753abba6489419a5da8800c580</t>
  </si>
  <si>
    <t xml:space="preserve">library/108_rahaa-resort/map/2024_RAHAA-RESORT-ALL-INCLUSIVE-MEAL-PLAN-2024.pdf</t>
  </si>
  <si>
    <t xml:space="preserve">2023_moofushi-factsheet-en-24april2023.pdf</t>
  </si>
  <si>
    <t xml:space="preserve">https://www.neoscapesmaldives.com/wp-content/uploads/moofushi-factsheet-en-24april2023.pdf</t>
  </si>
  <si>
    <t xml:space="preserve">5ebd8050b188741fa5ad44ce96986d305be59c3012aa3048310b73d684da611b</t>
  </si>
  <si>
    <t xml:space="preserve">library/109_constance-moofushi-resort/factsheet/2023_moofushi-factsheet-en-24april2023.pdf</t>
  </si>
  <si>
    <t xml:space="preserve">2019_constance-moofushi-island-map.pdf</t>
  </si>
  <si>
    <t xml:space="preserve">https://www.neoscapesmaldives.com/wp-content/uploads/constance-moofushi-island-map.pdf</t>
  </si>
  <si>
    <t xml:space="preserve">b0725b04c31c2598ac98e9e8e3c2484d5c047a374eb3824748abfaca0ec355dc</t>
  </si>
  <si>
    <t xml:space="preserve">library/109_constance-moofushi-resort/map/2019_constance-moofushi-island-map.pdf</t>
  </si>
  <si>
    <t xml:space="preserve">2020_Huvafen-Fushi-Factsheet-2020-Digital_rdc.pdf</t>
  </si>
  <si>
    <t xml:space="preserve">https://www.neoscapesmaldives.com/wp-content/uploads/Huvafen-Fushi-Factsheet-2020-Digital_rdc.pdf</t>
  </si>
  <si>
    <t xml:space="preserve">27ff8aea9534d473f1fb6ed498501050fbe19bdb8fb83905c8cecb6a9293b941</t>
  </si>
  <si>
    <t xml:space="preserve">library/111_huvafenfushi-maldives/factsheet/2020_Huvafen-Fushi-Factsheet-2020-Digital_rdc.pdf</t>
  </si>
  <si>
    <t xml:space="preserve">2019_Resort-Map.pdf</t>
  </si>
  <si>
    <t xml:space="preserve">https://www.neoscapesmaldives.com/wp-content/uploads/Resort-Map.pdf</t>
  </si>
  <si>
    <t xml:space="preserve">74a139d7ae06d0394d881ec6d920f0b009261443408663eaa739b1fb20874d83</t>
  </si>
  <si>
    <t xml:space="preserve">library/111_huvafenfushi-maldives/map/2019_Resort-Map.pdf</t>
  </si>
  <si>
    <t xml:space="preserve">ambiguous match [111]</t>
  </si>
  <si>
    <t xml:space="preserve">2020_NIKA-FACT-SHEET-Nika-Island-Resort.pdf</t>
  </si>
  <si>
    <t xml:space="preserve">https://www.neoscapesmaldives.com/wp-content/uploads/NIKA-FACT-SHEET-Nika-Island-Resort.pdf</t>
  </si>
  <si>
    <t xml:space="preserve">9ce4116a6829cf3591292427cd1fcc4e218866a91b353b15fb91391c74b356b0</t>
  </si>
  <si>
    <t xml:space="preserve">library/112_nika-island-resort-and-spa/factsheet/2020_NIKA-FACT-SHEET-Nika-Island-Resort.pdf</t>
  </si>
  <si>
    <t xml:space="preserve">2020_NIKA-MAP-Nika-Island-Resort.pdf</t>
  </si>
  <si>
    <t xml:space="preserve">https://www.neoscapesmaldives.com/wp-content/uploads/NIKA-MAP-Nika-Island-Resort.pdf</t>
  </si>
  <si>
    <t xml:space="preserve">64c39d06b22475c464f76baa780e7016c25f67f68dd56a5108f0bc30385dee52</t>
  </si>
  <si>
    <t xml:space="preserve">library/112_nika-island-resort-and-spa/map/2020_NIKA-MAP-Nika-Island-Resort.pdf</t>
  </si>
  <si>
    <t xml:space="preserve">2025_OBLU-SELECT-Lobigili-Island-Map-MAY-2025.pdf</t>
  </si>
  <si>
    <t xml:space="preserve">https://www.neoscapesmaldives.com/wp-content/uploads/OBLU-SELECT-Lobigili-Island-Map-MAY-2025.pdf</t>
  </si>
  <si>
    <t xml:space="preserve">9f54eccd4a783c906a918dfc91c898d1c26bfd2797929143bb16407ac5c0adef</t>
  </si>
  <si>
    <t xml:space="preserve">library/115_oblu-select-by-atmosphere-at-sangeli/map/2025_OBLU-SELECT-Lobigili-Island-Map-MAY-2025.pdf</t>
  </si>
  <si>
    <t xml:space="preserve">2019_OBLU-SELECT-at-Sangeli-ISLAND-MAP-1.pdf</t>
  </si>
  <si>
    <t xml:space="preserve">https://www.neoscapesmaldives.com/wp-content/uploads/OBLU-SELECT-at-Sangeli-ISLAND-MAP-1.pdf</t>
  </si>
  <si>
    <t xml:space="preserve">53c3a857e8721c04b7f2a63163238a93c670359df8eb71b803a94afd2dfa106c</t>
  </si>
  <si>
    <t xml:space="preserve">library/115_oblu-select-by-atmosphere-at-sangeli/map/2019_OBLU-SELECT-at-Sangeli-ISLAND-MAP-1.pdf</t>
  </si>
  <si>
    <t xml:space="preserve">2025_OBLU-SELECT-Sangeli-BROCHURE-FEB-2025.pdf</t>
  </si>
  <si>
    <t xml:space="preserve">https://www.neoscapesmaldives.com/wp-content/uploads/OBLU-SELECT-Sangeli-BROCHURE-FEB-2025.pdf</t>
  </si>
  <si>
    <t xml:space="preserve">62c3a79e2df269a5c0f65d9e34be1f631da9882d7584b46e04b48ec5b0bdb906</t>
  </si>
  <si>
    <t xml:space="preserve">library/115_oblu-select-by-atmosphere-at-sangeli/brochure/2025_OBLU-SELECT-Sangeli-BROCHURE-FEB-2025.pdf</t>
  </si>
  <si>
    <t xml:space="preserve">2025_OBLU-SELECT-Lobigili-Brochure-MAY-2025-WEB.pdf</t>
  </si>
  <si>
    <t xml:space="preserve">https://www.neoscapesmaldives.com/wp-content/uploads/OBLU-SELECT-Lobigili-Brochure-MAY-2025-WEB.pdf</t>
  </si>
  <si>
    <t xml:space="preserve">294f2147fb9a5a401d3f9d7cd6b10e379097cfa2f8e8eff9d5d123a9030e9169</t>
  </si>
  <si>
    <t xml:space="preserve">library/115_oblu-select-by-atmosphere-at-sangeli/brochure/2025_OBLU-SELECT-Lobigili-Brochure-MAY-2025-WEB.pdf</t>
  </si>
  <si>
    <t xml:space="preserve">2022_Factsheet-Nova-Maldives-NEO.pdf</t>
  </si>
  <si>
    <t xml:space="preserve">https://www.neoscapesmaldives.com/wp-content/uploads/Factsheet-Nova-Maldives-NEO.pdf</t>
  </si>
  <si>
    <t xml:space="preserve">23eab33e6dc6600ab79a046e4a23e2eed969663dfdf8e8f1fd7adefaa0e29edd</t>
  </si>
  <si>
    <t xml:space="preserve">library/116_nova-maldives/factsheet/2022_Factsheet-Nova-Maldives-NEO.pdf</t>
  </si>
  <si>
    <t xml:space="preserve">2025_WEDDINGS BROCHURE - JUNE 2025.pdf</t>
  </si>
  <si>
    <t xml:space="preserve">https://d7h9v39iheghu.cloudfront.net/previews/7837a234-9635-4da8-b132-476aacd9b4c1/3f5ac883-372b-4221-8214-04fc6f0a4991/3f5ac883-372b-4221-8214-04fc6f0a4991?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</si>
  <si>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2de6c83d6a551cc1aa54335ecaf7bb6d2a6f2fa12f5b5507d5cf1fece8921980</t>
  </si>
  <si>
    <t xml:space="preserve">library/116_nova-maldives/wedding/2025_WEDDINGS BROCHURE - JUNE 2025.pdf</t>
  </si>
  <si>
    <t xml:space="preserve">2025_Weddings Brochure - Nova.pdf</t>
  </si>
  <si>
    <t xml:space="preserve">https://d7h9v39iheghu.cloudfront.net/previews/7837a234-9635-4da8-b132-476aacd9b4c1/87a9c9bf-b3c5-4b08-b23d-ce50893ad526/2203c251-759b-41e3-8989-c4f1374efbcc?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</si>
  <si>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23ee8568055bbe2086fda93d176aa06f0803363c41b8cbae95b813eae0bcec89</t>
  </si>
  <si>
    <t xml:space="preserve">library/116_nova-maldives/wedding/2025_Weddings Brochure - Nova.pdf</t>
  </si>
  <si>
    <t xml:space="preserve">2024_RU -  Weddings Brochure - Nova.pdf</t>
  </si>
  <si>
    <t xml:space="preserve">https://d7h9v39iheghu.cloudfront.net/previews/7837a234-9635-4da8-b132-476aacd9b4c1/b71f13aa-2924-41f5-b6e9-d9d4d5580482/b71f13aa-2924-41f5-b6e9-d9d4d5580482?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</si>
  <si>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17f7f0bd223294d59276fee99cf1dd7313924d666b5ff0d36ae3ffcad48506f8</t>
  </si>
  <si>
    <t xml:space="preserve">library/116_nova-maldives/wedding/2024_RU -  Weddings Brochure - Nova.pdf</t>
  </si>
  <si>
    <t xml:space="preserve">2024_NOVA_Map_Standard_Size _1_.pdf</t>
  </si>
  <si>
    <t xml:space="preserve">https://d7h9v39iheghu.cloudfront.net/previews/7837a234-9635-4da8-b132-476aacd9b4c1/8780c187-d9ed-4683-8880-d00487729569/90e4d75d-5655-4952-bec3-1a3b61887293?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</si>
  <si>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4da621f1bc9934852f6095d9c0836babcad3443795731f883405a903e0723451</t>
  </si>
  <si>
    <t xml:space="preserve">library/116_nova-maldives/map/2024_NOVA_Map_Standard_Size _1_.pdf</t>
  </si>
  <si>
    <t xml:space="preserve">2022_Resort-Map-Nova-Maldives.pdf</t>
  </si>
  <si>
    <t xml:space="preserve">https://www.neoscapesmaldives.com/wp-content/uploads/Resort-Map-Nova-Maldives.pdf</t>
  </si>
  <si>
    <t xml:space="preserve">8824de53661585c09aa740f5e0dba3b2a295b90b0e323c11a2b1bf20f09a5f16</t>
  </si>
  <si>
    <t xml:space="preserve">library/116_nova-maldives/map/2022_Resort-Map-Nova-Maldives.pdf</t>
  </si>
  <si>
    <t xml:space="preserve">2024_NOVA_Dive_Site_Map.pdf</t>
  </si>
  <si>
    <t xml:space="preserve">https://d7h9v39iheghu.cloudfront.net/previews/7837a234-9635-4da8-b132-476aacd9b4c1/31604ee7-c06a-44f3-a8de-13650beff6c2/31604ee7-c06a-44f3-a8de-13650beff6c2?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</si>
  <si>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2c53c44e95458743f245c8910229a1110a58b1a1ae738103f5ac9ad32084e961</t>
  </si>
  <si>
    <t xml:space="preserve">library/116_nova-maldives/dive_map/2024_NOVA_Dive_Site_Map.pdf</t>
  </si>
  <si>
    <t xml:space="preserve">2026_ESKAPE SPA MENU _EN_ -MARCH 2026.pdf</t>
  </si>
  <si>
    <t xml:space="preserve">https://d7h9v39iheghu.cloudfront.net/previews/7837a234-9635-4da8-b132-476aacd9b4c1/46212e2c-adfe-4430-be3c-fcbe795a658e/46212e2c-adfe-4430-be3c-fcbe795a658e?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</si>
  <si>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3cf052ed7b94d1f985aa9e938e5436639ec380df36fba71594aee611f9d11f2a</t>
  </si>
  <si>
    <t xml:space="preserve">library/116_nova-maldives/spa_menu/2026_ESKAPE SPA MENU _EN_ -MARCH 2026.pdf</t>
  </si>
  <si>
    <t xml:space="preserve">2025_Nova Maldives - Sales Kit.pdf</t>
  </si>
  <si>
    <t xml:space="preserve">https://d7h9v39iheghu.cloudfront.net/previews/7837a234-9635-4da8-b132-476aacd9b4c1/cf52f49b-ff49-4e16-aa35-05d26a6547d5/1b08e5c4-6b8a-4e89-970c-e479d636818b?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</si>
  <si>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a89e9ced7534cade37b3d5c0d1551b78a80e0a28b37e81c041cf07076471ca58</t>
  </si>
  <si>
    <t xml:space="preserve">library/116_nova-maldives/spa_menu/2025_Nova Maldives - Sales Kit.pdf</t>
  </si>
  <si>
    <t xml:space="preserve">2024_RU -  ESKAPE SPA MENU.pdf</t>
  </si>
  <si>
    <t xml:space="preserve">https://d7h9v39iheghu.cloudfront.net/previews/7837a234-9635-4da8-b132-476aacd9b4c1/85fe6f42-8fa1-463a-8b7c-7094f7c45572/85fe6f42-8fa1-463a-8b7c-7094f7c45572?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</si>
  <si>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438b2c2bf989c03062e4a65c30461156e8395f2781cf53d80cc0b7208e47c926</t>
  </si>
  <si>
    <t xml:space="preserve">library/116_nova-maldives/spa_menu/2024_RU -  ESKAPE SPA MENU.pdf</t>
  </si>
  <si>
    <t xml:space="preserve">2026_Main Beverage Menu Jan 2026.pdf</t>
  </si>
  <si>
    <t xml:space="preserve">https://d7h9v39iheghu.cloudfront.net/previews/7837a234-9635-4da8-b132-476aacd9b4c1/6215faa8-2908-4ffb-b966-15dda3fb8869/6215faa8-2908-4ffb-b966-15dda3fb8869?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</si>
  <si>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https://d7h9v39iheghu.cloudfront.net/previews/7837a234-9635-4da8-b132-476aacd9b4c1/6215faa8-2908-4ffb-b966-15dda3fb8869/6215faa8-2908-4ffb-b966-15dda3fb8869?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 | https://d7h9v39iheghu.cloudfront.net/previews/7837a234-9635-4da8-b132-476aacd9b4c1/1752c8d1-a350-4e1f-878a-63496ccadeb5/1752c8d1-a350-4e1f-878a-63496ccadeb5?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</si>
  <si>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698215cfeee8fd8b4bf60701cd5169b88442bc6f6a17754484fa552cda591474</t>
  </si>
  <si>
    <t xml:space="preserve">library/116_nova-maldives/dining_menu/2026_Main Beverage Menu Jan 2026.pdf</t>
  </si>
  <si>
    <t xml:space="preserve">2026_Flames Menu Jan 2026.pdf</t>
  </si>
  <si>
    <t xml:space="preserve">https://d7h9v39iheghu.cloudfront.net/previews/7837a234-9635-4da8-b132-476aacd9b4c1/0143e8b3-39ed-4ed5-aad6-75549e9797e9/0143e8b3-39ed-4ed5-aad6-75549e9797e9?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</si>
  <si>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9fcaab7a75e512857aa702b5dce377c63fcee851091c5205f5932491f6fff0a1</t>
  </si>
  <si>
    <t xml:space="preserve">library/116_nova-maldives/dining_menu/2026_Flames Menu Jan 2026.pdf</t>
  </si>
  <si>
    <t xml:space="preserve">2026_Lobster _ Bubbles BBQ - Jan 2026.pdf</t>
  </si>
  <si>
    <t xml:space="preserve">https://d7h9v39iheghu.cloudfront.net/previews/7837a234-9635-4da8-b132-476aacd9b4c1/4a0fb920-b499-4501-b8f2-6eb9453dd9e1/4a0fb920-b499-4501-b8f2-6eb9453dd9e1?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</si>
  <si>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77e2b9bf2173f052f9852f07709c30ca98e8fd8459a13139c61df5b813de17fe</t>
  </si>
  <si>
    <t xml:space="preserve">library/116_nova-maldives/dining_menu/2026_Lobster _ Bubbles BBQ - Jan 2026.pdf</t>
  </si>
  <si>
    <t xml:space="preserve">2026_Master Wine list Final - Jan 2026.pdf</t>
  </si>
  <si>
    <t xml:space="preserve">https://d7h9v39iheghu.cloudfront.net/previews/7837a234-9635-4da8-b132-476aacd9b4c1/0068dbfc-acac-4778-88f6-b34fee40024d/0068dbfc-acac-4778-88f6-b34fee40024d?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</si>
  <si>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059a91bf90c70f7b847e1f5395e6dbdf177309c929d97cb089c9bea7c7d88e3a</t>
  </si>
  <si>
    <t xml:space="preserve">library/116_nova-maldives/dining_menu/2026_Master Wine list Final - Jan 2026.pdf</t>
  </si>
  <si>
    <t xml:space="preserve">2025_Destination Menus June 2025.pdf</t>
  </si>
  <si>
    <t xml:space="preserve">https://d7h9v39iheghu.cloudfront.net/previews/7837a234-9635-4da8-b132-476aacd9b4c1/4e65d5f4-f44a-41f7-b11e-511f7eff868f/4e65d5f4-f44a-41f7-b11e-511f7eff868f?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</si>
  <si>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3b608ccafd4a02f19824820d0db60162d566e3afba01150ab638ef65f44f4034</t>
  </si>
  <si>
    <t xml:space="preserve">library/116_nova-maldives/dining_menu/2025_Destination Menus June 2025.pdf</t>
  </si>
  <si>
    <t xml:space="preserve">2025_Floating Breakfast - June 2025.pdf</t>
  </si>
  <si>
    <t xml:space="preserve">https://d7h9v39iheghu.cloudfront.net/previews/7837a234-9635-4da8-b132-476aacd9b4c1/82e5e5f7-46b7-4f71-b7c1-ade9221cae32/82e5e5f7-46b7-4f71-b7c1-ade9221cae32?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</si>
  <si>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661e81bbd71bd82de3f5178f0ffa35407b96d94f29dddf7117d26ce3a1cd21d8</t>
  </si>
  <si>
    <t xml:space="preserve">library/116_nova-maldives/dining_menu/2025_Floating Breakfast - June 2025.pdf</t>
  </si>
  <si>
    <t xml:space="preserve">2025_IVD menu updated on June 2025.pdf</t>
  </si>
  <si>
    <t xml:space="preserve">https://d7h9v39iheghu.cloudfront.net/previews/7837a234-9635-4da8-b132-476aacd9b4c1/d04ca6d8-56ba-4f59-95d5-a670f3caef4c/d04ca6d8-56ba-4f59-95d5-a670f3caef4c?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</si>
  <si>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d69d200c696eddf68d9abe2278b4ed59927580a7317444a66e830d4a95637512</t>
  </si>
  <si>
    <t xml:space="preserve">library/116_nova-maldives/dining_menu/2025_IVD menu updated on June 2025.pdf</t>
  </si>
  <si>
    <t xml:space="preserve">2025_MIZU SUSHI LUNCH _ DINNER - JUNE 2025.pdf</t>
  </si>
  <si>
    <t xml:space="preserve">https://d7h9v39iheghu.cloudfront.net/previews/7837a234-9635-4da8-b132-476aacd9b4c1/bf4303de-1e46-4fc9-aa68-00c851ef9c2f/bf4303de-1e46-4fc9-aa68-00c851ef9c2f?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</si>
  <si>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fae9b1302ced3055dc4d84da3e1f7673aacedb5d46933c064757173b704288c4</t>
  </si>
  <si>
    <t xml:space="preserve">library/116_nova-maldives/dining_menu/2025_MIZU SUSHI LUNCH _ DINNER - JUNE 2025.pdf</t>
  </si>
  <si>
    <t xml:space="preserve">2025_Nova Mini Bar Menu.pdf</t>
  </si>
  <si>
    <t xml:space="preserve">https://d7h9v39iheghu.cloudfront.net/previews/7837a234-9635-4da8-b132-476aacd9b4c1/97aed546-cd9c-4b2a-82cd-dde4cd25a414/97aed546-cd9c-4b2a-82cd-dde4cd25a414?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</si>
  <si>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de09701aa8084a423602c9138cfd939fd3eb191ee982c2d5642c7135206e009d</t>
  </si>
  <si>
    <t xml:space="preserve">library/116_nova-maldives/dining_menu/2025_Nova Mini Bar Menu.pdf</t>
  </si>
  <si>
    <t xml:space="preserve">2025_Nova Wink Shisha _ Cigar Menu.pdf</t>
  </si>
  <si>
    <t xml:space="preserve">https://d7h9v39iheghu.cloudfront.net/previews/7837a234-9635-4da8-b132-476aacd9b4c1/77def7bf-48ec-45f3-846b-dccec0ebd56c/77def7bf-48ec-45f3-846b-dccec0ebd56c?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</si>
  <si>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5baaf2c15ce4df463f5bff4cf51c1dd97dda7791eecd3bd91f81dd6a8cf3cae3</t>
  </si>
  <si>
    <t xml:space="preserve">library/116_nova-maldives/dining_menu/2025_Nova Wink Shisha _ Cigar Menu.pdf</t>
  </si>
  <si>
    <t xml:space="preserve">2026_Nova - Memories Price List 2026.pdf</t>
  </si>
  <si>
    <t xml:space="preserve">https://d7h9v39iheghu.cloudfront.net/previews/7837a234-9635-4da8-b132-476aacd9b4c1/287e8972-ea62-4b13-a759-b9635c8c7108/7d5f7e1c-393b-495c-9328-fd3bfa83af1f?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</si>
  <si>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223e27d44df7eb282dfa1d925013b957ae239dff342d44f4f3176e0180339f42</t>
  </si>
  <si>
    <t xml:space="preserve">library/116_nova-maldives/dive_prices/2026_Nova - Memories Price List 2026.pdf</t>
  </si>
  <si>
    <t xml:space="preserve">2026_Nova Aquaholics Weekly Activities - 2026.pdf</t>
  </si>
  <si>
    <t xml:space="preserve">https://d7h9v39iheghu.cloudfront.net/previews/7837a234-9635-4da8-b132-476aacd9b4c1/6fa34e59-2ded-4eb9-8109-5ecfe50c251e/6fa34e59-2ded-4eb9-8109-5ecfe50c251e?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</si>
  <si>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9a1bb9ca8ac29a722dc5b6014528cc335fac3538ec48ba623d62640d53585998</t>
  </si>
  <si>
    <t xml:space="preserve">library/116_nova-maldives/excursions/2026_Nova Aquaholics Weekly Activities - 2026.pdf</t>
  </si>
  <si>
    <t xml:space="preserve">2025_Nova floor plans 2025.pdf</t>
  </si>
  <si>
    <t xml:space="preserve">https://d7h9v39iheghu.cloudfront.net/previews/7837a234-9635-4da8-b132-476aacd9b4c1/26004904-089f-43ea-aa21-f3b9faafa77f/26004904-089f-43ea-aa21-f3b9faafa77f?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</si>
  <si>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b8718ac4e052e055b9e1d2fcb74ee6ce650678c67aa20c4989cbcfbac3d8b39c</t>
  </si>
  <si>
    <t xml:space="preserve">library/116_nova-maldives/villa_plans/2025_Nova floor plans 2025.pdf</t>
  </si>
  <si>
    <t xml:space="preserve">2025_Meal plans 2025 RU.pptx.pdf</t>
  </si>
  <si>
    <t xml:space="preserve">https://d7h9v39iheghu.cloudfront.net/previews/7837a234-9635-4da8-b132-476aacd9b4c1/77424a46-3c12-4c78-9265-793797c79507/77424a46-3c12-4c78-9265-793797c79507?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</si>
  <si>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7e88c6189b125c49541ba9dbf5a7324b95e025db3efe94654d1b71942aca795e</t>
  </si>
  <si>
    <t xml:space="preserve">library/116_nova-maldives/all_inclusive/2025_Meal plans 2025 RU.pptx.pdf</t>
  </si>
  <si>
    <t xml:space="preserve">2026_Nova - PAI brochure EN.pdf</t>
  </si>
  <si>
    <t xml:space="preserve">https://d7h9v39iheghu.cloudfront.net/previews/7837a234-9635-4da8-b132-476aacd9b4c1/673003fa-d33f-488f-92a9-e8eee12edbe8/96297ecf-6ff1-4aa7-8710-a8593470da83?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</si>
  <si>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841c5f59d796c8f8a9208acec6059be1cf8e51958b1a3db64030c88b031719f7</t>
  </si>
  <si>
    <t xml:space="preserve">library/116_nova-maldives/brochure/2026_Nova - PAI brochure EN.pdf</t>
  </si>
  <si>
    <t xml:space="preserve">2025_RU Nova presentation 2025.pdf</t>
  </si>
  <si>
    <t xml:space="preserve">https://d7h9v39iheghu.cloudfront.net/previews/7837a234-9635-4da8-b132-476aacd9b4c1/855a9a6a-b7ac-4f9c-ae6c-95e83937a19b/0640f934-7539-4c14-b124-ee9f73caf1a9?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</si>
  <si>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03f4be56cd9d158d280defc6014c388f74013962bf16c5eeb50a9770fc3bb576</t>
  </si>
  <si>
    <t xml:space="preserve">library/116_nova-maldives/brochure/2025_RU Nova presentation 2025.pdf</t>
  </si>
  <si>
    <t xml:space="preserve">2025_Aquaholics Brochure English.pdf</t>
  </si>
  <si>
    <t xml:space="preserve">https://d7h9v39iheghu.cloudfront.net/previews/7837a234-9635-4da8-b132-476aacd9b4c1/6876feef-e91a-4658-8cfa-672bdc847966/2e69c024-a33f-42b6-92bc-69782990811d?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</si>
  <si>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503de492c5cba9f0acf37915cd882d7500f13bf746110e04cb5d6475c8dc5a68</t>
  </si>
  <si>
    <t xml:space="preserve">library/116_nova-maldives/brochure/2025_Aquaholics Brochure English.pdf</t>
  </si>
  <si>
    <t xml:space="preserve">2025_Niyama-Private-Islands-Maldives-Factsheet-2025.pdf</t>
  </si>
  <si>
    <t xml:space="preserve">https://www.neoscapesmaldives.com/wp-content/uploads/Niyama-Private-Islands-Maldives-Factsheet-2025.pdf</t>
  </si>
  <si>
    <t xml:space="preserve">9bd66a5f022e1acfb1f075b6b679eded15d7090536994f3a072329b49430994b</t>
  </si>
  <si>
    <t xml:space="preserve">library/117_niyama-maldives/factsheet/2025_Niyama-Private-Islands-Maldives-Factsheet-2025.pdf</t>
  </si>
  <si>
    <t xml:space="preserve">2025_Niyama-Resort-Map.pdf</t>
  </si>
  <si>
    <t xml:space="preserve">https://www.neoscapesmaldives.com/wp-content/uploads/Niyama-Resort-Map.pdf</t>
  </si>
  <si>
    <t xml:space="preserve">418015ea746800659cd3118ed29365381e07510c6ee3581836ee1d5c1ff3b8e2</t>
  </si>
  <si>
    <t xml:space="preserve">library/117_niyama-maldives/map/2025_Niyama-Resort-Map.pdf</t>
  </si>
  <si>
    <t xml:space="preserve">2026_Niyama-Private-Islands-Maldives-Easter-Brochure-2026-1.pdf</t>
  </si>
  <si>
    <t xml:space="preserve">https://letsgomaldives.com/wp-content/uploads/2026/02/Niyama-Private-Islands-Maldives-Easter-Brochure-2026-1.pdf</t>
  </si>
  <si>
    <t xml:space="preserve">10b45a8db75bee11782b456315e3545d4d51b6014949fde5572f08d2d672ac41</t>
  </si>
  <si>
    <t xml:space="preserve">library/117_niyama-maldives/calendar/2026_Niyama-Private-Islands-Maldives-Easter-Brochure-2026-1.pdf</t>
  </si>
  <si>
    <t xml:space="preserve">2021_Iru-Veli-Factsheet-EN.pdf</t>
  </si>
  <si>
    <t xml:space="preserve">https://www.neoscapesmaldives.com/wp-content/uploads/Iru-Veli-Factsheet-EN.pdf</t>
  </si>
  <si>
    <t xml:space="preserve">2116d595e08769e966dcd6041bdcd7aa62512cf14599adeb6421bc0a876b564c</t>
  </si>
  <si>
    <t xml:space="preserve">library/118_sun-siyam-iru-veli-maldives/factsheet/2021_Iru-Veli-Factsheet-EN.pdf</t>
  </si>
  <si>
    <t xml:space="preserve">2018_Sun-Aqua-Iru-Veli-Island-Map.pdf</t>
  </si>
  <si>
    <t xml:space="preserve">https://www.neoscapesmaldives.com/wp-content/uploads/Sun-Aqua-Iru-Veli-Island-Map.pdf</t>
  </si>
  <si>
    <t xml:space="preserve">65eab55c8cc1d0eb1d098d8185f4e5d21dab7db226cc2c47b86f720af75cc084</t>
  </si>
  <si>
    <t xml:space="preserve">library/118_sun-siyam-iru-veli-maldives/map/2018_Sun-Aqua-Iru-Veli-Island-Map.pdf</t>
  </si>
  <si>
    <t xml:space="preserve">2026_Sun-Siyam-Iru-Veli.pdf</t>
  </si>
  <si>
    <t xml:space="preserve">https://letsgomaldives.com/wp-content/uploads/2026/08/Sun-Siyam-Iru-Veli.pdf</t>
  </si>
  <si>
    <t xml:space="preserve">c15a73f1d733c4e299deccae79adc30754b05c7ffceda4ecff88386a24c3c13e</t>
  </si>
  <si>
    <t xml:space="preserve">library/118_sun-siyam-iru-veli-maldives/dive_prices/2026_Sun-Siyam-Iru-Veli.pdf</t>
  </si>
  <si>
    <t xml:space="preserve">2020_Lti-Maafushivaru-Map.pdf</t>
  </si>
  <si>
    <t xml:space="preserve">https://www.neoscapesmaldives.com/wp-content/uploads/Lti-Maafushivaru-Map.pdf</t>
  </si>
  <si>
    <t xml:space="preserve">a6c65a296cb87ffee503484a150ca1eb4a0648a1771b0b1456027ef18e791be7</t>
  </si>
  <si>
    <t xml:space="preserve">library/119_outrigger-maldives-maafushivaru-resort/map/2020_Lti-Maafushivaru-Map.pdf</t>
  </si>
  <si>
    <t xml:space="preserve">2020_LMP-1.14-COVID-19-Prevention-and-Protection-Policy_Lti-Maafushivaru-2020-1.pdf</t>
  </si>
  <si>
    <t xml:space="preserve">https://www.neoscapesmaldives.com/wp-content/uploads/LMP-1.14-COVID-19-Prevention-and-Protection-Policy_Lti-Maafushivaru-2020-1.pdf</t>
  </si>
  <si>
    <t xml:space="preserve">45287f3ae0e52498ff15948b2f16ca2dcf8d50b0ff0c3dc0965ac0abcacac55b</t>
  </si>
  <si>
    <t xml:space="preserve">library/119_outrigger-maldives-maafushivaru-resort/obsolete/2020_LMP-1.14-COVID-19-Prevention-and-Protection-Policy_Lti-Maafushivaru-2020-1.pdf</t>
  </si>
  <si>
    <t xml:space="preserve">2020_COVID-19-Leaflets_English_Lti-Maafushivaru.pdf</t>
  </si>
  <si>
    <t xml:space="preserve">https://www.neoscapesmaldives.com/wp-content/uploads/COVID-19-Leaflets_English_Lti-Maafushivaru.pdf</t>
  </si>
  <si>
    <t xml:space="preserve">5e27fcff97aae47f2a4cf2bed092c65ebace196f59971e948ad915322c8a03a3</t>
  </si>
  <si>
    <t xml:space="preserve">library/119_outrigger-maldives-maafushivaru-resort/obsolete/2020_COVID-19-Leaflets_English_Lti-Maafushivaru.pdf</t>
  </si>
  <si>
    <t xml:space="preserve">2026_BM_Factsheet-2026.pdf</t>
  </si>
  <si>
    <t xml:space="preserve">https://www.neoscapesmaldives.com/wp-content/uploads/BM_Factsheet-2026.pdf</t>
  </si>
  <si>
    <t xml:space="preserve">44528f0319adc686f7a04604599154c8a547735e74ebdf41383ebdccc8b7e36c</t>
  </si>
  <si>
    <t xml:space="preserve">library/120_bandos-maldives/factsheet/2026_BM_Factsheet-2026.pdf</t>
  </si>
  <si>
    <t xml:space="preserve">2024_BM-Resort-Map-2024.pdf</t>
  </si>
  <si>
    <t xml:space="preserve">https://www.neoscapesmaldives.com/wp-content/uploads/BM-Resort-Map-2024.pdf</t>
  </si>
  <si>
    <t xml:space="preserve">9694047c705c765914027aca25699a376d875cc6ab528697f0a5c37f30208a7f</t>
  </si>
  <si>
    <t xml:space="preserve">library/120_bandos-maldives/map/2024_BM-Resort-Map-2024.pdf</t>
  </si>
  <si>
    <t xml:space="preserve">2019_COMO-Cocoa-Island-Fact-Sheet-2019.pdf</t>
  </si>
  <si>
    <t xml:space="preserve">https://neoscapesmaldives.com/wp-content/uploads/COMO-Cocoa-Island-Fact-Sheet-2019.pdf</t>
  </si>
  <si>
    <t xml:space="preserve">2c67877cd86d950187c180900808a1504d7e6be3bcfcf1083c8513e72ffc3c85</t>
  </si>
  <si>
    <t xml:space="preserve">library/121_cocoa-island/factsheet/2019_COMO-Cocoa-Island-Fact-Sheet-2019.pdf</t>
  </si>
  <si>
    <t xml:space="preserve">2018_COMO-Cocoa-Island-Maldives-Resort-Map.pdf</t>
  </si>
  <si>
    <t xml:space="preserve">https://neoscapesmaldives.com/wp-content/uploads/COMO-Cocoa-Island-Maldives-Resort-Map.pdf</t>
  </si>
  <si>
    <t xml:space="preserve">99b6041af5882f81d4fd45687a989a511b8f0db01178d5f5095210e12dff70ec</t>
  </si>
  <si>
    <t xml:space="preserve">library/121_cocoa-island/map/2018_COMO-Cocoa-Island-Maldives-Resort-Map.pdf</t>
  </si>
  <si>
    <t xml:space="preserve">2026_Avani-Fares-Maldives-Festive-Brochure-2026-1.pdf</t>
  </si>
  <si>
    <t xml:space="preserve">https://letsgomaldives.com/wp-content/uploads/2026/08/Avani-Fares-Maldives-Festive-Brochure-2026-1.pdf</t>
  </si>
  <si>
    <t xml:space="preserve">95953e214bd0c109d088652b48157d10706bcc5dd2fa212c88ee5e724030edc4</t>
  </si>
  <si>
    <t xml:space="preserve">library/122_avani-fares-maldives/calendar/2026_Avani-Fares-Maldives-Festive-Brochure-2026-1.pdf</t>
  </si>
  <si>
    <t xml:space="preserve">2026_VFAR_Easter_2026.pdf</t>
  </si>
  <si>
    <t xml:space="preserve">https://letsgomaldives.com/wp-content/uploads/2026/02/VFAR_Easter_2026.pdf</t>
  </si>
  <si>
    <t xml:space="preserve">7b807da29b4987d25ae94635237b404da31b1a2e1628d0f3c465930be519db31</t>
  </si>
  <si>
    <t xml:space="preserve">library/122_avani-fares-maldives/calendar/2026_VFAR_Easter_2026.pdf</t>
  </si>
  <si>
    <t xml:space="preserve">2025_week-3-English.pdf</t>
  </si>
  <si>
    <t xml:space="preserve">https://letsgomaldives.com/wp-content/uploads/2025/10/week-3-English.pdf</t>
  </si>
  <si>
    <t xml:space="preserve">7a5cfed38311d4e8acce6ac26bfe55ac9ebcae6f3e18099cbc2c74aeb950fd4f</t>
  </si>
  <si>
    <t xml:space="preserve">library/122_avani-fares-maldives/calendar/2025_week-3-English.pdf</t>
  </si>
  <si>
    <t xml:space="preserve">ambiguous match [122, 62]</t>
  </si>
  <si>
    <t xml:space="preserve">2026_EID-Brochure-2026-1-1.pdf</t>
  </si>
  <si>
    <t xml:space="preserve">https://letsgomaldives.com/wp-content/uploads/2026/03/EID-Brochure-2026-1-1.pdf</t>
  </si>
  <si>
    <t xml:space="preserve">fae8637ef681fc7ea257d7fa23f43b8e00f64d63d1d64cb84ef692035499eeec</t>
  </si>
  <si>
    <t xml:space="preserve">library/122_avani-fares-maldives/brochure/2026_EID-Brochure-2026-1-1.pdf</t>
  </si>
  <si>
    <t xml:space="preserve">2026_Avani-Fares-Maldives-Resort_Your-Paradise-Music-Festival_TL-SEA_Feb-2026-2.pdf</t>
  </si>
  <si>
    <t xml:space="preserve">https://letsgomaldives.com/wp-content/uploads/2026/05/Avani-Fares-Maldives-Resort_Your-Paradise-Music-Festival_TL-SEA_Feb-2026-2.pdf</t>
  </si>
  <si>
    <t xml:space="preserve">0ccc77699fb7c5b3fd9aefb531b2f9c95fae092b14cea63a9adb3bd52bfb3d75</t>
  </si>
  <si>
    <t xml:space="preserve">library/122_avani-fares-maldives/other/2026_Avani-Fares-Maldives-Resort_Your-Paradise-Music-Festival_TL-SEA_Feb-2026-2.pdf</t>
  </si>
  <si>
    <t xml:space="preserve">2026_Gili-Lankanfushi.pdf</t>
  </si>
  <si>
    <t xml:space="preserve">https://awesomegetawaymaldives.com/wp-content/uploads/2026/03/Gili-Lankanfushi.pdf</t>
  </si>
  <si>
    <t xml:space="preserve">https://awesomegetawaymaldives.com/wp-content/uploads/2026/03/Gili-Lankanfushi.pdf | https://awesomegetawaymaldives.com/wp-content/uploads/2026/03/GLM_Gili-Lankanfushi-Fact-Sheet-Brochure-1.pdf</t>
  </si>
  <si>
    <t xml:space="preserve">d432d0dc8f13850099af87051d0d1500b129a1a0c2e207f0e74a05e6ae3d52ef</t>
  </si>
  <si>
    <t xml:space="preserve">library/125_gili-lankanfushi/other/2026_Gili-Lankanfushi.pdf</t>
  </si>
  <si>
    <t xml:space="preserve">2019_cirm-factsheet-en.pdf</t>
  </si>
  <si>
    <t xml:space="preserve">https://neoscapesmaldives.com/wp-content/uploads/cirm-factsheet-en.pdf</t>
  </si>
  <si>
    <t xml:space="preserve">1bc9b29d36afb15b1778e4997a3542482207825306dbb720f87c7628382b9680</t>
  </si>
  <si>
    <t xml:space="preserve">library/126_centara-grand-island-resort-spa-maldives/factsheet/2019_cirm-factsheet-en.pdf</t>
  </si>
  <si>
    <t xml:space="preserve">2019_Factsheet-OneOnly-Reethi-Rah.pdf</t>
  </si>
  <si>
    <t xml:space="preserve">https://www.neoscapesmaldives.com/wp-content/uploads/Factsheet-OneOnly-Reethi-Rah.pdf</t>
  </si>
  <si>
    <t xml:space="preserve">0b4afb6fc36ed9fd21cca022a79dc8c59dce466dd2e9cd1de5da34bc1cf77786</t>
  </si>
  <si>
    <t xml:space="preserve">library/128_one-only-reethi-rah-maldives/factsheet/2019_Factsheet-OneOnly-Reethi-Rah.pdf</t>
  </si>
  <si>
    <t xml:space="preserve">2017_Map-OneOnly-Resort.pdf</t>
  </si>
  <si>
    <t xml:space="preserve">https://www.neoscapesmaldives.com/wp-content/uploads/Map-OneOnly-Resort.pdf</t>
  </si>
  <si>
    <t xml:space="preserve">e5db7b3cbc5d0384e5c2067ca75e7fcefd6406e63aa8e29368221273cdbfbf41</t>
  </si>
  <si>
    <t xml:space="preserve">library/128_one-only-reethi-rah-maldives/map/2017_Map-OneOnly-Resort.pdf</t>
  </si>
  <si>
    <t xml:space="preserve">ambiguous match [128]</t>
  </si>
  <si>
    <t xml:space="preserve">2026_One-n-Only-Reethi-Rah.pdf</t>
  </si>
  <si>
    <t xml:space="preserve">https://awesomegetawaymaldives.com/wp-content/uploads/2026/03/One-n-Only-Reethi-Rah.pdf</t>
  </si>
  <si>
    <t xml:space="preserve">https://awesomegetawaymaldives.com/wp-content/uploads/2026/03/One-n-Only-Reethi-Rah.pdf | https://awesomegetawaymaldives.com/wp-content/uploads/2026/03/OneOnly_Reethi_Rah_Factsheet_2025.pdf</t>
  </si>
  <si>
    <t xml:space="preserve">99c314284e783b5f6b1d86f9efb50cfe459be16ad7dda56e59c869ce0ff1ff7a</t>
  </si>
  <si>
    <t xml:space="preserve">library/128_one-only-reethi-rah-maldives/press_kit/2026_One-n-Only-Reethi-Rah.pdf</t>
  </si>
  <si>
    <t xml:space="preserve">2021_NM-Factsheet-July2021.pdf</t>
  </si>
  <si>
    <t xml:space="preserve">https://www.neoscapesmaldives.com/wp-content/uploads/NM-Factsheet-July2021.pdf</t>
  </si>
  <si>
    <t xml:space="preserve">250d4b6b10e846ecc11acfcb072ac3c0ede60c76ed492e35b4404e3312e6bbad</t>
  </si>
  <si>
    <t xml:space="preserve">library/132_noku-maldives/factsheet/2021_NM-Factsheet-July2021.pdf</t>
  </si>
  <si>
    <t xml:space="preserve">2020_Resort-Map-Noku-Maldives.pdf</t>
  </si>
  <si>
    <t xml:space="preserve">https://www.neoscapesmaldives.com/wp-content/uploads/Resort-Map-Noku-Maldives.pdf</t>
  </si>
  <si>
    <t xml:space="preserve">5f11bfff7c843d202dff42469fd15e323e32a6ff5e5f26e587e6d575c885b019</t>
  </si>
  <si>
    <t xml:space="preserve">library/132_noku-maldives/map/2020_Resort-Map-Noku-Maldives.pdf</t>
  </si>
  <si>
    <t xml:space="preserve">2027_Noku-Maldives-Festive-Brochure-2026_2027.pdf</t>
  </si>
  <si>
    <t xml:space="preserve">https://letsgomaldives.com/wp-content/uploads/2026/08/Noku-Maldives-Festive-Brochure-2026_2027.pdf</t>
  </si>
  <si>
    <t xml:space="preserve">1ee53934c57e258f5950b03cf8d18488ae329093b8639fc8d9a0a5209149501f</t>
  </si>
  <si>
    <t xml:space="preserve">library/132_noku-maldives/calendar/2027_Noku-Maldives-Festive-Brochure-2026_2027.pdf</t>
  </si>
  <si>
    <t xml:space="preserve">2026_OBLU-Nature-Helengeli-by-Sentido-Island-Map-JULY-2026.pdf</t>
  </si>
  <si>
    <t xml:space="preserve">https://www.neoscapesmaldives.com/wp-content/uploads/OBLU-Nature-Helengeli-by-Sentido-Island-Map-JULY-2026.pdf</t>
  </si>
  <si>
    <t xml:space="preserve">d0dde46a268dc2c6697dc95d309aec594b69dc84458e5372628d33222e1b7b02</t>
  </si>
  <si>
    <t xml:space="preserve">library/133_oblu-by-atmosphere-at-helengeli/map/2026_OBLU-Nature-Helengeli-by-Sentido-Island-Map-JULY-2026.pdf</t>
  </si>
  <si>
    <t xml:space="preserve">2026_OBLU-NATURE-Helengeli-by-SENTIDO-BROCHURE-JULY-2026-WEB.pdf</t>
  </si>
  <si>
    <t xml:space="preserve">https://www.neoscapesmaldives.com/wp-content/uploads/OBLU-NATURE-Helengeli-by-SENTIDO-BROCHURE-JULY-2026-WEB.pdf</t>
  </si>
  <si>
    <t xml:space="preserve">5d5d1262bbccbf04cb263f8b854a4c32f486678aa7c04b8a8787380970810226</t>
  </si>
  <si>
    <t xml:space="preserve">library/133_oblu-by-atmosphere-at-helengeli/brochure/2026_OBLU-NATURE-Helengeli-by-SENTIDO-BROCHURE-JULY-2026-WEB.pdf</t>
  </si>
  <si>
    <t xml:space="preserve">2021_The-St.-Regis-Maldives-Fact-Sheet.pdf</t>
  </si>
  <si>
    <t xml:space="preserve">https://www.neoscapesmaldives.com/wp-content/uploads/The-St.-Regis-Maldives-Fact-Sheet.pdf</t>
  </si>
  <si>
    <t xml:space="preserve">0b20681c3a4d77351fabd77b99562b0bcdd6a9498564e313bdc20b98a607f024</t>
  </si>
  <si>
    <t xml:space="preserve">library/134_the-st-regis-vommuli-resort-maldives/factsheet/2021_The-St.-Regis-Maldives-Fact-Sheet.pdf</t>
  </si>
  <si>
    <t xml:space="preserve">2026_The-St.-Regis-Maldives_Spa_02-1.pdf</t>
  </si>
  <si>
    <t xml:space="preserve">https://letsgomaldives.com/wp-content/uploads/2026/03/The-St.-Regis-Maldives_Spa_02-1.pdf</t>
  </si>
  <si>
    <t xml:space="preserve">https://letsgomaldives.com/wp-content/uploads/2026/03/The-St.-Regis-Maldives_Spa_02-1.pdf | https://letsgomaldives.com/wp-content/uploads/2026/03/The-St.-Regis-Maldives_Spa_02.pdf</t>
  </si>
  <si>
    <t xml:space="preserve">9563c936baf5d2f194235c7e6e0a159dcc6d61b9184ece7ddbcb1055cd1a3ab4</t>
  </si>
  <si>
    <t xml:space="preserve">library/134_the-st-regis-vommuli-resort-maldives/spa_menu/2026_The-St.-Regis-Maldives_Spa_02-1.pdf</t>
  </si>
  <si>
    <t xml:space="preserve">2026_The-St.-Regis-Maldives_Eid_FB.pdf</t>
  </si>
  <si>
    <t xml:space="preserve">https://letsgomaldives.com/wp-content/uploads/2026/03/The-St.-Regis-Maldives_Eid_FB.pdf</t>
  </si>
  <si>
    <t xml:space="preserve">fd7910a70de5ebc31a06c8e4aeac21e10ea2a7c3c471307f316ec035663126fa</t>
  </si>
  <si>
    <t xml:space="preserve">library/134_the-st-regis-vommuli-resort-maldives/dining_menu/2026_The-St.-Regis-Maldives_Eid_FB.pdf</t>
  </si>
  <si>
    <t xml:space="preserve">2026_The-St.-Regis-Maldives_Flyer_Nauryz-Celebration-Childrens-Activities-22-23-March-2026.pdf</t>
  </si>
  <si>
    <t xml:space="preserve">https://letsgomaldives.com/wp-content/uploads/2026/03/The-St.-Regis-Maldives_Flyer_Nauryz-Celebration-Childrens-Activities-22-23-March-2026.pdf</t>
  </si>
  <si>
    <t xml:space="preserve">d5f775cd747d67e9d7e5e24a99f8c5992b04dec6a70f0cc7418cb69fc7b91295</t>
  </si>
  <si>
    <t xml:space="preserve">library/134_the-st-regis-vommuli-resort-maldives/excursions/2026_The-St.-Regis-Maldives_Flyer_Nauryz-Celebration-Childrens-Activities-22-23-March-2026.pdf</t>
  </si>
  <si>
    <t xml:space="preserve">2026_The-St.-Regis-Maldives_Childrens-Activities_Calendar_Eid-Al-Fitr-Celebrations-17-21-March-2026-.pdf</t>
  </si>
  <si>
    <t xml:space="preserve">https://letsgomaldives.com/wp-content/uploads/2026/03/The-St.-Regis-Maldives_Childrens-Activities_Calendar_Eid-Al-Fitr-Celebrations-17-21-March-2026-.pdf</t>
  </si>
  <si>
    <t xml:space="preserve">4506a54324111658533a1f91237fb84003b8d98703ab42e877b3f80a9d7a471d</t>
  </si>
  <si>
    <t xml:space="preserve">library/134_the-st-regis-vommuli-resort-maldives/excursions/2026_The-St.-Regis-Maldives_Childrens-Activities_Calendar_Eid-Al-Fitr-Celebrations-17-21-March-2026-.pdf</t>
  </si>
  <si>
    <t xml:space="preserve">2026_The-St.-Regis-Maldives-Vommuli-Resort_Easter-Brochure-2026.pdf</t>
  </si>
  <si>
    <t xml:space="preserve">https://letsgomaldives.com/wp-content/uploads/2026/02/The-St.-Regis-Maldives-Vommuli-Resort_Easter-Brochure-2026.pdf</t>
  </si>
  <si>
    <t xml:space="preserve">4f1f65984f5cfa5e4ea98fa823a6f34101516b0f2aee1d079f467012727509ca</t>
  </si>
  <si>
    <t xml:space="preserve">library/134_the-st-regis-vommuli-resort-maldives/calendar/2026_The-St.-Regis-Maldives-Vommuli-Resort_Easter-Brochure-2026.pdf</t>
  </si>
  <si>
    <t xml:space="preserve">2019_Diamonds-Thudufushi-Fact-Sheet-2019.pdf</t>
  </si>
  <si>
    <t xml:space="preserve">https://neoscapesmaldives.com/wp-content/uploads/Diamonds-Thudufushi-Fact-Sheet-2019.pdf</t>
  </si>
  <si>
    <t xml:space="preserve">76c73332e09ac95d16e212235433411252de54c87528923371e4265a16493a53</t>
  </si>
  <si>
    <t xml:space="preserve">library/135_diamonds-thudufushi-beach-and-water-villas/factsheet/2019_Diamonds-Thudufushi-Fact-Sheet-2019.pdf</t>
  </si>
  <si>
    <t xml:space="preserve">2020_Diamonds-Thudufushi-Map.pdf</t>
  </si>
  <si>
    <t xml:space="preserve">https://www.neoscapesmaldives.com/wp-content/uploads/Diamonds-Thudufushi-Map.pdf</t>
  </si>
  <si>
    <t xml:space="preserve">1886f544b9256a8bc8a9a42b26c3c86cc8256168cd3e20a6da1e278dcb87c57f</t>
  </si>
  <si>
    <t xml:space="preserve">library/135_diamonds-thudufushi-beach-and-water-villas/map/2020_Diamonds-Thudufushi-Map.pdf</t>
  </si>
  <si>
    <t xml:space="preserve">2018_Diamonds-Resorts_Gentleman-Italia-Top-Hotels-Resorts_Nov-2018.pdf</t>
  </si>
  <si>
    <t xml:space="preserve">https://d1vp8nomjxwyf1.cloudfront.net/wp-content/uploads/sites/212/2017/07/21144133/Diamonds-Resorts_Gentleman-Italia-Top-Hotels-Resorts_Nov-2018.pdf</t>
  </si>
  <si>
    <t xml:space="preserve">21b461beaa59c6df414dbb9bf811433df08382d394c864dfcedf011e0bd3ca71</t>
  </si>
  <si>
    <t xml:space="preserve">library/135_diamonds-thudufushi-beach-and-water-villas/dining_menu/2018_Diamonds-Resorts_Gentleman-Italia-Top-Hotels-Resorts_Nov-2018.pdf</t>
  </si>
  <si>
    <t xml:space="preserve">ambiguous match [135, 178]</t>
  </si>
  <si>
    <t xml:space="preserve">2019_WALLSTREETITALIA_DIAMONDSRESORTS.pdf</t>
  </si>
  <si>
    <t xml:space="preserve">https://d1vp8nomjxwyf1.cloudfront.net/wp-content/uploads/sites/110/2017/03/17111448/WALLSTREETITALIA_DIAMONDSRESORTS.pdf</t>
  </si>
  <si>
    <t xml:space="preserve">3361e2575fd3f83484eacf50a985b2439a693042b8a30f6d470f0ac15182bbbb</t>
  </si>
  <si>
    <t xml:space="preserve">library/135_diamonds-thudufushi-beach-and-water-villas/dive_prices/2019_WALLSTREETITALIA_DIAMONDSRESORTS.pdf</t>
  </si>
  <si>
    <t xml:space="preserve">2017_Society-Magazine-2017-Diamonds-Resorts-5-2.pdf</t>
  </si>
  <si>
    <t xml:space="preserve">https://d1vp8nomjxwyf1.cloudfront.net/wp-content/uploads/sites/110/2017/03/13084012/Society-Magazine-2017-Diamonds-Resorts-5-2.pdf</t>
  </si>
  <si>
    <t xml:space="preserve">d1bffc8ebc1311d14b4f08bd9e2e022e4f4bb6733b262117f8146da9969a04e3</t>
  </si>
  <si>
    <t xml:space="preserve">library/135_diamonds-thudufushi-beach-and-water-villas/dive_prices/2017_Society-Magazine-2017-Diamonds-Resorts-5-2.pdf</t>
  </si>
  <si>
    <t xml:space="preserve">2019_VANITYFAIR.pdf</t>
  </si>
  <si>
    <t xml:space="preserve">https://d1vp8nomjxwyf1.cloudfront.net/wp-content/uploads/sites/110/2017/03/27134941/VANITYFAIR.pdf</t>
  </si>
  <si>
    <t xml:space="preserve">3db8cb04cda2fd4221f3f723867c23e5f46b42e4afbe34b89983234a7781523e</t>
  </si>
  <si>
    <t xml:space="preserve">library/135_diamonds-thudufushi-beach-and-water-villas/villa_plans/2019_VANITYFAIR.pdf</t>
  </si>
  <si>
    <t xml:space="preserve">2018_Excellence-Magazine.pdf</t>
  </si>
  <si>
    <t xml:space="preserve">https://d1vp8nomjxwyf1.cloudfront.net/wp-content/uploads/sites/110/2017/03/07095823/Excellence-Magazine.pdf</t>
  </si>
  <si>
    <t xml:space="preserve">https://d1vp8nomjxwyf1.cloudfront.net/wp-content/uploads/sites/110/2017/03/07095823/Excellence-Magazine.pdf | https://d1vp8nomjxwyf1.cloudfront.net/wp-content/uploads/sites/109/2017/03/07095342/Excellence-Magazine.pdf</t>
  </si>
  <si>
    <t xml:space="preserve">b3fe21622d28d99e4606c2ea4929601fd780374abb4710aa054f5ca8fb9ff837</t>
  </si>
  <si>
    <t xml:space="preserve">library/135_diamonds-thudufushi-beach-and-water-villas/villa_plans/2018_Excellence-Magazine.pdf</t>
  </si>
  <si>
    <t xml:space="preserve">2019_Diamonds-Thudufushi.pdf</t>
  </si>
  <si>
    <t xml:space="preserve">https://d1vp8nomjxwyf1.cloudfront.net/wp-content/uploads/sites/212/2023/03/17095041/Diamonds-Thudufushi.pdf</t>
  </si>
  <si>
    <t xml:space="preserve">b843867382b326348dcc03fd7e66a6f9b562a0fd8b05312007211a38c2d678c1</t>
  </si>
  <si>
    <t xml:space="preserve">library/135_diamonds-thudufushi-beach-and-water-villas/other/2019_Diamonds-Thudufushi.pdf</t>
  </si>
  <si>
    <t xml:space="preserve">2021_Finolhu-2021FactSheet_English-1.pdf</t>
  </si>
  <si>
    <t xml:space="preserve">https://www.neoscapesmaldives.com/wp-content/uploads/Finolhu-2021FactSheet_English-1.pdf</t>
  </si>
  <si>
    <t xml:space="preserve">9932bee26f4ecf0dc6f10e7f338456e138da75172e9b8690eb5733f226de0d74</t>
  </si>
  <si>
    <t xml:space="preserve">library/136_finolhu-baa-atoll-maldives/factsheet/2021_Finolhu-2021FactSheet_English-1.pdf</t>
  </si>
  <si>
    <t xml:space="preserve">2025_D2MD-MICE-Brochure-2.pdf</t>
  </si>
  <si>
    <t xml:space="preserve">https://www.neoscapesmaldives.com/wp-content/uploads/D2MD-MICE-Brochure-2.pdf</t>
  </si>
  <si>
    <t xml:space="preserve">2323e90ccea92a222b1795398d8e00d37a74479a82d7a83c138cd865af0d73bf</t>
  </si>
  <si>
    <t xml:space="preserve">library/136_finolhu-baa-atoll-maldives/events/2025_D2MD-MICE-Brochure-2.pdf</t>
  </si>
  <si>
    <t xml:space="preserve">2020_Island-Map-Portrait-Finolhu-Baa-Atoll.pdf</t>
  </si>
  <si>
    <t xml:space="preserve">https://www.neoscapesmaldives.com/wp-content/uploads/Island-Map-Portrait-Finolhu-Baa-Atoll.pdf</t>
  </si>
  <si>
    <t xml:space="preserve">45facad5532e2432c5e83b0277526c79f8dd5be694e802e572c36b359ebea0e1</t>
  </si>
  <si>
    <t xml:space="preserve">library/136_finolhu-baa-atoll-maldives/map/2020_Island-Map-Portrait-Finolhu-Baa-Atoll.pdf</t>
  </si>
  <si>
    <t xml:space="preserve">2026_easter-celebrations-at-soneva.pdf</t>
  </si>
  <si>
    <t xml:space="preserve">https://letsgomaldives.com/wp-content/uploads/2026/02/easter-celebrations-at-soneva.pdf</t>
  </si>
  <si>
    <t xml:space="preserve">06e9c849a0678a402324a604071d2f9cfc4e32414ada2addb4b9ae061defcf3e</t>
  </si>
  <si>
    <t xml:space="preserve">library/137_soneva-secret/calendar/2026_easter-celebrations-at-soneva.pdf</t>
  </si>
  <si>
    <t xml:space="preserve">ambiguous match [137, 143]</t>
  </si>
  <si>
    <t xml:space="preserve">2019_Map-VARU-by-Atmosphere.pdf</t>
  </si>
  <si>
    <t xml:space="preserve">https://www.neoscapesmaldives.com/wp-content/uploads/Map-VARU-by-Atmosphere.pdf</t>
  </si>
  <si>
    <t xml:space="preserve">9e32ec68b7389057754b97a809918151e202d723a72d09f8f31ab123fe8d8f6d</t>
  </si>
  <si>
    <t xml:space="preserve">library/138_varu-island-resort/map/2019_Map-VARU-by-Atmosphere.pdf</t>
  </si>
  <si>
    <t xml:space="preserve">2019_VARU-BY-ATMOSPHERE-FLYER-DEC2019.pdf</t>
  </si>
  <si>
    <t xml:space="preserve">https://www.neoscapesmaldives.com/wp-content/uploads/VARU-BY-ATMOSPHERE-FLYER-DEC2019.pdf</t>
  </si>
  <si>
    <t xml:space="preserve">c37271744af63915c408a908faed6afa085db1a533b9d808dee9529518d44b10</t>
  </si>
  <si>
    <t xml:space="preserve">library/138_varu-island-resort/brochure/2019_VARU-BY-ATMOSPHERE-FLYER-DEC2019.pdf</t>
  </si>
  <si>
    <t xml:space="preserve">2019_KUDAFUSHI_FACTSHEET.pdf</t>
  </si>
  <si>
    <t xml:space="preserve">https://www.neoscapesmaldives.com/wp-content/uploads/KUDAFUSHI_FACTSHEET.pdf</t>
  </si>
  <si>
    <t xml:space="preserve">5ba1a050a7371fc86448c5566878e52b87ab1d2854f772ae42a662d44fd14de5</t>
  </si>
  <si>
    <t xml:space="preserve">library/139_kudafushi-resort-spa/factsheet/2019_KUDAFUSHI_FACTSHEET.pdf</t>
  </si>
  <si>
    <t xml:space="preserve">2019_KUDAFUSHI_MAP.pdf</t>
  </si>
  <si>
    <t xml:space="preserve">https://www.neoscapesmaldives.com/wp-content/uploads/KUDAFUSHI_MAP.pdf</t>
  </si>
  <si>
    <t xml:space="preserve">aa3a08a224f7e3d7a2b582537a5e3d568a597c78a92c9e064f5252f7c1216102</t>
  </si>
  <si>
    <t xml:space="preserve">library/139_kudafushi-resort-spa/map/2019_KUDAFUSHI_MAP.pdf</t>
  </si>
  <si>
    <t xml:space="preserve">2025_STMV_Factsheet__Eng-.pdf</t>
  </si>
  <si>
    <t xml:space="preserve">https://www.neoscapesmaldives.com/wp-content/uploads/STMV_Factsheet__Eng-.pdf</t>
  </si>
  <si>
    <t xml:space="preserve">d6d895f93831c7caf321f37a9a84e6d7a3b8f103ad9f344e60cc5f4817fa912b</t>
  </si>
  <si>
    <t xml:space="preserve">library/140_the-standard-huruvalhi-maldives/factsheet/2025_STMV_Factsheet__Eng-.pdf</t>
  </si>
  <si>
    <t xml:space="preserve">2024_The-Standard-Huruvalhi-Maldives-RESORT-MAP.pdf</t>
  </si>
  <si>
    <t xml:space="preserve">https://www.neoscapesmaldives.com/wp-content/uploads/The-Standard-Huruvalhi-Maldives-RESORT-MAP.pdf</t>
  </si>
  <si>
    <t xml:space="preserve">76c1547c30de786b5381bafe71305276969fb4d01842790f19a4c4841561043a</t>
  </si>
  <si>
    <t xml:space="preserve">library/140_the-standard-huruvalhi-maldives/map/2024_The-Standard-Huruvalhi-Maldives-RESORT-MAP.pdf</t>
  </si>
  <si>
    <t xml:space="preserve">2019_11747_Soneva-Fushi-Factsheet-2019.pdf</t>
  </si>
  <si>
    <t xml:space="preserve">https://neoscapesmaldives.com/wp-content/uploads/11747_Soneva-Fushi-Factsheet-2019.pdf</t>
  </si>
  <si>
    <t xml:space="preserve">5d53418e9dbde7fd635170172c87756b210913553477d6a0b08c34561990255a</t>
  </si>
  <si>
    <t xml:space="preserve">library/141_soneva-fushi-resort/factsheet/2019_11747_Soneva-Fushi-Factsheet-2019.pdf</t>
  </si>
  <si>
    <t xml:space="preserve">ambiguous match [141, 143]</t>
  </si>
  <si>
    <t xml:space="preserve">2019_11654_Soneva-Fushi-Resort-Features-Map.pdf</t>
  </si>
  <si>
    <t xml:space="preserve">https://neoscapesmaldives.com/wp-content/uploads/11654_Soneva-Fushi-Resort-Features-Map.pdf</t>
  </si>
  <si>
    <t xml:space="preserve">8da7073bfa99c060152d2736d9cdc06eaf10c6904ea70c04db18c5ab060d716a</t>
  </si>
  <si>
    <t xml:space="preserve">library/141_soneva-fushi-resort/map/2019_11654_Soneva-Fushi-Resort-Features-Map.pdf</t>
  </si>
  <si>
    <t xml:space="preserve">2018_DREAMLAND-Diving-FAQs-English.pdf</t>
  </si>
  <si>
    <t xml:space="preserve">https://dreamland.com.mv/wp-content/uploads/2024/08/DREAMLAND-Diving-FAQs-English.pdf</t>
  </si>
  <si>
    <t xml:space="preserve">https://dreamland.com.mv/wp-content/uploads/2024/08/DREAMLAND-Diving-FAQs-English.pdf | https://dreamland.com.mv/wp-content/uploads/2023/08/DREAMLAND-Diving-FAQs-English.pdf</t>
  </si>
  <si>
    <t xml:space="preserve">4955258ce769ef96955c21001cd99712ad0585db81389e6f13d51382e4fd2d0b</t>
  </si>
  <si>
    <t xml:space="preserve">library/142_safari-island/dive_prices/2018_DREAMLAND-Diving-FAQs-English.pdf</t>
  </si>
  <si>
    <t xml:space="preserve">ambiguous match [142, 10]</t>
  </si>
  <si>
    <t xml:space="preserve">2019_12291_Soneva-Jani-Resort-Factesheet-NEO.pdf</t>
  </si>
  <si>
    <t xml:space="preserve">https://www.neoscapesmaldives.com/wp-content/uploads/12291_Soneva-Jani-Resort-Factesheet-NEO.pdf</t>
  </si>
  <si>
    <t xml:space="preserve">84cace796d3df921a612ed1b10bc0383d461b3571a85d7d6a727fdf3a7c22fd3</t>
  </si>
  <si>
    <t xml:space="preserve">library/143_soneva-jani/factsheet/2019_12291_Soneva-Jani-Resort-Factesheet-NEO.pdf</t>
  </si>
  <si>
    <t xml:space="preserve">2019_12096_Soneva-Jani-Resort-Map-1.pdf</t>
  </si>
  <si>
    <t xml:space="preserve">https://www.neoscapesmaldives.com/wp-content/uploads/12096_Soneva-Jani-Resort-Map-1.pdf</t>
  </si>
  <si>
    <t xml:space="preserve">229239703f8996ad0554a9df5201f8f69ea4e5364b81cac55f770eb3fb815fc0</t>
  </si>
  <si>
    <t xml:space="preserve">library/143_soneva-jani/map/2019_12096_Soneva-Jani-Resort-Map-1.pdf</t>
  </si>
  <si>
    <t xml:space="preserve">2025_Soneva-Fushi.pdf</t>
  </si>
  <si>
    <t xml:space="preserve">https://awesomegetawaymaldives.com/wp-content/uploads/2026/03/Soneva-Fushi.pdf</t>
  </si>
  <si>
    <t xml:space="preserve">https://awesomegetawaymaldives.com/wp-content/uploads/2026/03/Soneva-Fushi.pdf | https://awesomegetawaymaldives.com/wp-content/uploads/2026/03/Soneva-Fushi-Resort-Factsheet.pdf</t>
  </si>
  <si>
    <t xml:space="preserve">142c2d5384a389e869130f9a7576cb040aafc21889fe7fa8a1b47abeb350d59f</t>
  </si>
  <si>
    <t xml:space="preserve">library/143_soneva-jani/excursions/2025_Soneva-Fushi.pdf</t>
  </si>
  <si>
    <t xml:space="preserve">2019_Soneva-Jani.pdf</t>
  </si>
  <si>
    <t xml:space="preserve">https://awesomegetawaymaldives.com/wp-content/uploads/2026/03/Soneva-Jani.pdf</t>
  </si>
  <si>
    <t xml:space="preserve">https://awesomegetawaymaldives.com/wp-content/uploads/2026/03/Soneva-Jani.pdf | https://awesomegetawaymaldives.com/wp-content/uploads/2026/03/Soneva-Jani-Resort-Factesheet.pdf</t>
  </si>
  <si>
    <t xml:space="preserve">f2c28a475ea2dd8d9e758cfb464ac2eacf374abb81895d5f327a85abf485f30b</t>
  </si>
  <si>
    <t xml:space="preserve">library/143_soneva-jani/villa_plans/2019_Soneva-Jani.pdf</t>
  </si>
  <si>
    <t xml:space="preserve">2023_Anantara_Dhigu_Maldives_Factsheet_January_2023.pdf</t>
  </si>
  <si>
    <t xml:space="preserve">https://www.neoscapesmaldives.com/wp-content/uploads/Anantara_Dhigu_Maldives_Factsheet_January_2023.pdf</t>
  </si>
  <si>
    <t xml:space="preserve">517249b58dd75812e0e056bf0102ead43622f07fecfd45897d17c3d8dc4e118d</t>
  </si>
  <si>
    <t xml:space="preserve">library/145_anantara-resort-and-spa-maldives/factsheet/2023_Anantara_Dhigu_Maldives_Factsheet_January_2023.pdf</t>
  </si>
  <si>
    <t xml:space="preserve">2021_Anantara_Dhigu_Maldives_Island_Map_December_2021.pdf</t>
  </si>
  <si>
    <t xml:space="preserve">https://www.neoscapesmaldives.com/wp-content/uploads/Anantara_Dhigu_Maldives_Island_Map_December_2021.pdf</t>
  </si>
  <si>
    <t xml:space="preserve">d3a4041ba26236e0b12371a6253274b830f937115573c64be98c7e8009dbb45c</t>
  </si>
  <si>
    <t xml:space="preserve">library/145_anantara-resort-and-spa-maldives/map/2021_Anantara_Dhigu_Maldives_Island_Map_December_2021.pdf</t>
  </si>
  <si>
    <t xml:space="preserve">2023_Anantara_Veli_Maldives_Factsheet_January_2023.pdf</t>
  </si>
  <si>
    <t xml:space="preserve">https://www.neoscapesmaldives.com/wp-content/uploads/Anantara_Veli_Maldives_Factsheet_January_2023.pdf</t>
  </si>
  <si>
    <t xml:space="preserve">612aa3fe2e0168c9a115ef485a3cd0938bacf1afe20f251ae8c7123a235826cd</t>
  </si>
  <si>
    <t xml:space="preserve">library/146_anantara-veli-and-naladhu/factsheet/2023_Anantara_Veli_Maldives_Factsheet_January_2023.pdf</t>
  </si>
  <si>
    <t xml:space="preserve">2023_Anantara_Veli_Maldives_Siteplan_January_2023.pdf</t>
  </si>
  <si>
    <t xml:space="preserve">https://www.neoscapesmaldives.com/wp-content/uploads/Anantara_Veli_Maldives_Siteplan_January_2023.pdf</t>
  </si>
  <si>
    <t xml:space="preserve">f04d4fab6af6b6810d8564b87544b7fef5026fd01bedcb2ad95f7e04cfec3fb3</t>
  </si>
  <si>
    <t xml:space="preserve">library/146_anantara-veli-and-naladhu/map/2023_Anantara_Veli_Maldives_Siteplan_January_2023.pdf</t>
  </si>
  <si>
    <t xml:space="preserve">2019_Fact-Sheet-2019.pdf</t>
  </si>
  <si>
    <t xml:space="preserve">https://www.neoscapesmaldives.com/wp-content/uploads/Fact-Sheet-2019.pdf</t>
  </si>
  <si>
    <t xml:space="preserve">2aca940ba91a9e21b72841aa510d4a2283b4caf422e30ee46954b6a9a1c24322</t>
  </si>
  <si>
    <t xml:space="preserve">library/147_sun-siyam-vilu-reef-maldives/factsheet/2019_Fact-Sheet-2019.pdf</t>
  </si>
  <si>
    <t xml:space="preserve">2019_MAP.pdf</t>
  </si>
  <si>
    <t xml:space="preserve">https://www.neoscapesmaldives.com/wp-content/uploads/MAP.pdf</t>
  </si>
  <si>
    <t xml:space="preserve">e888e4e5991eddac91c1b4bc69d2d17edfaf950952dbaf6a43b10d9d10a07d92</t>
  </si>
  <si>
    <t xml:space="preserve">library/147_sun-siyam-vilu-reef-maldives/map/2019_MAP.pdf</t>
  </si>
  <si>
    <t xml:space="preserve">ambiguous match [147]</t>
  </si>
  <si>
    <t xml:space="preserve">2019_TSSI-Factsheet.pdf</t>
  </si>
  <si>
    <t xml:space="preserve">https://www.neoscapesmaldives.com/wp-content/uploads/TSSI-Factsheet.pdf</t>
  </si>
  <si>
    <t xml:space="preserve">68fdbde2d08d5c31fabd0334f45ed3fa375f9b02bfdd1177348393a19b5be867</t>
  </si>
  <si>
    <t xml:space="preserve">library/148_sun-siyam-iru-fushi-maldives/factsheet/2019_TSSI-Factsheet.pdf</t>
  </si>
  <si>
    <t xml:space="preserve">2019_TSSI-Island-Map.pdf</t>
  </si>
  <si>
    <t xml:space="preserve">https://www.neoscapesmaldives.com/wp-content/uploads/TSSI-Island-Map.pdf</t>
  </si>
  <si>
    <t xml:space="preserve">6f5e4f25df19555ccfee60449a2c564a5d791ad64882b7c843eddd072014c80c</t>
  </si>
  <si>
    <t xml:space="preserve">library/148_sun-siyam-iru-fushi-maldives/map/2019_TSSI-Island-Map.pdf</t>
  </si>
  <si>
    <t xml:space="preserve">2026_so_sotogrande_press-release_green-key_EN.pdf</t>
  </si>
  <si>
    <t xml:space="preserve">https://so-hotels.com/wp-content/uploads/sites/19/2026/01/so_sotogrande_press-release_green-key_EN.pdf</t>
  </si>
  <si>
    <t xml:space="preserve">c73268153eaeedc2aace1d3e9eaa0bfee677ba2e2dccd82537e73a22a7329b77</t>
  </si>
  <si>
    <t xml:space="preserve">library/148_sun-siyam-iru-fushi-maldives/sustainability/2026_so_sotogrande_press-release_green-key_EN.pdf</t>
  </si>
  <si>
    <t xml:space="preserve">2027_Sun-Siyam-Iru-Fushi-Our-Festive-Brochure-2026-2027.pdf</t>
  </si>
  <si>
    <t xml:space="preserve">https://letsgomaldives.com/wp-content/uploads/2026/08/Sun-Siyam-Iru-Fushi-Our-Festive-Brochure-2026-2027.pdf</t>
  </si>
  <si>
    <t xml:space="preserve">a04b8d1178c701bd644e4fe0dec0ef08c5e7f72b9d4c988e48f7906da91b4e88</t>
  </si>
  <si>
    <t xml:space="preserve">library/148_sun-siyam-iru-fushi-maldives/calendar/2027_Sun-Siyam-Iru-Fushi-Our-Festive-Brochure-2026-2027.pdf</t>
  </si>
  <si>
    <t xml:space="preserve">2023_Sun_Siyam_Iru_Fushi-A-BEACHY-AFFAIR-FESTIVE-BOOKLET-2022-2023.pdf</t>
  </si>
  <si>
    <t xml:space="preserve">https://letsgomaldives.com/wp-content/uploads/2022/11/Sun_Siyam_Iru_Fushi-A-BEACHY-AFFAIR-FESTIVE-BOOKLET-2022-2023.pdf</t>
  </si>
  <si>
    <t xml:space="preserve">cc7363c0fa99e040294a24260ec8bee2f248f977da4230c8f344d73d0d3f36fe</t>
  </si>
  <si>
    <t xml:space="preserve">library/148_sun-siyam-iru-fushi-maldives/calendar/2023_Sun_Siyam_Iru_Fushi-A-BEACHY-AFFAIR-FESTIVE-BOOKLET-2022-2023.pdf</t>
  </si>
  <si>
    <t xml:space="preserve">2026_SOVienna_Edit.pdf</t>
  </si>
  <si>
    <t xml:space="preserve">https://so-hotels.com/wp-content/uploads/sites/19/2026/07/SOVienna_Edit.pdf</t>
  </si>
  <si>
    <t xml:space="preserve">f27f48c01aa68af7f8c2b9f65bb6786adafa34643eca91f5aa580e682bc3b9f2</t>
  </si>
  <si>
    <t xml:space="preserve">library/148_sun-siyam-iru-fushi-maldives/brochure/2026_SOVienna_Edit.pdf</t>
  </si>
  <si>
    <t xml:space="preserve">2021_BREAKOUT_Playbook.pdf</t>
  </si>
  <si>
    <t xml:space="preserve">https://hotel.hardrock.com/maldives/files/6016/BREAKOUT_Playbook.pdf</t>
  </si>
  <si>
    <t xml:space="preserve">4f4a43de8825556ca618eace15390b47ae058430ab37fc386461174c032a8eee</t>
  </si>
  <si>
    <t xml:space="preserve">library/148_sun-siyam-iru-fushi-maldives/brochure/2021_BREAKOUT_Playbook.pdf</t>
  </si>
  <si>
    <t xml:space="preserve">2026_so_sotogrand_press-release_valentines-2026_EN.pdf</t>
  </si>
  <si>
    <t xml:space="preserve">https://so-hotels.com/wp-content/uploads/sites/19/2026/01/so_sotogrand_press-release_valentines-2026_EN.pdf</t>
  </si>
  <si>
    <t xml:space="preserve">aa7b6495b2e2c2159299997ef433dd69e6359e42262fb5e2235fefe1c28ee375</t>
  </si>
  <si>
    <t xml:space="preserve">library/148_sun-siyam-iru-fushi-maldives/press_kit/2026_so_sotogrand_press-release_valentines-2026_EN.pdf</t>
  </si>
  <si>
    <t xml:space="preserve">2015_Proce_dure-de-re_servation.pdf</t>
  </si>
  <si>
    <t xml:space="preserve">https://d1vp8nomjxwyf1.cloudfront.net/wp-content/uploads/sites/212/2017/08/08083505/Proce%CC%81dure-de-re%CC%81servation.pdf</t>
  </si>
  <si>
    <t xml:space="preserve">084855f3650af2b902fd46a79375910ad721a3ca7fe505204a88c9a71b986100</t>
  </si>
  <si>
    <t xml:space="preserve">library/148_sun-siyam-iru-fushi-maldives/other/2015_Proce_dure-de-re_servation.pdf</t>
  </si>
  <si>
    <t xml:space="preserve">2020_02.-Coco-Bodu-Hithi-Factsheet.pdf</t>
  </si>
  <si>
    <t xml:space="preserve">https://www.neoscapesmaldives.com/wp-content/uploads/02.-Coco-Bodu-Hithi-Factsheet.pdf</t>
  </si>
  <si>
    <t xml:space="preserve">191aa17012bc07d1117d94febd7ef68ced0e690ee9ee584a4d37cdb060e22c89</t>
  </si>
  <si>
    <t xml:space="preserve">library/150_coco-bodu-hithi/factsheet/2020_02.-Coco-Bodu-Hithi-Factsheet.pdf</t>
  </si>
  <si>
    <t xml:space="preserve">2025_03.-Coco-Bodu-Hithi-Map.pdf</t>
  </si>
  <si>
    <t xml:space="preserve">https://www.neoscapesmaldives.com/wp-content/uploads/03.-Coco-Bodu-Hithi-Map.pdf</t>
  </si>
  <si>
    <t xml:space="preserve">27143fd20a3a8e5ac36b6521edaf522725b9883a6b794e38577485600e5dc87b</t>
  </si>
  <si>
    <t xml:space="preserve">library/150_coco-bodu-hithi/map/2025_03.-Coco-Bodu-Hithi-Map.pdf</t>
  </si>
  <si>
    <t xml:space="preserve">2021_FactSheet-Taj-Coral-Reef-Maldives-NEO.pdf</t>
  </si>
  <si>
    <t xml:space="preserve">https://www.neoscapesmaldives.com/wp-content/uploads/FactSheet-Taj-Coral-Reef-Maldives-NEO.pdf</t>
  </si>
  <si>
    <t xml:space="preserve">b6a72fa0bec576dd8feaf3f1e9e59ccfd62315858c0325c3a679a3f9bf1457b6</t>
  </si>
  <si>
    <t xml:space="preserve">library/153_taj-coral-reef-resort-and-spa/factsheet/2021_FactSheet-Taj-Coral-Reef-Maldives-NEO.pdf</t>
  </si>
  <si>
    <t xml:space="preserve">2021_Resort-Map-Taj-Coral-Reef-Resort-and-Spa-Maldives.pdf</t>
  </si>
  <si>
    <t xml:space="preserve">https://www.neoscapesmaldives.com/wp-content/uploads/Resort-Map-Taj-Coral-Reef-Resort-and-Spa-Maldives.pdf</t>
  </si>
  <si>
    <t xml:space="preserve">0d24980534e7851b96e1c6ab9802e8218af3a746778a2e75c5d91e6837bf9083</t>
  </si>
  <si>
    <t xml:space="preserve">library/153_taj-coral-reef-resort-and-spa/map/2021_Resort-Map-Taj-Coral-Reef-Resort-and-Spa-Maldives.pdf</t>
  </si>
  <si>
    <t xml:space="preserve">2021_Factsheet-Taj-Exotica-Resort-Spa-_Maldives-NEO.pdf</t>
  </si>
  <si>
    <t xml:space="preserve">https://www.neoscapesmaldives.com/wp-content/uploads/Factsheet-Taj-Exotica-Resort-Spa-_Maldives-NEO.pdf</t>
  </si>
  <si>
    <t xml:space="preserve">61d840d9f7314e92a97615697f4b448248ca640e0af235058671d1ded9406c5b</t>
  </si>
  <si>
    <t xml:space="preserve">library/154_taj-exotica-resort-spa-maldives/factsheet/2021_Factsheet-Taj-Exotica-Resort-Spa-_Maldives-NEO.pdf</t>
  </si>
  <si>
    <t xml:space="preserve">2021_Taj-Exotica-Resort-Spa-Map.pdf</t>
  </si>
  <si>
    <t xml:space="preserve">https://www.neoscapesmaldives.com/wp-content/uploads/Taj-Exotica-Resort-Spa-Map.pdf</t>
  </si>
  <si>
    <t xml:space="preserve">99ee16c340dbfa6d663e957bcd6a10ac04d69a9aeb23a4fe5f58ea0c190f5fe7</t>
  </si>
  <si>
    <t xml:space="preserve">library/154_taj-exotica-resort-spa-maldives/map/2021_Taj-Exotica-Resort-Spa-Map.pdf</t>
  </si>
  <si>
    <t xml:space="preserve">2023_halaveli-factsheet-en-24april2023.pdf</t>
  </si>
  <si>
    <t xml:space="preserve">https://www.neoscapesmaldives.com/wp-content/uploads/halaveli-factsheet-en-24april2023.pdf</t>
  </si>
  <si>
    <t xml:space="preserve">a1c865b185d2a4b57b33ac0d4f10de89d20eff2f930d77fbcce123a885188ea7</t>
  </si>
  <si>
    <t xml:space="preserve">library/155_constance-halaveli-resort/factsheet/2023_halaveli-factsheet-en-24april2023.pdf</t>
  </si>
  <si>
    <t xml:space="preserve">2019_constance-halaveli-location-map.pdf</t>
  </si>
  <si>
    <t xml:space="preserve">https://www.neoscapesmaldives.com/wp-content/uploads/constance-halaveli-location-map.pdf</t>
  </si>
  <si>
    <t xml:space="preserve">9bb148c31e995e4d38846624cd6d80b62a38eef654643a29658e19b0efd5e297</t>
  </si>
  <si>
    <t xml:space="preserve">library/155_constance-halaveli-resort/map/2019_constance-halaveli-location-map.pdf</t>
  </si>
  <si>
    <t xml:space="preserve">2026_The Nautilus Maldives - Factsheet 2026.pdf</t>
  </si>
  <si>
    <t xml:space="preserve">https://d7h9v39iheghu.cloudfront.net/previews/7837a234-9635-4da8-b132-476aacd9b4c1/397975b9-e453-4fa8-acb7-4ab8dbe8fb8e/397975b9-e453-4fa8-acb7-4ab8dbe8fb8e?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</si>
  <si>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ddbe8b3ec3dd7c3b244d84ddb5b893f02b8a834361e56212cca8c6a3ed617c5c</t>
  </si>
  <si>
    <t xml:space="preserve">library/157_the-nautilus-maldives/factsheet/2026_The Nautilus Maldives - Factsheet 2026.pdf</t>
  </si>
  <si>
    <t xml:space="preserve">2026_The-Nautilus-Maldives-.pdf</t>
  </si>
  <si>
    <t xml:space="preserve">https://awesomegetawaymaldives.com/wp-content/uploads/2026/04/The-Nautilus-Maldives-.pdf</t>
  </si>
  <si>
    <t xml:space="preserve">2e97dba1f64edd0ab166f2d9e4da9bfe10967b1e9b6ae6e56a731a93794da135</t>
  </si>
  <si>
    <t xml:space="preserve">library/157_the-nautilus-maldives/factsheet/2026_The-Nautilus-Maldives-.pdf</t>
  </si>
  <si>
    <t xml:space="preserve">2024_Yacht Factsheet.pdf</t>
  </si>
  <si>
    <t xml:space="preserve">https://d7h9v39iheghu.cloudfront.net/previews/7837a234-9635-4da8-b132-476aacd9b4c1/06cab5b3-6aea-4adf-aae8-0c6bdbf5c842/06cab5b3-6aea-4adf-aae8-0c6bdbf5c842?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</si>
  <si>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ba335ac610e1e68f2f68cfe4a59ded5e685367b7ef678da05bb8f7d9dc83011e</t>
  </si>
  <si>
    <t xml:space="preserve">library/157_the-nautilus-maldives/factsheet/2024_Yacht Factsheet.pdf</t>
  </si>
  <si>
    <t xml:space="preserve">2021_The Nautilus Maldives Factsheet.pdf</t>
  </si>
  <si>
    <t xml:space="preserve">https://d7h9v39iheghu.cloudfront.net/previews/7837a234-9635-4da8-b132-476aacd9b4c1/e40d7c33-3733-4898-bb5e-27f11d5a7077/e40d7c33-3733-4898-bb5e-27f11d5a7077?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</si>
  <si>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0a09c822b10281397787ea25360f8a4136a5834f9f452fdf57b1a858ba7048a6</t>
  </si>
  <si>
    <t xml:space="preserve">library/157_the-nautilus-maldives/factsheet/2021_The Nautilus Maldives Factsheet.pdf</t>
  </si>
  <si>
    <t xml:space="preserve">2024_Your bespoke Indian Wedding.pdf</t>
  </si>
  <si>
    <t xml:space="preserve">https://d7h9v39iheghu.cloudfront.net/previews/7837a234-9635-4da8-b132-476aacd9b4c1/150965b8-c378-429f-b86d-b69fa7b7c567/150965b8-c378-429f-b86d-b69fa7b7c567?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</si>
  <si>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45c31fc67d9b314efabadde3e636abd33e27398465edeb136f59d7e8ce317de4</t>
  </si>
  <si>
    <t xml:space="preserve">library/157_the-nautilus-maldives/wedding/2024_Your bespoke Indian Wedding.pdf</t>
  </si>
  <si>
    <t xml:space="preserve">2020_Solasta_Spa_Brochure_compressed.pdf</t>
  </si>
  <si>
    <t xml:space="preserve">https://d7h9v39iheghu.cloudfront.net/previews/7837a234-9635-4da8-b132-476aacd9b4c1/ce68c26e-199b-4d65-a176-7b39c831a9e6/ce68c26e-199b-4d65-a176-7b39c831a9e6?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</si>
  <si>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0b167e69d2aac7d54c8c7681d5f1e42a08bd8428f8187c3fb33b5eaa7ecacc75</t>
  </si>
  <si>
    <t xml:space="preserve">library/157_the-nautilus-maldives/spa_menu/2020_Solasta_Spa_Brochure_compressed.pdf</t>
  </si>
  <si>
    <t xml:space="preserve">2023_The Nautilus Maldives Sales Kit _1_.pdf</t>
  </si>
  <si>
    <t xml:space="preserve">https://d7h9v39iheghu.cloudfront.net/previews/7837a234-9635-4da8-b132-476aacd9b4c1/d65c0428-fc6b-4dcd-8d1b-285ea8d6e9e2/21e852e9-196a-48b9-91e1-2281cff253af?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</si>
  <si>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79a2797792a3a5095991bf67eb8564280b7084677196a6cabfaa0110f8a1b547</t>
  </si>
  <si>
    <t xml:space="preserve">library/157_the-nautilus-maldives/dining_menu/2023_The Nautilus Maldives Sales Kit _1_.pdf</t>
  </si>
  <si>
    <t xml:space="preserve">2024_The Nautilus Maldives - Families.pdf</t>
  </si>
  <si>
    <t xml:space="preserve">https://d7h9v39iheghu.cloudfront.net/previews/7837a234-9635-4da8-b132-476aacd9b4c1/ce749cee-1632-409d-ae91-c40df7895859/ce749cee-1632-409d-ae91-c40df7895859?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</si>
  <si>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b889641d431c18d0c7b9b733cff7cfb728dd86012c112a1279c4b8a88e663d75</t>
  </si>
  <si>
    <t xml:space="preserve">library/157_the-nautilus-maldives/excursions/2024_The Nautilus Maldives - Families.pdf</t>
  </si>
  <si>
    <t xml:space="preserve">2021_Press Release_The Nautilus Maldives is Calling for Ocean Discovery.pdf</t>
  </si>
  <si>
    <t xml:space="preserve">https://d7h9v39iheghu.cloudfront.net/previews/7837a234-9635-4da8-b132-476aacd9b4c1/be05c427-0cc2-4184-bae9-e353ad78309b/be05c427-0cc2-4184-bae9-e353ad78309b?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</si>
  <si>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525fdbe114f71573c691dc1ebfee9ac26d140fe0237835f730225260759a01b9</t>
  </si>
  <si>
    <t xml:space="preserve">library/157_the-nautilus-maldives/excursions/2021_Press Release_The Nautilus Maldives is Calling for Ocean Discovery.pdf</t>
  </si>
  <si>
    <t xml:space="preserve">2026_The Nautilus Maldives - Sales Kit 2026.pdf</t>
  </si>
  <si>
    <t xml:space="preserve">https://d7h9v39iheghu.cloudfront.net/previews/7837a234-9635-4da8-b132-476aacd9b4c1/694d46c4-8b50-4ff4-9a69-e7b91f6952b2/694d46c4-8b50-4ff4-9a69-e7b91f6952b2?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</si>
  <si>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https://d7h9v39iheghu.cloudfront.net/previews/7837a234-9635-4da8-b132-476aacd9b4c1/694d46c4-8b50-4ff4-9a69-e7b91f6952b2/694d46c4-8b50-4ff4-9a69-e7b91f6952b2?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 | https://d7h9v39iheghu.cloudfront.net/previews/7837a234-9635-4da8-b132-476aacd9b4c1/be3523dc-9f26-4bb9-b004-6af57e55652f/be3523dc-9f26-4bb9-b004-6af57e55652f?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</si>
  <si>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9089dd1219006dc07e7a42066bd317af0d23dddf066c172010eca28bf7fcccf0</t>
  </si>
  <si>
    <t xml:space="preserve">library/157_the-nautilus-maldives/villa_plans/2026_The Nautilus Maldives - Sales Kit 2026.pdf</t>
  </si>
  <si>
    <t xml:space="preserve">2024_TNM Sales Kit as of 2462025.pdf</t>
  </si>
  <si>
    <t xml:space="preserve">https://d7h9v39iheghu.cloudfront.net/previews/7837a234-9635-4da8-b132-476aacd9b4c1/0168a6f6-7661-4f0b-af4b-0530d1c70c47/6fb2c265-dbe5-496a-9790-71aba6632946?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</si>
  <si>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b03b17530cd7937ebf35625ba2216dfa08d2b0d83309b7b6e5ce36d5d03a5a01</t>
  </si>
  <si>
    <t xml:space="preserve">library/157_the-nautilus-maldives/villa_plans/2024_TNM Sales Kit as of 2462025.pdf</t>
  </si>
  <si>
    <t xml:space="preserve">2019_Nautilus-Maldives-Floorplan-6-The-Nautilus-Retreat.pdf</t>
  </si>
  <si>
    <t xml:space="preserve">https://d7h9v39iheghu.cloudfront.net/previews/7837a234-9635-4da8-b132-476aacd9b4c1/60ed4864-24c8-4076-8f6d-f1b3bae9d391/60ed4864-24c8-4076-8f6d-f1b3bae9d391?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</si>
  <si>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56efa0c5af765f5859636674ca0dee2e7deeda302f805838e0d705bea9e333a6</t>
  </si>
  <si>
    <t xml:space="preserve">library/157_the-nautilus-maldives/villa_plans/2019_Nautilus-Maldives-Floorplan-6-The-Nautilus-Retreat.pdf</t>
  </si>
  <si>
    <t xml:space="preserve">2019_Nautilus-Maldives-Floorplan-3-Ocean-Residence.pdf</t>
  </si>
  <si>
    <t xml:space="preserve">https://d7h9v39iheghu.cloudfront.net/previews/7837a234-9635-4da8-b132-476aacd9b4c1/82373ee1-d095-4851-b250-d02c88c24ced/82373ee1-d095-4851-b250-d02c88c24ced?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</si>
  <si>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bb64be46ca7bbef6860df024658b1eebb1c70265132db3b8e34fa648345cced3</t>
  </si>
  <si>
    <t xml:space="preserve">library/157_the-nautilus-maldives/villa_plans/2019_Nautilus-Maldives-Floorplan-3-Ocean-Residence.pdf</t>
  </si>
  <si>
    <t xml:space="preserve">2019_Nautilus-Maldives-Floorplan-2-Ocean-House.pdf</t>
  </si>
  <si>
    <t xml:space="preserve">https://d7h9v39iheghu.cloudfront.net/previews/7837a234-9635-4da8-b132-476aacd9b4c1/8cfd6009-2651-4bad-af5d-da7470e0ca08/8cfd6009-2651-4bad-af5d-da7470e0ca08?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</si>
  <si>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a1d8694d0103cffccd95c767ae8214203708e5f9097c9db5e6a5f55448efdcd1</t>
  </si>
  <si>
    <t xml:space="preserve">library/157_the-nautilus-maldives/villa_plans/2019_Nautilus-Maldives-Floorplan-2-Ocean-House.pdf</t>
  </si>
  <si>
    <t xml:space="preserve">2019_Nautilus-Maldives-Floorplan-4-Beach-Residence.pdf</t>
  </si>
  <si>
    <t xml:space="preserve">https://d7h9v39iheghu.cloudfront.net/previews/7837a234-9635-4da8-b132-476aacd9b4c1/ad682efb-4b0e-4614-a443-246162f5ae31/ad682efb-4b0e-4614-a443-246162f5ae31?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</si>
  <si>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e524ad32ec7a58160f9b2f9516fdc00ea396146a5966bd98a1122c9fa8e1b194</t>
  </si>
  <si>
    <t xml:space="preserve">library/157_the-nautilus-maldives/villa_plans/2019_Nautilus-Maldives-Floorplan-4-Beach-Residence.pdf</t>
  </si>
  <si>
    <t xml:space="preserve">2019_Nautilus-Maldives-Floorplan-5-two-bed-beach-residence.pdf</t>
  </si>
  <si>
    <t xml:space="preserve">https://d7h9v39iheghu.cloudfront.net/previews/7837a234-9635-4da8-b132-476aacd9b4c1/c39635c8-3f0a-415b-8b20-453583d8223e/c39635c8-3f0a-415b-8b20-453583d8223e?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</si>
  <si>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1fc878ba8eabda72b71d5d52fad239809da09f53c5857075cda2eb39da3b7ec8</t>
  </si>
  <si>
    <t xml:space="preserve">library/157_the-nautilus-maldives/villa_plans/2019_Nautilus-Maldives-Floorplan-5-two-bed-beach-residence.pdf</t>
  </si>
  <si>
    <t xml:space="preserve">2019_Nautilus-Maldives-Floorplan-7-The-Nautilus-Mansion.pdf</t>
  </si>
  <si>
    <t xml:space="preserve">https://d7h9v39iheghu.cloudfront.net/previews/7837a234-9635-4da8-b132-476aacd9b4c1/cde17382-fcb9-4741-9f43-e09297a824cb/cde17382-fcb9-4741-9f43-e09297a824cb?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</si>
  <si>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185d885d9eae5d9113d9f3f2686adc4083bfb16ebd5351d2cc29d14c18071311</t>
  </si>
  <si>
    <t xml:space="preserve">library/157_the-nautilus-maldives/villa_plans/2019_Nautilus-Maldives-Floorplan-7-The-Nautilus-Mansion.pdf</t>
  </si>
  <si>
    <t xml:space="preserve">2019_Nautilus-Maldives-Floorplan-1-Beach-House.pdf</t>
  </si>
  <si>
    <t xml:space="preserve">https://d7h9v39iheghu.cloudfront.net/previews/7837a234-9635-4da8-b132-476aacd9b4c1/6dd4b1d3-57aa-470e-acc1-7bd8e037b8e9/6dd4b1d3-57aa-470e-acc1-7bd8e037b8e9?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</si>
  <si>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323554b3a9f63f01f7ca91026a11e970af73489ac18a7e8623af6dc8b39d0eb8</t>
  </si>
  <si>
    <t xml:space="preserve">library/157_the-nautilus-maldives/villa_plans/2019_Nautilus-Maldives-Floorplan-1-Beach-House.pdf</t>
  </si>
  <si>
    <t xml:space="preserve">2024_Celebrations at The Nautilus.pdf</t>
  </si>
  <si>
    <t xml:space="preserve">https://d7h9v39iheghu.cloudfront.net/previews/7837a234-9635-4da8-b132-476aacd9b4c1/868ea52e-50ad-4be1-96ab-9dd050de339b/868ea52e-50ad-4be1-96ab-9dd050de339b?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</si>
  <si>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799aa2c063c1e687d1afb5f53be04bbd4b1429f6230df76cbd340cc5f05102dc</t>
  </si>
  <si>
    <t xml:space="preserve">library/157_the-nautilus-maldives/all_inclusive/2024_Celebrations at The Nautilus.pdf</t>
  </si>
  <si>
    <t xml:space="preserve">2025_The Nautilus Maldives - Sustainability Guide.pdf</t>
  </si>
  <si>
    <t xml:space="preserve">https://d7h9v39iheghu.cloudfront.net/previews/7837a234-9635-4da8-b132-476aacd9b4c1/13fbf2f3-fbac-44dc-a130-39d68eafce93/13fbf2f3-fbac-44dc-a130-39d68eafce93?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</si>
  <si>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42c077e8f11ef25e315db6318dc1159f0401e22bb030947aa654fa7a46f71b04</t>
  </si>
  <si>
    <t xml:space="preserve">library/157_the-nautilus-maldives/sustainability/2025_The Nautilus Maldives - Sustainability Guide.pdf</t>
  </si>
  <si>
    <t xml:space="preserve">2025_The Nautilus Maldives Buy-out Brochure.pdf</t>
  </si>
  <si>
    <t xml:space="preserve">https://d7h9v39iheghu.cloudfront.net/previews/7837a234-9635-4da8-b132-476aacd9b4c1/821b070a-f4cb-4351-8508-114e9a8a9e0d/821b070a-f4cb-4351-8508-114e9a8a9e0d?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</si>
  <si>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750bdaeb5f5575774092c484f1e92c31846eac5f2d6aaaa0ab37fd0344686ef1</t>
  </si>
  <si>
    <t xml:space="preserve">library/157_the-nautilus-maldives/brochure/2025_The Nautilus Maldives Buy-out Brochure.pdf</t>
  </si>
  <si>
    <t xml:space="preserve">2022_The Nautilus Maldives Brochure.pdf</t>
  </si>
  <si>
    <t xml:space="preserve">https://d7h9v39iheghu.cloudfront.net/previews/7837a234-9635-4da8-b132-476aacd9b4c1/3beeaeab-d6e8-4b62-ac78-f796c0ca4132/3beeaeab-d6e8-4b62-ac78-f796c0ca4132?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</si>
  <si>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b096c32d893e8665061f94bb8957616395bafc1bbe4eb1c66562b53e00c2d31b</t>
  </si>
  <si>
    <t xml:space="preserve">library/157_the-nautilus-maldives/brochure/2022_The Nautilus Maldives Brochure.pdf</t>
  </si>
  <si>
    <t xml:space="preserve">2025_PAM_FACTSHEET_2025.pdf</t>
  </si>
  <si>
    <t xml:space="preserve">https://www.neoscapesmaldives.com/wp-content/uploads/PAM_FACTSHEET_2025.pdf</t>
  </si>
  <si>
    <t xml:space="preserve">a062c799005cfe80776baa56e390c74f64a80983dd3c9dc661f96073e6057aeb</t>
  </si>
  <si>
    <t xml:space="preserve">library/158_patina-maldives-fari-islands/factsheet/2025_PAM_FACTSHEET_2025.pdf</t>
  </si>
  <si>
    <t xml:space="preserve">2021_Patina-Maldives-Fari-Islands_-Resort_Map.pdf</t>
  </si>
  <si>
    <t xml:space="preserve">https://www.neoscapesmaldives.com/wp-content/uploads/Patina-Maldives-Fari-Islands_-Resort_Map.pdf</t>
  </si>
  <si>
    <t xml:space="preserve">6df387c12704fcfcf5734c6e26dce40519aa52ce063ddd42a3229504e39cb4ba</t>
  </si>
  <si>
    <t xml:space="preserve">library/158_patina-maldives-fari-islands/map/2021_Patina-Maldives-Fari-Islands_-Resort_Map.pdf</t>
  </si>
  <si>
    <t xml:space="preserve">2027_Patina_Maldives_Festive_Brochure.pdf</t>
  </si>
  <si>
    <t xml:space="preserve">https://letsgomaldives.com/wp-content/uploads/2026/08/Patina_Maldives_Festive_Brochure.pdf</t>
  </si>
  <si>
    <t xml:space="preserve">4569c79c3d2616393cb4281cc7203e1b3f73c3ebd6cb90eb3cb184c828affac6</t>
  </si>
  <si>
    <t xml:space="preserve">library/158_patina-maldives-fari-islands/calendar/2027_Patina_Maldives_Festive_Brochure.pdf</t>
  </si>
  <si>
    <t xml:space="preserve">2026_Easter-at-Patina-Maldives_2026.pdf</t>
  </si>
  <si>
    <t xml:space="preserve">https://letsgomaldives.com/wp-content/uploads/2026/02/Easter-at-Patina-Maldives_2026.pdf</t>
  </si>
  <si>
    <t xml:space="preserve">2c56ba22aa7e1ef048311ec24f261820697accecb5a1fc85f88cc667bbe04943</t>
  </si>
  <si>
    <t xml:space="preserve">library/158_patina-maldives-fari-islands/calendar/2026_Easter-at-Patina-Maldives_2026.pdf</t>
  </si>
  <si>
    <t xml:space="preserve">2023_Fact-sheet-Dhonveli.pdf</t>
  </si>
  <si>
    <t xml:space="preserve">https://www.neoscapesmaldives.com/wp-content/uploads/Fact-sheet-Dhonveli.pdf</t>
  </si>
  <si>
    <t xml:space="preserve">ad81e04892dd1c982557189db18d42b78d69ced7b733f574d77063055b890be5</t>
  </si>
  <si>
    <t xml:space="preserve">library/159_cinnamon-dhonveli-maldives/factsheet/2023_Fact-sheet-Dhonveli.pdf</t>
  </si>
  <si>
    <t xml:space="preserve">2025_Resort-Map_English.pdf</t>
  </si>
  <si>
    <t xml:space="preserve">https://www.neoscapesmaldives.com/wp-content/uploads/Resort-Map_English.pdf</t>
  </si>
  <si>
    <t xml:space="preserve">3438a6f4d446f465c0e74ac436e585ab079790bff7265aefec03c9c43506e416</t>
  </si>
  <si>
    <t xml:space="preserve">library/159_cinnamon-dhonveli-maldives/map/2025_Resort-Map_English.pdf</t>
  </si>
  <si>
    <t xml:space="preserve">ambiguous match [159]</t>
  </si>
  <si>
    <t xml:space="preserve">2026_Dhonveli_Festive-Brochure.pdf</t>
  </si>
  <si>
    <t xml:space="preserve">https://letsgomaldives.com/wp-content/uploads/2026/08/Dhonveli_Festive-Brochure.pdf</t>
  </si>
  <si>
    <t xml:space="preserve">9e483965c88cfd8c7341a103ba5eb60c4da6dd2b43e9cff5f136ba3105b5fd2d</t>
  </si>
  <si>
    <t xml:space="preserve">library/159_cinnamon-dhonveli-maldives/calendar/2026_Dhonveli_Festive-Brochure.pdf</t>
  </si>
  <si>
    <t xml:space="preserve">2023_Fact-sheet-Velifushi.pdf</t>
  </si>
  <si>
    <t xml:space="preserve">https://www.neoscapesmaldives.com/wp-content/uploads/Fact-sheet-Velifushi.pdf</t>
  </si>
  <si>
    <t xml:space="preserve">11eb0b8a2629b413371f35dedd359d0ad669e83b5dfa691619e70f88905e3388</t>
  </si>
  <si>
    <t xml:space="preserve">library/160_cinnamon-velifushi-maldives/factsheet/2023_Fact-sheet-Velifushi.pdf</t>
  </si>
  <si>
    <t xml:space="preserve">2025_English_Hotel-Map_.Velifushi.pdf</t>
  </si>
  <si>
    <t xml:space="preserve">https://www.neoscapesmaldives.com/wp-content/uploads/English_Hotel-Map_.Velifushi.pdf</t>
  </si>
  <si>
    <t xml:space="preserve">e606031ce3f0b7e0914a39c517cf43661bb97ba3190b60529413868aab45cb43</t>
  </si>
  <si>
    <t xml:space="preserve">library/160_cinnamon-velifushi-maldives/map/2025_English_Hotel-Map_.Velifushi.pdf</t>
  </si>
  <si>
    <t xml:space="preserve">2027_Velifushi_Festive-Brochure-.pdf</t>
  </si>
  <si>
    <t xml:space="preserve">https://letsgomaldives.com/wp-content/uploads/2026/08/Velifushi_Festive-Brochure-.pdf</t>
  </si>
  <si>
    <t xml:space="preserve">ac0a87d2474959a90125b8f3498a96046419e201d9a2e4a287cb93a454b1843c</t>
  </si>
  <si>
    <t xml:space="preserve">library/160_cinnamon-velifushi-maldives/calendar/2027_Velifushi_Festive-Brochure-.pdf</t>
  </si>
  <si>
    <t xml:space="preserve">2027_Ellaidhoo_Festive-Brochure.pdf</t>
  </si>
  <si>
    <t xml:space="preserve">https://letsgomaldives.com/wp-content/uploads/2026/08/Ellaidhoo_Festive-Brochure.pdf</t>
  </si>
  <si>
    <t xml:space="preserve">f7c761ff5a5bcbfef370dfbc589388b11c4818e76f046465a9d2038737643ba6</t>
  </si>
  <si>
    <t xml:space="preserve">library/161_ellaidhoo-maldives-by-cinnamon/calendar/2027_Ellaidhoo_Festive-Brochure.pdf</t>
  </si>
  <si>
    <t xml:space="preserve">2025_EO-GEN-009C_Pollution-Management-Plan-Crossroads-Maldives.pdf</t>
  </si>
  <si>
    <t xml:space="preserve">https://www.saiihotels.com/wp-content/uploads/2025/11/EO-GEN-009C_Pollution-Management-Plan-Crossroads-Maldives.pdf</t>
  </si>
  <si>
    <t xml:space="preserve">https://www.saiihotels.com/wp-content/uploads/2025/11/EO-GEN-009C_Pollution-Management-Plan-Crossroads-Maldives.pdf | https://hotel.hardrock.com/maldives/files/6016/EO-GEN-009C_Pollution_Management_Plan_-_Crossroads_Maldives.pdf</t>
  </si>
  <si>
    <t xml:space="preserve">527b00844e61d7c49c772f42048a1b654a495c1067d35a55dae255080186c5a7</t>
  </si>
  <si>
    <t xml:space="preserve">library/162_the-marina-at-crossroads-maldives/map/2025_EO-GEN-009C_Pollution-Management-Plan-Crossroads-Maldives.pdf</t>
  </si>
  <si>
    <t xml:space="preserve">2025_EO-GEN-008C_Waste-Management-Plan-Crossroads-Maldives.pdf</t>
  </si>
  <si>
    <t xml:space="preserve">https://www.saiihotels.com/wp-content/uploads/2025/11/EO-GEN-008C_Waste-Management-Plan-Crossroads-Maldives.pdf</t>
  </si>
  <si>
    <t xml:space="preserve">https://www.saiihotels.com/wp-content/uploads/2025/11/EO-GEN-008C_Waste-Management-Plan-Crossroads-Maldives.pdf | https://hotel.hardrock.com/maldives/files/6016/EO-GEN-008C_Waste_Management_Plan_-_Crossroads_Maldives.pdf</t>
  </si>
  <si>
    <t xml:space="preserve">d654c51a97a72833e2998e114eac876aa8e41064e0b07080d8c8327093c8576c</t>
  </si>
  <si>
    <t xml:space="preserve">library/162_the-marina-at-crossroads-maldives/map/2025_EO-GEN-008C_Waste-Management-Plan-Crossroads-Maldives.pdf</t>
  </si>
  <si>
    <t xml:space="preserve">2023_Hard-Rock-Hotel-Resort-Map-2023.pdf</t>
  </si>
  <si>
    <t xml:space="preserve">https://www.neoscapesmaldives.com/wp-content/uploads/Hard-Rock-Hotel-Resort-Map-2023.pdf</t>
  </si>
  <si>
    <t xml:space="preserve">61ddb7b5a8c09338981be92f4512ee7f957c22b6727095a9a680452fe6d5441f</t>
  </si>
  <si>
    <t xml:space="preserve">library/162_the-marina-at-crossroads-maldives/map/2023_Hard-Rock-Hotel-Resort-Map-2023.pdf</t>
  </si>
  <si>
    <t xml:space="preserve">2023_EO-GEN-002C_Sustainability-Management-Plan-Crossroads-Maldives-1.pdf</t>
  </si>
  <si>
    <t xml:space="preserve">https://www.saiihotels.com/wp-content/uploads/2025/11/EO-GEN-002C_Sustainability-Management-Plan-Crossroads-Maldives-1.pdf</t>
  </si>
  <si>
    <t xml:space="preserve">https://www.saiihotels.com/wp-content/uploads/2025/11/EO-GEN-002C_Sustainability-Management-Plan-Crossroads-Maldives-1.pdf | https://www.saiihotels.com/wp-content/uploads/2025/11/EO-GEN-002C_Sustainability-Management-Plan-Crossroads-Maldives.pdf | https://hotel.hardrock.com/maldives/files/6016/EO-GEN-002C_Sustainability_Management_Plan_-_Crossroads_Maldives.pdf</t>
  </si>
  <si>
    <t xml:space="preserve">3516c6e79f255aa5b076fb87288a870f4d8265d521cf626e6f48c855f76ec27c</t>
  </si>
  <si>
    <t xml:space="preserve">library/162_the-marina-at-crossroads-maldives/map/2023_EO-GEN-002C_Sustainability-Management-Plan-Crossroads-Maldives-1.pdf</t>
  </si>
  <si>
    <t xml:space="preserve">2026_HRH_AI_Premium_Drinks_Menu.pdf</t>
  </si>
  <si>
    <t xml:space="preserve">https://hotel.hardrock.com/maldives/files/6016/HRH_AI_Premium_Drinks_Menu.pdf</t>
  </si>
  <si>
    <t xml:space="preserve">9bd25440c4e68570b6cbfb752b9398400e01dc1e742af5d9549dca63b35a0c9b</t>
  </si>
  <si>
    <t xml:space="preserve">library/162_the-marina-at-crossroads-maldives/dining_menu/2026_HRH_AI_Premium_Drinks_Menu.pdf</t>
  </si>
  <si>
    <t xml:space="preserve">2026_2026_Crossroads_Excursion_price_list_.pdf</t>
  </si>
  <si>
    <t xml:space="preserve">https://www.saiihotels.com/wp-content/uploads/2026/04/2026_Crossroads_Excursion_price_list_.pdf</t>
  </si>
  <si>
    <t xml:space="preserve">https://www.saiihotels.com/wp-content/uploads/2026/04/2026_Crossroads_Excursion_price_list_.pdf | https://hotel.hardrock.com/maldives/files/6016/2026_Crossroads_Excursion_price_list_.pdf</t>
  </si>
  <si>
    <t xml:space="preserve">742bb63f021e1cd410aeac9f223c29220e3591037d45af27525079a959d8d30e</t>
  </si>
  <si>
    <t xml:space="preserve">library/162_the-marina-at-crossroads-maldives/dive_prices/2026_2026_Crossroads_Excursion_price_list_.pdf</t>
  </si>
  <si>
    <t xml:space="preserve">2026_2026_Crossroads_Diving_price_list_.pdf</t>
  </si>
  <si>
    <t xml:space="preserve">https://www.saiihotels.com/wp-content/uploads/2026/04/2026_Crossroads_Diving_price_list_.pdf</t>
  </si>
  <si>
    <t xml:space="preserve">a7ae5fb0c304066eacf14d11479c1c594bc4534eaf693cbd792327a741a60e65</t>
  </si>
  <si>
    <t xml:space="preserve">library/162_the-marina-at-crossroads-maldives/dive_prices/2026_2026_Crossroads_Diving_price_list_.pdf</t>
  </si>
  <si>
    <t xml:space="preserve">2026_2026_Corssroads_Watersports_price_list__18-12-25.pdf</t>
  </si>
  <si>
    <t xml:space="preserve">https://www.saiihotels.com/wp-content/uploads/2026/04/2026_Corssroads_Watersports_price_list__18-12-25.pdf</t>
  </si>
  <si>
    <t xml:space="preserve">c27bbd1bacc28de830b5f359ad052ff23a863bf01232a5f9e51bb5b88703fd43</t>
  </si>
  <si>
    <t xml:space="preserve">library/162_the-marina-at-crossroads-maldives/dive_prices/2026_2026_Corssroads_Watersports_price_list__18-12-25.pdf</t>
  </si>
  <si>
    <t xml:space="preserve">2026_2026-Crossroads-Water-sports-catalogue-18-12-25.pdf</t>
  </si>
  <si>
    <t xml:space="preserve">https://www.saiihotels.com/wp-content/uploads/2025/12/2026-Crossroads-Water-sports-catalogue-18-12-25.pdf</t>
  </si>
  <si>
    <t xml:space="preserve">https://www.saiihotels.com/wp-content/uploads/2025/12/2026-Crossroads-Water-sports-catalogue-18-12-25.pdf | https://hotel.hardrock.com/maldives/files/6016/2026_Crossroads_Water_sports_catalogue_18-12-25.pdf</t>
  </si>
  <si>
    <t xml:space="preserve">f88656db3decd85ae504b815b4fd8617bf0e2a51d4f8cd378b733057915c5e48</t>
  </si>
  <si>
    <t xml:space="preserve">library/162_the-marina-at-crossroads-maldives/dive_prices/2026_2026-Crossroads-Water-sports-catalogue-18-12-25.pdf</t>
  </si>
  <si>
    <t xml:space="preserve">2026_2026-Crossroads-Dive-Catalogue-compressed.pdf</t>
  </si>
  <si>
    <t xml:space="preserve">https://www.saiihotels.com/wp-content/uploads/2025/12/2026-Crossroads-Dive-Catalogue-compressed.pdf</t>
  </si>
  <si>
    <t xml:space="preserve">https://www.saiihotels.com/wp-content/uploads/2025/12/2026-Crossroads-Dive-Catalogue-compressed.pdf | https://hotel.hardrock.com/maldives/files/6016/2026_Crossroads__Dive_Catalogue-compressed.pdf</t>
  </si>
  <si>
    <t xml:space="preserve">40f535f326bff33a2b6c8ff724759806c62d100e82cd441e7ab775d725a794ec</t>
  </si>
  <si>
    <t xml:space="preserve">library/162_the-marina-at-crossroads-maldives/dive_prices/2026_2026-Crossroads-Dive-Catalogue-compressed.pdf</t>
  </si>
  <si>
    <t xml:space="preserve">2026_293e34f5_2026_Crossroads_Diving_price_list_.pdf</t>
  </si>
  <si>
    <t xml:space="preserve">https://hotel.hardrock.com/maldives/files/6016/2026_Crossroads_Diving_price_list_.pdf</t>
  </si>
  <si>
    <t xml:space="preserve">293e34f5e6dcf6893c90aa8e1362f4916b9a38d409a8594d7ffa7016a02ef5ac</t>
  </si>
  <si>
    <t xml:space="preserve">library/162_the-marina-at-crossroads-maldives/dive_prices/2026_293e34f5_2026_Crossroads_Diving_price_list_.pdf</t>
  </si>
  <si>
    <t xml:space="preserve">2026_448760f9_2026_Corssroads_Watersports_price_list__18-12-25.pdf</t>
  </si>
  <si>
    <t xml:space="preserve">https://hotel.hardrock.com/maldives/files/6016/2026_Corssroads_Watersports_price_list__18-12-25.pdf</t>
  </si>
  <si>
    <t xml:space="preserve">448760f95c809947a9a0749b6e73e8c67a275972f9d730abffe960535dcecf0d</t>
  </si>
  <si>
    <t xml:space="preserve">library/162_the-marina-at-crossroads-maldives/dive_prices/2026_448760f9_2026_Corssroads_Watersports_price_list__18-12-25.pdf</t>
  </si>
  <si>
    <t xml:space="preserve">2025_2025_Crossroads__Weekly_Excursions_Schedule.pdf</t>
  </si>
  <si>
    <t xml:space="preserve">https://hotel.hardrock.com/maldives/files/6016/2025_Crossroads__Weekly_Excursions_Schedule.pdf</t>
  </si>
  <si>
    <t xml:space="preserve">de9aa0e4aa4ddac490b2767177363966842103c76f1b0d855e479bf6db7ba44f</t>
  </si>
  <si>
    <t xml:space="preserve">library/162_the-marina-at-crossroads-maldives/excursions/2025_2025_Crossroads__Weekly_Excursions_Schedule.pdf</t>
  </si>
  <si>
    <t xml:space="preserve">2026_SAii-Beach-Club-Eid-Family-Package-1.pdf</t>
  </si>
  <si>
    <t xml:space="preserve">https://www.saiihotels.com/wp-content/uploads/2026/05/SAii-Beach-Club-Eid-Family-Package-1.pdf</t>
  </si>
  <si>
    <t xml:space="preserve">4e8ce9de8157a5cfb49a5bdb6c8231d3e318d28defb47606c965bcefcbe554f9</t>
  </si>
  <si>
    <t xml:space="preserve">library/162_the-marina-at-crossroads-maldives/kids/2026_SAii-Beach-Club-Eid-Family-Package-1.pdf</t>
  </si>
  <si>
    <t xml:space="preserve">2025_EO-GEN-005C_Biodiversity-Policy-Crossroads-Maldives.pdf</t>
  </si>
  <si>
    <t xml:space="preserve">https://www.saiihotels.com/wp-content/uploads/2025/11/EO-GEN-005C_Biodiversity-Policy-Crossroads-Maldives.pdf</t>
  </si>
  <si>
    <t xml:space="preserve">https://www.saiihotels.com/wp-content/uploads/2025/11/EO-GEN-005C_Biodiversity-Policy-Crossroads-Maldives.pdf | https://hotel.hardrock.com/maldives/files/6016/EO-GEN-005C_Biodiversity_Policy_-_Crossroads_Maldives.pdf</t>
  </si>
  <si>
    <t xml:space="preserve">3c5f3d8454a6d4b526603132d6fded70dc9c03ef4b2ce5bee14abc0f92bbbb25</t>
  </si>
  <si>
    <t xml:space="preserve">library/162_the-marina-at-crossroads-maldives/sustainability/2025_EO-GEN-005C_Biodiversity-Policy-Crossroads-Maldives.pdf</t>
  </si>
  <si>
    <t xml:space="preserve">2025_EO-GEN-004C_Environmental-Purchasing-Policy-Crossroads-Maldives.pdf</t>
  </si>
  <si>
    <t xml:space="preserve">https://www.saiihotels.com/wp-content/uploads/2025/11/EO-GEN-004C_Environmental-Purchasing-Policy-Crossroads-Maldives.pdf</t>
  </si>
  <si>
    <t xml:space="preserve">https://www.saiihotels.com/wp-content/uploads/2025/11/EO-GEN-004C_Environmental-Purchasing-Policy-Crossroads-Maldives.pdf | https://hotel.hardrock.com/maldives/files/6016/EO-GEN-004C_Environmental_Purchasing_Policy_-_Crossroads_Maldives.pdf</t>
  </si>
  <si>
    <t xml:space="preserve">ddcdc1bd3f53d1afed8fa14510a546acec1ebcffe475a73697d5c60b69bffc2b</t>
  </si>
  <si>
    <t xml:space="preserve">library/162_the-marina-at-crossroads-maldives/sustainability/2025_EO-GEN-004C_Environmental-Purchasing-Policy-Crossroads-Maldives.pdf</t>
  </si>
  <si>
    <t xml:space="preserve">2025_EO-GEN-003C_Environmental-Policy-Crossroads-Maldives.pdf</t>
  </si>
  <si>
    <t xml:space="preserve">https://www.saiihotels.com/wp-content/uploads/2025/11/EO-GEN-003C_Environmental-Policy-Crossroads-Maldives.pdf</t>
  </si>
  <si>
    <t xml:space="preserve">https://www.saiihotels.com/wp-content/uploads/2025/11/EO-GEN-003C_Environmental-Policy-Crossroads-Maldives.pdf | https://hotel.hardrock.com/maldives/files/6016/EO-GEN-003C_Environmental_Policy_-_Crossroads_Maldives.pdf</t>
  </si>
  <si>
    <t xml:space="preserve">55862494ee18ef68f04f00f05d19f2b1866e9d8dff9fa181b24b6306c1807914</t>
  </si>
  <si>
    <t xml:space="preserve">library/162_the-marina-at-crossroads-maldives/sustainability/2025_EO-GEN-003C_Environmental-Policy-Crossroads-Maldives.pdf</t>
  </si>
  <si>
    <t xml:space="preserve">2025_EO-GEN-007C_Landscaping-Policy-Crossroads-Maldives.pdf</t>
  </si>
  <si>
    <t xml:space="preserve">https://www.saiihotels.com/wp-content/uploads/2025/11/EO-GEN-007C_Landscaping-Policy-Crossroads-Maldives.pdf</t>
  </si>
  <si>
    <t xml:space="preserve">https://www.saiihotels.com/wp-content/uploads/2025/11/EO-GEN-007C_Landscaping-Policy-Crossroads-Maldives.pdf | https://hotel.hardrock.com/maldives/files/6016/EO-GEN-007C_Landscaping_Policy_-_Crossroads_Maldives.pdf</t>
  </si>
  <si>
    <t xml:space="preserve">3c64457a0d8a26a624d96b8feca070c298d451fd560b76b9dd7fbca67f335da6</t>
  </si>
  <si>
    <t xml:space="preserve">library/162_the-marina-at-crossroads-maldives/sustainability/2025_EO-GEN-007C_Landscaping-Policy-Crossroads-Maldives.pdf</t>
  </si>
  <si>
    <t xml:space="preserve">2025_EO-GEN-006C_Code-of-Conduct-for-Business-Partners-Crossroads-Maldives.pdf</t>
  </si>
  <si>
    <t xml:space="preserve">https://www.saiihotels.com/wp-content/uploads/2025/11/EO-GEN-006C_Code-of-Conduct-for-Business-Partners-Crossroads-Maldives.pdf</t>
  </si>
  <si>
    <t xml:space="preserve">https://www.saiihotels.com/wp-content/uploads/2025/11/EO-GEN-006C_Code-of-Conduct-for-Business-Partners-Crossroads-Maldives.pdf | https://hotel.hardrock.com/maldives/files/6016/EO-GEN-006C_Code_of_Conduct_for_Business_Partners_-_Crossroads_Maldives.pdf</t>
  </si>
  <si>
    <t xml:space="preserve">d2bfce94577f974633dccd65f45a0ee998c82b1ad2a74b9af7f20a3cca3e6f6e</t>
  </si>
  <si>
    <t xml:space="preserve">library/162_the-marina-at-crossroads-maldives/sustainability/2025_EO-GEN-006C_Code-of-Conduct-for-Business-Partners-Crossroads-Maldives.pdf</t>
  </si>
  <si>
    <t xml:space="preserve">2026_2026-Crossroads-Recreation-Catalog-.pdf</t>
  </si>
  <si>
    <t xml:space="preserve">https://www.saiihotels.com/wp-content/uploads/2025/12/2026-Crossroads-Recreation-Catalog-.pdf</t>
  </si>
  <si>
    <t xml:space="preserve">e0beb25bf3ba75b5ca2d0159857ff20a6f28fa0f7b0ba2fbb004434a456e8d7c</t>
  </si>
  <si>
    <t xml:space="preserve">library/162_the-marina-at-crossroads-maldives/brochure/2026_2026-Crossroads-Recreation-Catalog-.pdf</t>
  </si>
  <si>
    <t xml:space="preserve">2026_2026_Crossroads_Recreation_Catalog_-compressed.pdf</t>
  </si>
  <si>
    <t xml:space="preserve">https://hotel.hardrock.com/maldives/files/6016/2026_Crossroads_Recreation_Catalog_-compressed.pdf</t>
  </si>
  <si>
    <t xml:space="preserve">30c906fdd885f35fde5a8d60d4fe46a81b67dbaf147d0cbf6eb09591386f6f2f</t>
  </si>
  <si>
    <t xml:space="preserve">library/162_the-marina-at-crossroads-maldives/brochure/2026_2026_Crossroads_Recreation_Catalog_-compressed.pdf</t>
  </si>
  <si>
    <t xml:space="preserve">2023_Fact-Sheet-Adaara-Prestige-Vadoo.pdf</t>
  </si>
  <si>
    <t xml:space="preserve">https://www.neoscapesmaldives.com/wp-content/uploads/Fact-Sheet-Adaara-Prestige-Vadoo.pdf</t>
  </si>
  <si>
    <t xml:space="preserve">b01f2b07821b4c316c0bbd7d9f36bc17c88477bcdcc1020a9ecc9bfcef53fa1e</t>
  </si>
  <si>
    <t xml:space="preserve">library/163_adaaran-prestige-vadoo/factsheet/2023_Fact-Sheet-Adaara-Prestige-Vadoo.pdf</t>
  </si>
  <si>
    <t xml:space="preserve">2023_Resort-Map-Adaara-Prestige-Vadoo.pdf</t>
  </si>
  <si>
    <t xml:space="preserve">https://www.neoscapesmaldives.com/wp-content/uploads/Resort-Map-Adaara-Prestige-Vadoo.pdf</t>
  </si>
  <si>
    <t xml:space="preserve">dc6798236195c4bd885bf35481d88b4cbf1c2c27d312d7b00fe6f0e99b81d77d</t>
  </si>
  <si>
    <t xml:space="preserve">library/163_adaaran-prestige-vadoo/map/2023_Resort-Map-Adaara-Prestige-Vadoo.pdf</t>
  </si>
  <si>
    <t xml:space="preserve">2025_Sustainabilty-Report-APV-2025-26_compressed.pdf</t>
  </si>
  <si>
    <t xml:space="preserve">https://adaaran.eme-devops.com/2026/05/Sustainabilty-Report-APV-2025-26_compressed.pdf</t>
  </si>
  <si>
    <t xml:space="preserve">d3bfd9878e80ae4c8ee5ae57401863aaac2bd4d35ad3f45d5f799928d5fbbf3b</t>
  </si>
  <si>
    <t xml:space="preserve">library/163_adaaran-prestige-vadoo/sustainability/2025_Sustainabilty-Report-APV-2025-26_compressed.pdf</t>
  </si>
  <si>
    <t xml:space="preserve">2024_Adaaran-Prestige-Vadoo-_-Sustainability-Report-20242025.pdf</t>
  </si>
  <si>
    <t xml:space="preserve">https://adaaran.eme-devops.com/2025/08/Adaaran-Prestige-Vadoo-%E2%80%93-Sustainability-Report-20242025.pdf</t>
  </si>
  <si>
    <t xml:space="preserve">42f2348038408ebed202c6e362ade2125747d3ecdcf48c91078b0204b7e8a473</t>
  </si>
  <si>
    <t xml:space="preserve">library/163_adaaran-prestige-vadoo/sustainability/2024_Adaaran-Prestige-Vadoo-_-Sustainability-Report-20242025.pdf</t>
  </si>
  <si>
    <t xml:space="preserve">2023_Adaaran-Prestige-Vadoo-Sustainability-Report-2023-24.pdf</t>
  </si>
  <si>
    <t xml:space="preserve">https://adaaran.eme-devops.com/2025/08/Adaaran-Prestige-Vadoo-Sustainability-Report-2023-24.pdf</t>
  </si>
  <si>
    <t xml:space="preserve">1a3591724065ff4b8b83d8e6e234e3c5eae21855cc060991d4abd3d9a548af8b</t>
  </si>
  <si>
    <t xml:space="preserve">library/163_adaaran-prestige-vadoo/sustainability/2023_Adaaran-Prestige-Vadoo-Sustainability-Report-2023-24.pdf</t>
  </si>
  <si>
    <t xml:space="preserve">2022_Adaaran-Prestige-Vadoo-Sustainability-Report-2022-23.pdf</t>
  </si>
  <si>
    <t xml:space="preserve">https://adaaran.eme-devops.com/2025/08/Adaaran-Prestige-Vadoo-Sustainability-Report-2022-23.pdf</t>
  </si>
  <si>
    <t xml:space="preserve">ca950cf98e698ec2e180670be0a31e71be3545a650f89489ea14962ca7fd0f98</t>
  </si>
  <si>
    <t xml:space="preserve">library/163_adaaran-prestige-vadoo/sustainability/2022_Adaaran-Prestige-Vadoo-Sustainability-Report-2022-23.pdf</t>
  </si>
  <si>
    <t xml:space="preserve">2021_Adaaran-Prestige-Vadoo-Sustainability-Report-2021-22.pdf</t>
  </si>
  <si>
    <t xml:space="preserve">https://adaaran.eme-devops.com/2025/08/Adaaran-Prestige-Vadoo-Sustainability-Report-2021-22.pdf</t>
  </si>
  <si>
    <t xml:space="preserve">9936a7b21e8bd9fcf264a8e22b6a0b2e2c949f82c2fa7e68ac3669e92771ffae</t>
  </si>
  <si>
    <t xml:space="preserve">library/163_adaaran-prestige-vadoo/sustainability/2021_Adaaran-Prestige-Vadoo-Sustainability-Report-2021-22.pdf</t>
  </si>
  <si>
    <t xml:space="preserve">2019_Adaaran-Prestige-Vadoo-Sustainability-Report-2019-20-21.pdf</t>
  </si>
  <si>
    <t xml:space="preserve">https://adaaran.eme-devops.com/2025/08/Adaaran-Prestige-Vadoo-Sustainability-Report-2019-20-21.pdf</t>
  </si>
  <si>
    <t xml:space="preserve">592507131e46d8412ae8194301ceb311e91ff1006ad1d80cc9ded64a9a113cce</t>
  </si>
  <si>
    <t xml:space="preserve">library/163_adaaran-prestige-vadoo/sustainability/2019_Adaaran-Prestige-Vadoo-Sustainability-Report-2019-20-21.pdf</t>
  </si>
  <si>
    <t xml:space="preserve">2026_Baros.pdf</t>
  </si>
  <si>
    <t xml:space="preserve">https://awesomegetawaymaldives.com/wp-content/uploads/2026/03/Baros.pdf</t>
  </si>
  <si>
    <t xml:space="preserve">https://awesomegetawaymaldives.com/wp-content/uploads/2026/03/Baros.pdf | https://awesomegetawaymaldives.com/wp-content/uploads/2026/03/Baros-Factsheet.pdf</t>
  </si>
  <si>
    <t xml:space="preserve">74411c269142a6c89eeed1bcaf3cf380a9410e72c70ad7ff97109b1602b2add2</t>
  </si>
  <si>
    <t xml:space="preserve">library/164_baros-maldives/factsheet/2026_Baros.pdf</t>
  </si>
  <si>
    <t xml:space="preserve">2022_Factsheet-Baros-Maldives.pdf</t>
  </si>
  <si>
    <t xml:space="preserve">https://www.neoscapesmaldives.com/wp-content/uploads/Factsheet-Baros-Maldives.pdf</t>
  </si>
  <si>
    <t xml:space="preserve">edb0616684f53c50c3a2ea0b72a1651aaf12e0047b97609807ef40e8faeaf82d</t>
  </si>
  <si>
    <t xml:space="preserve">library/164_baros-maldives/factsheet/2022_Factsheet-Baros-Maldives.pdf</t>
  </si>
  <si>
    <t xml:space="preserve">2022_Resort-Map-Baros-Maldives.pdf</t>
  </si>
  <si>
    <t xml:space="preserve">https://www.neoscapesmaldives.com/wp-content/uploads/Resort-Map-Baros-Maldives.pdf</t>
  </si>
  <si>
    <t xml:space="preserve">9be45d273b3f1b76847b108a463a995384009a63eff1951c3b963d9b4c7108a8</t>
  </si>
  <si>
    <t xml:space="preserve">library/164_baros-maldives/map/2022_Resort-Map-Baros-Maldives.pdf</t>
  </si>
  <si>
    <t xml:space="preserve">2026_Eid-Al-Fitr-at-Baros.pdf</t>
  </si>
  <si>
    <t xml:space="preserve">https://letsgomaldives.com/wp-content/uploads/2026/03/Eid-Al-Fitr-at-Baros.pdf</t>
  </si>
  <si>
    <t xml:space="preserve">42e16f7d81f939ec0b1a6a64c7a81195e6112cf69f91c59425d2e6d6d47569c9</t>
  </si>
  <si>
    <t xml:space="preserve">library/164_baros-maldives/excursions/2026_Eid-Al-Fitr-at-Baros.pdf</t>
  </si>
  <si>
    <t xml:space="preserve">2026_Easter_Brochure_digital.pdf</t>
  </si>
  <si>
    <t xml:space="preserve">https://letsgomaldives.com/wp-content/uploads/2026/03/Easter_Brochure_digital.pdf</t>
  </si>
  <si>
    <t xml:space="preserve">https://letsgomaldives.com/wp-content/uploads/2026/03/Easter_Brochure_digital.pdf | https://letsgomaldives.com/wp-content/uploads/2026/02/Easter_Brochure_digital.pdf</t>
  </si>
  <si>
    <t xml:space="preserve">a25c917777f1b63d1d48096b52addba7d0a862f4a00ba80a6d17134c0ea99745</t>
  </si>
  <si>
    <t xml:space="preserve">library/164_baros-maldives/calendar/2026_Easter_Brochure_digital.pdf</t>
  </si>
  <si>
    <t xml:space="preserve">2020_velasaru_resort_factsheet_rdc.pdf</t>
  </si>
  <si>
    <t xml:space="preserve">https://www.neoscapesmaldives.com/wp-content/uploads/velasaru_resort_factsheet_rdc.pdf</t>
  </si>
  <si>
    <t xml:space="preserve">8c947b6e3b36b70b092fc63906fca51ddeb8c2d2b10d91b6d9665b4e5d5a140d</t>
  </si>
  <si>
    <t xml:space="preserve">library/165_velassaru-maldives/factsheet/2020_velasaru_resort_factsheet_rdc.pdf</t>
  </si>
  <si>
    <t xml:space="preserve">2019_Velassaru_Resort__Snorkeling_Map.pdf</t>
  </si>
  <si>
    <t xml:space="preserve">https://www.neoscapesmaldives.com/wp-content/uploads/Velassaru_Resort__Snorkeling_Map.pdf</t>
  </si>
  <si>
    <t xml:space="preserve">b405f99de864afdc3bdc1d203ad43439aee582913c321220b78107bbe585b1b8</t>
  </si>
  <si>
    <t xml:space="preserve">library/165_velassaru-maldives/dive_map/2019_Velassaru_Resort__Snorkeling_Map.pdf</t>
  </si>
  <si>
    <t xml:space="preserve">2019_Factsheet-Kuramathi-Maldives.pdf</t>
  </si>
  <si>
    <t xml:space="preserve">https://www.neoscapesmaldives.com/wp-content/uploads/Factsheet-Kuramathi-Maldives.pdf</t>
  </si>
  <si>
    <t xml:space="preserve">cb548e25cfc841f705da5aa845f504735cad56a0c1d3137f5697a9528524fcc8</t>
  </si>
  <si>
    <t xml:space="preserve">library/166_kuramathi-maldives/factsheet/2019_Factsheet-Kuramathi-Maldives.pdf</t>
  </si>
  <si>
    <t xml:space="preserve">2019_Map-Kuramathi-Maldives.pdf</t>
  </si>
  <si>
    <t xml:space="preserve">https://www.neoscapesmaldives.com/wp-content/uploads/Map-Kuramathi-Maldives.pdf</t>
  </si>
  <si>
    <t xml:space="preserve">481838ccc965131ac463060448738934f72592299a286298a050c5f35cf63896</t>
  </si>
  <si>
    <t xml:space="preserve">library/166_kuramathi-maldives/map/2019_Map-Kuramathi-Maldives.pdf</t>
  </si>
  <si>
    <t xml:space="preserve">2015_Easter-on-Niva-Kuramathi.pdf</t>
  </si>
  <si>
    <t xml:space="preserve">https://letsgomaldives.com/wp-content/uploads/2026/02/Easter-on-Niva-Kuramathi.pdf</t>
  </si>
  <si>
    <t xml:space="preserve">725e29fd73b503cbf7ba42a83a6e4d23807ce21be04ffc686b592ba6511c1a44</t>
  </si>
  <si>
    <t xml:space="preserve">library/166_kuramathi-maldives/calendar/2015_Easter-on-Niva-Kuramathi.pdf</t>
  </si>
  <si>
    <t xml:space="preserve">2020_Island-Map-Milaidhoo-Island-Maldives.pdf</t>
  </si>
  <si>
    <t xml:space="preserve">https://www.neoscapesmaldives.com/wp-content/uploads/Island-Map-Milaidhoo-Island-Maldives.pdf</t>
  </si>
  <si>
    <t xml:space="preserve">9af009a0bf4da4605392629f6a9e3d8f0398fd722bda81b57204692b97117590</t>
  </si>
  <si>
    <t xml:space="preserve">library/167_milaidhoo-island-maldives/map/2020_Island-Map-Milaidhoo-Island-Maldives.pdf</t>
  </si>
  <si>
    <t xml:space="preserve">2027_Milaidhoo-Maldives-Festive-Brochure.pdf</t>
  </si>
  <si>
    <t xml:space="preserve">https://letsgomaldives.com/wp-content/uploads/2026/08/Milaidhoo-Maldives-Festive-Brochure.pdf</t>
  </si>
  <si>
    <t xml:space="preserve">d889f5eb2bd01e858762c3ec1ae2f2725bb1e73c2b74efbca2cc1d8959668436</t>
  </si>
  <si>
    <t xml:space="preserve">library/167_milaidhoo-island-maldives/calendar/2027_Milaidhoo-Maldives-Festive-Brochure.pdf</t>
  </si>
  <si>
    <t xml:space="preserve">2026_Easter-Brochure-2026.pdf</t>
  </si>
  <si>
    <t xml:space="preserve">https://letsgomaldives.com/wp-content/uploads/2026/02/Easter-Brochure-2026.pdf</t>
  </si>
  <si>
    <t xml:space="preserve">ce94eced86274fa2e23132772dfc6620ec0e0cb0a47473d13feb45bfae3a78c4</t>
  </si>
  <si>
    <t xml:space="preserve">library/167_milaidhoo-island-maldives/calendar/2026_Easter-Brochure-2026.pdf</t>
  </si>
  <si>
    <t xml:space="preserve">2026_GB-_-You-_-Me-Maldives-_-Fact-Sheet-2026.pdf</t>
  </si>
  <si>
    <t xml:space="preserve">https://www.neoscapesmaldives.com/wp-content/uploads/GB-_-You-_-Me-Maldives-_-Fact-Sheet-2026.pdf</t>
  </si>
  <si>
    <t xml:space="preserve">ffd0c1d5ffb2e5fad5bc5044660e00f1a5b9abe24419a846b08da917ca008de6</t>
  </si>
  <si>
    <t xml:space="preserve">library/168_you-me-maldives/factsheet/2026_GB-_-You-_-Me-Maldives-_-Fact-Sheet-2026.pdf</t>
  </si>
  <si>
    <t xml:space="preserve">2025_You-Me-Maldives-_-Resort-Map.pdf</t>
  </si>
  <si>
    <t xml:space="preserve">https://www.neoscapesmaldives.com/wp-content/uploads/You-Me-Maldives-_-Resort-Map.pdf</t>
  </si>
  <si>
    <t xml:space="preserve">a1c75c48502080bf5798a40bdb0d3625490f665de6f9654439c96355dd742b18</t>
  </si>
  <si>
    <t xml:space="preserve">library/168_you-me-maldives/map/2025_You-Me-Maldives-_-Resort-Map.pdf</t>
  </si>
  <si>
    <t xml:space="preserve">2025_Factsheet-Banyan-Tree-Vabbinfaru-compressed.pdf</t>
  </si>
  <si>
    <t xml:space="preserve">https://www.neoscapesmaldives.com/wp-content/uploads/Factsheet-Banyan-Tree-Vabbinfaru-compressed.pdf</t>
  </si>
  <si>
    <t xml:space="preserve">47522d2729a0bbbe284ee5a4b60ec6a3160a342e1627d0bafdf3cac2c822246f</t>
  </si>
  <si>
    <t xml:space="preserve">library/169_banyan-tree-maldives-vabbinfaru/factsheet/2025_Factsheet-Banyan-Tree-Vabbinfaru-compressed.pdf</t>
  </si>
  <si>
    <t xml:space="preserve">2024_BTMVMV-Resort-Map-5.0-1.pdf</t>
  </si>
  <si>
    <t xml:space="preserve">https://www.neoscapesmaldives.com/wp-content/uploads/BTMVMV-Resort-Map-5.0-1.pdf</t>
  </si>
  <si>
    <t xml:space="preserve">cbea9f658b85c9dae64824dee9b00fde80f64e60b697e16cdafdb3119cf2cc16</t>
  </si>
  <si>
    <t xml:space="preserve">library/169_banyan-tree-maldives-vabbinfaru/map/2024_BTMVMV-Resort-Map-5.0-1.pdf</t>
  </si>
  <si>
    <t xml:space="preserve">ambiguous match [169]</t>
  </si>
  <si>
    <t xml:space="preserve">2019_Velaa-Private-Island-Fact-Sheet.pdf</t>
  </si>
  <si>
    <t xml:space="preserve">https://neoscapesmaldives.com/wp-content/uploads/Velaa-Private-Island-Fact-Sheet.pdf</t>
  </si>
  <si>
    <t xml:space="preserve">ca58c0f475b7b8b5f4214d6b18d1a7cbe184e3bd8aba390bcf459cbf1f75d5d3</t>
  </si>
  <si>
    <t xml:space="preserve">library/171_velaa-private-island-maldives/factsheet/2019_Velaa-Private-Island-Fact-Sheet.pdf</t>
  </si>
  <si>
    <t xml:space="preserve">2024_Dhawa-Resort-Map.pdf</t>
  </si>
  <si>
    <t xml:space="preserve">https://www.neoscapesmaldives.com/wp-content/uploads/Dhawa-Resort-Map.pdf</t>
  </si>
  <si>
    <t xml:space="preserve">8389d98df4d35066d3973adc70a7192e673ca04047951196320b9636388820d5</t>
  </si>
  <si>
    <t xml:space="preserve">library/171_velaa-private-island-maldives/map/2024_Dhawa-Resort-Map.pdf</t>
  </si>
  <si>
    <t xml:space="preserve">2020_Velaa-Private-Island-Map.pdf</t>
  </si>
  <si>
    <t xml:space="preserve">https://www.neoscapesmaldives.com/wp-content/uploads/Velaa-Private-Island-Map.pdf</t>
  </si>
  <si>
    <t xml:space="preserve">5065bde0c30f252cd386004e79bf7e1ad1f6babed8e1efa4a16f80af01cc7c44</t>
  </si>
  <si>
    <t xml:space="preserve">library/171_velaa-private-island-maldives/map/2020_Velaa-Private-Island-Map.pdf</t>
  </si>
  <si>
    <t xml:space="preserve">2017_mirihi_fact_sheet.pdf</t>
  </si>
  <si>
    <t xml:space="preserve">https://sales.crownandchamparesorts.com/wp-content/uploads/2018/04/mirihi_fact_sheet.pdf</t>
  </si>
  <si>
    <t xml:space="preserve">184f3245eb4f5c4b81499add073d2dbdaed0953b6004163974f25ef6653a2e18</t>
  </si>
  <si>
    <t xml:space="preserve">library/172_mirihi-island-resort/factsheet/2017_mirihi_fact_sheet.pdf</t>
  </si>
  <si>
    <t xml:space="preserve">2014_MirihiFactSheet_EnglishRev170818-NEW.pdf</t>
  </si>
  <si>
    <t xml:space="preserve">https://sales.crownandchamparesorts.com/wp-content/uploads/2018/10/MirihiFactSheet_EnglishRev170818-NEW.pdf</t>
  </si>
  <si>
    <t xml:space="preserve">94e636ed5ba881f34ff402d9f40094a00c58ce3911096e30ad4566974d7d7811</t>
  </si>
  <si>
    <t xml:space="preserve">library/172_mirihi-island-resort/factsheet/2014_MirihiFactSheet_EnglishRev170818-NEW.pdf</t>
  </si>
  <si>
    <t xml:space="preserve">2019_Factsheet-Kurumba-Maldives.pdf</t>
  </si>
  <si>
    <t xml:space="preserve">https://www.neoscapesmaldives.com/wp-content/uploads/Factsheet-Kurumba-Maldives.pdf</t>
  </si>
  <si>
    <t xml:space="preserve">8e3fc4068e31f0aa86241f995fc7457c435294b457b44dd574fb7dc2b869b98f</t>
  </si>
  <si>
    <t xml:space="preserve">library/173_kurumba-maldives/factsheet/2019_Factsheet-Kurumba-Maldives.pdf</t>
  </si>
  <si>
    <t xml:space="preserve">2019_Map-Kurumba-Maldives.pdf</t>
  </si>
  <si>
    <t xml:space="preserve">https://www.neoscapesmaldives.com/wp-content/uploads/Map-Kurumba-Maldives.pdf</t>
  </si>
  <si>
    <t xml:space="preserve">d3b0bd5f663f7049f3dff951dde2fcef467a332538e29ce6dab09393cd14eb6e</t>
  </si>
  <si>
    <t xml:space="preserve">library/173_kurumba-maldives/map/2019_Map-Kurumba-Maldives.pdf</t>
  </si>
  <si>
    <t xml:space="preserve">2023_KM-Festive-Brochure-2022-2023.pdf</t>
  </si>
  <si>
    <t xml:space="preserve">https://letsgomaldives.com/wp-content/uploads/2022/12/KM-Festive-Brochure-2022-2023.pdf</t>
  </si>
  <si>
    <t xml:space="preserve">64d1c9b35b3376f214343e0837a5e4401dc76100bdf94165ec183cc0e16a9299</t>
  </si>
  <si>
    <t xml:space="preserve">library/173_kurumba-maldives/calendar/2023_KM-Festive-Brochure-2022-2023.pdf</t>
  </si>
  <si>
    <t xml:space="preserve">2025_FactSheetVilamendhoo110125103126Ver260425.pdf</t>
  </si>
  <si>
    <t xml:space="preserve">https://sales.crownandchamparesorts.com/wp-content/uploads/2025/12/FactSheetVilamendhoo110125103126Ver260425.pdf</t>
  </si>
  <si>
    <t xml:space="preserve">315c4ecaa34cef3212a795ca7c40dd540afa001f94b0b99c3253f080c83bde76</t>
  </si>
  <si>
    <t xml:space="preserve">library/174_vilamendhoo-island-resort/factsheet/2025_FactSheetVilamendhoo110125103126Ver260425.pdf</t>
  </si>
  <si>
    <t xml:space="preserve">2021_FactSheetVilamendhoo110121103122Ver110121.pdf</t>
  </si>
  <si>
    <t xml:space="preserve">https://sales.crownandchamparesorts.com/wp-content/uploads/2023/08/FactSheetVilamendhoo110121103122Ver110121.pdf</t>
  </si>
  <si>
    <t xml:space="preserve">6671ba49d7716e12338b5e8703952f262059aefd7a7ee463e66c948b5ead1e99</t>
  </si>
  <si>
    <t xml:space="preserve">library/174_vilamendhoo-island-resort/factsheet/2021_FactSheetVilamendhoo110121103122Ver110121.pdf</t>
  </si>
  <si>
    <t xml:space="preserve">2020_FactSheetVilamendhoo110120103121Ver092220.pdf</t>
  </si>
  <si>
    <t xml:space="preserve">https://sales.crownandchamparesorts.com/wp-content/uploads/2018/10/FactSheetVilamendhoo110120103121Ver092220.pdf</t>
  </si>
  <si>
    <t xml:space="preserve">090d77f017ea3fe26f4fc55fc63f43139c041d85bbe5dc520b359f4943e34e6f</t>
  </si>
  <si>
    <t xml:space="preserve">library/174_vilamendhoo-island-resort/factsheet/2020_FactSheetVilamendhoo110120103121Ver092220.pdf</t>
  </si>
  <si>
    <t xml:space="preserve">2025_Vilamendhoo_IslandMapExitSigns-Apr25.pdf</t>
  </si>
  <si>
    <t xml:space="preserve">https://sales.crownandchamparesorts.com/wp-content/uploads/2025/08/Vilamendhoo_IslandMapExitSigns-Apr25.pdf</t>
  </si>
  <si>
    <t xml:space="preserve">814ebed6dce4b6cab096745a7f427ff0428898c7545124cb1ce705db7d0c1f98</t>
  </si>
  <si>
    <t xml:space="preserve">library/174_vilamendhoo-island-resort/map/2025_Vilamendhoo_IslandMapExitSigns-Apr25.pdf</t>
  </si>
  <si>
    <t xml:space="preserve">2018_MapVilamendhoo120418ColorEnglish.pdf</t>
  </si>
  <si>
    <t xml:space="preserve">https://sales.crownandchamparesorts.com/wp-content/uploads/2019/05/MapVilamendhoo120418ColorEnglish.pdf</t>
  </si>
  <si>
    <t xml:space="preserve">https://sales.crownandchamparesorts.com/wp-content/uploads/2019/05/MapVilamendhoo120418ColorEnglish.pdf | https://sales.crownandchamparesorts.com/wp-content/uploads/2018/04/MapVilamendhoo120418ColorEnglish.pdf</t>
  </si>
  <si>
    <t xml:space="preserve">058ab616db8d5fde05398b011bbcb70ec2ca1596422e8ad1dcd704fdf38d6643</t>
  </si>
  <si>
    <t xml:space="preserve">library/174_vilamendhoo-island-resort/map/2018_MapVilamendhoo120418ColorEnglish.pdf</t>
  </si>
  <si>
    <t xml:space="preserve">2026_Villa Nautica - Factsheet Jul 2026.pdf</t>
  </si>
  <si>
    <t xml:space="preserve">https://d7h9v39iheghu.cloudfront.net/previews/42de57ca-7efe-4d5a-8d86-d9172148eacf/34aa3ec0-d630-4957-8cbf-a4261e08f6c2/185648f3-aab7-4610-b45f-077bc50842e3?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</si>
  <si>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af680792108eb5029fcd10dcdf5cef489f1659f6abfb9da7afc13967844aa19f</t>
  </si>
  <si>
    <t xml:space="preserve">library/175_villa-nautica-paradise-island/factsheet/2026_Villa Nautica - Factsheet Jul 2026.pdf</t>
  </si>
  <si>
    <t xml:space="preserve">2025_Villa-Nautica-Factsheet-August.pdf</t>
  </si>
  <si>
    <t xml:space="preserve">https://www.neoscapesmaldives.com/wp-content/uploads/Villa-Nautica-Factsheet-August.pdf</t>
  </si>
  <si>
    <t xml:space="preserve">c680db52a337bd2638ab0d4274d18853575435277c9dec86c7ded1168ec3be0f</t>
  </si>
  <si>
    <t xml:space="preserve">library/175_villa-nautica-paradise-island/factsheet/2025_Villa-Nautica-Factsheet-August.pdf</t>
  </si>
  <si>
    <t xml:space="preserve">2023_Villa Nautica - Weddings - Menu.pdf</t>
  </si>
  <si>
    <t xml:space="preserve">https://d7h9v39iheghu.cloudfront.net/previews/42de57ca-7efe-4d5a-8d86-d9172148eacf/a1ac9db4-f9fd-4776-8a29-9d750f7bbfd7/b8c164a0-7574-40a5-8b54-ea277707a95b?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</si>
  <si>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d1edcd2cc76cb073e3123261dcff39e42a4c0189ac844ba210afa8926b1736f9</t>
  </si>
  <si>
    <t xml:space="preserve">library/175_villa-nautica-paradise-island/wedding/2023_Villa Nautica - Weddings - Menu.pdf</t>
  </si>
  <si>
    <t xml:space="preserve">2023_Villa Nautica - Meetings and Events - June 2023.pdf</t>
  </si>
  <si>
    <t xml:space="preserve">https://d7h9v39iheghu.cloudfront.net/previews/42de57ca-7efe-4d5a-8d86-d9172148eacf/7e8c92d4-d5ff-49ea-9340-daeedc847adc/e53c6d4c-4de5-4a95-beed-bedadf3adf5d?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</si>
  <si>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95818d873d234577d94dafeeb8e1c75f7270de2a3f3c984495b76eabc6d3c079</t>
  </si>
  <si>
    <t xml:space="preserve">library/175_villa-nautica-paradise-island/events/2023_Villa Nautica - Meetings and Events - June 2023.pdf</t>
  </si>
  <si>
    <t xml:space="preserve">2025_Villa-Nautica-Map-Feb-2025.pdf</t>
  </si>
  <si>
    <t xml:space="preserve">https://d7h9v39iheghu.cloudfront.net/previews/42de57ca-7efe-4d5a-8d86-d9172148eacf/e6d03227-4c9a-43e6-a9bd-dc803e131848/4108f745-da8b-44f8-a3e1-23e1ea2d60a7?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</si>
  <si>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https://www.neoscapesmaldives.com/wp-content/uploads/Villa-Nautica-Map-Feb-2025.pdf | https://d7h9v39iheghu.cloudfront.net/previews/42de57ca-7efe-4d5a-8d86-d9172148eacf/e6d03227-4c9a-43e6-a9bd-dc803e131848/4108f745-da8b-44f8-a3e1-23e1ea2d60a7?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</si>
  <si>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8235be68b75b5eb5e3b6856cc6fd68d0b40d841d7e34f423b75b11b34ad4520a</t>
  </si>
  <si>
    <t xml:space="preserve">library/175_villa-nautica-paradise-island/map/2025_Villa-Nautica-Map-Feb-2025.pdf</t>
  </si>
  <si>
    <t xml:space="preserve">2025_Villa Nautica - Araamu Spa - Menu _August 2025_.pdf</t>
  </si>
  <si>
    <t xml:space="preserve">https://d7h9v39iheghu.cloudfront.net/previews/42de57ca-7efe-4d5a-8d86-d9172148eacf/a7e296e8-8af7-4179-a5aa-923e7f9b3d35/92318444-613d-4654-97ec-be1d1ad13079?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</si>
  <si>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d7ff6e66cadfe3d35ba4fc43821acc4f0c6dfd69c2fd5540b933cc6e9d51051a</t>
  </si>
  <si>
    <t xml:space="preserve">library/175_villa-nautica-paradise-island/spa_menu/2025_Villa Nautica - Araamu Spa - Menu _August 2025_.pdf</t>
  </si>
  <si>
    <t xml:space="preserve">2026_WATERSPORTS MENU - Villa Nautica _1_.pdf</t>
  </si>
  <si>
    <t xml:space="preserve">https://d7h9v39iheghu.cloudfront.net/previews/42de57ca-7efe-4d5a-8d86-d9172148eacf/6e6ac2c5-214e-4e7b-bc82-cf5766bd863a/bfe9f4ec-a0bb-4d9b-a888-2ed46de8bb7b?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</si>
  <si>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7aa817f29b655cfd56e97f195f5ec87413047da185cc47bf41114c1ff6ad002a</t>
  </si>
  <si>
    <t xml:space="preserve">library/175_villa-nautica-paradise-island/dining_menu/2026_WATERSPORTS MENU - Villa Nautica _1_.pdf</t>
  </si>
  <si>
    <t xml:space="preserve">2026_Excursions Menu - Villa Nautica.pdf</t>
  </si>
  <si>
    <t xml:space="preserve">https://d7h9v39iheghu.cloudfront.net/previews/42de57ca-7efe-4d5a-8d86-d9172148eacf/d0853f2d-2892-4ccb-a9b0-9971af736891/36c2e918-dbfa-4c78-836b-f5bbfe6735bb?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</si>
  <si>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373d0a5f19eafe08a204834391a87c78074fdcb5e0e79878e698f4cc32d66ebc</t>
  </si>
  <si>
    <t xml:space="preserve">library/175_villa-nautica-paradise-island/dining_menu/2026_Excursions Menu - Villa Nautica.pdf</t>
  </si>
  <si>
    <t xml:space="preserve">2026_Villa Nautica - Diving - Brochure 2026.pdf</t>
  </si>
  <si>
    <t xml:space="preserve">https://d7h9v39iheghu.cloudfront.net/previews/42de57ca-7efe-4d5a-8d86-d9172148eacf/ea99b109-bfc1-47db-bf43-c8aaeb33a1d6/f1d0bb96-134d-4101-899a-696671f90d5f?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</si>
  <si>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d75c68576380fe57d0cccd2eeb8844b2f4fbd3025d1450a88e0a678d2b771488</t>
  </si>
  <si>
    <t xml:space="preserve">library/175_villa-nautica-paradise-island/dive_prices/2026_Villa Nautica - Diving - Brochure 2026.pdf</t>
  </si>
  <si>
    <t xml:space="preserve">2026_Villa Nautica - Diving - Price List 2026.pdf</t>
  </si>
  <si>
    <t xml:space="preserve">https://d7h9v39iheghu.cloudfront.net/previews/42de57ca-7efe-4d5a-8d86-d9172148eacf/5216c546-b29c-4d9c-ad19-d26e94f95b94/3185507b-edd9-4db5-b8f0-40c5376d2b3a?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</si>
  <si>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fc6c463453c8654df0cf560776ede009a973e83208af4bdbcc458c70d2714995</t>
  </si>
  <si>
    <t xml:space="preserve">library/175_villa-nautica-paradise-island/dive_prices/2026_Villa Nautica - Diving - Price List 2026.pdf</t>
  </si>
  <si>
    <t xml:space="preserve">2026_Villa Nautica - AI Plans _G1D27_ - May 2026.pdf</t>
  </si>
  <si>
    <t xml:space="preserve">https://d7h9v39iheghu.cloudfront.net/previews/42de57ca-7efe-4d5a-8d86-d9172148eacf/82202872-3174-47aa-9387-5845cffb0803/82202872-3174-47aa-9387-5845cffb0803?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</si>
  <si>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f2b34cf2b8f1090a584e274b07fdd7b20fa332099015d1769668e7934ba4bc6a</t>
  </si>
  <si>
    <t xml:space="preserve">library/175_villa-nautica-paradise-island/villa_plans/2026_Villa Nautica - AI Plans _G1D27_ - May 2026.pdf</t>
  </si>
  <si>
    <t xml:space="preserve">2025_Photo Studio - Digital Brochure - Villa Nautica.pdf</t>
  </si>
  <si>
    <t xml:space="preserve">https://d7h9v39iheghu.cloudfront.net/previews/42de57ca-7efe-4d5a-8d86-d9172148eacf/5e29fffe-eb6e-4d23-9bcc-88c85ddf3bb4/5e29fffe-eb6e-4d23-9bcc-88c85ddf3bb4?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</si>
  <si>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e183d53dae67cb228921f25fb613ad2354faad3666718b31194a3682e9fbe8f2</t>
  </si>
  <si>
    <t xml:space="preserve">library/175_villa-nautica-paradise-island/villa_plans/2025_Photo Studio - Digital Brochure - Villa Nautica.pdf</t>
  </si>
  <si>
    <t xml:space="preserve">2025_Villa Nautica - Sunset Deluxe Beach Pool Villa.pdf</t>
  </si>
  <si>
    <t xml:space="preserve">https://d7h9v39iheghu.cloudfront.net/previews/42de57ca-7efe-4d5a-8d86-d9172148eacf/d2539d8d-2dd7-4b25-a78e-3081f9714473/d2539d8d-2dd7-4b25-a78e-3081f9714473?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</si>
  <si>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dcbb4a54083c70f137ca648a23ca13014a1829d3bf6ce0348eba07afd9574c33</t>
  </si>
  <si>
    <t xml:space="preserve">library/175_villa-nautica-paradise-island/villa_plans/2025_Villa Nautica - Sunset Deluxe Beach Pool Villa.pdf</t>
  </si>
  <si>
    <t xml:space="preserve">2025_Villa Nautica - Two Bedroom Beach Villa with Two Pools.pdf</t>
  </si>
  <si>
    <t xml:space="preserve">https://d7h9v39iheghu.cloudfront.net/previews/42de57ca-7efe-4d5a-8d86-d9172148eacf/a6aec4a1-7803-4227-8061-1330a05740c9/a6aec4a1-7803-4227-8061-1330a05740c9?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</si>
  <si>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028f30ea6c61db12bbd41ff5cdc1bd99397463edc626f5be0690f3b72f2604ca</t>
  </si>
  <si>
    <t xml:space="preserve">library/175_villa-nautica-paradise-island/villa_plans/2025_Villa Nautica - Two Bedroom Beach Villa with Two Pools.pdf</t>
  </si>
  <si>
    <t xml:space="preserve">2023_Villa Nautica - Style Guides.pdf</t>
  </si>
  <si>
    <t xml:space="preserve">https://d7h9v39iheghu.cloudfront.net/previews/42de57ca-7efe-4d5a-8d86-d9172148eacf/6163dd5d-9f31-4f02-bd72-6ba6f5235e89/6163dd5d-9f31-4f02-bd72-6ba6f5235e89?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</si>
  <si>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94b30137fc0d56cb8a5e2b8c76342b917cd90951fd6469fd9b7813ebb1aeb795</t>
  </si>
  <si>
    <t xml:space="preserve">library/175_villa-nautica-paradise-island/villa_plans/2023_Villa Nautica - Style Guides.pdf</t>
  </si>
  <si>
    <t xml:space="preserve">2023_Villa-Nautica-Style-Guides.pdf</t>
  </si>
  <si>
    <t xml:space="preserve">https://letsgomaldives.com/wp-content/uploads/2013/03/Villa-Nautica-Style-Guides.pdf</t>
  </si>
  <si>
    <t xml:space="preserve">4068647a7fa2ac001fbe624ef52f10adf81599355740d669bb61e1876c139ab1</t>
  </si>
  <si>
    <t xml:space="preserve">library/175_villa-nautica-paradise-island/villa_plans/2023_Villa-Nautica-Style-Guides.pdf</t>
  </si>
  <si>
    <t xml:space="preserve">2022_Villa Resorts - Press Release - ILTM Cannes - December 2022.pdf</t>
  </si>
  <si>
    <t xml:space="preserve">https://d7h9v39iheghu.cloudfront.net/previews/42de57ca-7efe-4d5a-8d86-d9172148eacf/43991b48-a1e0-4e4e-89ce-c4548bea0cab/f7127814-0618-4e81-8e26-0cff5ad03462?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</si>
  <si>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564eef2914adf772aa9889b6ab10f039403bc0de48538e30c67993aa3b167923</t>
  </si>
  <si>
    <t xml:space="preserve">library/175_villa-nautica-paradise-island/villa_plans/2022_Villa Resorts - Press Release - ILTM Cannes - December 2022.pdf</t>
  </si>
  <si>
    <t xml:space="preserve">ambiguous match [175, 177]</t>
  </si>
  <si>
    <t xml:space="preserve">2026_Local Package - July 2026.pdf</t>
  </si>
  <si>
    <t xml:space="preserve">https://d7h9v39iheghu.cloudfront.net/previews/42de57ca-7efe-4d5a-8d86-d9172148eacf/0e23b96c-9c1a-41b2-8031-5f36155ed6f3/d8007212-4e01-44cc-8dfb-f37311310e20?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</si>
  <si>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2cc82bf4ad3dc3002453c10b58627450f79659560802c056d0520179eeb00c37</t>
  </si>
  <si>
    <t xml:space="preserve">library/175_villa-nautica-paradise-island/all_inclusive/2026_Local Package - July 2026.pdf</t>
  </si>
  <si>
    <t xml:space="preserve">ambiguous match [175, 177, 176]</t>
  </si>
  <si>
    <t xml:space="preserve">2026_Villa Park - Factsheet Sep 2026.pdf</t>
  </si>
  <si>
    <t xml:space="preserve">https://d7h9v39iheghu.cloudfront.net/previews/42de57ca-7efe-4d5a-8d86-d9172148eacf/4b07ad05-4828-45fe-b46a-d9be54b62815/e6330e30-69f0-4008-aa32-956dc54f4bb2?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</si>
  <si>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248134d705580d24fb565b7a0d7360f90d9a48bd26e39784fb4dfc284c2b637f</t>
  </si>
  <si>
    <t xml:space="preserve">library/176_villa-park-sun-island/factsheet/2026_Villa Park - Factsheet Sep 2026.pdf</t>
  </si>
  <si>
    <t xml:space="preserve">2021_Villa Park - MICE.pdf</t>
  </si>
  <si>
    <t xml:space="preserve">https://d7h9v39iheghu.cloudfront.net/previews/42de57ca-7efe-4d5a-8d86-d9172148eacf/15026813-9c53-4613-915f-5d81651b22a7/acc7c608-0dd1-4790-b64d-8eabf0e75cd3?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</si>
  <si>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5fd5a725268bc0d0974b6039628ae7d9734b04ae5a866333ecf960f354748faf</t>
  </si>
  <si>
    <t xml:space="preserve">library/176_villa-park-sun-island/events/2021_Villa Park - MICE.pdf</t>
  </si>
  <si>
    <t xml:space="preserve">2026_Villa Park - Map September 2026.pdf</t>
  </si>
  <si>
    <t xml:space="preserve">https://d7h9v39iheghu.cloudfront.net/previews/42de57ca-7efe-4d5a-8d86-d9172148eacf/419b18bc-5bed-4773-be22-f70313576b6d/62d12854-37a2-4945-ba5e-53e6e57630f8?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</si>
  <si>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20d29af9651a9c5e5dfb0cc7c98284314d02540d16a961c6dbb2522b62339d39</t>
  </si>
  <si>
    <t xml:space="preserve">library/176_villa-park-sun-island/map/2026_Villa Park - Map September 2026.pdf</t>
  </si>
  <si>
    <t xml:space="preserve">2026_Excursions Menu - Villa Park.pdf</t>
  </si>
  <si>
    <t xml:space="preserve">https://d7h9v39iheghu.cloudfront.net/previews/42de57ca-7efe-4d5a-8d86-d9172148eacf/d1021194-3403-4b91-853f-3cbae18cb2c8/71f0375e-cc49-44fb-ad01-94e29535775a?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</si>
  <si>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685cb6e6df5dde85e955ae7fffa794d685ba2a8d7073c2733d7490d107799a71</t>
  </si>
  <si>
    <t xml:space="preserve">library/176_villa-park-sun-island/dining_menu/2026_Excursions Menu - Villa Park.pdf</t>
  </si>
  <si>
    <t xml:space="preserve">2026_WATERSPORTS MENU - Villa Park.pdf</t>
  </si>
  <si>
    <t xml:space="preserve">https://d7h9v39iheghu.cloudfront.net/previews/42de57ca-7efe-4d5a-8d86-d9172148eacf/305b04ad-1ef7-4302-8464-8a0d15f30052/9ecdfc4c-cbb0-4b33-ae2b-a702320a3a50?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</si>
  <si>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16ec0a770afe273c750ed910b433e178d3bb740bfe1587f2d442270f03ca9c23</t>
  </si>
  <si>
    <t xml:space="preserve">library/176_villa-park-sun-island/dining_menu/2026_WATERSPORTS MENU - Villa Park.pdf</t>
  </si>
  <si>
    <t xml:space="preserve">2026_Villa Park - Diving - Brochure 2026.pdf</t>
  </si>
  <si>
    <t xml:space="preserve">https://d7h9v39iheghu.cloudfront.net/previews/42de57ca-7efe-4d5a-8d86-d9172148eacf/d09bd382-1b2d-418c-9ed2-56e296d9e5a7/155c7666-030f-4d3c-9e9a-32868a15e7d3?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</si>
  <si>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8392cf294d82e91ca40f6ecdac728c912a5eb160f9c501abb496b5d76f54b628</t>
  </si>
  <si>
    <t xml:space="preserve">library/176_villa-park-sun-island/dive_prices/2026_Villa Park - Diving - Brochure 2026.pdf</t>
  </si>
  <si>
    <t xml:space="preserve">2026_Villa Park - Diving - Price List 2026.pdf</t>
  </si>
  <si>
    <t xml:space="preserve">https://d7h9v39iheghu.cloudfront.net/previews/42de57ca-7efe-4d5a-8d86-d9172148eacf/e4eb2f33-4512-418f-8b41-2edb8deba019/fcde18a7-8c10-4b8c-8d5b-7b5be1ad1edb?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</si>
  <si>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443ce9c001ea0b1892b4ef817e03da5b616a98ca7b9132adced470a5201a02df</t>
  </si>
  <si>
    <t xml:space="preserve">library/176_villa-park-sun-island/dive_prices/2026_Villa Park - Diving - Price List 2026.pdf</t>
  </si>
  <si>
    <t xml:space="preserve">2026_Villa Park - AI Plans _G1D27_ - May 2026.pdf</t>
  </si>
  <si>
    <t xml:space="preserve">https://d7h9v39iheghu.cloudfront.net/previews/42de57ca-7efe-4d5a-8d86-d9172148eacf/6297caa8-1b3f-47d2-8716-9ab0dfc93d1a/6297caa8-1b3f-47d2-8716-9ab0dfc93d1a?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</si>
  <si>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40f40c00bff9aa200d63d7b7b5c84eb77bdf650456fb8c88e9000f27e94e6f61</t>
  </si>
  <si>
    <t xml:space="preserve">library/176_villa-park-sun-island/villa_plans/2026_Villa Park - AI Plans _G1D27_ - May 2026.pdf</t>
  </si>
  <si>
    <t xml:space="preserve">2025_Photo Studio - Digital Brochure - Villa Park.pdf</t>
  </si>
  <si>
    <t xml:space="preserve">https://d7h9v39iheghu.cloudfront.net/previews/42de57ca-7efe-4d5a-8d86-d9172148eacf/5778c899-f4ac-4b87-8e82-09d058c376c8/5778c899-f4ac-4b87-8e82-09d058c376c8?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</si>
  <si>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e58224034f6d6dd14c93645565844ecc5658ebc5d46bfe8939e83c2a6f353a43</t>
  </si>
  <si>
    <t xml:space="preserve">library/176_villa-park-sun-island/villa_plans/2025_Photo Studio - Digital Brochure - Villa Park.pdf</t>
  </si>
  <si>
    <t xml:space="preserve">2025_Villa Park - Sunset Deluxe Beach Villa.pdf</t>
  </si>
  <si>
    <t xml:space="preserve">https://d7h9v39iheghu.cloudfront.net/previews/42de57ca-7efe-4d5a-8d86-d9172148eacf/22f2cece-5e21-4db3-ae5b-655ad6350f1c/1e628874-c223-4a1c-9271-df2d3cc3e416?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</si>
  <si>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b6bced83d2c2aec1bd570a1787c81789e75273321e303cc2c170ec47ff35d8f2</t>
  </si>
  <si>
    <t xml:space="preserve">library/176_villa-park-sun-island/villa_plans/2025_Villa Park - Sunset Deluxe Beach Villa.pdf</t>
  </si>
  <si>
    <t xml:space="preserve">2024_Villa Park - Brochure - FEB2024.pdf</t>
  </si>
  <si>
    <t xml:space="preserve">https://d7h9v39iheghu.cloudfront.net/previews/42de57ca-7efe-4d5a-8d86-d9172148eacf/d42879d3-d119-4df8-a926-14dac8b45199/bb6f64af-6725-497e-aa5e-40e799cdaeb4?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</si>
  <si>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5e0290b151904b5f5ba266cba67baabed85a76a651f95959a8242e4c49d73fca</t>
  </si>
  <si>
    <t xml:space="preserve">library/176_villa-park-sun-island/villa_plans/2024_Villa Park - Brochure - FEB2024.pdf</t>
  </si>
  <si>
    <t xml:space="preserve">2023_Villa Park _ Style Guides.pdf</t>
  </si>
  <si>
    <t xml:space="preserve">https://d7h9v39iheghu.cloudfront.net/previews/42de57ca-7efe-4d5a-8d86-d9172148eacf/80e617c9-cbe4-4cbc-8a21-67427bdc56ba/80e617c9-cbe4-4cbc-8a21-67427bdc56ba?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</si>
  <si>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20211e95f2833aaeecb2002a4c09c3600ca6b515e5b8a3ac35d5156f4c700ae3</t>
  </si>
  <si>
    <t xml:space="preserve">library/176_villa-park-sun-island/villa_plans/2023_Villa Park _ Style Guides.pdf</t>
  </si>
  <si>
    <t xml:space="preserve">2026_Royal - Factsheet Jun 2026.pdf</t>
  </si>
  <si>
    <t xml:space="preserve">https://d7h9v39iheghu.cloudfront.net/previews/42de57ca-7efe-4d5a-8d86-d9172148eacf/20af4d23-8283-4d93-8324-afc58428a875/8ef05306-025c-4c59-ade0-6c4b5eac4b00?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</si>
  <si>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f349f4de5f0aa27e60480e98751f26306fba366370e40d6fb82b2dd00927a53c</t>
  </si>
  <si>
    <t xml:space="preserve">library/177_royal-island-resort-and-spa/factsheet/2026_Royal - Factsheet Jun 2026.pdf</t>
  </si>
  <si>
    <t xml:space="preserve">2022_Royal Island - Weddings - Menu.pdf</t>
  </si>
  <si>
    <t xml:space="preserve">https://d7h9v39iheghu.cloudfront.net/previews/42de57ca-7efe-4d5a-8d86-d9172148eacf/a04cfb91-3093-47ad-959e-c293d7ec08a0/a04cfb91-3093-47ad-959e-c293d7ec08a0?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</si>
  <si>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0a7467fdec21f6c61dbdbb504df4a88d0ce1eb310ac9b229e6dfc574cb8cd49c</t>
  </si>
  <si>
    <t xml:space="preserve">library/177_royal-island-resort-and-spa/wedding/2022_Royal Island - Weddings - Menu.pdf</t>
  </si>
  <si>
    <t xml:space="preserve">2025_Royal Island - Resort Map - October 2025.pdf</t>
  </si>
  <si>
    <t xml:space="preserve">https://d7h9v39iheghu.cloudfront.net/previews/42de57ca-7efe-4d5a-8d86-d9172148eacf/67de3d1c-28dd-4a7a-8849-d9b78f3e629d/49d97856-2f66-4ae4-93d6-d6980f5a7154?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</si>
  <si>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dd747e182dffa46ec6f15c0a43b6893fe7d822d354ac89b4f571105ff59a010e</t>
  </si>
  <si>
    <t xml:space="preserve">library/177_royal-island-resort-and-spa/map/2025_Royal Island - Resort Map - October 2025.pdf</t>
  </si>
  <si>
    <t xml:space="preserve">2025_Royal Island - Araamu Spa Menu - July 2025.pdf</t>
  </si>
  <si>
    <t xml:space="preserve">https://d7h9v39iheghu.cloudfront.net/previews/42de57ca-7efe-4d5a-8d86-d9172148eacf/a481068e-225d-4be4-908d-663d8b23e422/10ff2698-d568-43b7-bef7-b30a05bf0133?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</si>
  <si>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afc4ef1dd3853e56ef251b3e2e0d3bd2fd04b78213002c2b0007f32b8a867cc9</t>
  </si>
  <si>
    <t xml:space="preserve">library/177_royal-island-resort-and-spa/spa_menu/2025_Royal Island - Araamu Spa Menu - July 2025.pdf</t>
  </si>
  <si>
    <t xml:space="preserve">2026_Royal Island - Diving - Brochure 2026.pdf</t>
  </si>
  <si>
    <t xml:space="preserve">https://d7h9v39iheghu.cloudfront.net/previews/42de57ca-7efe-4d5a-8d86-d9172148eacf/1b75057e-a325-4503-a4d0-21296c0994de/9d26c666-bca8-4a8b-867b-5f7be673ca23?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</si>
  <si>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e238db4174439b90f873794ff59243e80754fbc2e04dcb14b8d36207dc161654</t>
  </si>
  <si>
    <t xml:space="preserve">library/177_royal-island-resort-and-spa/dive_prices/2026_Royal Island - Diving - Brochure 2026.pdf</t>
  </si>
  <si>
    <t xml:space="preserve">2026_Royal Island - Diving - Price List 2026.pdf</t>
  </si>
  <si>
    <t xml:space="preserve">https://d7h9v39iheghu.cloudfront.net/previews/42de57ca-7efe-4d5a-8d86-d9172148eacf/647a85c7-4d24-4339-9c35-7ec09264a760/7bfc88e6-ef4b-4297-81ca-9e3da51ac132?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</si>
  <si>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bed1897f2218169eee212edfeb0bdf8d4cb7aca10791f786ec4e23f1c445164e</t>
  </si>
  <si>
    <t xml:space="preserve">library/177_royal-island-resort-and-spa/dive_prices/2026_Royal Island - Diving - Price List 2026.pdf</t>
  </si>
  <si>
    <t xml:space="preserve">2026_Royal Island - Kids Club Calender - March 2026.pdf</t>
  </si>
  <si>
    <t xml:space="preserve">https://d7h9v39iheghu.cloudfront.net/previews/42de57ca-7efe-4d5a-8d86-d9172148eacf/2750f2b1-b4f8-42b1-9f8b-06915c9113be/4fbf86f3-c152-4ac4-b50f-12e801e53ed3?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</si>
  <si>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565bae0076c131517650622a9218f5d502199f9acd88b45c4be4c144f9a5a0d2</t>
  </si>
  <si>
    <t xml:space="preserve">library/177_royal-island-resort-and-spa/kids/2026_Royal Island - Kids Club Calender - March 2026.pdf</t>
  </si>
  <si>
    <t xml:space="preserve">2022_Villa Resorts - Press Kit - December 2022.pdf</t>
  </si>
  <si>
    <t xml:space="preserve">https://d7h9v39iheghu.cloudfront.net/previews/42de57ca-7efe-4d5a-8d86-d9172148eacf/1a628b8e-1c3a-4d61-a08e-e0e2cb830861/1a628b8e-1c3a-4d61-a08e-e0e2cb830861?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</si>
  <si>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bc62a8988747be4ee60e680d720d53e34f50a08bcdaba1cda2e5afd1d575048a</t>
  </si>
  <si>
    <t xml:space="preserve">library/177_royal-island-resort-and-spa/villa_plans/2022_Villa Resorts - Press Kit - December 2022.pdf</t>
  </si>
  <si>
    <t xml:space="preserve">2026_Royal Island - AI Plans _G1D27_ - May 2026.pdf</t>
  </si>
  <si>
    <t xml:space="preserve">https://d7h9v39iheghu.cloudfront.net/previews/42de57ca-7efe-4d5a-8d86-d9172148eacf/3dfb8f70-756c-496f-8e58-6474a1ae2e94/3dfb8f70-756c-496f-8e58-6474a1ae2e94?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</si>
  <si>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16690d20c1dead576619c69e319582fe757f6594e2dd95769cb40953606c52db</t>
  </si>
  <si>
    <t xml:space="preserve">library/177_royal-island-resort-and-spa/all_inclusive/2026_Royal Island - AI Plans _G1D27_ - May 2026.pdf</t>
  </si>
  <si>
    <t xml:space="preserve">2019_Diamonds-Athuruga-Fact-Sheet-2019.pdf</t>
  </si>
  <si>
    <t xml:space="preserve">https://neoscapesmaldives.com/wp-content/uploads/Diamonds-Athuruga-Fact-Sheet-2019.pdf</t>
  </si>
  <si>
    <t xml:space="preserve">9eb37a3f4c7b4d3470fc83d51d7e20e717c8077d23d9d64daeee5496391acf44</t>
  </si>
  <si>
    <t xml:space="preserve">library/178_diamonds-athuruga-beach-water-villas/factsheet/2019_Diamonds-Athuruga-Fact-Sheet-2019.pdf</t>
  </si>
  <si>
    <t xml:space="preserve">2020_Diamonds-Athuruga_map.pdf</t>
  </si>
  <si>
    <t xml:space="preserve">https://www.neoscapesmaldives.com/wp-content/uploads/Diamonds-Athuruga_map.pdf</t>
  </si>
  <si>
    <t xml:space="preserve">2c203ac7713b79f8def9019ba3d85ab48c9a861a899a98c38a62dfc61902c9f5</t>
  </si>
  <si>
    <t xml:space="preserve">library/178_diamonds-athuruga-beach-water-villas/map/2020_Diamonds-Athuruga_map.pdf</t>
  </si>
  <si>
    <t xml:space="preserve">2018_mc05-maldive.pdf</t>
  </si>
  <si>
    <t xml:space="preserve">https://d1vp8nomjxwyf1.cloudfront.net/wp-content/uploads/sites/109/2017/03/03070503/mc05-maldive.pdf</t>
  </si>
  <si>
    <t xml:space="preserve">b7967146877bf23ba6c55d09f4651d9f79220b77716342b7dd61fa873dfe3afa</t>
  </si>
  <si>
    <t xml:space="preserve">library/178_diamonds-athuruga-beach-water-villas/spa_menu/2018_mc05-maldive.pdf</t>
  </si>
  <si>
    <t xml:space="preserve">2019_Diamonds-Resorts_Gastronomie-e-Turisme_MarchApril-2019.pdf</t>
  </si>
  <si>
    <t xml:space="preserve">https://d1vp8nomjxwyf1.cloudfront.net/wp-content/uploads/sites/109/2017/03/29131429/Diamonds-Resorts_Gastronomie-e-Turisme_MarchApril-2019.pdf</t>
  </si>
  <si>
    <t xml:space="preserve">01fa404b6ef0aa66cb8d9d1dd6b65f0a8cae65bc1dc078e767adbe010b324cb2</t>
  </si>
  <si>
    <t xml:space="preserve">library/178_diamonds-athuruga-beach-water-villas/dining_menu/2019_Diamonds-Resorts_Gastronomie-e-Turisme_MarchApril-2019.pdf</t>
  </si>
  <si>
    <t xml:space="preserve">ambiguous match [178, 135]</t>
  </si>
  <si>
    <t xml:space="preserve">2019_Diamonds-Athuruga.pdf</t>
  </si>
  <si>
    <t xml:space="preserve">https://d1vp8nomjxwyf1.cloudfront.net/wp-content/uploads/sites/212/2023/03/17094933/Diamonds-Athuruga.pdf</t>
  </si>
  <si>
    <t xml:space="preserve">451bef3be72dffd7248c020cef69959199902a98f505dfc1be90d495e34e25fa</t>
  </si>
  <si>
    <t xml:space="preserve">library/178_diamonds-athuruga-beach-water-villas/other/2019_Diamonds-Athuruga.pdf</t>
  </si>
  <si>
    <t xml:space="preserve">2015_DiamondsMaldives_TMA-Inflight_01_2015.pdf</t>
  </si>
  <si>
    <t xml:space="preserve">https://d1vp8nomjxwyf1.cloudfront.net/wp-content/uploads/sites/110/2017/03/10145405/DiamondsMaldives_TMA-Inflight_01_2015.pdf</t>
  </si>
  <si>
    <t xml:space="preserve">https://d1vp8nomjxwyf1.cloudfront.net/wp-content/uploads/sites/110/2017/03/10145405/DiamondsMaldives_TMA-Inflight_01_2015.pdf | https://d1vp8nomjxwyf1.cloudfront.net/wp-content/uploads/sites/109/2017/03/10144945/DiamondsMaldives_TMA-Inflight_01_2015.pdf</t>
  </si>
  <si>
    <t xml:space="preserve">360d9d045a7f7c87369f123896b66839bea1a2d0a70f2b74156ef29d886a0216</t>
  </si>
  <si>
    <t xml:space="preserve">library/178_diamonds-athuruga-beach-water-villas/other/2015_DiamondsMaldives_TMA-Inflight_01_2015.pdf</t>
  </si>
  <si>
    <t xml:space="preserve">2015_DiamondsAthuruga_Aurum-9999_Winter-2015.pdf</t>
  </si>
  <si>
    <t xml:space="preserve">https://d1vp8nomjxwyf1.cloudfront.net/wp-content/uploads/sites/109/2017/03/10144057/DiamondsAthuruga_Aurum-9999_Winter-2015.pdf</t>
  </si>
  <si>
    <t xml:space="preserve">3f981060770603408bb1db8baf1e0376cf087e802358e76f0dfb71c04a32aa07</t>
  </si>
  <si>
    <t xml:space="preserve">library/178_diamonds-athuruga-beach-water-villas/other/2015_DiamondsAthuruga_Aurum-9999_Winter-2015.pdf</t>
  </si>
  <si>
    <t xml:space="preserve">2024_Siyam-World-Factsheet_02-Nov-2024-31-Oct-25.pdf</t>
  </si>
  <si>
    <t xml:space="preserve">https://www.neoscapesmaldives.com/wp-content/uploads/Siyam-World-Factsheet_02-Nov-2024-31-Oct-25.pdf</t>
  </si>
  <si>
    <t xml:space="preserve">032865e409dd84d74d33523489a8d14b68f4c796884310c93381b150c1682de1</t>
  </si>
  <si>
    <t xml:space="preserve">library/179_siyam-world-maldives/factsheet/2024_Siyam-World-Factsheet_02-Nov-2024-31-Oct-25.pdf</t>
  </si>
  <si>
    <t xml:space="preserve">2025_SW-main-map-with-categories.pdf</t>
  </si>
  <si>
    <t xml:space="preserve">https://www.neoscapesmaldives.com/wp-content/uploads/SW-main-map-with-categories.pdf</t>
  </si>
  <si>
    <t xml:space="preserve">e29f89009e8370a7f0ca53d67c026a1d459aeac7935ad4a1f74f429c1f3edaf6</t>
  </si>
  <si>
    <t xml:space="preserve">library/179_siyam-world-maldives/map/2025_SW-main-map-with-categories.pdf</t>
  </si>
  <si>
    <t xml:space="preserve">ambiguous match [179]</t>
  </si>
  <si>
    <t xml:space="preserve">2023_SIYAM-WORLD_WOW-INCLUSIVE-W23S24_01-Nov-23.pdf</t>
  </si>
  <si>
    <t xml:space="preserve">https://letsgomaldives.com/wp-content/uploads/2023/11/SIYAM-WORLD_WOW-INCLUSIVE-W23S24_01-Nov-23.pdf</t>
  </si>
  <si>
    <t xml:space="preserve">61be9ce5ee8505dde496f10dc47865940303f5b7f1ca2ff84cb4b32877de08f0</t>
  </si>
  <si>
    <t xml:space="preserve">library/179_siyam-world-maldives/dining_menu/2023_SIYAM-WORLD_WOW-INCLUSIVE-W23S24_01-Nov-23.pdf</t>
  </si>
  <si>
    <t xml:space="preserve">2025_LUX_-South-Ari-Atoll-Factsheet-ENG.pdf</t>
  </si>
  <si>
    <t xml:space="preserve">https://www.neoscapesmaldives.com/wp-content/uploads/LUX_-South-Ari-Atoll-Factsheet-ENG.pdf</t>
  </si>
  <si>
    <t xml:space="preserve">d2ce1f2aed0e1be425211fa5e31e99de185b81e658c5bbb0223f6ed6cb71dc34</t>
  </si>
  <si>
    <t xml:space="preserve">library/180_lux-south-ari-atoll-maldives/factsheet/2025_LUX_-South-Ari-Atoll-Factsheet-ENG.pdf</t>
  </si>
  <si>
    <t xml:space="preserve">2019_Map-LUX-South-Ari-Atoll.pdf</t>
  </si>
  <si>
    <t xml:space="preserve">https://www.neoscapesmaldives.com/wp-content/uploads/Map-LUX-South-Ari-Atoll.pdf</t>
  </si>
  <si>
    <t xml:space="preserve">fdf5bf4ad3319a00ee9286119aef61e143abdc1ab44ff5c0d0572cc4fbdc1612</t>
  </si>
  <si>
    <t xml:space="preserve">library/180_lux-south-ari-atoll-maldives/map/2019_Map-LUX-South-Ari-Atoll.pdf</t>
  </si>
  <si>
    <t xml:space="preserve">2027_LSAA_-FESTIVE-BROCHURE_2627.pdf</t>
  </si>
  <si>
    <t xml:space="preserve">https://letsgomaldives.com/wp-content/uploads/2026/08/LSAA_-FESTIVE-BROCHURE_2627.pdf</t>
  </si>
  <si>
    <t xml:space="preserve">c7d8b234786278bb4ca2fe1b14b08608c4b1a0670c2d8837183400e171d23e7c</t>
  </si>
  <si>
    <t xml:space="preserve">library/180_lux-south-ari-atoll-maldives/calendar/2027_LSAA_-FESTIVE-BROCHURE_2627.pdf</t>
  </si>
  <si>
    <t xml:space="preserve">2026_LSAA-Easter-Program-30th-March-to-6th-April-2026.pdf</t>
  </si>
  <si>
    <t xml:space="preserve">https://letsgomaldives.com/wp-content/uploads/2026/02/LSAA-Easter-Program-30th-March-to-6th-April-2026.pdf</t>
  </si>
  <si>
    <t xml:space="preserve">df2bdceba041c4d765f59e911da21bf00ae42827f209c118f2c12a1dc9265dfd</t>
  </si>
  <si>
    <t xml:space="preserve">library/180_lux-south-ari-atoll-maldives/calendar/2026_LSAA-Easter-Program-30th-March-to-6th-April-2026.pdf</t>
  </si>
  <si>
    <t xml:space="preserve">2025_Kuredhivaru-Resort-And-Spa-Factsheet-ENG.pdf</t>
  </si>
  <si>
    <t xml:space="preserve">https://www.neoscapesmaldives.com/wp-content/uploads/Kuredhivaru-Resort-And-Spa-Factsheet-ENG.pdf</t>
  </si>
  <si>
    <t xml:space="preserve">83f5a3d498950bd18837fa3976c7f3ed7bb56de6396e31f122ec55b137768b62</t>
  </si>
  <si>
    <t xml:space="preserve">library/182_kuredhivaru-resort-and-spa/factsheet/2025_Kuredhivaru-Resort-And-Spa-Factsheet-ENG.pdf</t>
  </si>
  <si>
    <t xml:space="preserve">resort</t>
  </si>
  <si>
    <t xml:space="preserve">page_type</t>
  </si>
  <si>
    <t xml:space="preserve">title</t>
  </si>
  <si>
    <t xml:space="preserve">chars</t>
  </si>
  <si>
    <t xml:space="preserve">scraped_on</t>
  </si>
  <si>
    <t xml:space="preserve">path</t>
  </si>
  <si>
    <t xml:space="preserve">https://www.neoscapesmaldives.com/resort/adaaran-club-rannalhi/</t>
  </si>
  <si>
    <t xml:space="preserve">overview</t>
  </si>
  <si>
    <t xml:space="preserve">Adaaran Club Rannalhi | Neoscapes Maldives</t>
  </si>
  <si>
    <t xml:space="preserve">output/pages/069_adaaran-club-rannalhi/overview__neoscapesmaldives.com__resort-adaaran-club-rannalhi.md</t>
  </si>
  <si>
    <t xml:space="preserve">https://www.neoscapesmaldives.com/resort/adaaran-hudhuran-fushi/</t>
  </si>
  <si>
    <t xml:space="preserve">Adaaran Select Hudhuranfushi | Neoscapes Maldives</t>
  </si>
  <si>
    <t xml:space="preserve">output/pages/003_adaaran-select-hudhuranfushi/overview__neoscapesmaldives.com__resort-adaaran-hudhuran-fushi.md</t>
  </si>
  <si>
    <t xml:space="preserve">https://www.neoscapesmaldives.com/resort/adaaran-prestige-vadoo/</t>
  </si>
  <si>
    <t xml:space="preserve">Adaaran Prestige Vadoo | Neoscapes Maldives</t>
  </si>
  <si>
    <t xml:space="preserve">output/pages/163_adaaran-prestige-vadoo/overview__neoscapesmaldives.com__resort-adaaran-prestige-vadoo.md</t>
  </si>
  <si>
    <t xml:space="preserve">https://www.neoscapesmaldives.com/resort/alila-kothaifaru-maldives/</t>
  </si>
  <si>
    <t xml:space="preserve">Alila Kothaifaru Maldives | Neoscapes Maldives</t>
  </si>
  <si>
    <t xml:space="preserve">output/pages/015_alila-kothaifaru-maldives/overview__neoscapesmaldives.com__resort-alila-kothaifaru-maldives.md</t>
  </si>
  <si>
    <t xml:space="preserve">https://www.neoscapesmaldives.com/resort/amari-havodda-maldives/</t>
  </si>
  <si>
    <t xml:space="preserve">Amari Havodda Maldives | Neoscapes Maldives</t>
  </si>
  <si>
    <t xml:space="preserve">output/pages/039_nh-collection-maldives-havodda-resort/overview__neoscapesmaldives.com__resort-amari-havodda-maldives.md</t>
  </si>
  <si>
    <t xml:space="preserve">https://www.neoscapesmaldives.com/resort/amilla-fushi-resort/</t>
  </si>
  <si>
    <t xml:space="preserve">Amilla Maldives Resort and Residences | Neoscapes Maldives</t>
  </si>
  <si>
    <t xml:space="preserve">output/pages/009_amilla-fushi/overview__neoscapesmaldives.com__resort-amilla-fushi-resort.md</t>
  </si>
  <si>
    <t xml:space="preserve">https://www.neoscapesmaldives.com/resort/anantara-dhigu-resort/</t>
  </si>
  <si>
    <t xml:space="preserve">Anantara Dhigu Maldives Resort | Neoscapes Maldives</t>
  </si>
  <si>
    <t xml:space="preserve">output/pages/145_anantara-resort-and-spa-maldives/overview__neoscapesmaldives.com__resort-anantara-dhigu-resort.md</t>
  </si>
  <si>
    <t xml:space="preserve">https://www.neoscapesmaldives.com/resort/anantara-kihavah-villas/</t>
  </si>
  <si>
    <t xml:space="preserve">Anantara Kihavah Maldives Villas | Neoscapes Maldives</t>
  </si>
  <si>
    <t xml:space="preserve">output/pages/106_anantara-kihavah-villas/overview__neoscapesmaldives.com__resort-anantara-kihavah-villas.md</t>
  </si>
  <si>
    <t xml:space="preserve">https://www.neoscapesmaldives.com/resort/anantara-veli-maldives-resort/</t>
  </si>
  <si>
    <t xml:space="preserve">Anantara Veli Maldives Resort | Neoscapes Maldives</t>
  </si>
  <si>
    <t xml:space="preserve">output/pages/146_anantara-veli-and-naladhu/overview__neoscapesmaldives.com__resort-anantara-veli-maldives-resort.md</t>
  </si>
  <si>
    <t xml:space="preserve">https://www.neoscapesmaldives.com/resort/angsana-ihuru/</t>
  </si>
  <si>
    <t xml:space="preserve">Dhawa Ihuru | Neoscapes Maldives</t>
  </si>
  <si>
    <t xml:space="preserve">output/pages/096_dhawa-ihuru/overview__neoscapesmaldives.com__resort-angsana-ihuru.md</t>
  </si>
  <si>
    <t xml:space="preserve">https://www.neoscapesmaldives.com/resort/angsana-velavaru/</t>
  </si>
  <si>
    <t xml:space="preserve">Angsana Velavaru | Neoscapes Maldives</t>
  </si>
  <si>
    <t xml:space="preserve">output/pages/097_angsana-resort-spa-maldives-velavaru/overview__neoscapesmaldives.com__resort-angsana-velavaru.md</t>
  </si>
  <si>
    <t xml:space="preserve">https://www.neoscapesmaldives.com/resort/atmosphere-kanifushi-maldives/</t>
  </si>
  <si>
    <t xml:space="preserve">Atmosphere Kanifushi | Neoscapes Maldives</t>
  </si>
  <si>
    <t xml:space="preserve">output/pages/077_atmosphere-kanifushi-maldives/overview__neoscapesmaldives.com__resort-atmosphere-kanifushi-maldives.md</t>
  </si>
  <si>
    <t xml:space="preserve">https://www.neoscapesmaldives.com/resort/ayada-maldives/</t>
  </si>
  <si>
    <t xml:space="preserve">Ayada Maldives | Neoscapes Maldives</t>
  </si>
  <si>
    <t xml:space="preserve">output/pages/004_ayada-maldives/overview__neoscapesmaldives.com__resort-ayada-maldives.md</t>
  </si>
  <si>
    <t xml:space="preserve">https://www.neoscapesmaldives.com/resort/bandos-maldives/</t>
  </si>
  <si>
    <t xml:space="preserve">Bandos Maldives | Neoscapes Maldives</t>
  </si>
  <si>
    <t xml:space="preserve">output/pages/120_bandos-maldives/overview__neoscapesmaldives.com__resort-bandos-maldives.md</t>
  </si>
  <si>
    <t xml:space="preserve">https://www.neoscapesmaldives.com/resort/banyan-tree-vabbinfaru/</t>
  </si>
  <si>
    <t xml:space="preserve">Banyan Tree Vabbinfaru | Neoscapes Maldives</t>
  </si>
  <si>
    <t xml:space="preserve">output/pages/169_banyan-tree-maldives-vabbinfaru/overview__neoscapesmaldives.com__resort-banyan-tree-vabbinfaru.md</t>
  </si>
  <si>
    <t xml:space="preserve">https://www.neoscapesmaldives.com/resort/baros-maldives/</t>
  </si>
  <si>
    <t xml:space="preserve">Baros Maldives | Neoscapes Maldives</t>
  </si>
  <si>
    <t xml:space="preserve">output/pages/164_baros-maldives/overview__neoscapesmaldives.com__resort-baros-maldives.md</t>
  </si>
  <si>
    <t xml:space="preserve">https://www.neoscapesmaldives.com/resort/brennia-kottefaru-maldives/</t>
  </si>
  <si>
    <t xml:space="preserve">Brennia Kottefaru Maldives | Neoscapes Maldives</t>
  </si>
  <si>
    <t xml:space="preserve">output/pages/021_brennia-kottefaru/overview__neoscapesmaldives.com__resort-brennia-kottefaru-maldives.md</t>
  </si>
  <si>
    <t xml:space="preserve">https://www.neoscapesmaldives.com/resort/centara-grand-island-resort/</t>
  </si>
  <si>
    <t xml:space="preserve">Machchafushi Island Resort and Spa | Neoscapes Maldives</t>
  </si>
  <si>
    <t xml:space="preserve">output/pages/126_centara-grand-island-resort-spa-maldives/overview__neoscapesmaldives.com__resort-centara-grand-island-resort.md</t>
  </si>
  <si>
    <t xml:space="preserve">https://www.neoscapesmaldives.com/resort/centara-grand-lagoon</t>
  </si>
  <si>
    <t xml:space="preserve">Centara Grand Lagoon | Neoscapes Maldives</t>
  </si>
  <si>
    <t xml:space="preserve">output/pages/085_centara-mirage-lagoon-maldives-centara-grand-lagoo/overview__neoscapesmaldives.com__resort-centara-grand-lagoon.md</t>
  </si>
  <si>
    <t xml:space="preserve">https://www.neoscapesmaldives.com/resort/centara-mirage-lagoon/</t>
  </si>
  <si>
    <t xml:space="preserve">Centara Mirage Lagoon | Neoscapes Maldives</t>
  </si>
  <si>
    <t xml:space="preserve">output/pages/085_centara-mirage-lagoon-maldives-centara-grand-lagoo/overview__neoscapesmaldives.com__resort-centara-mirage-lagoon.md</t>
  </si>
  <si>
    <t xml:space="preserve">https://www.neoscapesmaldives.com/resort/centara-ras-fushi-resort/</t>
  </si>
  <si>
    <t xml:space="preserve">Centara Ras Fushi Island Resort &amp; Spa Maldives | Neoscapes Maldives</t>
  </si>
  <si>
    <t xml:space="preserve">output/pages/026_centara-ras-fushi-resort-spa/overview__neoscapesmaldives.com__resort-centara-ras-fushi-resort.md</t>
  </si>
  <si>
    <t xml:space="preserve">https://www.neoscapesmaldives.com/resort/cheval-blanc-randheli/</t>
  </si>
  <si>
    <t xml:space="preserve">Cheval Blanc Randheli | Neoscapes Maldives</t>
  </si>
  <si>
    <t xml:space="preserve">output/pages/065_cheval-blanc-randheli/overview__neoscapesmaldives.com__resort-cheval-blanc-randheli.md</t>
  </si>
  <si>
    <t xml:space="preserve">https://www.neoscapesmaldives.com/resort/cinnamon-dhonveli-maldives/</t>
  </si>
  <si>
    <t xml:space="preserve">Cinnamon Dhonveli Maldives | Neoscapes Maldives</t>
  </si>
  <si>
    <t xml:space="preserve">output/pages/159_cinnamon-dhonveli-maldives/overview__neoscapesmaldives.com__resort-cinnamon-dhonveli-maldives.md</t>
  </si>
  <si>
    <t xml:space="preserve">https://www.neoscapesmaldives.com/resort/cinnamon-velifushi-maldives/</t>
  </si>
  <si>
    <t xml:space="preserve">Cinnamon Velifushi Maldives | Neoscapes Maldives</t>
  </si>
  <si>
    <t xml:space="preserve">output/pages/160_cinnamon-velifushi-maldives/overview__neoscapesmaldives.com__resort-cinnamon-velifushi-maldives.md</t>
  </si>
  <si>
    <t xml:space="preserve">https://www.neoscapesmaldives.com/resort/coco-palm-bodu-hithi/</t>
  </si>
  <si>
    <t xml:space="preserve">Coco Bodu Hithi | Neoscapes Maldives</t>
  </si>
  <si>
    <t xml:space="preserve">output/pages/150_coco-bodu-hithi/overview__neoscapesmaldives.com__resort-coco-palm-bodu-hithi.md</t>
  </si>
  <si>
    <t xml:space="preserve">https://www.neoscapesmaldives.com/resort/cocoon-maldives/</t>
  </si>
  <si>
    <t xml:space="preserve">Cocoon Maldives | Neoscapes Maldives</t>
  </si>
  <si>
    <t xml:space="preserve">output/pages/032_cocoon-maldives/overview__neoscapesmaldives.com__resort-cocoon-maldives.md</t>
  </si>
  <si>
    <t xml:space="preserve">https://www.neoscapesmaldives.com/resort/como-cocoa-island/</t>
  </si>
  <si>
    <t xml:space="preserve">COMO Cocoa Island | Neoscapes Maldives</t>
  </si>
  <si>
    <t xml:space="preserve">output/pages/121_cocoa-island/overview__neoscapesmaldives.com__resort-como-cocoa-island.md</t>
  </si>
  <si>
    <t xml:space="preserve">https://www.neoscapesmaldives.com/resort/como-maalifushi/</t>
  </si>
  <si>
    <t xml:space="preserve">COMO Maalifushi | Neoscapes Maldives</t>
  </si>
  <si>
    <t xml:space="preserve">output/pages/066_como-maalifushi/overview__neoscapesmaldives.com__resort-como-maalifushi.md</t>
  </si>
  <si>
    <t xml:space="preserve">https://www.neoscapesmaldives.com/resort/conrad-maldives-rangali-island/</t>
  </si>
  <si>
    <t xml:space="preserve">Conrad Maldives Rangali Island | Neoscapes Maldives</t>
  </si>
  <si>
    <t xml:space="preserve">output/pages/099_conrad-maldives-rangali-island/overview__neoscapesmaldives.com__resort-conrad-maldives-rangali-island.md</t>
  </si>
  <si>
    <t xml:space="preserve">https://www.neoscapesmaldives.com/resort/constance-halaveli-maldives/</t>
  </si>
  <si>
    <t xml:space="preserve">Constance Halaveli Maldives | Neoscapes Maldives</t>
  </si>
  <si>
    <t xml:space="preserve">output/pages/155_constance-halaveli-resort/overview__neoscapesmaldives.com__resort-constance-halaveli-maldives.md</t>
  </si>
  <si>
    <t xml:space="preserve">https://www.neoscapesmaldives.com/resort/constance-moofushi-resort/</t>
  </si>
  <si>
    <t xml:space="preserve">Constance Moofushi Maldives | Neoscapes Maldives</t>
  </si>
  <si>
    <t xml:space="preserve">output/pages/109_constance-moofushi-resort/overview__neoscapesmaldives.com__resort-constance-moofushi-resort.md</t>
  </si>
  <si>
    <t xml:space="preserve">https://www.neoscapesmaldives.com/resort/cora-cora-maldives/</t>
  </si>
  <si>
    <t xml:space="preserve">Cora Cora Maldives | Neoscapes Maldives</t>
  </si>
  <si>
    <t xml:space="preserve">output/pages/062_cora-cora-maldives/overview__neoscapesmaldives.com__resort-cora-cora-maldives.md</t>
  </si>
  <si>
    <t xml:space="preserve">https://www.neoscapesmaldives.com/resort/dhigali-maldives/</t>
  </si>
  <si>
    <t xml:space="preserve">Niva Dhigali Maldives | Neoscapes Maldives</t>
  </si>
  <si>
    <t xml:space="preserve">output/pages/033_dhigali-maldives/overview__neoscapesmaldives.com__resort-dhigali-maldives.md</t>
  </si>
  <si>
    <t xml:space="preserve">https://www.neoscapesmaldives.com/resort/diamonds-athuruga-villas/</t>
  </si>
  <si>
    <t xml:space="preserve">Diamonds Athuruga Maldives | Neoscapes Maldives</t>
  </si>
  <si>
    <t xml:space="preserve">output/pages/178_diamonds-athuruga-beach-water-villas/overview__neoscapesmaldives.com__resort-diamonds-athuruga-villas.md</t>
  </si>
  <si>
    <t xml:space="preserve">https://www.neoscapesmaldives.com/resort/diamonds-thudufushi-villas/</t>
  </si>
  <si>
    <t xml:space="preserve">Diamonds Thudufushi Maldives | Neoscapes Maldives</t>
  </si>
  <si>
    <t xml:space="preserve">output/pages/135_diamonds-thudufushi-beach-and-water-villas/overview__neoscapesmaldives.com__resort-diamonds-thudufushi-villas.md</t>
  </si>
  <si>
    <t xml:space="preserve">https://www.neoscapesmaldives.com/resort/dusit-thani-maldives/</t>
  </si>
  <si>
    <t xml:space="preserve">Dusit Thani Maldives | Neoscapes Maldives</t>
  </si>
  <si>
    <t xml:space="preserve">output/pages/048_dusit-thani-maldives/overview__neoscapesmaldives.com__resort-dusit-thani-maldives.md</t>
  </si>
  <si>
    <t xml:space="preserve">https://www.neoscapesmaldives.com/resort/emerald-faarufushi-resort-spa/</t>
  </si>
  <si>
    <t xml:space="preserve">Emerald Faarufushi Resort &amp; Spa | Neoscapes Maldives</t>
  </si>
  <si>
    <t xml:space="preserve">output/pages/054_emerald-faarufushi-resort-spa/overview__neoscapesmaldives.com__resort-emerald-faarufushi-resort-spa.md</t>
  </si>
  <si>
    <t xml:space="preserve">https://www.neoscapesmaldives.com/resort/emerald-maldives-resort-spa/</t>
  </si>
  <si>
    <t xml:space="preserve">Emerald Maldives Resort &amp; Spa | Neoscapes Maldives Holidays</t>
  </si>
  <si>
    <t xml:space="preserve">output/pages/051_emerald-maldives-resort-spa-fasmendho/overview__neoscapesmaldives.com__resort-emerald-maldives-resort-spa.md</t>
  </si>
  <si>
    <t xml:space="preserve">https://www.neoscapesmaldives.com/resort/fairmont-maldives-sirru-fen-fushi/</t>
  </si>
  <si>
    <t xml:space="preserve">Sirru Fen Fushi | Neoscapes Maldives</t>
  </si>
  <si>
    <t xml:space="preserve">output/pages/058_sirru-fen-fushi/overview__neoscapesmaldives.com__resort-fairmont-maldives-sirru-fen-fushi.md</t>
  </si>
  <si>
    <t xml:space="preserve">https://www.neoscapesmaldives.com/resort/finolhu-maldives/</t>
  </si>
  <si>
    <t xml:space="preserve">Finolhu Baa Atoll Maldives | Neoscapes Maldives</t>
  </si>
  <si>
    <t xml:space="preserve">output/pages/136_finolhu-baa-atoll-maldives/overview__neoscapesmaldives.com__resort-finolhu-maldives.md</t>
  </si>
  <si>
    <t xml:space="preserve">https://www.neoscapesmaldives.com/resort/four-seasons-kuda-huraa-maldives/</t>
  </si>
  <si>
    <t xml:space="preserve">Four Seasons Resort Maldives at Kuda Huraa | Neoscapes Maldives</t>
  </si>
  <si>
    <t xml:space="preserve">output/pages/056_four-seasons-resort-maldives-at-kuda-huraa/overview__neoscapesmaldives.com__resort-four-seasons-kuda-huraa-maldives.md</t>
  </si>
  <si>
    <t xml:space="preserve">https://www.neoscapesmaldives.com/resort/furaveri-island-resort/</t>
  </si>
  <si>
    <t xml:space="preserve">Furaveri Maldives | Neoscapes Maldives</t>
  </si>
  <si>
    <t xml:space="preserve">output/pages/052_eri-maldives/overview__neoscapesmaldives.com__resort-furaveri-island-resort.md</t>
  </si>
  <si>
    <t xml:space="preserve">https://www.neoscapesmaldives.com/resort/grand-park-kodhipparu-resort/</t>
  </si>
  <si>
    <t xml:space="preserve">Grand Park Kodhipparu Resort | Neoscapes Maldives</t>
  </si>
  <si>
    <t xml:space="preserve">output/pages/027_grand-park-kodhipparu-maldives/overview__neoscapesmaldives.com__resort-grand-park-kodhipparu-resort.md</t>
  </si>
  <si>
    <t xml:space="preserve">https://www.neoscapesmaldives.com/resort/hard-rock-hotel-maldives/</t>
  </si>
  <si>
    <t xml:space="preserve">Hard Rock Hotel Maldives | Neoscapes Maldives</t>
  </si>
  <si>
    <t xml:space="preserve">output/pages/044_hard-rock-hotel-maldives/overview__neoscapesmaldives.com__resort-hard-rock-hotel-maldives.md</t>
  </si>
  <si>
    <t xml:space="preserve">https://www.neoscapesmaldives.com/resort/heritance-aarah/</t>
  </si>
  <si>
    <t xml:space="preserve">Heritance Aarah | Neoscapes Maldives</t>
  </si>
  <si>
    <t xml:space="preserve">output/pages/035_heritance-aarah/overview__neoscapesmaldives.com__resort-heritance-aarah.md</t>
  </si>
  <si>
    <t xml:space="preserve">https://www.neoscapesmaldives.com/resort/hideaway-beach-resort-spa/</t>
  </si>
  <si>
    <t xml:space="preserve">Hideaway Beach Resort &amp; Spa | Neoscapes Maldives</t>
  </si>
  <si>
    <t xml:space="preserve">output/pages/076_hideaway-beach-resort-and-spa-at-dhonakulhi-island/overview__neoscapesmaldives.com__resort-hideaway-beach-resort-spa.md</t>
  </si>
  <si>
    <t xml:space="preserve">https://www.neoscapesmaldives.com/resort/hilton-maldives-amingiri-resort-spa/</t>
  </si>
  <si>
    <t xml:space="preserve">Hilton Maldives Amingiri Resort &amp; Spa | Neoscapes Maldives</t>
  </si>
  <si>
    <t xml:space="preserve">output/pages/008_hilton-maldives-amingiri-resort-spa/overview__neoscapesmaldives.com__resort-hilton-maldives-amingiri-resort-spa.md</t>
  </si>
  <si>
    <t xml:space="preserve">https://www.neoscapesmaldives.com/resort/hurawalhi-island-resort/</t>
  </si>
  <si>
    <t xml:space="preserve">Hurawalhi Island Resort | Neoscapes Maldives</t>
  </si>
  <si>
    <t xml:space="preserve">output/pages/030_hurawalhi-island-resort/overview__neoscapesmaldives.com__resort-hurawalhi-island-resort.md</t>
  </si>
  <si>
    <t xml:space="preserve">https://www.neoscapesmaldives.com/resort/huvafen-fushi-maldives/</t>
  </si>
  <si>
    <t xml:space="preserve">Huvafen Fushi Maldives | Neoscapes Maldives</t>
  </si>
  <si>
    <t xml:space="preserve">output/pages/111_huvafenfushi-maldives/overview__neoscapesmaldives.com__resort-huvafen-fushi-maldives.md</t>
  </si>
  <si>
    <t xml:space="preserve">https://www.neoscapesmaldives.com/resort/ifuru-island-maldives</t>
  </si>
  <si>
    <t xml:space="preserve">Ifuru Island Maldives | Neoscapes Maldives</t>
  </si>
  <si>
    <t xml:space="preserve">output/pages/082_ifuru-island-maldives/overview__neoscapesmaldives.com__resort-ifuru-island-maldives.md</t>
  </si>
  <si>
    <t xml:space="preserve">https://www.neoscapesmaldives.com/resort/intercontinental-maldives-2/</t>
  </si>
  <si>
    <t xml:space="preserve">Intercontinental Maldives Resort | Neoscapes Maldives</t>
  </si>
  <si>
    <t xml:space="preserve">output/pages/089_inter-continental-maldives-maamunagau/overview__neoscapesmaldives.com__resort-intercontinental-maldives-2.md</t>
  </si>
  <si>
    <t xml:space="preserve">https://www.neoscapesmaldives.com/resort/ja-manafaru-resort/</t>
  </si>
  <si>
    <t xml:space="preserve">JA Manafaru Resort | Neoscapes Maldives</t>
  </si>
  <si>
    <t xml:space="preserve">output/pages/068_ja-manafaru/overview__neoscapesmaldives.com__resort-ja-manafaru-resort.md</t>
  </si>
  <si>
    <t xml:space="preserve">https://www.neoscapesmaldives.com/resort/joali-being/</t>
  </si>
  <si>
    <t xml:space="preserve">Joali Being Bodufushi | Neoscapes Maldives</t>
  </si>
  <si>
    <t xml:space="preserve">output/pages/006_joali-being-bodufushi/overview__neoscapesmaldives.com__resort-joali-being.md</t>
  </si>
  <si>
    <t xml:space="preserve">https://www.neoscapesmaldives.com/resort/joali-maldives/</t>
  </si>
  <si>
    <t xml:space="preserve">Joali Maldives | Neoscapes Maldives</t>
  </si>
  <si>
    <t xml:space="preserve">output/pages/007_joali-muravandhoo/overview__neoscapesmaldives.com__resort-joali-maldives.md</t>
  </si>
  <si>
    <t xml:space="preserve">https://www.neoscapesmaldives.com/resort/joy-island-maldives</t>
  </si>
  <si>
    <t xml:space="preserve">Joy Island Maldives by The Cocoon Collection | Neoscapes Maldives</t>
  </si>
  <si>
    <t xml:space="preserve">output/pages/070_joy-island/overview__neoscapesmaldives.com__resort-joy-island-maldives.md</t>
  </si>
  <si>
    <t xml:space="preserve">https://www.neoscapesmaldives.com/resort/jumeirah-maldives-olhahali/</t>
  </si>
  <si>
    <t xml:space="preserve">Jumeirah Maldives Olhahali Island | Neoscapes Maldives</t>
  </si>
  <si>
    <t xml:space="preserve">output/pages/059_jumeirah-maldives-olhahali-island/overview__neoscapesmaldives.com__resort-jumeirah-maldives-olhahali.md</t>
  </si>
  <si>
    <t xml:space="preserve">https://www.neoscapesmaldives.com/resort/jw-marriott-kaafu-atoll-island-resort/</t>
  </si>
  <si>
    <t xml:space="preserve">JW Marriott Kaafu Atoll Island Resort | Neoscapes Maldives</t>
  </si>
  <si>
    <t xml:space="preserve">output/pages/016_jw-marriott-kaafu-atoll-island-resort/overview__neoscapesmaldives.com__resort-jw-marriott-kaafu-atoll-island-resort.md</t>
  </si>
  <si>
    <t xml:space="preserve">https://www.neoscapesmaldives.com/resort/jw-marriott-maldives/</t>
  </si>
  <si>
    <t xml:space="preserve">JW Marriott Maldives Resort &amp; Spa | Neoscapes Maldives</t>
  </si>
  <si>
    <t xml:space="preserve">output/pages/018_jw-marriott-maldives-resort-spa/overview__neoscapesmaldives.com__resort-jw-marriott-maldives.md</t>
  </si>
  <si>
    <t xml:space="preserve">https://www.neoscapesmaldives.com/resort/kandima-maldives/</t>
  </si>
  <si>
    <t xml:space="preserve">Kandima Maldives | Neoscapes Maldives</t>
  </si>
  <si>
    <t xml:space="preserve">output/pages/075_kandima-maldives/overview__neoscapesmaldives.com__resort-kandima-maldives.md</t>
  </si>
  <si>
    <t xml:space="preserve">https://www.neoscapesmaldives.com/resort/kandolhu-maldives/</t>
  </si>
  <si>
    <t xml:space="preserve">Kandolhu Maldives | Neoscapes Maldives</t>
  </si>
  <si>
    <t xml:space="preserve">output/pages/074_kandolhu-island-maldives/overview__neoscapesmaldives.com__resort-kandolhu-maldives.md</t>
  </si>
  <si>
    <t xml:space="preserve">https://www.neoscapesmaldives.com/resort/kanuhura-maldives/</t>
  </si>
  <si>
    <t xml:space="preserve">Six Senses Kanuhura | Neoscapes Maldives</t>
  </si>
  <si>
    <t xml:space="preserve">output/pages/090_six-senses-kanuhura/overview__neoscapesmaldives.com__resort-kanuhura-maldives.md</t>
  </si>
  <si>
    <t xml:space="preserve">https://www.neoscapesmaldives.com/resort/kuda-villingili-resort-maldives/</t>
  </si>
  <si>
    <t xml:space="preserve">Kuda Villingili Resort Maldives | Neoscapes Maldives</t>
  </si>
  <si>
    <t xml:space="preserve">output/pages/105_kuda-villingili-resort-maldives/overview__neoscapesmaldives.com__resort-kuda-villingili-resort-maldives.md</t>
  </si>
  <si>
    <t xml:space="preserve">https://www.neoscapesmaldives.com/resort/kudafushi-maldives/</t>
  </si>
  <si>
    <t xml:space="preserve">Kudafushi Maldives | Neoscapes Maldives</t>
  </si>
  <si>
    <t xml:space="preserve">output/pages/139_kudafushi-resort-spa/overview__neoscapesmaldives.com__resort-kudafushi-maldives.md</t>
  </si>
  <si>
    <t xml:space="preserve">https://www.neoscapesmaldives.com/resort/kuramathi-island-resort/</t>
  </si>
  <si>
    <t xml:space="preserve">Niva Kuramathi Maldives | Neoscapes Maldives</t>
  </si>
  <si>
    <t xml:space="preserve">output/pages/166_kuramathi-maldives/overview__neoscapesmaldives.com__resort-kuramathi-island-resort.md</t>
  </si>
  <si>
    <t xml:space="preserve">https://www.neoscapesmaldives.com/resort/kuredhivaru-resort-and-spa/</t>
  </si>
  <si>
    <t xml:space="preserve">Kuredhivaru Resort and Spa | Neoscapes Maldives</t>
  </si>
  <si>
    <t xml:space="preserve">output/pages/182_kuredhivaru-resort-and-spa/overview__neoscapesmaldives.com__resort-kuredhivaru-resort-and-spa.md</t>
  </si>
  <si>
    <t xml:space="preserve">https://www.neoscapesmaldives.com/resort/kurumba-maldives/</t>
  </si>
  <si>
    <t xml:space="preserve">Niva Kurumba Maldives | Neoscapes Maldives</t>
  </si>
  <si>
    <t xml:space="preserve">output/pages/173_kurumba-maldives/overview__neoscapesmaldives.com__resort-kurumba-maldives.md</t>
  </si>
  <si>
    <t xml:space="preserve">https://www.neoscapesmaldives.com/resort/landaa-giraavaru-four-seasons/</t>
  </si>
  <si>
    <t xml:space="preserve">Four Seasons Resort Maldives at Landaa Giraavaru | Neoscapes Maldives</t>
  </si>
  <si>
    <t xml:space="preserve">output/pages/087_four-seasons-resort-maldives-at-landaa-giraavaru/overview__neoscapesmaldives.com__resort-landaa-giraavaru-four-seasons.md</t>
  </si>
  <si>
    <t xml:space="preserve">https://www.neoscapesmaldives.com/resort/le-meridien-maldives/</t>
  </si>
  <si>
    <t xml:space="preserve">Le Meridien Maldives | Neoscapes Maldives</t>
  </si>
  <si>
    <t xml:space="preserve">output/pages/040_le-meridien-maldives-resort-and-spa/overview__neoscapesmaldives.com__resort-le-meridien-maldives.md</t>
  </si>
  <si>
    <t xml:space="preserve">https://www.neoscapesmaldives.com/resort/lily-beach-resort-spa/</t>
  </si>
  <si>
    <t xml:space="preserve">Lily Beach Resort &amp; Spa | Neoscapes Maldives</t>
  </si>
  <si>
    <t xml:space="preserve">output/pages/091_lily-beach-resort/overview__neoscapesmaldives.com__resort-lily-beach-resort-spa.md</t>
  </si>
  <si>
    <t xml:space="preserve">https://www.neoscapesmaldives.com/resort/lux-maldives/</t>
  </si>
  <si>
    <t xml:space="preserve">LUX* South Ari Atoll | Neoscapes Maldives</t>
  </si>
  <si>
    <t xml:space="preserve">output/pages/180_lux-south-ari-atoll-maldives/overview__neoscapesmaldives.com__resort-lux-maldives.md</t>
  </si>
  <si>
    <t xml:space="preserve">https://www.neoscapesmaldives.com/resort/maafushivaru-maldives/</t>
  </si>
  <si>
    <t xml:space="preserve">Outrigger Maldives Maafushivaru Resort | Neoscapes</t>
  </si>
  <si>
    <t xml:space="preserve">output/pages/119_outrigger-maldives-maafushivaru-resort/overview__neoscapesmaldives.com__resort-maafushivaru-maldives.md</t>
  </si>
  <si>
    <t xml:space="preserve">https://www.neoscapesmaldives.com/resort/malahini-kuda-bandos/</t>
  </si>
  <si>
    <t xml:space="preserve">Malahini Kuda Bandos | Neoscapes Maldives</t>
  </si>
  <si>
    <t xml:space="preserve">output/pages/095_malahini-kuda-bandos/overview__neoscapesmaldives.com__resort-malahini-kuda-bandos.md</t>
  </si>
  <si>
    <t xml:space="preserve">https://www.neoscapesmaldives.com/resort/melia-whale-lagoon-maldives</t>
  </si>
  <si>
    <t xml:space="preserve">Meliá Whale Lagoon Maldives | Neoscapes Maldives</t>
  </si>
  <si>
    <t xml:space="preserve">output/pages/022_barcelo-whale-lagoon-maldives/overview__neoscapesmaldives.com__resort-melia-whale-lagoon-maldives.md</t>
  </si>
  <si>
    <t xml:space="preserve">https://www.neoscapesmaldives.com/resort/milaidhoo-island-maldives/</t>
  </si>
  <si>
    <t xml:space="preserve">Milaidhoo Island Maldives | Neoscapes Maldives</t>
  </si>
  <si>
    <t xml:space="preserve">output/pages/167_milaidhoo-island-maldives/overview__neoscapesmaldives.com__resort-milaidhoo-island-maldives.md</t>
  </si>
  <si>
    <t xml:space="preserve">https://www.neoscapesmaldives.com/resort/nh-maldives-kuda-rah/</t>
  </si>
  <si>
    <t xml:space="preserve">NH Maldives Kuda Rah | Neoscapes Maldives</t>
  </si>
  <si>
    <t xml:space="preserve">output/pages/092_amaya-kuda-rah-maldives/overview__neoscapesmaldives.com__resort-nh-maldives-kuda-rah.md</t>
  </si>
  <si>
    <t xml:space="preserve">https://www.neoscapesmaldives.com/resort/nika-island-resort/</t>
  </si>
  <si>
    <t xml:space="preserve">Nika Island Resort &amp; Spa | Neoscapes Maldives</t>
  </si>
  <si>
    <t xml:space="preserve">output/pages/112_nika-island-resort-and-spa/overview__neoscapesmaldives.com__resort-nika-island-resort.md</t>
  </si>
  <si>
    <t xml:space="preserve">https://www.neoscapesmaldives.com/resort/niyama-private-islands-maldives/</t>
  </si>
  <si>
    <t xml:space="preserve">Niyama Private Islands Maldives | Neoscapes Maldives</t>
  </si>
  <si>
    <t xml:space="preserve">output/pages/117_niyama-maldives/overview__neoscapesmaldives.com__resort-niyama-private-islands-maldives.md</t>
  </si>
  <si>
    <t xml:space="preserve">https://www.neoscapesmaldives.com/resort/noku-maldives-resort/</t>
  </si>
  <si>
    <t xml:space="preserve">Noku Maldives Resort | Neoscapes Maldives</t>
  </si>
  <si>
    <t xml:space="preserve">output/pages/132_noku-maldives/overview__neoscapesmaldives.com__resort-noku-maldives-resort.md</t>
  </si>
  <si>
    <t xml:space="preserve">https://www.neoscapesmaldives.com/resort/nooe-maldives-kunaavashi/</t>
  </si>
  <si>
    <t xml:space="preserve">NOOE Maldives Kunaavashi | Neoscapes Maldives</t>
  </si>
  <si>
    <t xml:space="preserve">output/pages/023_nooe-maldives-kunavashi/overview__neoscapesmaldives.com__resort-nooe-maldives-kunaavashi.md</t>
  </si>
  <si>
    <t xml:space="preserve">https://www.neoscapesmaldives.com/resort/nova-maldives/</t>
  </si>
  <si>
    <t xml:space="preserve">Nova Maldives | Neoscapes Maldives</t>
  </si>
  <si>
    <t xml:space="preserve">output/pages/116_nova-maldives/overview__neoscapesmaldives.com__resort-nova-maldives.md</t>
  </si>
  <si>
    <t xml:space="preserve">https://www.neoscapesmaldives.com/resort/oblu-nature-helengeli/</t>
  </si>
  <si>
    <t xml:space="preserve">OBLU NATURE Helengeli by SENTIDO | Neoscapes Maldives</t>
  </si>
  <si>
    <t xml:space="preserve">output/pages/133_oblu-by-atmosphere-at-helengeli/overview__neoscapesmaldives.com__resort-oblu-nature-helengeli.md</t>
  </si>
  <si>
    <t xml:space="preserve">https://www.neoscapesmaldives.com/resort/oblu-select-at-sangeli/</t>
  </si>
  <si>
    <t xml:space="preserve">OBLU Select Sangeli | Neoscapes Maldives</t>
  </si>
  <si>
    <t xml:space="preserve">output/pages/115_oblu-select-by-atmosphere-at-sangeli/overview__neoscapesmaldives.com__resort-oblu-select-at-sangeli.md</t>
  </si>
  <si>
    <t xml:space="preserve">https://www.neoscapesmaldives.com/resort/oblu-select-lobigili/</t>
  </si>
  <si>
    <t xml:space="preserve">OBLU SELECT Lobigili | Neoscapes Maldives</t>
  </si>
  <si>
    <t xml:space="preserve">output/pages/115_oblu-select-by-atmosphere-at-sangeli/overview__neoscapesmaldives.com__resort-oblu-select-lobigili.md</t>
  </si>
  <si>
    <t xml:space="preserve">https://www.neoscapesmaldives.com/resort/olhuveli-beach-spa-maldives/</t>
  </si>
  <si>
    <t xml:space="preserve">Sun Siyam Olhuveli | Neoscapes Maldives</t>
  </si>
  <si>
    <t xml:space="preserve">output/pages/050_sun-siyam-olhuveli-maldives/overview__neoscapesmaldives.com__resort-olhuveli-beach-spa-maldives.md</t>
  </si>
  <si>
    <t xml:space="preserve">https://www.neoscapesmaldives.com/resort/one-only-reethi-rah-resort/</t>
  </si>
  <si>
    <t xml:space="preserve">One &amp; Only Reethi Rah | Neoscapes Maldives</t>
  </si>
  <si>
    <t xml:space="preserve">output/pages/128_one-only-reethi-rah-maldives/overview__neoscapesmaldives.com__resort-one-only-reethi-rah-resort.md</t>
  </si>
  <si>
    <t xml:space="preserve">https://www.neoscapesmaldives.com/resort/ozen-life-maadhoo</t>
  </si>
  <si>
    <t xml:space="preserve">OZEN Life Maadhoo | Neoscapes Maldives</t>
  </si>
  <si>
    <t xml:space="preserve">output/pages/041_ozen-by-atmosphere-at-maadhoo/overview__neoscapesmaldives.com__resort-ozen-life-maadhoo.md</t>
  </si>
  <si>
    <t xml:space="preserve">https://www.neoscapesmaldives.com/resort/ozen-reserve-bolifushi/</t>
  </si>
  <si>
    <t xml:space="preserve">OZEN Reserve Bolifushi | Neoscapes Maldives</t>
  </si>
  <si>
    <t xml:space="preserve">output/pages/005_bolifushi-island-resort/overview__neoscapesmaldives.com__resort-ozen-reserve-bolifushi.md</t>
  </si>
  <si>
    <t xml:space="preserve">https://www.neoscapesmaldives.com/resort/paradise-island-resort/</t>
  </si>
  <si>
    <t xml:space="preserve">Villa Nautica Maldives Resort | Neoscapes Maldives</t>
  </si>
  <si>
    <t xml:space="preserve">output/pages/175_villa-nautica-paradise-island/overview__neoscapesmaldives.com__resort-paradise-island-resort.md</t>
  </si>
  <si>
    <t xml:space="preserve">https://www.neoscapesmaldives.com/resort/patina-maldives/</t>
  </si>
  <si>
    <t xml:space="preserve">Patina Maldives | Neoscapes Maldives</t>
  </si>
  <si>
    <t xml:space="preserve">output/pages/158_patina-maldives-fari-islands/overview__neoscapesmaldives.com__resort-patina-maldives.md</t>
  </si>
  <si>
    <t xml:space="preserve">https://www.neoscapesmaldives.com/resort/raaya-by-atmosphere/</t>
  </si>
  <si>
    <t xml:space="preserve">RAAYA By Atmosphere | Neoscapes Maldives</t>
  </si>
  <si>
    <t xml:space="preserve">output/pages/080_raaya-by-atmosphere/overview__neoscapesmaldives.com__resort-raaya-by-atmosphere.md</t>
  </si>
  <si>
    <t xml:space="preserve">https://www.neoscapesmaldives.com/resort/radisson-blu-resort-maldives/</t>
  </si>
  <si>
    <t xml:space="preserve">Radisson Blu Resort Maldives | Neoscapes Maldives</t>
  </si>
  <si>
    <t xml:space="preserve">output/pages/064_radisson-blu-resort-maldives/overview__neoscapesmaldives.com__resort-radisson-blu-resort-maldives.md</t>
  </si>
  <si>
    <t xml:space="preserve">https://www.neoscapesmaldives.com/resort/raffles-maldives-meradhoo-resort/</t>
  </si>
  <si>
    <t xml:space="preserve">The Halcyon Private Isles Maldives, Autograph Collection | Neoscapes Maldives</t>
  </si>
  <si>
    <t xml:space="preserve">output/pages/025_raffles-maldives-meradhoo-resort/overview__neoscapesmaldives.com__resort-raffles-maldives-meradhoo-resort.md</t>
  </si>
  <si>
    <t xml:space="preserve">https://www.neoscapesmaldives.com/resort/saii-lagoon-maldives/</t>
  </si>
  <si>
    <t xml:space="preserve">SAii Lagoon Maldives, by Hilton | Neoscapes Maldives</t>
  </si>
  <si>
    <t xml:space="preserve">output/pages/045_saii-lagoon-maldives/overview__neoscapesmaldives.com__resort-saii-lagoon-maldives.md</t>
  </si>
  <si>
    <t xml:space="preserve">https://www.neoscapesmaldives.com/resort/sheraton-maldives-full-moon-resort-spa/</t>
  </si>
  <si>
    <t xml:space="preserve">Sheraton Maldives Full Moon Resort &amp; Spa | Neoscapes Maldives</t>
  </si>
  <si>
    <t xml:space="preserve">output/pages/103_sheraton-maldives-full-moon-resort-spa/overview__neoscapesmaldives.com__resort-sheraton-maldives-full-moon-resort-spa.md</t>
  </si>
  <si>
    <t xml:space="preserve">https://www.neoscapesmaldives.com/resort/siyam-world-maldives/</t>
  </si>
  <si>
    <t xml:space="preserve">Siyam World Maldives | Neoscapes Maldives</t>
  </si>
  <si>
    <t xml:space="preserve">output/pages/179_siyam-world-maldives/overview__neoscapesmaldives.com__resort-siyam-world-maldives.md</t>
  </si>
  <si>
    <t xml:space="preserve">https://www.neoscapesmaldives.com/resort/so-maldives/</t>
  </si>
  <si>
    <t xml:space="preserve">SO/ Maldives | Neoscapes Maldives</t>
  </si>
  <si>
    <t xml:space="preserve">output/pages/046_so-maldives/overview__neoscapesmaldives.com__resort-so-maldives.md</t>
  </si>
  <si>
    <t xml:space="preserve">https://www.neoscapesmaldives.com/resort/soneva-fushi/</t>
  </si>
  <si>
    <t xml:space="preserve">Soneva Fushi | Neoscapes Maldives</t>
  </si>
  <si>
    <t xml:space="preserve">output/pages/141_soneva-fushi-resort/overview__neoscapesmaldives.com__resort-soneva-fushi.md</t>
  </si>
  <si>
    <t xml:space="preserve">https://www.neoscapesmaldives.com/resort/soneva-jani/</t>
  </si>
  <si>
    <t xml:space="preserve">Soneva Jani | Neoscapes Maldives</t>
  </si>
  <si>
    <t xml:space="preserve">output/pages/143_soneva-jani/overview__neoscapesmaldives.com__resort-soneva-jani.md</t>
  </si>
  <si>
    <t xml:space="preserve">https://www.neoscapesmaldives.com/resort/sun-siyam-iru-veli/</t>
  </si>
  <si>
    <t xml:space="preserve">Sun Siyam Iru Veli | Neoscapes Maldives</t>
  </si>
  <si>
    <t xml:space="preserve">output/pages/118_sun-siyam-iru-veli-maldives/overview__neoscapesmaldives.com__resort-sun-siyam-iru-veli.md</t>
  </si>
  <si>
    <t xml:space="preserve">https://www.neoscapesmaldives.com/resort/sun-siyam-vilu-reef/</t>
  </si>
  <si>
    <t xml:space="preserve">Sun Siyam Vilu Reef | Neoscapes Maldives</t>
  </si>
  <si>
    <t xml:space="preserve">output/pages/147_sun-siyam-vilu-reef-maldives/overview__neoscapesmaldives.com__resort-sun-siyam-vilu-reef.md</t>
  </si>
  <si>
    <t xml:space="preserve">https://www.neoscapesmaldives.com/resort/taj-coral-reef-resort-spa/</t>
  </si>
  <si>
    <t xml:space="preserve">Taj Coral Reef Resort &amp; Spa | Neoscapes Maldives</t>
  </si>
  <si>
    <t xml:space="preserve">output/pages/153_taj-coral-reef-resort-and-spa/overview__neoscapesmaldives.com__resort-taj-coral-reef-resort-spa.md</t>
  </si>
  <si>
    <t xml:space="preserve">https://www.neoscapesmaldives.com/resort/taj-exotica-resort-spa/</t>
  </si>
  <si>
    <t xml:space="preserve">Taj Exotica Resort &amp; Spa | Neoscapes Maldives</t>
  </si>
  <si>
    <t xml:space="preserve">output/pages/154_taj-exotica-resort-spa-maldives/overview__neoscapesmaldives.com__resort-taj-exotica-resort-spa.md</t>
  </si>
  <si>
    <t xml:space="preserve">https://www.neoscapesmaldives.com/resort/the-ritz-carlton-maldives/</t>
  </si>
  <si>
    <t xml:space="preserve">The Ritz-Carlton Maldives | Neoscapes Maldives</t>
  </si>
  <si>
    <t xml:space="preserve">output/pages/037_the-ritz-carlton-maldives-fari-islands/overview__neoscapesmaldives.com__resort-the-ritz-carlton-maldives.md</t>
  </si>
  <si>
    <t xml:space="preserve">https://www.neoscapesmaldives.com/resort/the-st-regis-maldives-vommuli-resort/</t>
  </si>
  <si>
    <t xml:space="preserve">The St. Regis Maldives Vommuli Resort | Neoscapes Maldives</t>
  </si>
  <si>
    <t xml:space="preserve">output/pages/134_the-st-regis-vommuli-resort-maldives/overview__neoscapesmaldives.com__resort-the-st-regis-maldives-vommuli-resort.md</t>
  </si>
  <si>
    <t xml:space="preserve">https://www.neoscapesmaldives.com/resort/the-standard-huruvalhi-maldives/</t>
  </si>
  <si>
    <t xml:space="preserve">The Standard, Huruvalhi Maldives | Neoscapes Maldives</t>
  </si>
  <si>
    <t xml:space="preserve">output/pages/140_the-standard-huruvalhi-maldives/overview__neoscapesmaldives.com__resort-the-standard-huruvalhi-maldives.md</t>
  </si>
  <si>
    <t xml:space="preserve">https://www.neoscapesmaldives.com/resort/the-sun-siyam-irufushi/</t>
  </si>
  <si>
    <t xml:space="preserve">Sun Siyam Irufushi | Neoscapes Maldives</t>
  </si>
  <si>
    <t xml:space="preserve">output/pages/148_sun-siyam-iru-fushi-maldives/overview__neoscapesmaldives.com__resort-the-sun-siyam-irufushi.md</t>
  </si>
  <si>
    <t xml:space="preserve">https://www.neoscapesmaldives.com/resort/vakkaru-maldives/</t>
  </si>
  <si>
    <t xml:space="preserve">Vakkaru Maldives | Neoscapes Maldives</t>
  </si>
  <si>
    <t xml:space="preserve">output/pages/049_vakkaru-maldives/overview__neoscapesmaldives.com__resort-vakkaru-maldives.md</t>
  </si>
  <si>
    <t xml:space="preserve">https://www.neoscapesmaldives.com/resort/varu-by-atmosphere/</t>
  </si>
  <si>
    <t xml:space="preserve">VARU by Atmosphere | Neoscapes Maldives</t>
  </si>
  <si>
    <t xml:space="preserve">output/pages/138_varu-island-resort/overview__neoscapesmaldives.com__resort-varu-by-atmosphere.md</t>
  </si>
  <si>
    <t xml:space="preserve">https://www.neoscapesmaldives.com/resort/velaa-private-island/</t>
  </si>
  <si>
    <t xml:space="preserve">Velaa Private Island Maldives | Neoscapes Maldives</t>
  </si>
  <si>
    <t xml:space="preserve">output/pages/171_velaa-private-island-maldives/overview__neoscapesmaldives.com__resort-velaa-private-island.md</t>
  </si>
  <si>
    <t xml:space="preserve">https://www.neoscapesmaldives.com/resort/velassaru-maldives/</t>
  </si>
  <si>
    <t xml:space="preserve">Niva Velassaru Maldives | Neoscapes Maldives</t>
  </si>
  <si>
    <t xml:space="preserve">output/pages/165_velassaru-maldives/overview__neoscapesmaldives.com__resort-velassaru-maldives.md</t>
  </si>
  <si>
    <t xml:space="preserve">https://www.neoscapesmaldives.com/resort/w-resort-maldives/</t>
  </si>
  <si>
    <t xml:space="preserve">W Maldives | Neoscapes Maldives</t>
  </si>
  <si>
    <t xml:space="preserve">output/pages/102_w-maldives/overview__neoscapesmaldives.com__resort-w-resort-maldives.md</t>
  </si>
  <si>
    <t xml:space="preserve">https://www.neoscapesmaldives.com/resort/waldorf-astoria-maldives/</t>
  </si>
  <si>
    <t xml:space="preserve">Waldorf Astoria Maldives Ithaafushi | Neoscapes</t>
  </si>
  <si>
    <t xml:space="preserve">output/pages/067_waldorf-astoria-maldives-ithaafushi/overview__neoscapesmaldives.com__resort-waldorf-astoria-maldives.md</t>
  </si>
  <si>
    <t xml:space="preserve">https://www.neoscapesmaldives.com/resort/you-me-by-cocoon-maldives/</t>
  </si>
  <si>
    <t xml:space="preserve">You &amp; Me by Cocoon Maldives | Neoscapes Maldives</t>
  </si>
  <si>
    <t xml:space="preserve">output/pages/032_cocoon-maldives/overview__neoscapesmaldives.com__resort-you-me-by-cocoon-maldives.md</t>
  </si>
  <si>
    <t xml:space="preserve">https://www.ayadamaldives.com/</t>
  </si>
  <si>
    <t xml:space="preserve">diving</t>
  </si>
  <si>
    <t xml:space="preserve">Ayada Maldives - Official Website</t>
  </si>
  <si>
    <t xml:space="preserve">output/pages/004_ayada-maldives/diving__ayadamaldives.com__home.md</t>
  </si>
  <si>
    <t xml:space="preserve">https://www.ayadamaldives.com/environment</t>
  </si>
  <si>
    <t xml:space="preserve">Environmental initiatives — Ayada Maldives - Official Website</t>
  </si>
  <si>
    <t xml:space="preserve">output/pages/004_ayada-maldives/diving__ayadamaldives.com__environment.md</t>
  </si>
  <si>
    <t xml:space="preserve">https://www.ayadamaldives.com/welcome</t>
  </si>
  <si>
    <t xml:space="preserve">output/pages/004_ayada-maldives/diving__ayadamaldives.com__welcome.md</t>
  </si>
  <si>
    <t xml:space="preserve">https://www.ayadamaldives.com/ivd</t>
  </si>
  <si>
    <t xml:space="preserve">dining</t>
  </si>
  <si>
    <t xml:space="preserve">In-Villa Dining — Ayada Maldives - Official Website</t>
  </si>
  <si>
    <t xml:space="preserve">output/pages/004_ayada-maldives/dining__ayadamaldives.com__ivd.md</t>
  </si>
  <si>
    <t xml:space="preserve">https://www.ayadamaldives.com/new-blog/2025/8/1/experiencing-the-authentic-maldives-a-guests-guide-to-local-life</t>
  </si>
  <si>
    <t xml:space="preserve">Experiencing the Authentic Maldives: A Guest’s Guide to Local Life — Ayada Maldives - Official Website</t>
  </si>
  <si>
    <t xml:space="preserve">output/pages/004_ayada-maldives/diving__ayadamaldives.com__new-blog-2025-8-1-experiencing-the-authentic-maldives-a-gues.md</t>
  </si>
  <si>
    <t xml:space="preserve">https://www.ayadamaldives.com/new-blog/festive-maldives-2025</t>
  </si>
  <si>
    <t xml:space="preserve">A Tropical Wonderland of Festive Cheer at Ayada Maldives — Ayada Maldives - Official Website</t>
  </si>
  <si>
    <t xml:space="preserve">output/pages/004_ayada-maldives/diving__ayadamaldives.com__new-blog-festive-maldives-2025.md</t>
  </si>
  <si>
    <t xml:space="preserve">https://www.ayadamaldives.com/ile-de-joie</t>
  </si>
  <si>
    <t xml:space="preserve">Ile de Joie — Ayada Maldives - Official Website</t>
  </si>
  <si>
    <t xml:space="preserve">output/pages/004_ayada-maldives/diving__ayadamaldives.com__ile-de-joie.md</t>
  </si>
  <si>
    <t xml:space="preserve">https://www.adaaran.com/selecthudhuranfushi/</t>
  </si>
  <si>
    <t xml:space="preserve">Maldives All inclusive Hotel | Adaaran Select Hudhuranfushi Official Site</t>
  </si>
  <si>
    <t xml:space="preserve">output/pages/003_adaaran-select-hudhuranfushi/diving__adaaran.com__selecthudhuranfushi.md</t>
  </si>
  <si>
    <t xml:space="preserve">https://www.ayadamaldives.com/sunset-ocean-suite</t>
  </si>
  <si>
    <t xml:space="preserve">Sunset Ocean Suite with Pool — Ayada Maldives - Official Website</t>
  </si>
  <si>
    <t xml:space="preserve">output/pages/004_ayada-maldives/diving__ayadamaldives.com__sunset-ocean-suite.md</t>
  </si>
  <si>
    <t xml:space="preserve">https://www.adaaran.com/selecthudhuranfushi/villas/sunset-beach-villas/</t>
  </si>
  <si>
    <t xml:space="preserve">Sunset Maldives Beach Villas | Adaaran Select Hudhuranfushi</t>
  </si>
  <si>
    <t xml:space="preserve">output/pages/003_adaaran-select-hudhuranfushi/diving__adaaran.com__selecthudhuranfushi-villas-sunset-beach-villas.md</t>
  </si>
  <si>
    <t xml:space="preserve">https://www.ayadamaldives.com/ottoman-lounge</t>
  </si>
  <si>
    <t xml:space="preserve">Ottoman Lounge — Ayada Maldives - Official Website</t>
  </si>
  <si>
    <t xml:space="preserve">output/pages/004_ayada-maldives/diving__ayadamaldives.com__ottoman-lounge.md</t>
  </si>
  <si>
    <t xml:space="preserve">https://www.adaaran.com/selecthudhuranfushi/facilities/transfers/</t>
  </si>
  <si>
    <t xml:space="preserve">Maldives Speedboat Transfers | Transfers to Adaaran Select Hudhuranfushi</t>
  </si>
  <si>
    <t xml:space="preserve">output/pages/003_adaaran-select-hudhuranfushi/diving__adaaran.com__selecthudhuranfushi-facilities-transfers.md</t>
  </si>
  <si>
    <t xml:space="preserve">https://www.ayadamaldives.com/new-blog/2023/8/28/festive-season-highlights-a-memorable-stay-at-ayada-maldives</t>
  </si>
  <si>
    <t xml:space="preserve">Festive Season Highlights: A Memorable Stay at Ayada Maldives — Ayada Maldives - Official Website</t>
  </si>
  <si>
    <t xml:space="preserve">output/pages/004_ayada-maldives/diving__ayadamaldives.com__new-blog-2023-8-28-festive-season-highlights-a-memorable-sta.md</t>
  </si>
  <si>
    <t xml:space="preserve">https://www.adaaran.com/selecthudhuranfushi/offers/book-direct/</t>
  </si>
  <si>
    <t xml:space="preserve">Maldives Resort Deals | Adaaran Hudhuranfushi | Book Direct</t>
  </si>
  <si>
    <t xml:space="preserve">output/pages/003_adaaran-select-hudhuranfushi/diving__adaaran.com__selecthudhuranfushi-offers-book-direct.md</t>
  </si>
  <si>
    <t xml:space="preserve">https://www.ayadamaldives.com/new-blog/2021/11/25/vegan-friendly-cuisine-at-ayada-maldives</t>
  </si>
  <si>
    <t xml:space="preserve">Vegan-Friendly Cuisine at Ayada Maldives — Ayada Maldives - Official Website</t>
  </si>
  <si>
    <t xml:space="preserve">output/pages/004_ayada-maldives/dining__ayadamaldives.com__new-blog-2021-11-25-vegan-friendly-cuisine-at-ayada-maldives.md</t>
  </si>
  <si>
    <t xml:space="preserve">https://www.adaaran.com/selecthudhuranfushi/weddings/</t>
  </si>
  <si>
    <t xml:space="preserve">Maldives Wedding Resorts | Renew your vows at Adaaran Select Hudhuranfushi</t>
  </si>
  <si>
    <t xml:space="preserve">output/pages/003_adaaran-select-hudhuranfushi/wedding__adaaran.com__selecthudhuranfushi-weddings.md</t>
  </si>
  <si>
    <t xml:space="preserve">https://www.ayadamaldives.com/new-blog/2019/6/15/ysmq2ri1yo00l6yqc4zr2xuqhzrc4q</t>
  </si>
  <si>
    <t xml:space="preserve">Enjoy lunch at a whole new level at our Zero Degree poolside restaurant — Ayada Maldives - Official Website</t>
  </si>
  <si>
    <t xml:space="preserve">output/pages/004_ayada-maldives/dining__ayadamaldives.com__new-blog-2019-6-15-ysmq2ri1yo00l6yqc4zr2xuqhzrc4q.md</t>
  </si>
  <si>
    <t xml:space="preserve">https://www.ayadamaldives.com/brandambassador</t>
  </si>
  <si>
    <t xml:space="preserve">Brand Ambassadors Scheme — Ayada Maldives - Official Website</t>
  </si>
  <si>
    <t xml:space="preserve">output/pages/004_ayada-maldives/diving__ayadamaldives.com__brandambassador.md</t>
  </si>
  <si>
    <t xml:space="preserve">https://www.adaaran.com/selecthudhuranfushi/offers/book-direct-es/</t>
  </si>
  <si>
    <t xml:space="preserve">output/pages/003_adaaran-select-hudhuranfushi/diving__adaaran.com__selecthudhuranfushi-offers-book-direct-es.md</t>
  </si>
  <si>
    <t xml:space="preserve">https://www.adaaran.com/selecthudhuranfushi/location/</t>
  </si>
  <si>
    <t xml:space="preserve">Luxury Maldives Resort | Location | Adaaran Select Hudhuranfushi</t>
  </si>
  <si>
    <t xml:space="preserve">output/pages/003_adaaran-select-hudhuranfushi/diving__adaaran.com__selecthudhuranfushi-location.md</t>
  </si>
  <si>
    <t xml:space="preserve">https://www.ayadamaldives.com/new-blog/2025/6/7/what-makes-ayada-maldives-one-of-the-most-loved-resorts-in-the-world</t>
  </si>
  <si>
    <t xml:space="preserve">What Makes Ayada Maldives One of the Most Loved Resorts in the World — Ayada Maldives - Official Website</t>
  </si>
  <si>
    <t xml:space="preserve">output/pages/004_ayada-maldives/diving__ayadamaldives.com__new-blog-2025-6-7-what-makes-ayada-maldives-one-of-the-most-.md</t>
  </si>
  <si>
    <t xml:space="preserve">https://www.adaaran.com/selecthudhuranfushi/dining/hiyala-bar/</t>
  </si>
  <si>
    <t xml:space="preserve">Resort Bars Maldives | Hiyala Bar at Adaaran Select Hudhuranfushi</t>
  </si>
  <si>
    <t xml:space="preserve">output/pages/003_adaaran-select-hudhuranfushi/dining__adaaran.com__selecthudhuranfushi-dining-hiyala-bar.md</t>
  </si>
  <si>
    <t xml:space="preserve">https://www.ayadamaldives.com/family-experiences</t>
  </si>
  <si>
    <t xml:space="preserve">Family Experiences — Ayada Maldives - Official Website</t>
  </si>
  <si>
    <t xml:space="preserve">output/pages/004_ayada-maldives/diving__ayadamaldives.com__family-experiences.md</t>
  </si>
  <si>
    <t xml:space="preserve">https://www.adaaran.com/selecthudhuranfushi/offers/family-getaway/</t>
  </si>
  <si>
    <t xml:space="preserve">Maldives Family Vacation | Adaaran Hudhuranfushi | Family Gateway</t>
  </si>
  <si>
    <t xml:space="preserve">output/pages/003_adaaran-select-hudhuranfushi/diving__adaaran.com__selecthudhuranfushi-offers-family-getaway.md</t>
  </si>
  <si>
    <t xml:space="preserve">https://www.ayadamaldives.com/new-blog/2025/6/7/planning-a-perfect-summer-holiday-heres-why-ayada-maldives-should-be-on-your-list</t>
  </si>
  <si>
    <t xml:space="preserve">Planning a Perfect Summer Holiday? Here’s Why Ayada Maldives Should Be on Your List — Ayada Maldives - Official Website</t>
  </si>
  <si>
    <t xml:space="preserve">output/pages/004_ayada-maldives/diving__ayadamaldives.com__new-blog-2025-6-7-planning-a-perfect-summer-holiday-heres-wh.md</t>
  </si>
  <si>
    <t xml:space="preserve">https://www.adaaran.com/selecthudhuranfushi/sitemap/</t>
  </si>
  <si>
    <t xml:space="preserve">Sitemap | Adaaran Select Hudhuranfushi</t>
  </si>
  <si>
    <t xml:space="preserve">output/pages/003_adaaran-select-hudhuranfushi/other__adaaran.com__selecthudhuranfushi-sitemap.md</t>
  </si>
  <si>
    <t xml:space="preserve">https://www.ayadamaldives.com/new-blog/2019/6/6/is-it-possible-to-stand-out-from-the-crowd</t>
  </si>
  <si>
    <t xml:space="preserve">Is it possible to stand out from the crowd? Ayada does... — Ayada Maldives - Official Website</t>
  </si>
  <si>
    <t xml:space="preserve">output/pages/004_ayada-maldives/diving__ayadamaldives.com__new-blog-2019-6-6-is-it-possible-to-stand-out-from-the-crowd.md</t>
  </si>
  <si>
    <t xml:space="preserve">https://www.adaaran.com/selecthudhuranfushi/offers/early-bird/</t>
  </si>
  <si>
    <t xml:space="preserve">Maldives Hotel Packages | Early Bird Offer at Adaaran Hudhuranfushi</t>
  </si>
  <si>
    <t xml:space="preserve">output/pages/003_adaaran-select-hudhuranfushi/diving__adaaran.com__selecthudhuranfushi-offers-early-bird.md</t>
  </si>
  <si>
    <t xml:space="preserve">https://www.ayadamaldives.com/ocean-villa</t>
  </si>
  <si>
    <t xml:space="preserve">Ocean Villa with Pool — Ayada Maldives - Official Website</t>
  </si>
  <si>
    <t xml:space="preserve">output/pages/004_ayada-maldives/diving__ayadamaldives.com__ocean-villa.md</t>
  </si>
  <si>
    <t xml:space="preserve">https://www.adaaran.com/selecthudhuranfushi/dining/sunset-restaurant/</t>
  </si>
  <si>
    <t xml:space="preserve">Sunset Restaurant Maldives | Adaaran Select Hudhuranfushi</t>
  </si>
  <si>
    <t xml:space="preserve">output/pages/003_adaaran-select-hudhuranfushi/dining__adaaran.com__selecthudhuranfushi-dining-sunset-restaurant.md</t>
  </si>
  <si>
    <t xml:space="preserve">https://www.ayadamaldives.com/new-blog/2025/5/24/halal-food-excellence-dining-at-ayada-maldives</t>
  </si>
  <si>
    <t xml:space="preserve">Halal Food Excellence: Dining at Ayada Maldives — Ayada Maldives - Official Website</t>
  </si>
  <si>
    <t xml:space="preserve">output/pages/004_ayada-maldives/dining__ayadamaldives.com__new-blog-2025-5-24-halal-food-excellence-dining-at-ayada-mal.md</t>
  </si>
  <si>
    <t xml:space="preserve">https://www.adaaran.com/selecthudhuranfushi/dining/banyan-restaurant/</t>
  </si>
  <si>
    <t xml:space="preserve">Best Restaurant in Maldives | Adaaran Select Hudhuranfushi</t>
  </si>
  <si>
    <t xml:space="preserve">output/pages/003_adaaran-select-hudhuranfushi/dining__adaaran.com__selecthudhuranfushi-dining-banyan-restaurant.md</t>
  </si>
  <si>
    <t xml:space="preserve">https://www.ayadamaldives.com/new-blog/2025/6/25/ayada-maldives-a-top-resort-for-privacy-and-seclusion-without-compromise</t>
  </si>
  <si>
    <t xml:space="preserve">Ayada Maldives: A Top Resort for Privacy and Seclusion Without Compromise — Ayada Maldives - Official Website</t>
  </si>
  <si>
    <t xml:space="preserve">output/pages/004_ayada-maldives/diving__ayadamaldives.com__new-blog-2025-6-25-ayada-maldives-a-top-resort-for-privacy-a.md</t>
  </si>
  <si>
    <t xml:space="preserve">https://forsale.godaddy.com/forsale/www.filitheyo.com?utm_source=TDFS_BINNS2&amp;utm_medium=parkedpages&amp;utm_campaign=x_corp_tdfs-binns2_base&amp;traffic_type=TDFS_BINNS2&amp;traffic_id=binns2&amp;</t>
  </si>
  <si>
    <t xml:space="preserve">Access Denied</t>
  </si>
  <si>
    <t xml:space="preserve">output/pages/002_filitheyo-island-resort/other__forsale.godaddy.com__forsale-www-filitheyo-com.md</t>
  </si>
  <si>
    <t xml:space="preserve">https://www.adaaran.com/selecthudhuranfushi/villas/deluxe-beach-villa/</t>
  </si>
  <si>
    <t xml:space="preserve">Maldives Luxury Villas | Deluxe Beach Villa at Adaaran Select Hudhuranfushi</t>
  </si>
  <si>
    <t xml:space="preserve">output/pages/003_adaaran-select-hudhuranfushi/diving__adaaran.com__selecthudhuranfushi-villas-deluxe-beach-villa.md</t>
  </si>
  <si>
    <t xml:space="preserve">https://www.ayadamaldives.com/offer-summer-escape</t>
  </si>
  <si>
    <t xml:space="preserve">Offer: Summer Escape — Ayada Maldives - Official Website</t>
  </si>
  <si>
    <t xml:space="preserve">output/pages/004_ayada-maldives/diving__ayadamaldives.com__offer-summer-escape.md</t>
  </si>
  <si>
    <t xml:space="preserve">https://www.adaaran.com/selecthudhuranfushi/view-download/?id=menu-12</t>
  </si>
  <si>
    <t xml:space="preserve">Maldives Resorts | Adaaran All Inclusive Resorts Official Site</t>
  </si>
  <si>
    <t xml:space="preserve">output/pages/003_adaaran-select-hudhuranfushi/diving__adaaran.com__selecthudhuranfushi-view-download.md</t>
  </si>
  <si>
    <t xml:space="preserve">https://www.ayadamaldives.com/new-blog/2022/3/17/the-perfect-maldives-resort-for-complete-relaxation</t>
  </si>
  <si>
    <t xml:space="preserve">The perfect Maldives resort for complete relaxation — Ayada Maldives - Official Website</t>
  </si>
  <si>
    <t xml:space="preserve">output/pages/004_ayada-maldives/diving__ayadamaldives.com__new-blog-2022-3-17-the-perfect-maldives-resort-for-complete-.md</t>
  </si>
  <si>
    <t xml:space="preserve">https://www.ayadamaldives.com/menus</t>
  </si>
  <si>
    <t xml:space="preserve">Russian Menus — Ayada Maldives - Official Website</t>
  </si>
  <si>
    <t xml:space="preserve">output/pages/004_ayada-maldives/dining__ayadamaldives.com__menus.md</t>
  </si>
  <si>
    <t xml:space="preserve">https://www.adaaran.com/selecthudhuranfushi/experiences/watersports/</t>
  </si>
  <si>
    <t xml:space="preserve">Maldives Water Sports Holidays | Adaaran Select Hudhuranfushi</t>
  </si>
  <si>
    <t xml:space="preserve">output/pages/003_adaaran-select-hudhuranfushi/diving__adaaran.com__selecthudhuranfushi-experiences-watersports.md</t>
  </si>
  <si>
    <t xml:space="preserve">https://www.adaaran.com/selecthudhuranfushi/premium-all-inclusive-offering/</t>
  </si>
  <si>
    <t xml:space="preserve">Maldives All Inclusive | Offers at Adaaran Select Hudhuranfushi</t>
  </si>
  <si>
    <t xml:space="preserve">output/pages/003_adaaran-select-hudhuranfushi/diving__adaaran.com__selecthudhuranfushi-premium-all-inclusive-offering.md</t>
  </si>
  <si>
    <t xml:space="preserve">https://www.ayadamaldives.com/ocean-breeze</t>
  </si>
  <si>
    <t xml:space="preserve">Ocean Breeze — Ayada Maldives - Official Website</t>
  </si>
  <si>
    <t xml:space="preserve">output/pages/004_ayada-maldives/diving__ayadamaldives.com__ocean-breeze.md</t>
  </si>
  <si>
    <t xml:space="preserve">https://www.adaaran.com/selecthudhuranfushi/gallery/</t>
  </si>
  <si>
    <t xml:space="preserve">Most Beautiful Maldives Resort | Gallery | Adaaran Hudhuranfushi</t>
  </si>
  <si>
    <t xml:space="preserve">output/pages/003_adaaran-select-hudhuranfushi/diving__adaaran.com__selecthudhuranfushi-gallery.md</t>
  </si>
  <si>
    <t xml:space="preserve">https://www.ayadamaldives.com/middle-east-en</t>
  </si>
  <si>
    <t xml:space="preserve">Middle East EN — Ayada Maldives - Official Website</t>
  </si>
  <si>
    <t xml:space="preserve">output/pages/004_ayada-maldives/diving__ayadamaldives.com__middle-east-en.md</t>
  </si>
  <si>
    <t xml:space="preserve">https://www.adaaran.com/selecthudhuranfushi/villas/family-beach-villas/</t>
  </si>
  <si>
    <t xml:space="preserve">Maldives Family Beach Villas | Family Beach Villas at Adaaran Select Hudhuranfushi</t>
  </si>
  <si>
    <t xml:space="preserve">output/pages/003_adaaran-select-hudhuranfushi/diving__adaaran.com__selecthudhuranfushi-villas-family-beach-villas.md</t>
  </si>
  <si>
    <t xml:space="preserve">https://www.ayadamaldives.com/new-blog/2025/6/25/why-ayada-maldives-is-one-of-the-best-resorts-for-group-getaways</t>
  </si>
  <si>
    <t xml:space="preserve">Why Ayada Maldives Is One of the Best Resorts for Group Getaways — Ayada Maldives - Official Website</t>
  </si>
  <si>
    <t xml:space="preserve">output/pages/004_ayada-maldives/events__ayadamaldives.com__new-blog-2025-6-25-why-ayada-maldives-is-one-of-the-best-res.md</t>
  </si>
  <si>
    <t xml:space="preserve">https://www.adaaran.com/selecthudhuranfushi/experiences/diving/housereef-hudhuranfushi/</t>
  </si>
  <si>
    <t xml:space="preserve">Maldives Diving Resorts | Housereef at Adaaran Select Hudhuranfushi</t>
  </si>
  <si>
    <t xml:space="preserve">output/pages/003_adaaran-select-hudhuranfushi/diving__adaaran.com__selecthudhuranfushi-experiences-diving-housereef-hudhuranfus.md</t>
  </si>
  <si>
    <t xml:space="preserve">https://www.adaaran.com/selecthudhuranfushi/dining/tiki-bar/</t>
  </si>
  <si>
    <t xml:space="preserve">Bars in Maldives | Tiki Bar at Adaaran Select Hudhuranfushi</t>
  </si>
  <si>
    <t xml:space="preserve">output/pages/003_adaaran-select-hudhuranfushi/dining__adaaran.com__selecthudhuranfushi-dining-tiki-bar.md</t>
  </si>
  <si>
    <t xml:space="preserve">https://www.ayadamaldives.com/new-blog/2025/5/24/ayspa-the-multi-award-winning-of-spa-at-ayada-maldives</t>
  </si>
  <si>
    <t xml:space="preserve">spa</t>
  </si>
  <si>
    <t xml:space="preserve">AySpa: The Multi-Award Winning of Spa at Ayada Maldives — Ayada Maldives - Official Website</t>
  </si>
  <si>
    <t xml:space="preserve">output/pages/004_ayada-maldives/spa__ayadamaldives.com__new-blog-2025-5-24-ayspa-the-multi-award-winning-of-spa-at-a.md</t>
  </si>
  <si>
    <t xml:space="preserve">https://www.adaaran.com/selecthudhuranfushi/experiences/surf/</t>
  </si>
  <si>
    <t xml:space="preserve">Surfing in Maldives for Beginners | Adaaran Select Hudhuranfushi</t>
  </si>
  <si>
    <t xml:space="preserve">output/pages/003_adaaran-select-hudhuranfushi/diving__adaaran.com__selecthudhuranfushi-experiences-surf.md</t>
  </si>
  <si>
    <t xml:space="preserve">https://www.ayadamaldives.com/new-blog/2019/6/5/identifying-sea-turtles</t>
  </si>
  <si>
    <t xml:space="preserve">Would you like to name a sea turtle? — Ayada Maldives - Official Website</t>
  </si>
  <si>
    <t xml:space="preserve">output/pages/004_ayada-maldives/diving__ayadamaldives.com__new-blog-2019-6-5-identifying-sea-turtles.md</t>
  </si>
  <si>
    <t xml:space="preserve">https://www.adaaran.com/selecthudhuranfushi/dining/lohis-bar/</t>
  </si>
  <si>
    <t xml:space="preserve">Maldives Bar | Lohis Wave at Adaaran Select Hudhuranfushi</t>
  </si>
  <si>
    <t xml:space="preserve">output/pages/003_adaaran-select-hudhuranfushi/dining__adaaran.com__selecthudhuranfushi-dining-lohis-bar.md</t>
  </si>
  <si>
    <t xml:space="preserve">https://www.ayadamaldives.com/contact</t>
  </si>
  <si>
    <t xml:space="preserve">Contact — Ayada Maldives - Official Website</t>
  </si>
  <si>
    <t xml:space="preserve">output/pages/004_ayada-maldives/diving__ayadamaldives.com__contact.md</t>
  </si>
  <si>
    <t xml:space="preserve">https://www.adaaran.com/selecthudhuranfushi/facilities/lohis-yoga/</t>
  </si>
  <si>
    <t xml:space="preserve">Maldives Yoga Resort | Yoga at Adaaran Select Hudhuranfushi</t>
  </si>
  <si>
    <t xml:space="preserve">output/pages/003_adaaran-select-hudhuranfushi/spa__adaaran.com__selecthudhuranfushi-facilities-lohis-yoga.md</t>
  </si>
  <si>
    <t xml:space="preserve">https://www.ayadamaldives.com/new-blog/2025/6/7/top-reasons-guests-choose-ayada-maldives-again-and-again</t>
  </si>
  <si>
    <t xml:space="preserve">Top Reasons Guests Choose Ayada Maldives Again and Again — Ayada Maldives - Official Website</t>
  </si>
  <si>
    <t xml:space="preserve">output/pages/004_ayada-maldives/diving__ayadamaldives.com__new-blog-2025-6-7-top-reasons-guests-choose-ayada-maldives-a.md</t>
  </si>
  <si>
    <t xml:space="preserve">https://www.adaaran.com/selecthudhuranfushi/facilities/spa/</t>
  </si>
  <si>
    <t xml:space="preserve">Maldives Luxury Spa | Spa at Adaaran Select Hudhuranfushi</t>
  </si>
  <si>
    <t xml:space="preserve">output/pages/003_adaaran-select-hudhuranfushi/spa__adaaran.com__selecthudhuranfushi-facilities-spa.md</t>
  </si>
  <si>
    <t xml:space="preserve">https://www.adaaran.com/selecthudhuranfushi/dining/indian-pavilion/</t>
  </si>
  <si>
    <t xml:space="preserve">Indian Restaurant in Maldives | Adaaran Select Hudhuranfushi</t>
  </si>
  <si>
    <t xml:space="preserve">output/pages/003_adaaran-select-hudhuranfushi/dining__adaaran.com__selecthudhuranfushi-dining-indian-pavilion.md</t>
  </si>
  <si>
    <t xml:space="preserve">https://www.ayadamaldives.com/new-blog</t>
  </si>
  <si>
    <t xml:space="preserve">New Blog — Ayada Maldives - Official Website</t>
  </si>
  <si>
    <t xml:space="preserve">output/pages/004_ayada-maldives/diving__ayadamaldives.com__new-blog.md</t>
  </si>
  <si>
    <t xml:space="preserve">https://www.ayadamaldives.com/kai</t>
  </si>
  <si>
    <t xml:space="preserve">Kai — Ayada Maldives - Official Website</t>
  </si>
  <si>
    <t xml:space="preserve">output/pages/004_ayada-maldives/diving__ayadamaldives.com__kai.md</t>
  </si>
  <si>
    <t xml:space="preserve">https://www.adaaran.com/selecthudhuranfushi/offers/romantic-getaway/</t>
  </si>
  <si>
    <t xml:space="preserve">Maldives Resort Honeymoon Package | Adaaran Hudhuranfushi</t>
  </si>
  <si>
    <t xml:space="preserve">output/pages/003_adaaran-select-hudhuranfushi/wedding__adaaran.com__selecthudhuranfushi-offers-romantic-getaway.md</t>
  </si>
  <si>
    <t xml:space="preserve">https://www.ayadamaldives.com/mizu</t>
  </si>
  <si>
    <t xml:space="preserve">Mizu — Ayada Maldives - Official Website</t>
  </si>
  <si>
    <t xml:space="preserve">output/pages/004_ayada-maldives/diving__ayadamaldives.com__mizu.md</t>
  </si>
  <si>
    <t xml:space="preserve">https://www.adaaran.com/selecthudhuranfushi/experiences/surf-package/</t>
  </si>
  <si>
    <t xml:space="preserve">Surfing in Maldives | Adaaran Select Hudhuranfushi | Surf Package</t>
  </si>
  <si>
    <t xml:space="preserve">output/pages/003_adaaran-select-hudhuranfushi/diving__adaaran.com__selecthudhuranfushi-experiences-surf-package.md</t>
  </si>
  <si>
    <t xml:space="preserve">https://www.ayadamaldives.com/new-blog/2024/9/20/renew-your-vows-in-paradise-an-intimate-maldivian-ceremony</t>
  </si>
  <si>
    <t xml:space="preserve">Renew Your Vows in Paradise: An Intimate Maldivian Ceremony — Ayada Maldives - Official Website</t>
  </si>
  <si>
    <t xml:space="preserve">output/pages/004_ayada-maldives/wedding__ayadamaldives.com__new-blog-2024-9-20-renew-your-vows-in-paradise-an-intimate-m.md</t>
  </si>
  <si>
    <t xml:space="preserve">https://www.adaaran.com/selecthudhuranfushi/villas/lohis-villa/</t>
  </si>
  <si>
    <t xml:space="preserve">Maldives Luxury Holiday | Lohis Villas at Adaaran Select Hudhuranfushi</t>
  </si>
  <si>
    <t xml:space="preserve">output/pages/003_adaaran-select-hudhuranfushi/diving__adaaran.com__selecthudhuranfushi-villas-lohis-villa.md</t>
  </si>
  <si>
    <t xml:space="preserve">https://amilla.com/</t>
  </si>
  <si>
    <t xml:space="preserve">Luxury Resort in Maldives | Amilla Maldives Official Site</t>
  </si>
  <si>
    <t xml:space="preserve">output/pages/009_amilla-fushi/diving__amilla.com__home.md</t>
  </si>
  <si>
    <t xml:space="preserve">https://www.adaaran.com/selecthudhuranfushi/villas/family-villas/</t>
  </si>
  <si>
    <t xml:space="preserve">Maldives Family Villas | Adaaran Select Hudhuranfushi</t>
  </si>
  <si>
    <t xml:space="preserve">output/pages/003_adaaran-select-hudhuranfushi/diving__adaaran.com__selecthudhuranfushi-villas-family-villas.md</t>
  </si>
  <si>
    <t xml:space="preserve">https://amilla.com/inclusive-hospitality/</t>
  </si>
  <si>
    <t xml:space="preserve">Inclucare Certified &amp; Accessible Resorts | Amilla Maldives</t>
  </si>
  <si>
    <t xml:space="preserve">output/pages/009_amilla-fushi/diving__amilla.com__inclusive-hospitality.md</t>
  </si>
  <si>
    <t xml:space="preserve">https://www.ayadamaldives.com/wedding</t>
  </si>
  <si>
    <t xml:space="preserve">Weddings at Ayada Maldives — Ayada Maldives - Official Website</t>
  </si>
  <si>
    <t xml:space="preserve">output/pages/004_ayada-maldives/wedding__ayadamaldives.com__wedding.md</t>
  </si>
  <si>
    <t xml:space="preserve">https://www.adaaran.com/selecthudhuranfushi/dining/beach-bar/</t>
  </si>
  <si>
    <t xml:space="preserve">Beach Bar Maldives | Beach Grill Bar at Adaaran Select Hudhuranfushi</t>
  </si>
  <si>
    <t xml:space="preserve">output/pages/003_adaaran-select-hudhuranfushi/dining__adaaran.com__selecthudhuranfushi-dining-beach-bar.md</t>
  </si>
  <si>
    <t xml:space="preserve">https://amilla.com/maldives-residences/luxury-maldives-mansion/</t>
  </si>
  <si>
    <t xml:space="preserve">Family Friendly Maldives Resorts | Amilla Estate at Amilla Maldives</t>
  </si>
  <si>
    <t xml:space="preserve">output/pages/009_amilla-fushi/diving__amilla.com__maldives-residences-luxury-maldives-mansion.md</t>
  </si>
  <si>
    <t xml:space="preserve">https://www.ayadamaldives.com/exclusive-offers/transfer50-znxhz-5cbl7-5ljel</t>
  </si>
  <si>
    <t xml:space="preserve">Lowest Discounted Offer: Non-Refundable Rate — Ayada Maldives - Official Website</t>
  </si>
  <si>
    <t xml:space="preserve">output/pages/004_ayada-maldives/diving__ayadamaldives.com__exclusive-offers-transfer50-znxhz-5cbl7-5ljel.md</t>
  </si>
  <si>
    <t xml:space="preserve">https://www.adaaran.com/selecthudhuranfushi/offers/storrington-collective-family-getaway/</t>
  </si>
  <si>
    <t xml:space="preserve">Family Getaway in Maldives | Adaaran Select Hudhuranfushi</t>
  </si>
  <si>
    <t xml:space="preserve">output/pages/003_adaaran-select-hudhuranfushi/diving__adaaran.com__selecthudhuranfushi-offers-storrington-collective-family-get.md</t>
  </si>
  <si>
    <t xml:space="preserve">https://www.ayadamaldives.com/new-blog/category/Celebrity+Visits</t>
  </si>
  <si>
    <t xml:space="preserve">Celebrity Visits — New Blog — Ayada Maldives - Official Website</t>
  </si>
  <si>
    <t xml:space="preserve">output/pages/004_ayada-maldives/diving__ayadamaldives.com__new-blog-category-celebrity-visits.md</t>
  </si>
  <si>
    <t xml:space="preserve">https://www.adaaran.com/selecthudhuranfushi/facilities/koamas-kids-club/</t>
  </si>
  <si>
    <t xml:space="preserve">Family Friendly Maldives Resorts | Koamas Kids Club at Hudhuranfushi</t>
  </si>
  <si>
    <t xml:space="preserve">output/pages/003_adaaran-select-hudhuranfushi/diving__adaaran.com__selecthudhuranfushi-facilities-koamas-kids-club.md</t>
  </si>
  <si>
    <t xml:space="preserve">https://amilla.com/maldives-dining/</t>
  </si>
  <si>
    <t xml:space="preserve">Dining in Maldives | Maldives Dining at Amilla Maldives</t>
  </si>
  <si>
    <t xml:space="preserve">output/pages/009_amilla-fushi/dining__amilla.com__maldives-dining.md</t>
  </si>
  <si>
    <t xml:space="preserve">https://www.ayadamaldives.com/new-blog/2019/6/5/what-to-pack-for-a-week-at-ayada-maldives</t>
  </si>
  <si>
    <t xml:space="preserve">What to pack for a week at Ayada Maldives? — Ayada Maldives - Official Website</t>
  </si>
  <si>
    <t xml:space="preserve">output/pages/004_ayada-maldives/diving__ayadamaldives.com__new-blog-2019-6-5-what-to-pack-for-a-week-at-ayada-maldives.md</t>
  </si>
  <si>
    <t xml:space="preserve">https://www.adaaran.com/selecthudhuranfushi/villas/sunset-ocean-villas/</t>
  </si>
  <si>
    <t xml:space="preserve">Maldives Ocean Villas | Sunset Ocean Villas at Adaaran Select Hudhuranfushi</t>
  </si>
  <si>
    <t xml:space="preserve">output/pages/003_adaaran-select-hudhuranfushi/diving__adaaran.com__selecthudhuranfushi-villas-sunset-ocean-villas.md</t>
  </si>
  <si>
    <t xml:space="preserve">https://amilla.com/maldives-villas/one-bedroom-lagoon-pool-villa/</t>
  </si>
  <si>
    <t xml:space="preserve">Lagoon Pool Villa Maldives | Amilla Maldives | Lagoon Pool Villa</t>
  </si>
  <si>
    <t xml:space="preserve">output/pages/009_amilla-fushi/diving__amilla.com__maldives-villas-one-bedroom-lagoon-pool-villa.md</t>
  </si>
  <si>
    <t xml:space="preserve">https://www.ayadamaldives.com/beach-suite</t>
  </si>
  <si>
    <t xml:space="preserve">Beach Suite — Ayada Maldives - Official Website</t>
  </si>
  <si>
    <t xml:space="preserve">output/pages/004_ayada-maldives/diving__ayadamaldives.com__beach-suite.md</t>
  </si>
  <si>
    <t xml:space="preserve">https://dreamland.com.mv/</t>
  </si>
  <si>
    <t xml:space="preserve">Dreamland</t>
  </si>
  <si>
    <t xml:space="preserve">output/pages/010_dreamland-the-unique-sea-lake-resort-spa/other__dreamland.com.mv__home.md</t>
  </si>
  <si>
    <t xml:space="preserve">https://www.adaaran.com/selecthudhuranfushi/villas/garden-villa/</t>
  </si>
  <si>
    <t xml:space="preserve">Maldives Luxury Holiday | Garden Villas at Adaaran Select Hudhuranfushi</t>
  </si>
  <si>
    <t xml:space="preserve">output/pages/003_adaaran-select-hudhuranfushi/diving__adaaran.com__selecthudhuranfushi-villas-garden-villa.md</t>
  </si>
  <si>
    <t xml:space="preserve">https://www.ayadamaldives.com/sea-salt</t>
  </si>
  <si>
    <t xml:space="preserve">Sea Salt — Ayada Maldives - Official Website</t>
  </si>
  <si>
    <t xml:space="preserve">output/pages/004_ayada-maldives/diving__ayadamaldives.com__sea-salt.md</t>
  </si>
  <si>
    <t xml:space="preserve">https://amilla.com/events-celebrations/</t>
  </si>
  <si>
    <t xml:space="preserve">Maldives Wedding Resorts | Celebrations at Amilla Maldives</t>
  </si>
  <si>
    <t xml:space="preserve">output/pages/009_amilla-fushi/wedding__amilla.com__events-celebrations.md</t>
  </si>
  <si>
    <t xml:space="preserve">https://www.adaaran.com/selecthudhuranfushi/experiences/excursions/</t>
  </si>
  <si>
    <t xml:space="preserve">Maldives Things to do | Excursions at Adaaran Select Hudhuranfushi</t>
  </si>
  <si>
    <t xml:space="preserve">output/pages/003_adaaran-select-hudhuranfushi/diving__adaaran.com__selecthudhuranfushi-experiences-excursions.md</t>
  </si>
  <si>
    <t xml:space="preserve">https://www.ayadamaldives.com/sunset-beach-suite</t>
  </si>
  <si>
    <t xml:space="preserve">Sunset Beach Suite with Pool — Ayada Maldives - Official Website</t>
  </si>
  <si>
    <t xml:space="preserve">output/pages/004_ayada-maldives/diving__ayadamaldives.com__sunset-beach-suite.md</t>
  </si>
  <si>
    <t xml:space="preserve">https://www.ayadamaldives.com/watersports</t>
  </si>
  <si>
    <t xml:space="preserve">Watersports — Ayada Maldives - Official Website</t>
  </si>
  <si>
    <t xml:space="preserve">output/pages/004_ayada-maldives/diving__ayadamaldives.com__watersports.md</t>
  </si>
  <si>
    <t xml:space="preserve">https://dreamland.com.mv/dining/lake-view-bar/</t>
  </si>
  <si>
    <t xml:space="preserve">Lake View Bar – Dreamland</t>
  </si>
  <si>
    <t xml:space="preserve">output/pages/010_dreamland-the-unique-sea-lake-resort-spa/dining__dreamland.com.mv__dining-lake-view-bar.md</t>
  </si>
  <si>
    <t xml:space="preserve">https://www.adaaran.com/selecthudhuranfushi/villas/sunrise-ocean-villas/</t>
  </si>
  <si>
    <t xml:space="preserve">Maldives Ocean Villa | Sunrise Ocean Villas at Adaaran Select Hudhuranfushi</t>
  </si>
  <si>
    <t xml:space="preserve">output/pages/003_adaaran-select-hudhuranfushi/diving__adaaran.com__selecthudhuranfushi-villas-sunrise-ocean-villas.md</t>
  </si>
  <si>
    <t xml:space="preserve">https://www.ayadamaldives.com/new-blog/2021/8/27/traveling-to-ayada-maldives-in-2021-new-airport-amp-travel-advice</t>
  </si>
  <si>
    <t xml:space="preserve">Traveling to Ayada Maldives in 2021 - New Airport &amp; Travel Advice — Ayada Maldives - Official Website</t>
  </si>
  <si>
    <t xml:space="preserve">output/pages/004_ayada-maldives/diving__ayadamaldives.com__new-blog-2021-8-27-traveling-to-ayada-maldives-in-2021-new-a.md</t>
  </si>
  <si>
    <t xml:space="preserve">https://amilla.com/travel-to-the-maldives/</t>
  </si>
  <si>
    <t xml:space="preserve">Maldives Baa Atoll Resorts | Getting Here | Amilla Maldives</t>
  </si>
  <si>
    <t xml:space="preserve">output/pages/009_amilla-fushi/diving__amilla.com__travel-to-the-maldives.md</t>
  </si>
  <si>
    <t xml:space="preserve">https://www.adaaran.com/selecthudhuranfushi/villas/sunset-family-beach-villas/</t>
  </si>
  <si>
    <t xml:space="preserve">Family Villas in Maldives | Sunset Family Beach Villas</t>
  </si>
  <si>
    <t xml:space="preserve">output/pages/003_adaaran-select-hudhuranfushi/diving__adaaran.com__selecthudhuranfushi-villas-sunset-family-beach-villas.md</t>
  </si>
  <si>
    <t xml:space="preserve">https://www.ayadamaldives.com/new-blog/2019/6/5/how-to-spend-a-perfect-day-at-ayada-maldives</t>
  </si>
  <si>
    <t xml:space="preserve">How to spend a perfect day at Ayada Maldives? — Ayada Maldives - Official Website</t>
  </si>
  <si>
    <t xml:space="preserve">output/pages/004_ayada-maldives/diving__ayadamaldives.com__new-blog-2019-6-5-how-to-spend-a-perfect-day-at-ayada-maldiv.md</t>
  </si>
  <si>
    <t xml:space="preserve">https://dreamland.com.mv/activities/fitness-centre-gym/</t>
  </si>
  <si>
    <t xml:space="preserve">Fitness Centre &amp; Gym – Dreamland</t>
  </si>
  <si>
    <t xml:space="preserve">output/pages/010_dreamland-the-unique-sea-lake-resort-spa/excursions__dreamland.com.mv__activities-fitness-centre-gym.md</t>
  </si>
  <si>
    <t xml:space="preserve">https://www.adaaran.com/selecthudhuranfushi/villas/maldives-beach-villas/</t>
  </si>
  <si>
    <t xml:space="preserve">Maldives Beach Villas | Beach Villas at Adaaran Select Hudhuranfushi</t>
  </si>
  <si>
    <t xml:space="preserve">output/pages/003_adaaran-select-hudhuranfushi/diving__adaaran.com__selecthudhuranfushi-villas-maldives-beach-villas.md</t>
  </si>
  <si>
    <t xml:space="preserve">https://www.ayadamaldives.com/dining-overview</t>
  </si>
  <si>
    <t xml:space="preserve">Dining at Ayada — Ayada Maldives - Official Website</t>
  </si>
  <si>
    <t xml:space="preserve">output/pages/004_ayada-maldives/dining__ayadamaldives.com__dining-overview.md</t>
  </si>
  <si>
    <t xml:space="preserve">https://amilla.com/maldives-activities/</t>
  </si>
  <si>
    <t xml:space="preserve">Maldives Things to Do and See | Experiences | Amilla Maldives</t>
  </si>
  <si>
    <t xml:space="preserve">output/pages/009_amilla-fushi/diving__amilla.com__maldives-activities.md</t>
  </si>
  <si>
    <t xml:space="preserve">https://www.adaaran.com/selecthudhuranfushi/experiences/diving/</t>
  </si>
  <si>
    <t xml:space="preserve">Maldives Dive Resorts | Diving | Adaaran Select Hudhuranfushi</t>
  </si>
  <si>
    <t xml:space="preserve">output/pages/003_adaaran-select-hudhuranfushi/diving__adaaran.com__selecthudhuranfushi-experiences-diving.md</t>
  </si>
  <si>
    <t xml:space="preserve">https://www.ayadamaldives.com/careers</t>
  </si>
  <si>
    <t xml:space="preserve">Careers at Ayada Maldives — Ayada Maldives - Official Website</t>
  </si>
  <si>
    <t xml:space="preserve">output/pages/004_ayada-maldives/diving__ayadamaldives.com__careers.md</t>
  </si>
  <si>
    <t xml:space="preserve">https://www.adaaran.com/selecthudhuranfushi/offers/</t>
  </si>
  <si>
    <t xml:space="preserve">All Inclusive Maldives Packages | Adaaran Select Hudhuranfushi</t>
  </si>
  <si>
    <t xml:space="preserve">output/pages/003_adaaran-select-hudhuranfushi/diving__adaaran.com__selecthudhuranfushi-offers.md</t>
  </si>
  <si>
    <t xml:space="preserve">https://dreamland.com.mv/dining/sea-view-restaurant/</t>
  </si>
  <si>
    <t xml:space="preserve">Sea View Restaurant – Dreamland</t>
  </si>
  <si>
    <t xml:space="preserve">output/pages/010_dreamland-the-unique-sea-lake-resort-spa/dining__dreamland.com.mv__dining-sea-view-restaurant.md</t>
  </si>
  <si>
    <t xml:space="preserve">https://amilla.com/maldives-activities/hanifaru-bay/</t>
  </si>
  <si>
    <t xml:space="preserve">Best Maldives Island for Diving | Hanifaru Bay Adventure at Amilla</t>
  </si>
  <si>
    <t xml:space="preserve">output/pages/009_amilla-fushi/diving__amilla.com__maldives-activities-hanifaru-bay.md</t>
  </si>
  <si>
    <t xml:space="preserve">https://www.ayadamaldives.com/exclusive-offers/transfer50-znxhz</t>
  </si>
  <si>
    <t xml:space="preserve">Family Offer — Ayada Maldives - Official Website</t>
  </si>
  <si>
    <t xml:space="preserve">output/pages/004_ayada-maldives/diving__ayadamaldives.com__exclusive-offers-transfer50-znxhz.md</t>
  </si>
  <si>
    <t xml:space="preserve">https://www.adaaran.com/selecthudhuranfushi/events/</t>
  </si>
  <si>
    <t xml:space="preserve">Maldives Corporate Events |  Events at Adaaran Select Hudhuran Fushi</t>
  </si>
  <si>
    <t xml:space="preserve">output/pages/003_adaaran-select-hudhuranfushi/events__adaaran.com__selecthudhuranfushi-events.md</t>
  </si>
  <si>
    <t xml:space="preserve">https://amilla.com/maldives-villas/treetop-villas/</t>
  </si>
  <si>
    <t xml:space="preserve">Maldives Villa with Private Pool | Treetop Pool Villas at Amilla</t>
  </si>
  <si>
    <t xml:space="preserve">output/pages/009_amilla-fushi/diving__amilla.com__maldives-villas-treetop-villas.md</t>
  </si>
  <si>
    <t xml:space="preserve">https://www.ayadamaldives.com/new-blog/2025/5/15/a-honeymoon-to-remember-at-ayada-maldives</t>
  </si>
  <si>
    <t xml:space="preserve">A Honeymoon to Remember at Ayada Maldives — Ayada Maldives - Official Website</t>
  </si>
  <si>
    <t xml:space="preserve">output/pages/004_ayada-maldives/wedding__ayadamaldives.com__new-blog-2025-5-15-a-honeymoon-to-remember-at-ayada-maldives.md</t>
  </si>
  <si>
    <t xml:space="preserve">https://www.adaaran.com/selecthudhuranfushi/experiences/</t>
  </si>
  <si>
    <t xml:space="preserve">Best Things to do in Maldives | Adaaran Select Hudhuranfushi | Excursions</t>
  </si>
  <si>
    <t xml:space="preserve">output/pages/003_adaaran-select-hudhuranfushi/diving__adaaran.com__selecthudhuranfushi-experiences.md</t>
  </si>
  <si>
    <t xml:space="preserve">https://dreamland.com.mv/activities/excursions/</t>
  </si>
  <si>
    <t xml:space="preserve">Excursions – Dreamland</t>
  </si>
  <si>
    <t xml:space="preserve">output/pages/010_dreamland-the-unique-sea-lake-resort-spa/excursions__dreamland.com.mv__activities-excursions.md</t>
  </si>
  <si>
    <t xml:space="preserve">https://www.ayadamaldives.com/secret-garden</t>
  </si>
  <si>
    <t xml:space="preserve">Secret Garden — Ayada Maldives - Official Website</t>
  </si>
  <si>
    <t xml:space="preserve">output/pages/004_ayada-maldives/diving__ayadamaldives.com__secret-garden.md</t>
  </si>
  <si>
    <t xml:space="preserve">https://amilla.com/maldives-villas/two-bedroom-beach-villa/</t>
  </si>
  <si>
    <t xml:space="preserve">Two Bedroom Beach Villa | Amilla Resort | Beach Pool Villa</t>
  </si>
  <si>
    <t xml:space="preserve">output/pages/009_amilla-fushi/diving__amilla.com__maldives-villas-two-bedroom-beach-villa.md</t>
  </si>
  <si>
    <t xml:space="preserve">https://www.adaaran.com/selecthudhuranfushi/dining/</t>
  </si>
  <si>
    <t xml:space="preserve">Maldives Restaurants | Dining at Adaaran Select Hudhuranfushi</t>
  </si>
  <si>
    <t xml:space="preserve">output/pages/003_adaaran-select-hudhuranfushi/dining__adaaran.com__selecthudhuranfushi-dining.md</t>
  </si>
  <si>
    <t xml:space="preserve">https://www.ayadamaldives.com/get-inspired</t>
  </si>
  <si>
    <t xml:space="preserve">Get Inspired — Ayada Maldives - Official Website</t>
  </si>
  <si>
    <t xml:space="preserve">output/pages/004_ayada-maldives/diving__ayadamaldives.com__get-inspired.md</t>
  </si>
  <si>
    <t xml:space="preserve">https://amilla.com/maldives-villas/two-bedroom-maldives-family-villas/</t>
  </si>
  <si>
    <t xml:space="preserve">2 Bedroom Overwater Villa Maldives | Amilla Maldives Resort | Pool Villa</t>
  </si>
  <si>
    <t xml:space="preserve">output/pages/009_amilla-fushi/diving__amilla.com__maldives-villas-two-bedroom-maldives-family-villas.md</t>
  </si>
  <si>
    <t xml:space="preserve">https://www.ayadamaldives.com/new-blog/2019/7/10/the-perfect-first-family-vacation</t>
  </si>
  <si>
    <t xml:space="preserve">The perfect first family vacation — Ayada Maldives - Official Website</t>
  </si>
  <si>
    <t xml:space="preserve">output/pages/004_ayada-maldives/diving__ayadamaldives.com__new-blog-2019-7-10-the-perfect-first-family-vacation.md</t>
  </si>
  <si>
    <t xml:space="preserve">https://dreamland.com.mv/activities/water-sports/</t>
  </si>
  <si>
    <t xml:space="preserve">Water Sports – Dreamland</t>
  </si>
  <si>
    <t xml:space="preserve">output/pages/010_dreamland-the-unique-sea-lake-resort-spa/diving__dreamland.com.mv__activities-water-sports.md</t>
  </si>
  <si>
    <t xml:space="preserve">https://amilla.com/maldives-accommodations/</t>
  </si>
  <si>
    <t xml:space="preserve">Five Star Maldives Resorts | Villas &amp; Residences | Amilla Maldives</t>
  </si>
  <si>
    <t xml:space="preserve">output/pages/009_amilla-fushi/diving__amilla.com__maldives-accommodations.md</t>
  </si>
  <si>
    <t xml:space="preserve">https://www.ayadamaldives.com/safety</t>
  </si>
  <si>
    <t xml:space="preserve">Safety guidelines — Ayada Maldives - Official Website</t>
  </si>
  <si>
    <t xml:space="preserve">output/pages/004_ayada-maldives/diving__ayadamaldives.com__safety.md</t>
  </si>
  <si>
    <t xml:space="preserve">https://www.adaaran.com/selecthudhuranfushi/villas/</t>
  </si>
  <si>
    <t xml:space="preserve">Luxury Maldives Resort | Accommodation at Adaaran Select Hudhuranfushi</t>
  </si>
  <si>
    <t xml:space="preserve">output/pages/003_adaaran-select-hudhuranfushi/diving__adaaran.com__selecthudhuranfushi-villas.md</t>
  </si>
  <si>
    <t xml:space="preserve">https://www.ayadamaldives.com/new-blog/2021/9/21/tips-on-making-a-reservation-at-ayada-maldives</t>
  </si>
  <si>
    <t xml:space="preserve">Tips on making a reservation at Ayada Maldives — Ayada Maldives - Official Website</t>
  </si>
  <si>
    <t xml:space="preserve">output/pages/004_ayada-maldives/diving__ayadamaldives.com__new-blog-2021-9-21-tips-on-making-a-reservation-at-ayada-mal.md</t>
  </si>
  <si>
    <t xml:space="preserve">https://dreamland.com.mv/dining/lake-view-restaurant/</t>
  </si>
  <si>
    <t xml:space="preserve">Lake View Restaurant – Dreamland</t>
  </si>
  <si>
    <t xml:space="preserve">output/pages/010_dreamland-the-unique-sea-lake-resort-spa/dining__dreamland.com.mv__dining-lake-view-restaurant.md</t>
  </si>
  <si>
    <t xml:space="preserve">https://www.ayadamaldives.com/beach-family-suite</t>
  </si>
  <si>
    <t xml:space="preserve">Beach Family Suite with Pool — Ayada Maldives - Official Website</t>
  </si>
  <si>
    <t xml:space="preserve">output/pages/004_ayada-maldives/diving__ayadamaldives.com__beach-family-suite.md</t>
  </si>
  <si>
    <t xml:space="preserve">https://dreamland.com.mv/activities/diving/</t>
  </si>
  <si>
    <t xml:space="preserve">Diving – Dreamland</t>
  </si>
  <si>
    <t xml:space="preserve">output/pages/010_dreamland-the-unique-sea-lake-resort-spa/diving__dreamland.com.mv__activities-diving.md</t>
  </si>
  <si>
    <t xml:space="preserve">https://amilla.com/maldives-offers/</t>
  </si>
  <si>
    <t xml:space="preserve">Maldives Hotel Offers | Maldives Offers at Amilla Maldives</t>
  </si>
  <si>
    <t xml:space="preserve">output/pages/009_amilla-fushi/diving__amilla.com__maldives-offers.md</t>
  </si>
  <si>
    <t xml:space="preserve">https://www.ayadamaldives.com/new-blog/category/Trending</t>
  </si>
  <si>
    <t xml:space="preserve">Trending — New Blog — Ayada Maldives - Official Website</t>
  </si>
  <si>
    <t xml:space="preserve">output/pages/004_ayada-maldives/diving__ayadamaldives.com__new-blog-category-trending.md</t>
  </si>
  <si>
    <t xml:space="preserve">https://dreamland.com.mv/stay/</t>
  </si>
  <si>
    <t xml:space="preserve">villas</t>
  </si>
  <si>
    <t xml:space="preserve">Dream Stay – Dreamland</t>
  </si>
  <si>
    <t xml:space="preserve">output/pages/010_dreamland-the-unique-sea-lake-resort-spa/villas__dreamland.com.mv__stay.md</t>
  </si>
  <si>
    <t xml:space="preserve">https://www.ayadamaldives.com/private-dining</t>
  </si>
  <si>
    <t xml:space="preserve">Private dining — Ayada Maldives - Official Website</t>
  </si>
  <si>
    <t xml:space="preserve">output/pages/004_ayada-maldives/dining__ayadamaldives.com__private-dining.md</t>
  </si>
  <si>
    <t xml:space="preserve">https://amilla.com/maldives-faq/</t>
  </si>
  <si>
    <t xml:space="preserve">Maldives FAQs | Amilla Maldives</t>
  </si>
  <si>
    <t xml:space="preserve">output/pages/009_amilla-fushi/diving__amilla.com__maldives-faq.md</t>
  </si>
  <si>
    <t xml:space="preserve">https://www.ayadamaldives.com/new-blog/2019/11/21/odf9e16wjf0wzxnfdzgkgbj463f6wf</t>
  </si>
  <si>
    <t xml:space="preserve">If breakfast in the pool is not your thing, why not try our floating sundowners instead? — Ayada Maldives - Official Web</t>
  </si>
  <si>
    <t xml:space="preserve">output/pages/004_ayada-maldives/diving__ayadamaldives.com__new-blog-2019-11-21-odf9e16wjf0wzxnfdzgkgbj463f6wf.md</t>
  </si>
  <si>
    <t xml:space="preserve">https://www.ayadamaldives.com/spa</t>
  </si>
  <si>
    <t xml:space="preserve">AySpa — Ayada Maldives - Official Website</t>
  </si>
  <si>
    <t xml:space="preserve">output/pages/004_ayada-maldives/spa__ayadamaldives.com__spa.md</t>
  </si>
  <si>
    <t xml:space="preserve">https://amilla.com/maldives-sustainability/</t>
  </si>
  <si>
    <t xml:space="preserve">Eco Friendly Resort Maldives | Sustainability | Amilla Maldives</t>
  </si>
  <si>
    <t xml:space="preserve">output/pages/009_amilla-fushi/diving__amilla.com__maldives-sustainability.md</t>
  </si>
  <si>
    <t xml:space="preserve">https://dreamland.com.mv/wedding/</t>
  </si>
  <si>
    <t xml:space="preserve">Weddings – Dreamland</t>
  </si>
  <si>
    <t xml:space="preserve">output/pages/010_dreamland-the-unique-sea-lake-resort-spa/wedding__dreamland.com.mv__wedding.md</t>
  </si>
  <si>
    <t xml:space="preserve">https://www.ayadamaldives.com/terms-conditions</t>
  </si>
  <si>
    <t xml:space="preserve">Terms &amp; Conditions — Ayada Maldives - Official Website</t>
  </si>
  <si>
    <t xml:space="preserve">output/pages/004_ayada-maldives/diving__ayadamaldives.com__terms-conditions.md</t>
  </si>
  <si>
    <t xml:space="preserve">https://amilla.com/maldives-events/</t>
  </si>
  <si>
    <t xml:space="preserve">Maldives Events | Amilla Resort and Residences Maldives</t>
  </si>
  <si>
    <t xml:space="preserve">output/pages/009_amilla-fushi/events__amilla.com__maldives-events.md</t>
  </si>
  <si>
    <t xml:space="preserve">https://www.ayadamaldives.com/middle-east-experience</t>
  </si>
  <si>
    <t xml:space="preserve">Middle East experience — Ayada Maldives - Official Website</t>
  </si>
  <si>
    <t xml:space="preserve">output/pages/004_ayada-maldives/diving__ayadamaldives.com__middle-east-experience.md</t>
  </si>
  <si>
    <t xml:space="preserve">https://dreamland.com.mv/dining/</t>
  </si>
  <si>
    <t xml:space="preserve">Dream Dining – Dreamland</t>
  </si>
  <si>
    <t xml:space="preserve">output/pages/010_dreamland-the-unique-sea-lake-resort-spa/dining__dreamland.com.mv__dining.md</t>
  </si>
  <si>
    <t xml:space="preserve">https://amilla.com/amilla-people/</t>
  </si>
  <si>
    <t xml:space="preserve">Best Private Island in Maldives | People at Amilla Maldives</t>
  </si>
  <si>
    <t xml:space="preserve">output/pages/009_amilla-fushi/diving__amilla.com__amilla-people.md</t>
  </si>
  <si>
    <t xml:space="preserve">https://www.adaaran.com/selecthudhuranfushi/view-download/?id=kids-act-list</t>
  </si>
  <si>
    <t xml:space="preserve">downloads</t>
  </si>
  <si>
    <t xml:space="preserve">output/pages/003_adaaran-select-hudhuranfushi/downloads__adaaran.com__selecthudhuranfushi-view-download.md</t>
  </si>
  <si>
    <t xml:space="preserve">https://www.ayadamaldives.com/excursions</t>
  </si>
  <si>
    <t xml:space="preserve">Excursions — Ayada Maldives - Official Website</t>
  </si>
  <si>
    <t xml:space="preserve">output/pages/004_ayada-maldives/diving__ayadamaldives.com__excursions.md</t>
  </si>
  <si>
    <t xml:space="preserve">https://dreamland.com.mv/dining/beach-bar/</t>
  </si>
  <si>
    <t xml:space="preserve">Beach Bar – Dreamland</t>
  </si>
  <si>
    <t xml:space="preserve">output/pages/010_dreamland-the-unique-sea-lake-resort-spa/dining__dreamland.com.mv__dining-beach-bar.md</t>
  </si>
  <si>
    <t xml:space="preserve">https://www.ayadamaldives.com/store-items/floating-breakfast</t>
  </si>
  <si>
    <t xml:space="preserve">Floating Breakfast — Ayada Maldives - Official Website</t>
  </si>
  <si>
    <t xml:space="preserve">output/pages/004_ayada-maldives/diving__ayadamaldives.com__store-items-floating-breakfast.md</t>
  </si>
  <si>
    <t xml:space="preserve">https://amilla.com/maldives-luxury-villas/</t>
  </si>
  <si>
    <t xml:space="preserve">Maldives Five Star Resorts | Beach &amp; Pool Villas at Amilla Maldives</t>
  </si>
  <si>
    <t xml:space="preserve">output/pages/009_amilla-fushi/diving__amilla.com__maldives-luxury-villas.md</t>
  </si>
  <si>
    <t xml:space="preserve">https://dreamland.com.mv/activities/other-facilities/</t>
  </si>
  <si>
    <t xml:space="preserve">Other Facilities – Dreamland</t>
  </si>
  <si>
    <t xml:space="preserve">output/pages/010_dreamland-the-unique-sea-lake-resort-spa/excursions__dreamland.com.mv__activities-other-facilities.md</t>
  </si>
  <si>
    <t xml:space="preserve">https://www.ayadamaldives.com/new-blog/2025/5/15/how-to-choose-the-perfect-maldives-resort</t>
  </si>
  <si>
    <t xml:space="preserve">How to Choose the Perfect Maldives Resort — Ayada Maldives - Official Website</t>
  </si>
  <si>
    <t xml:space="preserve">output/pages/004_ayada-maldives/diving__ayadamaldives.com__new-blog-2025-5-15-how-to-choose-the-perfect-maldives-resort.md</t>
  </si>
  <si>
    <t xml:space="preserve">https://dreamland.com.mv/terms-conditions/</t>
  </si>
  <si>
    <t xml:space="preserve">Terms &amp; Conditions – Dreamland</t>
  </si>
  <si>
    <t xml:space="preserve">output/pages/010_dreamland-the-unique-sea-lake-resort-spa/other__dreamland.com.mv__terms-conditions.md</t>
  </si>
  <si>
    <t xml:space="preserve">https://www.ayadamaldives.com/sunset-family-lagoon-suite</t>
  </si>
  <si>
    <t xml:space="preserve">Sunset Family Lagoon Suite with Pool — Ayada Maldives - Official Website</t>
  </si>
  <si>
    <t xml:space="preserve">output/pages/004_ayada-maldives/diving__ayadamaldives.com__sunset-family-lagoon-suite.md</t>
  </si>
  <si>
    <t xml:space="preserve">https://amilla.com/careers/</t>
  </si>
  <si>
    <t xml:space="preserve">Careers | Maldives island professions at Amilla Maldives</t>
  </si>
  <si>
    <t xml:space="preserve">output/pages/009_amilla-fushi/diving__amilla.com__careers.md</t>
  </si>
  <si>
    <t xml:space="preserve">https://dreamland.com.mv/activities/</t>
  </si>
  <si>
    <t xml:space="preserve">Activities – Dreamland</t>
  </si>
  <si>
    <t xml:space="preserve">output/pages/010_dreamland-the-unique-sea-lake-resort-spa/excursions__dreamland.com.mv__activities.md</t>
  </si>
  <si>
    <t xml:space="preserve">https://amilla.com/maldives-villas/water-pool-villas/</t>
  </si>
  <si>
    <t xml:space="preserve">Water Villa with Pool Maldives | Sunset Water Pool Villa at Amilla</t>
  </si>
  <si>
    <t xml:space="preserve">output/pages/009_amilla-fushi/diving__amilla.com__maldives-villas-water-pool-villas.md</t>
  </si>
  <si>
    <t xml:space="preserve">https://www.ayadamaldives.com/new-blog/2025/8/1/behind-the-scenes-sustainability-amp-island-farming-at-ayada</t>
  </si>
  <si>
    <t xml:space="preserve">Behind the Scenes: Sustainability &amp; Island Farming at Ayada — Ayada Maldives - Official Website</t>
  </si>
  <si>
    <t xml:space="preserve">output/pages/004_ayada-maldives/diving__ayadamaldives.com__new-blog-2025-8-1-behind-the-scenes-sustainability-amp-islan.md</t>
  </si>
  <si>
    <t xml:space="preserve">https://dreamland.com.mv/hotel-policy/</t>
  </si>
  <si>
    <t xml:space="preserve">Hotel Policy – Dreamland</t>
  </si>
  <si>
    <t xml:space="preserve">output/pages/010_dreamland-the-unique-sea-lake-resort-spa/other__dreamland.com.mv__hotel-policy.md</t>
  </si>
  <si>
    <t xml:space="preserve">https://www.ayadamaldives.com/clinic</t>
  </si>
  <si>
    <t xml:space="preserve">Resort Clinic — Ayada Maldives - Official Website</t>
  </si>
  <si>
    <t xml:space="preserve">output/pages/004_ayada-maldives/diving__ayadamaldives.com__clinic.md</t>
  </si>
  <si>
    <t xml:space="preserve">https://amilla.com/maldives-villas/one-bedroom-beach-villa/</t>
  </si>
  <si>
    <t xml:space="preserve">Best Beach Villas in Maldives | Beach Villa with Pool | Amilla Resort</t>
  </si>
  <si>
    <t xml:space="preserve">output/pages/009_amilla-fushi/diving__amilla.com__maldives-villas-one-bedroom-beach-villa.md</t>
  </si>
  <si>
    <t xml:space="preserve">https://dreamland.com.mv/plan-your-visit/</t>
  </si>
  <si>
    <t xml:space="preserve">Plan your visit – Dreamland</t>
  </si>
  <si>
    <t xml:space="preserve">output/pages/010_dreamland-the-unique-sea-lake-resort-spa/other__dreamland.com.mv__plan-your-visit.md</t>
  </si>
  <si>
    <t xml:space="preserve">https://amilla.com/maldives-residences/beach-resort-residences/</t>
  </si>
  <si>
    <t xml:space="preserve">Luxury Family Resorts Maldives | Beach Residences at Amilla</t>
  </si>
  <si>
    <t xml:space="preserve">output/pages/009_amilla-fushi/diving__amilla.com__maldives-residences-beach-resort-residences.md</t>
  </si>
  <si>
    <t xml:space="preserve">https://dreamland.com.mv/downloads/</t>
  </si>
  <si>
    <t xml:space="preserve">Downloads – Dreamland</t>
  </si>
  <si>
    <t xml:space="preserve">output/pages/010_dreamland-the-unique-sea-lake-resort-spa/downloads__dreamland.com.mv__downloads.md</t>
  </si>
  <si>
    <t xml:space="preserve">https://amilla.com/maldives-residences/great-beach-residence-maldives/</t>
  </si>
  <si>
    <t xml:space="preserve">Best Hotels in Maldives for Families | Great Residence at Amilla</t>
  </si>
  <si>
    <t xml:space="preserve">output/pages/009_amilla-fushi/dining__amilla.com__maldives-residences-great-beach-residence-maldives.md</t>
  </si>
  <si>
    <t xml:space="preserve">https://dreamland.com.mv/spa/</t>
  </si>
  <si>
    <t xml:space="preserve">Duny Thai Spa – Dreamland</t>
  </si>
  <si>
    <t xml:space="preserve">output/pages/010_dreamland-the-unique-sea-lake-resort-spa/spa__dreamland.com.mv__spa.md</t>
  </si>
  <si>
    <t xml:space="preserve">https://amilla.com/luxury-spa-maldives/</t>
  </si>
  <si>
    <t xml:space="preserve">Wellness Resort Maldives | Wellness at Amilla Maldives</t>
  </si>
  <si>
    <t xml:space="preserve">output/pages/009_amilla-fushi/spa__amilla.com__luxury-spa-maldives.md</t>
  </si>
  <si>
    <t xml:space="preserve">https://amilla.com/maldives-residences/</t>
  </si>
  <si>
    <t xml:space="preserve">Maldives Residences | Luxury Residences at Amilla Maldives</t>
  </si>
  <si>
    <t xml:space="preserve">output/pages/009_amilla-fushi/diving__amilla.com__maldives-residences.md</t>
  </si>
  <si>
    <t xml:space="preserve">https://dreamland.com.mv/gallery/</t>
  </si>
  <si>
    <t xml:space="preserve">Gallery – Dreamland</t>
  </si>
  <si>
    <t xml:space="preserve">output/pages/010_dreamland-the-unique-sea-lake-resort-spa/downloads__dreamland.com.mv__gallery.md</t>
  </si>
  <si>
    <t xml:space="preserve">https://amilla.com/terms-conditions/</t>
  </si>
  <si>
    <t xml:space="preserve">Terms &amp; Conditions | Amilla Maldives Resort &amp; Residences</t>
  </si>
  <si>
    <t xml:space="preserve">output/pages/009_amilla-fushi/diving__amilla.com__terms-conditions.md</t>
  </si>
  <si>
    <t xml:space="preserve">https://dreamland.com.mv/privacy-policy/</t>
  </si>
  <si>
    <t xml:space="preserve">Privacy Policy – Dreamland</t>
  </si>
  <si>
    <t xml:space="preserve">output/pages/010_dreamland-the-unique-sea-lake-resort-spa/other__dreamland.com.mv__privacy-policy.md</t>
  </si>
  <si>
    <t xml:space="preserve">https://amilla.com/privacy-policy/</t>
  </si>
  <si>
    <t xml:space="preserve">Data &amp; Privacy Policy | Amilla Maldives Resort &amp; Residences</t>
  </si>
  <si>
    <t xml:space="preserve">output/pages/009_amilla-fushi/diving__amilla.com__privacy-policy.md</t>
  </si>
  <si>
    <t xml:space="preserve">https://dreamland.com.mv/activities/sports-activities/</t>
  </si>
  <si>
    <t xml:space="preserve">Sports &amp; Activities – Dreamland</t>
  </si>
  <si>
    <t xml:space="preserve">output/pages/010_dreamland-the-unique-sea-lake-resort-spa/excursions__dreamland.com.mv__activities-sports-activities.md</t>
  </si>
  <si>
    <t xml:space="preserve">https://amilla.com/why-amilla/</t>
  </si>
  <si>
    <t xml:space="preserve">5 Star Luxury Resorts in Maldives | About Us | Amilla Maldives</t>
  </si>
  <si>
    <t xml:space="preserve">output/pages/009_amilla-fushi/diving__amilla.com__why-amilla.md</t>
  </si>
  <si>
    <t xml:space="preserve">https://dreamland.com.mv</t>
  </si>
  <si>
    <t xml:space="preserve">https://amilla.com</t>
  </si>
  <si>
    <t xml:space="preserve">https://amilla.com/factsheets/</t>
  </si>
  <si>
    <t xml:space="preserve">Factsheets | Amilla Maldives Resort</t>
  </si>
  <si>
    <t xml:space="preserve">output/pages/009_amilla-fushi/diving__amilla.com__factsheets.md</t>
  </si>
  <si>
    <t xml:space="preserve">https://www.angaga.com.mv/</t>
  </si>
  <si>
    <t xml:space="preserve">Angaga Island Resort &amp; Spa</t>
  </si>
  <si>
    <t xml:space="preserve">output/pages/011_angaga-island-resort-and-spa/spa__angaga.com.mv__home.md</t>
  </si>
  <si>
    <t xml:space="preserve">https://amilla.com/maldives-villas/reef-water-villa/</t>
  </si>
  <si>
    <t xml:space="preserve">Best Overwater Villa Maldives | Reef Water Pool Villa | Amilla Maldives</t>
  </si>
  <si>
    <t xml:space="preserve">output/pages/009_amilla-fushi/diving__amilla.com__maldives-villas-reef-water-villa.md</t>
  </si>
  <si>
    <t xml:space="preserve">https://www.thulhagiri.com.mv/</t>
  </si>
  <si>
    <t xml:space="preserve">Thulhagiri Island Resort and Spa Maldives</t>
  </si>
  <si>
    <t xml:space="preserve">output/pages/012_thulhagiri-island-resort-spa/spa__thulhagiri.com.mv__home.md</t>
  </si>
  <si>
    <t xml:space="preserve">https://www.angaga.com.mv/activities/diving/</t>
  </si>
  <si>
    <t xml:space="preserve">output/pages/011_angaga-island-resort-and-spa/spa__angaga.com.mv__activities-diving.md</t>
  </si>
  <si>
    <t xml:space="preserve">https://www.angaga.com.mv/wedding/</t>
  </si>
  <si>
    <t xml:space="preserve">output/pages/011_angaga-island-resort-and-spa/wedding__angaga.com.mv__wedding.md</t>
  </si>
  <si>
    <t xml:space="preserve">https://amilla.com/maldives-villas/sunset-water-villa-with-pool/</t>
  </si>
  <si>
    <t xml:space="preserve">output/pages/009_amilla-fushi/diving__amilla.com__maldives-villas-sunset-water-villa-with-pool.md</t>
  </si>
  <si>
    <t xml:space="preserve">https://www.thulhagiri.com.mv/activities/sports-activities/</t>
  </si>
  <si>
    <t xml:space="preserve">Sports &amp; Activities - Thulhagiri Island Resort and Spa Maldives</t>
  </si>
  <si>
    <t xml:space="preserve">output/pages/012_thulhagiri-island-resort-spa/spa__thulhagiri.com.mv__activities-sports-activities.md</t>
  </si>
  <si>
    <t xml:space="preserve">https://www.angaga.com.mv/activities/other-facilities/</t>
  </si>
  <si>
    <t xml:space="preserve">output/pages/011_angaga-island-resort-and-spa/spa__angaga.com.mv__activities-other-facilities.md</t>
  </si>
  <si>
    <t xml:space="preserve">https://www.thulhagiri.com.mv/downloads/</t>
  </si>
  <si>
    <t xml:space="preserve">Downloads - Thulhagiri Island Resort and Spa Maldives</t>
  </si>
  <si>
    <t xml:space="preserve">output/pages/012_thulhagiri-island-resort-spa/spa__thulhagiri.com.mv__downloads.md</t>
  </si>
  <si>
    <t xml:space="preserve">https://www.angaga.com.mv/activities/fitness-centre-gym/</t>
  </si>
  <si>
    <t xml:space="preserve">output/pages/011_angaga-island-resort-and-spa/spa__angaga.com.mv__activities-fitness-centre-gym.md</t>
  </si>
  <si>
    <t xml:space="preserve">https://www.thulhagiri.com.mv/terms-conditions/</t>
  </si>
  <si>
    <t xml:space="preserve">Terms &amp; Conditions - Thulhagiri Island Resort and Spa Maldives</t>
  </si>
  <si>
    <t xml:space="preserve">output/pages/012_thulhagiri-island-resort-spa/spa__thulhagiri.com.mv__terms-conditions.md</t>
  </si>
  <si>
    <t xml:space="preserve">https://www.angaga.com.mv/terms-conditions/</t>
  </si>
  <si>
    <t xml:space="preserve">output/pages/011_angaga-island-resort-and-spa/spa__angaga.com.mv__terms-conditions.md</t>
  </si>
  <si>
    <t xml:space="preserve">https://www.angaga.com.mv/dine/sundown-bar/</t>
  </si>
  <si>
    <t xml:space="preserve">output/pages/011_angaga-island-resort-and-spa/dining__angaga.com.mv__dine-sundown-bar.md</t>
  </si>
  <si>
    <t xml:space="preserve">https://www.thulhagiri.com.mv/activities/fitness-centre-gym/</t>
  </si>
  <si>
    <t xml:space="preserve">Fitness Centre &amp; Gym - Thulhagiri Island Resort and Spa Maldives</t>
  </si>
  <si>
    <t xml:space="preserve">output/pages/012_thulhagiri-island-resort-spa/spa__thulhagiri.com.mv__activities-fitness-centre-gym.md</t>
  </si>
  <si>
    <t xml:space="preserve">https://www.angaga.com.mv/hotel-policy/</t>
  </si>
  <si>
    <t xml:space="preserve">output/pages/011_angaga-island-resort-and-spa/spa__angaga.com.mv__hotel-policy.md</t>
  </si>
  <si>
    <t xml:space="preserve">https://www.thulhagiri.com.mv/activities/other-facilities/</t>
  </si>
  <si>
    <t xml:space="preserve">Other Facilities - Thulhagiri Island Resort and Spa Maldives</t>
  </si>
  <si>
    <t xml:space="preserve">output/pages/012_thulhagiri-island-resort-spa/spa__thulhagiri.com.mv__activities-other-facilities.md</t>
  </si>
  <si>
    <t xml:space="preserve">https://www.angaga.com.mv/downloads/</t>
  </si>
  <si>
    <t xml:space="preserve">output/pages/011_angaga-island-resort-and-spa/spa__angaga.com.mv__downloads.md</t>
  </si>
  <si>
    <t xml:space="preserve">https://www.thulhagiri.com.mv/dine/sand-bar/</t>
  </si>
  <si>
    <t xml:space="preserve">Sand Bar - Thulhagiri Island Resort and Spa Maldives</t>
  </si>
  <si>
    <t xml:space="preserve">output/pages/012_thulhagiri-island-resort-spa/dining__thulhagiri.com.mv__dine-sand-bar.md</t>
  </si>
  <si>
    <t xml:space="preserve">https://www.angaga.com.mv/dine/dolphin-restaurant/</t>
  </si>
  <si>
    <t xml:space="preserve">output/pages/011_angaga-island-resort-and-spa/dining__angaga.com.mv__dine-dolphin-restaurant.md</t>
  </si>
  <si>
    <t xml:space="preserve">https://www.thulhagiri.com.mv/activities/</t>
  </si>
  <si>
    <t xml:space="preserve">Activities - Thulhagiri Island Resort and Spa Maldives</t>
  </si>
  <si>
    <t xml:space="preserve">output/pages/012_thulhagiri-island-resort-spa/spa__thulhagiri.com.mv__activities.md</t>
  </si>
  <si>
    <t xml:space="preserve">https://www.angaga.com.mv/activities/</t>
  </si>
  <si>
    <t xml:space="preserve">output/pages/011_angaga-island-resort-and-spa/spa__angaga.com.mv__activities.md</t>
  </si>
  <si>
    <t xml:space="preserve">https://www.thulhagiri.com.mv/privacy-policy/</t>
  </si>
  <si>
    <t xml:space="preserve">Privacy Policy - Thulhagiri Island Resort and Spa Maldives</t>
  </si>
  <si>
    <t xml:space="preserve">output/pages/012_thulhagiri-island-resort-spa/spa__thulhagiri.com.mv__privacy-policy.md</t>
  </si>
  <si>
    <t xml:space="preserve">https://www.angaga.com.mv/dine/</t>
  </si>
  <si>
    <t xml:space="preserve">output/pages/011_angaga-island-resort-and-spa/spa__angaga.com.mv__dine.md</t>
  </si>
  <si>
    <t xml:space="preserve">https://www.thulhagiri.com.mv/wedding/</t>
  </si>
  <si>
    <t xml:space="preserve">Wedding - Thulhagiri Island Resort and Spa Maldives</t>
  </si>
  <si>
    <t xml:space="preserve">output/pages/012_thulhagiri-island-resort-spa/wedding__thulhagiri.com.mv__wedding.md</t>
  </si>
  <si>
    <t xml:space="preserve">https://www.angaga.com.mv/plan-your-visit/</t>
  </si>
  <si>
    <t xml:space="preserve">output/pages/011_angaga-island-resort-and-spa/spa__angaga.com.mv__plan-your-visit.md</t>
  </si>
  <si>
    <t xml:space="preserve">https://www.thulhagiri.com.mv/hotel-policy/</t>
  </si>
  <si>
    <t xml:space="preserve">Hotel Policy - Thulhagiri Island Resort and Spa Maldives</t>
  </si>
  <si>
    <t xml:space="preserve">output/pages/012_thulhagiri-island-resort-spa/spa__thulhagiri.com.mv__hotel-policy.md</t>
  </si>
  <si>
    <t xml:space="preserve">https://www.angaga.com.mv/activities/sports-activities/</t>
  </si>
  <si>
    <t xml:space="preserve">output/pages/011_angaga-island-resort-and-spa/spa__angaga.com.mv__activities-sports-activities.md</t>
  </si>
  <si>
    <t xml:space="preserve">https://www.thulhagiri.com.mv/360-of-luxury/</t>
  </si>
  <si>
    <t xml:space="preserve">360 of Luxury - Thulhagiri Island Resort and Spa Maldives</t>
  </si>
  <si>
    <t xml:space="preserve">output/pages/012_thulhagiri-island-resort-spa/spa__thulhagiri.com.mv__360-of-luxury.md</t>
  </si>
  <si>
    <t xml:space="preserve">https://www.angaga.com.mv/activities/water-sports-activities/</t>
  </si>
  <si>
    <t xml:space="preserve">output/pages/011_angaga-island-resort-and-spa/spa__angaga.com.mv__activities-water-sports-activities.md</t>
  </si>
  <si>
    <t xml:space="preserve">https://www.angaga.com.mv/activities/excursions/</t>
  </si>
  <si>
    <t xml:space="preserve">output/pages/011_angaga-island-resort-and-spa/spa__angaga.com.mv__activities-excursions.md</t>
  </si>
  <si>
    <t xml:space="preserve">https://www.thulhagiri.com.mv/stay/</t>
  </si>
  <si>
    <t xml:space="preserve">Stay - Thulhagiri Island Resort and Spa Maldives</t>
  </si>
  <si>
    <t xml:space="preserve">output/pages/012_thulhagiri-island-resort-spa/spa__thulhagiri.com.mv__stay.md</t>
  </si>
  <si>
    <t xml:space="preserve">https://www.thulhagiri.com.mv/dine/beach-bar/</t>
  </si>
  <si>
    <t xml:space="preserve">Beach Bar - Thulhagiri Island Resort and Spa Maldives</t>
  </si>
  <si>
    <t xml:space="preserve">output/pages/012_thulhagiri-island-resort-spa/dining__thulhagiri.com.mv__dine-beach-bar.md</t>
  </si>
  <si>
    <t xml:space="preserve">https://www.angaga.com.mv/dine/main-bar/</t>
  </si>
  <si>
    <t xml:space="preserve">output/pages/011_angaga-island-resort-and-spa/dining__angaga.com.mv__dine-main-bar.md</t>
  </si>
  <si>
    <t xml:space="preserve">https://www.thulhagiri.com.mv/spa/</t>
  </si>
  <si>
    <t xml:space="preserve">SPA - Thulhagiri Island Resort and Spa Maldives</t>
  </si>
  <si>
    <t xml:space="preserve">output/pages/012_thulhagiri-island-resort-spa/spa__thulhagiri.com.mv__spa.md</t>
  </si>
  <si>
    <t xml:space="preserve">https://www.angaga.com.mv/stay/</t>
  </si>
  <si>
    <t xml:space="preserve">output/pages/011_angaga-island-resort-and-spa/spa__angaga.com.mv__stay.md</t>
  </si>
  <si>
    <t xml:space="preserve">https://www.angaga.com.mv/360-of-luxury/</t>
  </si>
  <si>
    <t xml:space="preserve">output/pages/011_angaga-island-resort-and-spa/spa__angaga.com.mv__360-of-luxury.md</t>
  </si>
  <si>
    <t xml:space="preserve">https://www.thulhagiri.com.mv/activities/diving/</t>
  </si>
  <si>
    <t xml:space="preserve">Diving - Thulhagiri Island Resort and Spa Maldives</t>
  </si>
  <si>
    <t xml:space="preserve">output/pages/012_thulhagiri-island-resort-spa/spa__thulhagiri.com.mv__activities-diving.md</t>
  </si>
  <si>
    <t xml:space="preserve">https://www.thulhagiri.com.mv/plan-your-visit/</t>
  </si>
  <si>
    <t xml:space="preserve">Plan Your Visit - Thulhagiri Island Resort and Spa Maldives</t>
  </si>
  <si>
    <t xml:space="preserve">output/pages/012_thulhagiri-island-resort-spa/spa__thulhagiri.com.mv__plan-your-visit.md</t>
  </si>
  <si>
    <t xml:space="preserve">https://www.thulhagiri.com.mv/gallery/</t>
  </si>
  <si>
    <t xml:space="preserve">Gallery - Thulhagiri Island Resort and Spa Maldives</t>
  </si>
  <si>
    <t xml:space="preserve">output/pages/012_thulhagiri-island-resort-spa/spa__thulhagiri.com.mv__gallery.md</t>
  </si>
  <si>
    <t xml:space="preserve">https://www.angaga.com.mv/spa/</t>
  </si>
  <si>
    <t xml:space="preserve">output/pages/011_angaga-island-resort-and-spa/spa__angaga.com.mv__spa.md</t>
  </si>
  <si>
    <t xml:space="preserve">https://www.thulhagiri.com.mv/activities/water-sports-activities/</t>
  </si>
  <si>
    <t xml:space="preserve">Water Sports - Thulhagiri Island Resort and Spa Maldives</t>
  </si>
  <si>
    <t xml:space="preserve">output/pages/012_thulhagiri-island-resort-spa/spa__thulhagiri.com.mv__activities-water-sports-activities.md</t>
  </si>
  <si>
    <t xml:space="preserve">https://www.angaga.com.mv/privacy-policy/</t>
  </si>
  <si>
    <t xml:space="preserve">output/pages/011_angaga-island-resort-and-spa/spa__angaga.com.mv__privacy-policy.md</t>
  </si>
  <si>
    <t xml:space="preserve">https://www.thulhagiri.com.mv/activities/excursions/</t>
  </si>
  <si>
    <t xml:space="preserve">Excursions - Thulhagiri Island Resort and Spa Maldives</t>
  </si>
  <si>
    <t xml:space="preserve">output/pages/012_thulhagiri-island-resort-spa/spa__thulhagiri.com.mv__activities-excursions.md</t>
  </si>
  <si>
    <t xml:space="preserve">https://www.angaga.com.mv/gallery/</t>
  </si>
  <si>
    <t xml:space="preserve">output/pages/011_angaga-island-resort-and-spa/spa__angaga.com.mv__gallery.md</t>
  </si>
  <si>
    <t xml:space="preserve">https://www.thulhagiri.com.mv/dine/main-restaurant/</t>
  </si>
  <si>
    <t xml:space="preserve">Main Restaurant - Thulhagiri Island Resort and Spa Maldives</t>
  </si>
  <si>
    <t xml:space="preserve">output/pages/012_thulhagiri-island-resort-spa/dining__thulhagiri.com.mv__dine-main-restaurant.md</t>
  </si>
  <si>
    <t xml:space="preserve">https://www.angaga.com.mv/wedding</t>
  </si>
  <si>
    <t xml:space="preserve">https://www.thulhagiri.com.mv/wedding</t>
  </si>
  <si>
    <t xml:space="preserve">https://www.angaga.com.mv</t>
  </si>
  <si>
    <t xml:space="preserve">https://thulhagiri.com.mv/privacy-policy/</t>
  </si>
  <si>
    <t xml:space="preserve">https://www.thulhagiri.com.mv</t>
  </si>
  <si>
    <t xml:space="preserve">https://angaga.com.mv/privacy-policy/</t>
  </si>
  <si>
    <t xml:space="preserve">https://expireddomains.com/domain/rihivelimaldives.com?utm_source=redi</t>
  </si>
  <si>
    <t xml:space="preserve">rihivelimaldives.com — seasoned .com domain (2y) | ED.com</t>
  </si>
  <si>
    <t xml:space="preserve">output/pages/017_rihiveli-maldives-resort/diving__expireddomains.com__domain-rihivelimaldives-com.md</t>
  </si>
  <si>
    <t xml:space="preserve">https://thulhagiri.com.mv/plan-your-visit/</t>
  </si>
  <si>
    <t xml:space="preserve">https://thulhagiri.com.mv/spa/</t>
  </si>
  <si>
    <t xml:space="preserve">https://thulhagiri.com.mv/stay/</t>
  </si>
  <si>
    <t xml:space="preserve">https://thulhagiri.com.mv/gallery/</t>
  </si>
  <si>
    <t xml:space="preserve">https://thulhagiri.com.mv/wedding/</t>
  </si>
  <si>
    <t xml:space="preserve">https://thulhagiri.com.mv/terms-conditions/</t>
  </si>
  <si>
    <t xml:space="preserve">https://thulhagiri.com.mv/downloads/</t>
  </si>
  <si>
    <t xml:space="preserve">https://thulhagiri.com.mv/hotel-policy/</t>
  </si>
  <si>
    <t xml:space="preserve">https://thulhagiri.com.mv</t>
  </si>
  <si>
    <t xml:space="preserve">https://thulhagiri.com.mv/activities/</t>
  </si>
  <si>
    <t xml:space="preserve">http://angaga.com.mv</t>
  </si>
  <si>
    <t xml:space="preserve">https://angaga.com.mv/gallery/</t>
  </si>
  <si>
    <t xml:space="preserve">https://angaga.com.mv/terms-conditions/</t>
  </si>
  <si>
    <t xml:space="preserve">https://angaga.com.mv/downloads/</t>
  </si>
  <si>
    <t xml:space="preserve">https://angaga.com.mv/stay/</t>
  </si>
  <si>
    <t xml:space="preserve">https://angaga.com.mv/wedding/</t>
  </si>
  <si>
    <t xml:space="preserve">https://angaga.com.mv</t>
  </si>
  <si>
    <t xml:space="preserve">https://angaga.com.mv/activities/</t>
  </si>
  <si>
    <t xml:space="preserve">https://angaga.com.mv/hotel-policy/</t>
  </si>
  <si>
    <t xml:space="preserve">https://angaga.com.mv/plan-your-visit/</t>
  </si>
  <si>
    <t xml:space="preserve">https://angaga.com.mv/spa/</t>
  </si>
  <si>
    <t xml:space="preserve">https://angaga.com.mv/dine/</t>
  </si>
  <si>
    <t xml:space="preserve">https://www.planhotel.com/en/hotel/sandies-bathala-maldives</t>
  </si>
  <si>
    <t xml:space="preserve">Page not found | Planhotel Hospitality Group</t>
  </si>
  <si>
    <t xml:space="preserve">output/pages/013_sandies-bathala/events__planhotel.com__en-hotel-sandies-bathala-maldives.md</t>
  </si>
  <si>
    <t xml:space="preserve">https://www.planhotel.com/de/unsere-hotels-resorts/diamonds-hotels-resorts/diamonds-mapenzi-beach/</t>
  </si>
  <si>
    <t xml:space="preserve">Diamonds Hotels and Resorts - DIAMONDS MAPENZI BEACH Hotel -  Planhotel Hospitality group der Indischen Ozean</t>
  </si>
  <si>
    <t xml:space="preserve">output/pages/013_sandies-bathala/events__planhotel.com__de-unsere-hotels-resorts-diamonds-hotels-resorts-diamonds-ma.md</t>
  </si>
  <si>
    <t xml:space="preserve">https://www.planhotel.com/it/i-nostri-hotels-resorts/diamonds-hotels-and-resorts/</t>
  </si>
  <si>
    <t xml:space="preserve">I Nostri Hotels &amp; Resorts - Diamonds Hotels and Resorts Hotel  - Planhotel Hospitality group  nell' Oceano Indiano</t>
  </si>
  <si>
    <t xml:space="preserve">output/pages/013_sandies-bathala/events__planhotel.com__it-i-nostri-hotels-resorts-diamonds-hotels-and-resorts.md</t>
  </si>
  <si>
    <t xml:space="preserve">https://www.cenizaro.com/theresidence/maldives-fm</t>
  </si>
  <si>
    <t xml:space="preserve">Maldives Luxury Resorts | The Residence Maldives</t>
  </si>
  <si>
    <t xml:space="preserve">output/pages/019_the-residence-maldives/diving__cenizaro.com__theresidence-maldives-fm.md</t>
  </si>
  <si>
    <t xml:space="preserve">https://www.planhotel.com/de/unsere-hotels-resorts/diamonds-hotels-resorts/diamonds-malindi/</t>
  </si>
  <si>
    <t xml:space="preserve">Diamonds Hotels and Resorts - DIAMONDS MALINDI Hotel -  Planhotel Hospitality group der Indischen Ozean</t>
  </si>
  <si>
    <t xml:space="preserve">https://www.planhotel.com/fr/nos-hotels-resorts/diamonds-hotels-resorts/diamonds-leisure-beach-golf-resort/</t>
  </si>
  <si>
    <t xml:space="preserve">Diamonds Hotels and Resorts - DIAMONDS LEISURE BEACH &amp; GOLF RESORT Hotel  -  Planhotel Hospitality group dans l'Océan In</t>
  </si>
  <si>
    <t xml:space="preserve">output/pages/013_sandies-bathala/events__planhotel.com__fr-nos-hotels-resorts-diamonds-hotels-resorts-diamonds-leisu.md</t>
  </si>
  <si>
    <t xml:space="preserve">https://www.planhotel.com/the-group/</t>
  </si>
  <si>
    <t xml:space="preserve">PLANHOTEL HOSPITALITY GROUP  Hotel - Planhotel Hospitality group  in the Indian Ocean</t>
  </si>
  <si>
    <t xml:space="preserve">output/pages/013_sandies-bathala/events__planhotel.com__the-group.md</t>
  </si>
  <si>
    <t xml:space="preserve">https://www.planhotel.com/group-hotels/diamonds-hotels-and-resorts/diamonds-mapenzi-beach/</t>
  </si>
  <si>
    <t xml:space="preserve">Diamonds Hotels and Resorts - DIAMONDS MAPENZI BEACH  Hotel - Planhotel Hospitality group  in the Indian Ocean</t>
  </si>
  <si>
    <t xml:space="preserve">output/pages/013_sandies-bathala/events__planhotel.com__group-hotels-diamonds-hotels-and-resorts-diamonds-mapenzi-be.md</t>
  </si>
  <si>
    <t xml:space="preserve">https://www.planhotel.com/terms-conditions/</t>
  </si>
  <si>
    <t xml:space="preserve">Terms &amp; Conditions  Hotel - Planhotel Hospitality group  in the Indian Ocean</t>
  </si>
  <si>
    <t xml:space="preserve">output/pages/013_sandies-bathala/events__planhotel.com__terms-conditions.md</t>
  </si>
  <si>
    <t xml:space="preserve">https://www.planhotel.com/travel-professional/meeting-incentive/</t>
  </si>
  <si>
    <t xml:space="preserve">Travel Professional - Meeting &amp; Incentive  Hotel - Planhotel Hospitality group  in the Indian Ocean</t>
  </si>
  <si>
    <t xml:space="preserve">output/pages/013_sandies-bathala/events__planhotel.com__travel-professional-meeting-incentive.md</t>
  </si>
  <si>
    <t xml:space="preserve">https://www.planhotel.com/fr/solutions-professionnelles/voyages-de-noces-et-anniversaires/sandies-tropical-village/</t>
  </si>
  <si>
    <t xml:space="preserve">Voyages de noces et anniversaires - Sandies Tropical Village Hotel  -  Planhotel Hospitality group dans l'Océan Indien</t>
  </si>
  <si>
    <t xml:space="preserve">output/pages/013_sandies-bathala/events__planhotel.com__fr-solutions-professionnelles-voyages-de-noces-et-anniversai.md</t>
  </si>
  <si>
    <t xml:space="preserve">https://www.planhotel.com/it/media-centre/</t>
  </si>
  <si>
    <t xml:space="preserve">Media Centre Hotel   - Planhotel Hospitality group  nell' Oceano Indiano</t>
  </si>
  <si>
    <t xml:space="preserve">output/pages/013_sandies-bathala/events__planhotel.com__it-media-centre.md</t>
  </si>
  <si>
    <t xml:space="preserve">https://www.planhotel.com/sustainability/empowering-female-education/</t>
  </si>
  <si>
    <t xml:space="preserve">SUSTAINABILITY - EMPOWERING FEMALE EDUCATION  Hotel - Planhotel Hospitality group  in the Indian Ocean</t>
  </si>
  <si>
    <t xml:space="preserve">output/pages/013_sandies-bathala/events__planhotel.com__sustainability-empowering-female-education.md</t>
  </si>
  <si>
    <t xml:space="preserve">https://www.planhotel.com/fr</t>
  </si>
  <si>
    <t xml:space="preserve">Planhotel Hospitality group - Réserver un resort exclusive de luxe dans l'Océan Indien</t>
  </si>
  <si>
    <t xml:space="preserve">output/pages/013_sandies-bathala/events__planhotel.com__fr.md</t>
  </si>
  <si>
    <t xml:space="preserve">https://www.planhotel.com/it/i-nostri-hotels-resorts/diamonds-hotels-and-resorts/diamonds-mapenzi-beach/</t>
  </si>
  <si>
    <t xml:space="preserve">Diamonds Hotels and Resorts - DIAMONDS MAPENZI BEACH Hotel  - Planhotel Hospitality group  nell' Oceano Indiano</t>
  </si>
  <si>
    <t xml:space="preserve">output/pages/013_sandies-bathala/events__planhotel.com__it-i-nostri-hotels-resorts-diamonds-hotels-and-resorts-diamo.md</t>
  </si>
  <si>
    <t xml:space="preserve">https://www.cenizaro.com/theresidence/maldives-dg</t>
  </si>
  <si>
    <t xml:space="preserve">Maldives Beach Resort l The Residence Maldives Dhigurah</t>
  </si>
  <si>
    <t xml:space="preserve">output/pages/020_the-residence-maldives-at-dhigurah/diving__cenizaro.com__theresidence-maldives-dg.md</t>
  </si>
  <si>
    <t xml:space="preserve">https://www.cenizaro.com/theresidence/maldives-dg/dining/earth-table</t>
  </si>
  <si>
    <t xml:space="preserve">Restaurant Maldives l Earth Table l Residence Dhigurah</t>
  </si>
  <si>
    <t xml:space="preserve">output/pages/020_the-residence-maldives-at-dhigurah/dining__cenizaro.com__theresidence-maldives-dg-dining-earth-table.md</t>
  </si>
  <si>
    <t xml:space="preserve">https://www.planhotel.com/de/sitemap/</t>
  </si>
  <si>
    <t xml:space="preserve">Sitemap Hotel  -  Planhotel Hospitality group der Indischen Ozean</t>
  </si>
  <si>
    <t xml:space="preserve">output/pages/013_sandies-bathala/events__planhotel.com__de-sitemap.md</t>
  </si>
  <si>
    <t xml:space="preserve">https://www.cenizaro.com/theresidence/maldives-dg/offers/summerbreak-offers</t>
  </si>
  <si>
    <t xml:space="preserve">Beach Break, Summer Smiles</t>
  </si>
  <si>
    <t xml:space="preserve">output/pages/020_the-residence-maldives-at-dhigurah/diving__cenizaro.com__theresidence-maldives-dg-offers-summerbreak-offers.md</t>
  </si>
  <si>
    <t xml:space="preserve">https://www.planhotel.com/de/press-area/</t>
  </si>
  <si>
    <t xml:space="preserve">Press Area Hotel  -  Planhotel Hospitality group der Indischen Ozean</t>
  </si>
  <si>
    <t xml:space="preserve">output/pages/013_sandies-bathala/events__planhotel.com__de-press-area.md</t>
  </si>
  <si>
    <t xml:space="preserve">https://www.cenizaro.com/theresidence/maldives-dg/spa-wellness/fitness</t>
  </si>
  <si>
    <t xml:space="preserve">Personal Fitness Maldives l The Residence Maldives Dhigurah</t>
  </si>
  <si>
    <t xml:space="preserve">output/pages/020_the-residence-maldives-at-dhigurah/spa__cenizaro.com__theresidence-maldives-dg-spa-wellness-fitness.md</t>
  </si>
  <si>
    <t xml:space="preserve">https://www.cenizaro.com/theresidence/maldives-dg/offers/ultimate-romantic-escape</t>
  </si>
  <si>
    <t xml:space="preserve">Your Ultimate Romantic Escape</t>
  </si>
  <si>
    <t xml:space="preserve">output/pages/020_the-residence-maldives-at-dhigurah/diving__cenizaro.com__theresidence-maldives-dg-offers-ultimate-romantic-escape.md</t>
  </si>
  <si>
    <t xml:space="preserve">https://www.planhotel.com/it/travel-professional-it/meeting-incentive/sandies-tropical-village/</t>
  </si>
  <si>
    <t xml:space="preserve">Meeting &amp; Incentive - Sandies Tropical Village Hotel  - Planhotel Hospitality group  nell' Oceano Indiano</t>
  </si>
  <si>
    <t xml:space="preserve">output/pages/013_sandies-bathala/events__planhotel.com__it-travel-professional-it-meeting-incentive-sandies-tropical.md</t>
  </si>
  <si>
    <t xml:space="preserve">https://www.planhotel.com/careers/</t>
  </si>
  <si>
    <t xml:space="preserve">CAREERS  Hotel - Planhotel Hospitality group  in the Indian Ocean</t>
  </si>
  <si>
    <t xml:space="preserve">output/pages/013_sandies-bathala/events__planhotel.com__careers.md</t>
  </si>
  <si>
    <t xml:space="preserve">https://www.cenizaro.com/theresidence/maldives-dg/accommodation</t>
  </si>
  <si>
    <t xml:space="preserve">Luxury Resort Maldives l Villas at The Residence Dhigurah</t>
  </si>
  <si>
    <t xml:space="preserve">output/pages/020_the-residence-maldives-at-dhigurah/diving__cenizaro.com__theresidence-maldives-dg-accommodation.md</t>
  </si>
  <si>
    <t xml:space="preserve">https://www.cenizaro.com/theresidence/maldives-dg/accommodation/sunrise-sunset-beach-pool-villa-two-bedroom</t>
  </si>
  <si>
    <t xml:space="preserve">Maldives Beach Villa with Private Pool l Beach Pool Villa</t>
  </si>
  <si>
    <t xml:space="preserve">output/pages/020_the-residence-maldives-at-dhigurah/diving__cenizaro.com__theresidence-maldives-dg-accommodation-sunrise-sunset-beach-.md</t>
  </si>
  <si>
    <t xml:space="preserve">https://www.planhotel.com/it/travel-professional-it/meeting-incentive/the-view-lugano/</t>
  </si>
  <si>
    <t xml:space="preserve">Meeting &amp; Incentive - The View Lugano Hotel  - Planhotel Hospitality group  nell' Oceano Indiano</t>
  </si>
  <si>
    <t xml:space="preserve">output/pages/013_sandies-bathala/events__planhotel.com__it-travel-professional-it-meeting-incentive-the-view-lugano.md</t>
  </si>
  <si>
    <t xml:space="preserve">https://www.planhotel.com/sustainability/community-involvement/</t>
  </si>
  <si>
    <t xml:space="preserve">SUSTAINABILITY - COMMUNITY INVOLVEMENT  Hotel - Planhotel Hospitality group  in the Indian Ocean</t>
  </si>
  <si>
    <t xml:space="preserve">output/pages/013_sandies-bathala/events__planhotel.com__sustainability-community-involvement.md</t>
  </si>
  <si>
    <t xml:space="preserve">https://www.cenizaro.com/theresidence/maldives-dg/dining/the-beach-club</t>
  </si>
  <si>
    <t xml:space="preserve">Beach Club Maldives l The Residence Dhigurah | Beach Club</t>
  </si>
  <si>
    <t xml:space="preserve">output/pages/020_the-residence-maldives-at-dhigurah/dining__cenizaro.com__theresidence-maldives-dg-dining-the-beach-club.md</t>
  </si>
  <si>
    <t xml:space="preserve">https://www.planhotel.com/travel-professional/weddings-ceremonies/the-view-lugano/</t>
  </si>
  <si>
    <t xml:space="preserve">Weddings &amp; Ceremonies - The View Lugano  Hotel - Planhotel Hospitality group  in the Indian Ocean</t>
  </si>
  <si>
    <t xml:space="preserve">output/pages/013_sandies-bathala/wedding__planhotel.com__travel-professional-weddings-ceremonies-the-view-lugano.md</t>
  </si>
  <si>
    <t xml:space="preserve">https://www.planhotel.com/sustainability/the-big-build-maldives/</t>
  </si>
  <si>
    <t xml:space="preserve">SUSTAINABILITY - THE BIG BUILD MALDIVES  Hotel - Planhotel Hospitality group  in the Indian Ocean</t>
  </si>
  <si>
    <t xml:space="preserve">output/pages/013_sandies-bathala/events__planhotel.com__sustainability-the-big-build-maldives.md</t>
  </si>
  <si>
    <t xml:space="preserve">https://www.cenizaro.com/theresidence/maldives-dg/about/guest-services</t>
  </si>
  <si>
    <t xml:space="preserve">Best 5 Star Resorts in Maldives l Guest Services</t>
  </si>
  <si>
    <t xml:space="preserve">output/pages/020_the-residence-maldives-at-dhigurah/diving__cenizaro.com__theresidence-maldives-dg-about-guest-services.md</t>
  </si>
  <si>
    <t xml:space="preserve">https://www.planhotel.com/de/unsere-hotels-resorts/sandies-hotels-resorts/</t>
  </si>
  <si>
    <t xml:space="preserve">Unsere Hotels &amp; Resorts - Sandies Hotels and Resorts Hotel -  Planhotel Hospitality group der Indischen Ozean</t>
  </si>
  <si>
    <t xml:space="preserve">output/pages/013_sandies-bathala/events__planhotel.com__de-unsere-hotels-resorts-sandies-hotels-resorts.md</t>
  </si>
  <si>
    <t xml:space="preserve">https://www.cenizaro.com/theresidence/maldives-dg/offers/dhigurah-early-bird-offer</t>
  </si>
  <si>
    <t xml:space="preserve">Early Bird Offer</t>
  </si>
  <si>
    <t xml:space="preserve">output/pages/020_the-residence-maldives-at-dhigurah/diving__cenizaro.com__theresidence-maldives-dg-offers-dhigurah-early-bird-offer.md</t>
  </si>
  <si>
    <t xml:space="preserve">https://www.planhotel.com/de/professionelle-loesungen/meetings-und-incentives/diamonds-dream-africa/</t>
  </si>
  <si>
    <t xml:space="preserve">Meetings und Incentives - Diamonds Dream of Africa Hotel -  Planhotel Hospitality group der Indischen Ozean</t>
  </si>
  <si>
    <t xml:space="preserve">output/pages/013_sandies-bathala/events__planhotel.com__de-professionelle-loesungen-meetings-und-incentives-diamonds.md</t>
  </si>
  <si>
    <t xml:space="preserve">https://www.planhotel.com/it</t>
  </si>
  <si>
    <t xml:space="preserve">Planhotel Hospitality group - Prenotazione di un resort esclusivo di lusso nell'oceano indiano</t>
  </si>
  <si>
    <t xml:space="preserve">output/pages/013_sandies-bathala/events__planhotel.com__it.md</t>
  </si>
  <si>
    <t xml:space="preserve">https://www.planhotel.com/sustainability/sustainable-mobility/</t>
  </si>
  <si>
    <t xml:space="preserve">SUSTAINABILITY - SUSTAINABLE MOBILITY  Hotel - Planhotel Hospitality group  in the Indian Ocean</t>
  </si>
  <si>
    <t xml:space="preserve">output/pages/013_sandies-bathala/events__planhotel.com__sustainability-sustainable-mobility.md</t>
  </si>
  <si>
    <t xml:space="preserve">https://www.planhotel.com/fr/nos-hotels-resorts/sandies-hotels-resorts/sandies-baobab-zanzibar/</t>
  </si>
  <si>
    <t xml:space="preserve">Sandies Hotels and Resorts - Sandies Baobab Beach Zanzibar Hotel  -  Planhotel Hospitality group dans l'Océan Indien</t>
  </si>
  <si>
    <t xml:space="preserve">output/pages/013_sandies-bathala/events__planhotel.com__fr-nos-hotels-resorts-sandies-hotels-resorts-sandies-baobab-.md</t>
  </si>
  <si>
    <t xml:space="preserve">https://www.planhotel.com/it/i-nostri-hotels-resorts/</t>
  </si>
  <si>
    <t xml:space="preserve">I Nostri Hotels &amp; Resorts Hotel   - Planhotel Hospitality group  nell' Oceano Indiano</t>
  </si>
  <si>
    <t xml:space="preserve">output/pages/013_sandies-bathala/events__planhotel.com__it-i-nostri-hotels-resorts.md</t>
  </si>
  <si>
    <t xml:space="preserve">https://www.planhotel.com/travel-professional/honeymoons-anniversaries/diamonds-thudufushi-beach/</t>
  </si>
  <si>
    <t xml:space="preserve">Honeymoons &amp; Anniversaries - Diamonds Thudufushi Beach  Hotel - Planhotel Hospitality group  in the Indian Ocean</t>
  </si>
  <si>
    <t xml:space="preserve">output/pages/013_sandies-bathala/wedding__planhotel.com__travel-professional-honeymoons-anniversaries-diamonds-thuduf.md</t>
  </si>
  <si>
    <t xml:space="preserve">https://www.cenizaro.com/theresidence/maldives-fm/experiences</t>
  </si>
  <si>
    <t xml:space="preserve">Maldives Best Places to Visit | The Residence Maldives</t>
  </si>
  <si>
    <t xml:space="preserve">output/pages/019_the-residence-maldives/diving__cenizaro.com__theresidence-maldives-fm-experiences.md</t>
  </si>
  <si>
    <t xml:space="preserve">https://www.cenizaro.com/theresidence/maldives-fm/dining/the-beach-bar</t>
  </si>
  <si>
    <t xml:space="preserve">Best Bars in Maldives | The Beach Bar | Residence Maldives</t>
  </si>
  <si>
    <t xml:space="preserve">output/pages/019_the-residence-maldives/dining__cenizaro.com__theresidence-maldives-fm-dining-the-beach-bar.md</t>
  </si>
  <si>
    <t xml:space="preserve">https://www.cenizaro.com/theresidence/maldives-fm/about/diving-activities</t>
  </si>
  <si>
    <t xml:space="preserve">Maldives Diving Resorts | Diving at The Residence Maldives</t>
  </si>
  <si>
    <t xml:space="preserve">output/pages/019_the-residence-maldives/diving__cenizaro.com__theresidence-maldives-fm-about-diving-activities.md</t>
  </si>
  <si>
    <t xml:space="preserve">https://www.cenizaro.com/theresidence/maldives-fm/about/activites</t>
  </si>
  <si>
    <t xml:space="preserve">Best Luxury Resort Maldives | The Residence Maldives</t>
  </si>
  <si>
    <t xml:space="preserve">output/pages/019_the-residence-maldives/diving__cenizaro.com__theresidence-maldives-fm-about-activites.md</t>
  </si>
  <si>
    <t xml:space="preserve">https://www.cenizaro.com/theresidence/maldives-fm/accommodation/beach-pool-villas</t>
  </si>
  <si>
    <t xml:space="preserve">Maldives Villas with Private Pool | The Residence Maldives</t>
  </si>
  <si>
    <t xml:space="preserve">output/pages/019_the-residence-maldives/diving__cenizaro.com__theresidence-maldives-fm-accommodation-beach-pool-villas.md</t>
  </si>
  <si>
    <t xml:space="preserve">https://www.cenizaro.com/theresidence/maldives-fm/events-meetings/event-venues</t>
  </si>
  <si>
    <t xml:space="preserve">Events Venues Maldives | The Residence Maldives Event Venues</t>
  </si>
  <si>
    <t xml:space="preserve">output/pages/019_the-residence-maldives/events__cenizaro.com__theresidence-maldives-fm-events-meetings-event-venues.md</t>
  </si>
  <si>
    <t xml:space="preserve">https://www.cenizaro.com/theresidence/maldives-fm/offers/ultimate-romantic-escape</t>
  </si>
  <si>
    <t xml:space="preserve">output/pages/019_the-residence-maldives/diving__cenizaro.com__theresidence-maldives-fm-offers-ultimate-romantic-escape.md</t>
  </si>
  <si>
    <t xml:space="preserve">https://www.cenizaro.com/theresidence/maldives-fm/dining/the-dining-room</t>
  </si>
  <si>
    <t xml:space="preserve">Best Restaurant in Maldives | The Dining Room Restaurant</t>
  </si>
  <si>
    <t xml:space="preserve">output/pages/019_the-residence-maldives/dining__cenizaro.com__theresidence-maldives-fm-dining-the-dining-room.md</t>
  </si>
  <si>
    <t xml:space="preserve">https://www.cenizaro.com/theresidence/maldives-fm/destination/discover</t>
  </si>
  <si>
    <t xml:space="preserve">What to See in Maldives | Discover | The Residence Maldives</t>
  </si>
  <si>
    <t xml:space="preserve">output/pages/019_the-residence-maldives/diving__cenizaro.com__theresidence-maldives-fm-destination-discover.md</t>
  </si>
  <si>
    <t xml:space="preserve">https://www.cenizaro.com/theresidence/maldives-dg/experiences/snorkelling-safari</t>
  </si>
  <si>
    <t xml:space="preserve">Best Maldives Resorts for Snorkeling | Snorkelling Safari</t>
  </si>
  <si>
    <t xml:space="preserve">output/pages/020_the-residence-maldives-at-dhigurah/diving__cenizaro.com__theresidence-maldives-dg-experiences-snorkelling-safari.md</t>
  </si>
  <si>
    <t xml:space="preserve">https://www.cenizaro.com/theresidence/maldives-dg/accommodation/sunrise-sunset-water-pool-villa-two-bedroom</t>
  </si>
  <si>
    <t xml:space="preserve">Maldives Overwater Villa with Pool l Water Pool Villa</t>
  </si>
  <si>
    <t xml:space="preserve">output/pages/020_the-residence-maldives-at-dhigurah/diving__cenizaro.com__theresidence-maldives-dg-accommodation-sunrise-sunset-water-.md</t>
  </si>
  <si>
    <t xml:space="preserve">https://www.cenizaro.com/theresidence/maldives-dg/spa-wellness</t>
  </si>
  <si>
    <t xml:space="preserve">Maldives Spa | The Residence Dhigurah | Spa and Wellness</t>
  </si>
  <si>
    <t xml:space="preserve">output/pages/020_the-residence-maldives-at-dhigurah/spa__cenizaro.com__theresidence-maldives-dg-spa-wellness.md</t>
  </si>
  <si>
    <t xml:space="preserve">https://www.cenizaro.com/theresidence/maldives-dg/spa-wellness/signature-treatments</t>
  </si>
  <si>
    <t xml:space="preserve">Maldives Spa Resorts | The Residence Dhigurah Spa Treatments</t>
  </si>
  <si>
    <t xml:space="preserve">output/pages/020_the-residence-maldives-at-dhigurah/dining__cenizaro.com__theresidence-maldives-dg-spa-wellness-signature-treatments.md</t>
  </si>
  <si>
    <t xml:space="preserve">https://www.planhotel.com/group-hotels/diamonds-hotels-and-resorts/diamonds-bijoux/</t>
  </si>
  <si>
    <t xml:space="preserve">Diamonds Hotels and Resorts - Diamonds Bijoux  Hotel - Planhotel Hospitality group  in the Indian Ocean</t>
  </si>
  <si>
    <t xml:space="preserve">output/pages/013_sandies-bathala/events__planhotel.com__group-hotels-diamonds-hotels-and-resorts-diamonds-bijoux.md</t>
  </si>
  <si>
    <t xml:space="preserve">https://www.cenizaro.com/theresidence/maldives-dg/experiences/earth-basket</t>
  </si>
  <si>
    <t xml:space="preserve">Maldives Vegetable Garden | The Residence Dhigurah</t>
  </si>
  <si>
    <t xml:space="preserve">output/pages/020_the-residence-maldives-at-dhigurah/diving__cenizaro.com__theresidence-maldives-dg-experiences-earth-basket.md</t>
  </si>
  <si>
    <t xml:space="preserve">https://www.cenizaro.com/theresidence/maldives-dg/about/activities</t>
  </si>
  <si>
    <t xml:space="preserve">Luxury Resorts in Maldives Island l Activities</t>
  </si>
  <si>
    <t xml:space="preserve">output/pages/020_the-residence-maldives-at-dhigurah/diving__cenizaro.com__theresidence-maldives-dg-about-activities.md</t>
  </si>
  <si>
    <t xml:space="preserve">https://www.cenizaro.com/theresidence/maldives-dg/accommodation/sunrise-sunset-beach-pool-villa</t>
  </si>
  <si>
    <t xml:space="preserve">Maldives Private Beach Villa l Sunrise Beach Pool Villa</t>
  </si>
  <si>
    <t xml:space="preserve">https://www.cenizaro.com/theresidence/maldives-fm/events-meetings</t>
  </si>
  <si>
    <t xml:space="preserve">Maldives Events | The Residence Maldives Events &amp; Meetings</t>
  </si>
  <si>
    <t xml:space="preserve">output/pages/019_the-residence-maldives/events__cenizaro.com__theresidence-maldives-fm-events-meetings.md</t>
  </si>
  <si>
    <t xml:space="preserve">https://www.cenizaro.com/theresidence/maldives-fm/offers</t>
  </si>
  <si>
    <t xml:space="preserve">Maldives Resort Packages | The Residence Maldives | Offers</t>
  </si>
  <si>
    <t xml:space="preserve">output/pages/019_the-residence-maldives/diving__cenizaro.com__theresidence-maldives-fm-offers.md</t>
  </si>
  <si>
    <t xml:space="preserve">https://www.cenizaro.com/theresidence/maldives-fm/experiences/snorkelling-safari</t>
  </si>
  <si>
    <t xml:space="preserve">Maldives Snorkeling Resorts | The Residence Maldives</t>
  </si>
  <si>
    <t xml:space="preserve">output/pages/019_the-residence-maldives/diving__cenizaro.com__theresidence-maldives-fm-experiences-snorkelling-safari.md</t>
  </si>
  <si>
    <t xml:space="preserve">https://www.cenizaro.com/theresidence/maldives-fm/experiences/earth-basket</t>
  </si>
  <si>
    <t xml:space="preserve">Maldives Resort Vegetable Garden | The Residence Maldives</t>
  </si>
  <si>
    <t xml:space="preserve">output/pages/019_the-residence-maldives/diving__cenizaro.com__theresidence-maldives-fm-experiences-earth-basket.md</t>
  </si>
  <si>
    <t xml:space="preserve">https://www.cenizaro.com/theresidence/maldives-fm/offers/summerbreak-offers</t>
  </si>
  <si>
    <t xml:space="preserve">output/pages/019_the-residence-maldives/diving__cenizaro.com__theresidence-maldives-fm-offers-summerbreak-offers.md</t>
  </si>
  <si>
    <t xml:space="preserve">https://www.cenizaro.com/theresidence/maldives-fm/spa-wellness/spa-programmes</t>
  </si>
  <si>
    <t xml:space="preserve">Maldives Resort and Spa | The Residence Maldives Spa</t>
  </si>
  <si>
    <t xml:space="preserve">output/pages/019_the-residence-maldives/spa__cenizaro.com__theresidence-maldives-fm-spa-wellness-spa-programmes.md</t>
  </si>
  <si>
    <t xml:space="preserve">https://www.cenizaro.com/theresidence/maldives-dg/dining</t>
  </si>
  <si>
    <t xml:space="preserve">Best Restaurants in Maldives l The Residence Dhigurah</t>
  </si>
  <si>
    <t xml:space="preserve">output/pages/020_the-residence-maldives-at-dhigurah/dining__cenizaro.com__theresidence-maldives-dg-dining.md</t>
  </si>
  <si>
    <t xml:space="preserve">https://www.cenizaro.com/theresidence/maldives-fm/spa-wellness/signature-treatments</t>
  </si>
  <si>
    <t xml:space="preserve">Maldives Spa Resorts | The Residence Maldives Spa Treatments</t>
  </si>
  <si>
    <t xml:space="preserve">output/pages/019_the-residence-maldives/dining__cenizaro.com__theresidence-maldives-fm-spa-wellness-signature-treatments.md</t>
  </si>
  <si>
    <t xml:space="preserve">https://www.cenizaro.com/theresidence/maldives-dg/offers/renewal-retreats</t>
  </si>
  <si>
    <t xml:space="preserve">output/pages/020_the-residence-maldives-at-dhigurah/wedding__cenizaro.com__theresidence-maldives-dg-offers-renewal-retreats.md</t>
  </si>
  <si>
    <t xml:space="preserve">https://www.cenizaro.com/theresidence/maldives-fm/events-meetings/meetings-incentives</t>
  </si>
  <si>
    <t xml:space="preserve">Meeting Facilities Maldives | The Residence Maldives</t>
  </si>
  <si>
    <t xml:space="preserve">output/pages/019_the-residence-maldives/events__cenizaro.com__theresidence-maldives-fm-events-meetings-meetings-incentives.md</t>
  </si>
  <si>
    <t xml:space="preserve">https://www.cenizaro.com/theresidence/maldives-dg/destination/location</t>
  </si>
  <si>
    <t xml:space="preserve">Five Star Resorts in Maldives | The Residence Dhigurah</t>
  </si>
  <si>
    <t xml:space="preserve">output/pages/020_the-residence-maldives-at-dhigurah/diving__cenizaro.com__theresidence-maldives-dg-destination-location.md</t>
  </si>
  <si>
    <t xml:space="preserve">https://www.cenizaro.com/theresidence/maldives-fm/dining</t>
  </si>
  <si>
    <t xml:space="preserve">Maldives Restaurants | Dining at The Residence Maldives</t>
  </si>
  <si>
    <t xml:space="preserve">output/pages/019_the-residence-maldives/dining__cenizaro.com__theresidence-maldives-fm-dining.md</t>
  </si>
  <si>
    <t xml:space="preserve">https://www.cenizaro.com/theresidence/maldives-dg/accommodation/lagoon-pool-villa</t>
  </si>
  <si>
    <t xml:space="preserve">Maldives Lagoon Villa with Pool l Lagoon Pool Villa</t>
  </si>
  <si>
    <t xml:space="preserve">output/pages/020_the-residence-maldives-at-dhigurah/diving__cenizaro.com__theresidence-maldives-dg-accommodation-lagoon-pool-villa.md</t>
  </si>
  <si>
    <t xml:space="preserve">https://www.cenizaro.com/theresidence/maldives-dg/events-meetings</t>
  </si>
  <si>
    <t xml:space="preserve">Events in Maldives l The Residence Maldives Dhigurah Events</t>
  </si>
  <si>
    <t xml:space="preserve">output/pages/020_the-residence-maldives-at-dhigurah/events__cenizaro.com__theresidence-maldives-dg-events-meetings.md</t>
  </si>
  <si>
    <t xml:space="preserve">https://www.cenizaro.com/theresidence/maldives-fm/spa-wellness</t>
  </si>
  <si>
    <t xml:space="preserve">Maldives Spa | The Residence Maldives | Spa The  Wellness</t>
  </si>
  <si>
    <t xml:space="preserve">output/pages/019_the-residence-maldives/spa__cenizaro.com__theresidence-maldives-fm-spa-wellness.md</t>
  </si>
  <si>
    <t xml:space="preserve">https://www.cenizaro.com/theresidence/maldives-dg/experiences</t>
  </si>
  <si>
    <t xml:space="preserve">Best Things to Do in Maldives | The Residence Dhigurah</t>
  </si>
  <si>
    <t xml:space="preserve">output/pages/020_the-residence-maldives-at-dhigurah/diving__cenizaro.com__theresidence-maldives-dg-experiences.md</t>
  </si>
  <si>
    <t xml:space="preserve">https://www.cenizaro.com/theresidence/maldives-fm/accommodation/deluxe-water-pool-villas</t>
  </si>
  <si>
    <t xml:space="preserve">Maldives Water Pool Villa | The Residence Maldives</t>
  </si>
  <si>
    <t xml:space="preserve">output/pages/019_the-residence-maldives/diving__cenizaro.com__theresidence-maldives-fm-accommodation-deluxe-water-pool-vil.md</t>
  </si>
  <si>
    <t xml:space="preserve">https://www.cenizaro.com/theresidence/maldives-dg/dining/private-dining</t>
  </si>
  <si>
    <t xml:space="preserve">Maldives Private Dining l Residence Dhigurah Private Dining</t>
  </si>
  <si>
    <t xml:space="preserve">output/pages/020_the-residence-maldives-at-dhigurah/dining__cenizaro.com__theresidence-maldives-dg-dining-private-dining.md</t>
  </si>
  <si>
    <t xml:space="preserve">https://www.planhotel.com/group-hotels/diamonds-hotels-and-resorts/diamonds-leisure-beach-golf-resort/</t>
  </si>
  <si>
    <t xml:space="preserve">Diamonds Hotels and Resorts - DIAMONDS LEISURE BEACH &amp; GOLF RESORT  Hotel - Planhotel Hospitality group  in the Indian O</t>
  </si>
  <si>
    <t xml:space="preserve">output/pages/013_sandies-bathala/events__planhotel.com__group-hotels-diamonds-hotels-and-resorts-diamonds-leisure-be.md</t>
  </si>
  <si>
    <t xml:space="preserve">https://www.cenizaro.com/theresidence/maldives-fm/about/guest-services</t>
  </si>
  <si>
    <t xml:space="preserve">Maldives Hotels 5 Star | Services at The Residence Maldives</t>
  </si>
  <si>
    <t xml:space="preserve">output/pages/019_the-residence-maldives/diving__cenizaro.com__theresidence-maldives-fm-about-guest-services.md</t>
  </si>
  <si>
    <t xml:space="preserve">https://www.cenizaro.com/theresidence/maldives-dg/about/facilities</t>
  </si>
  <si>
    <t xml:space="preserve">Family Friendly Resorts Maldives l Resort Facilities</t>
  </si>
  <si>
    <t xml:space="preserve">output/pages/020_the-residence-maldives-at-dhigurah/diving__cenizaro.com__theresidence-maldives-dg-about-facilities.md</t>
  </si>
  <si>
    <t xml:space="preserve">https://www.cenizaro.com/theresidence/maldives-fm/accommodation/water-pool-villas</t>
  </si>
  <si>
    <t xml:space="preserve">Maldives Water Villa With Pool | Two Bedroom Pool Villa</t>
  </si>
  <si>
    <t xml:space="preserve">output/pages/019_the-residence-maldives/diving__cenizaro.com__theresidence-maldives-fm-accommodation-water-pool-villas.md</t>
  </si>
  <si>
    <t xml:space="preserve">https://www.cenizaro.com/theresidence/maldives-dg/about</t>
  </si>
  <si>
    <t xml:space="preserve">Beach Villas in Maldives l About Us l The Residence Dhigurah</t>
  </si>
  <si>
    <t xml:space="preserve">output/pages/020_the-residence-maldives-at-dhigurah/diving__cenizaro.com__theresidence-maldives-dg-about.md</t>
  </si>
  <si>
    <t xml:space="preserve">https://www.cenizaro.com/theresidence/maldives-fm/about</t>
  </si>
  <si>
    <t xml:space="preserve">Maldives Island Resorts |  About Us | The Residence Maldives</t>
  </si>
  <si>
    <t xml:space="preserve">output/pages/019_the-residence-maldives/diving__cenizaro.com__theresidence-maldives-fm-about.md</t>
  </si>
  <si>
    <t xml:space="preserve">https://www.cenizaro.com/theresidence/maldives-dg/accommodation/deluxe-lagoon-pool-villa</t>
  </si>
  <si>
    <t xml:space="preserve">Maldives Water Villa with Private Pool l Lagoon Pool Villa</t>
  </si>
  <si>
    <t xml:space="preserve">output/pages/020_the-residence-maldives-at-dhigurah/diving__cenizaro.com__theresidence-maldives-dg-accommodation-deluxe-lagoon-pool-vi.md</t>
  </si>
  <si>
    <t xml:space="preserve">https://www.cenizaro.com/theresidence/maldives-fm/falhumaafushi-early-bird-offer</t>
  </si>
  <si>
    <t xml:space="preserve">output/pages/019_the-residence-maldives/diving__cenizaro.com__theresidence-maldives-fm-falhumaafushi-early-bird-offer.md</t>
  </si>
  <si>
    <t xml:space="preserve">https://www.cenizaro.com/theresidence/maldives-dg/dining/long-island</t>
  </si>
  <si>
    <t xml:space="preserve">Maldives Resort Bar l The Residence Dhigurah | Long Island</t>
  </si>
  <si>
    <t xml:space="preserve">output/pages/020_the-residence-maldives-at-dhigurah/dining__cenizaro.com__theresidence-maldives-dg-dining-long-island.md</t>
  </si>
  <si>
    <t xml:space="preserve">https://www.cenizaro.com/theresidence/maldives-fm/destination</t>
  </si>
  <si>
    <t xml:space="preserve">Best Places to Visit in Maldives | Destination</t>
  </si>
  <si>
    <t xml:space="preserve">output/pages/019_the-residence-maldives/diving__cenizaro.com__theresidence-maldives-fm-destination.md</t>
  </si>
  <si>
    <t xml:space="preserve">https://www.cenizaro.com/theresidence/maldives-dg/dining/cafe-del-sol</t>
  </si>
  <si>
    <t xml:space="preserve">Mediterranean Restaurant in Maldives l Dine at Café Del Sol</t>
  </si>
  <si>
    <t xml:space="preserve">output/pages/020_the-residence-maldives-at-dhigurah/dining__cenizaro.com__theresidence-maldives-dg-dining-cafe-del-sol.md</t>
  </si>
  <si>
    <t xml:space="preserve">https://www.cenizaro.com/theresidence/maldives-fm/experiences/dive-the-deep-blue</t>
  </si>
  <si>
    <t xml:space="preserve">Best Dive Resorts Maldives | The Residence Maldives</t>
  </si>
  <si>
    <t xml:space="preserve">output/pages/019_the-residence-maldives/diving__cenizaro.com__theresidence-maldives-fm-experiences-dive-the-deep-blue.md</t>
  </si>
  <si>
    <t xml:space="preserve">https://www.cenizaro.com/theresidence/maldives-dg/destination/travel-tips</t>
  </si>
  <si>
    <t xml:space="preserve">Maldives Travel Tips l The Residence Dhigurah | Travel Tips</t>
  </si>
  <si>
    <t xml:space="preserve">output/pages/020_the-residence-maldives-at-dhigurah/diving__cenizaro.com__theresidence-maldives-dg-destination-travel-tips.md</t>
  </si>
  <si>
    <t xml:space="preserve">https://www.cenizaro.com/theresidence/maldives-fm/destination/itineraries</t>
  </si>
  <si>
    <t xml:space="preserve">Sightseeing in Maldives | The Residence Maldives Itineraries</t>
  </si>
  <si>
    <t xml:space="preserve">output/pages/019_the-residence-maldives/diving__cenizaro.com__theresidence-maldives-fm-destination-itineraries.md</t>
  </si>
  <si>
    <t xml:space="preserve">https://www.cenizaro.com/theresidence/maldives-dg/offers/solo-soulcations</t>
  </si>
  <si>
    <t xml:space="preserve">Solo Soulcations</t>
  </si>
  <si>
    <t xml:space="preserve">output/pages/020_the-residence-maldives-at-dhigurah/diving__cenizaro.com__theresidence-maldives-dg-offers-solo-soulcations.md</t>
  </si>
  <si>
    <t xml:space="preserve">https://www.cenizaro.com/theresidence/maldives-fm/accommodation/beach-beach-pool-villa</t>
  </si>
  <si>
    <t xml:space="preserve">Beach Pool Villa Maldives | The Residence Maldives</t>
  </si>
  <si>
    <t xml:space="preserve">output/pages/019_the-residence-maldives/diving__cenizaro.com__theresidence-maldives-fm-accommodation-beach-beach-pool-vill.md</t>
  </si>
  <si>
    <t xml:space="preserve">https://www.cenizaro.com/theresidence/maldives-dg/experiences/bottom-line-fishing</t>
  </si>
  <si>
    <t xml:space="preserve">Deep Sea Fishing Maldives | The Residence Dhigurah</t>
  </si>
  <si>
    <t xml:space="preserve">output/pages/020_the-residence-maldives-at-dhigurah/diving__cenizaro.com__theresidence-maldives-dg-experiences-bottom-line-fishing.md</t>
  </si>
  <si>
    <t xml:space="preserve">https://www.planhotel.com/brochures/</t>
  </si>
  <si>
    <t xml:space="preserve">Brochures  Hotel - Planhotel Hospitality group  in the Indian Ocean</t>
  </si>
  <si>
    <t xml:space="preserve">output/pages/013_sandies-bathala/events__planhotel.com__brochures.md</t>
  </si>
  <si>
    <t xml:space="preserve">https://www.cenizaro.com/theresidence/maldives-fm/offers/best-of-the-best</t>
  </si>
  <si>
    <t xml:space="preserve">Maldives Offers | Best of the Best | The Residence Maldives</t>
  </si>
  <si>
    <t xml:space="preserve">output/pages/019_the-residence-maldives/diving__cenizaro.com__theresidence-maldives-fm-offers-best-of-the-best.md</t>
  </si>
  <si>
    <t xml:space="preserve">https://www.cenizaro.com/theresidence/maldives-dg/destination/discover</t>
  </si>
  <si>
    <t xml:space="preserve">Maldives Sightseeing l The Residence Maldives Dhigurah</t>
  </si>
  <si>
    <t xml:space="preserve">output/pages/020_the-residence-maldives-at-dhigurah/diving__cenizaro.com__theresidence-maldives-dg-destination-discover.md</t>
  </si>
  <si>
    <t xml:space="preserve">https://www.cenizaro.com/theresidence/maldives-fm/experiences/bottom-line-fishing</t>
  </si>
  <si>
    <t xml:space="preserve">Deep Sea Fishing in Maldives | The Residence Maldives</t>
  </si>
  <si>
    <t xml:space="preserve">output/pages/019_the-residence-maldives/diving__cenizaro.com__theresidence-maldives-fm-experiences-bottom-line-fishing.md</t>
  </si>
  <si>
    <t xml:space="preserve">https://www.cenizaro.com/theresidence/maldives-dg/contact</t>
  </si>
  <si>
    <t xml:space="preserve">Maldives Five Star Resort | The Residence Dhigurah Contact</t>
  </si>
  <si>
    <t xml:space="preserve">output/pages/020_the-residence-maldives-at-dhigurah/diving__cenizaro.com__theresidence-maldives-dg-contact.md</t>
  </si>
  <si>
    <t xml:space="preserve">https://www.cenizaro.com/theresidence/maldives-fm/offers/renewal-retreats</t>
  </si>
  <si>
    <t xml:space="preserve">output/pages/019_the-residence-maldives/wedding__cenizaro.com__theresidence-maldives-fm-offers-renewal-retreats.md</t>
  </si>
  <si>
    <t xml:space="preserve">https://www.planhotel.com/group-hotels/sandies-hotels-and-resorts/sandies-bathala-maldives/</t>
  </si>
  <si>
    <t xml:space="preserve">Sandies Hotels and Resorts - Sandies Bathala Maldives  Hotel - Planhotel Hospitality group  in the Indian Ocean</t>
  </si>
  <si>
    <t xml:space="preserve">output/pages/013_sandies-bathala/events__planhotel.com__group-hotels-sandies-hotels-and-resorts-sandies-bathala-mald.md</t>
  </si>
  <si>
    <t xml:space="preserve">https://www.planhotel.com/travel-professional/weddings-ceremonies/diamonds-athuruga-beach/</t>
  </si>
  <si>
    <t xml:space="preserve">Weddings &amp; Ceremonies - Diamonds Athuruga Beach  Hotel - Planhotel Hospitality group  in the Indian Ocean</t>
  </si>
  <si>
    <t xml:space="preserve">output/pages/013_sandies-bathala/wedding__planhotel.com__travel-professional-weddings-ceremonies-diamonds-athuruga-be.md</t>
  </si>
  <si>
    <t xml:space="preserve">https://www.cenizaro.com/theresidence/maldives-fm/experiences/dhoni-and-dolphins</t>
  </si>
  <si>
    <t xml:space="preserve">Dolphin Watching Maldives | The Residence Maldives</t>
  </si>
  <si>
    <t xml:space="preserve">output/pages/019_the-residence-maldives/diving__cenizaro.com__theresidence-maldives-fm-experiences-dhoni-and-dolphins.md</t>
  </si>
  <si>
    <t xml:space="preserve">https://www.cenizaro.com/theresidence/maldives-dg/events-meetings/weddings-events</t>
  </si>
  <si>
    <t xml:space="preserve">Wedding Venues Maldives l The Residence Dhigurah | Weddings</t>
  </si>
  <si>
    <t xml:space="preserve">output/pages/020_the-residence-maldives-at-dhigurah/wedding__cenizaro.com__theresidence-maldives-dg-events-meetings-weddings-events.md</t>
  </si>
  <si>
    <t xml:space="preserve">https://www.cenizaro.com/theresidence/maldives-fm/destination/travel-tips</t>
  </si>
  <si>
    <t xml:space="preserve">Travel Tips for Maldives | The Residence Maldives</t>
  </si>
  <si>
    <t xml:space="preserve">output/pages/019_the-residence-maldives/diving__cenizaro.com__theresidence-maldives-fm-destination-travel-tips.md</t>
  </si>
  <si>
    <t xml:space="preserve">https://www.planhotel.com/de/professionelle-loesungen/meetings-und-incentives/</t>
  </si>
  <si>
    <t xml:space="preserve">Professionelle Lösungen - Meetings und Incentives Hotel -  Planhotel Hospitality group der Indischen Ozean</t>
  </si>
  <si>
    <t xml:space="preserve">output/pages/013_sandies-bathala/events__planhotel.com__de-professionelle-loesungen-meetings-und-incentives.md</t>
  </si>
  <si>
    <t xml:space="preserve">https://www.cenizaro.com/theresidence/maldives-dg/events-meetings/catering</t>
  </si>
  <si>
    <t xml:space="preserve">Catering Services in Maldives l The Residence Dhigurah</t>
  </si>
  <si>
    <t xml:space="preserve">output/pages/020_the-residence-maldives-at-dhigurah/events__cenizaro.com__theresidence-maldives-dg-events-meetings-catering.md</t>
  </si>
  <si>
    <t xml:space="preserve">https://www.cenizaro.com/theresidence/maldives-fm/contact</t>
  </si>
  <si>
    <t xml:space="preserve">Maldives Five Star Resorts | The Residence Maldives Contact</t>
  </si>
  <si>
    <t xml:space="preserve">output/pages/019_the-residence-maldives/diving__cenizaro.com__theresidence-maldives-fm-contact.md</t>
  </si>
  <si>
    <t xml:space="preserve">https://www.planhotel.com/travel-professional/meeting-incentive/diamonds-leisure-beach-golf-resort/</t>
  </si>
  <si>
    <t xml:space="preserve">Meeting &amp; Incentive - Diamonds Leisure Beach &amp; Golf Resort  Hotel - Planhotel Hospitality group  in the Indian Ocean</t>
  </si>
  <si>
    <t xml:space="preserve">output/pages/013_sandies-bathala/events__planhotel.com__travel-professional-meeting-incentive-diamonds-leisure-beach.md</t>
  </si>
  <si>
    <t xml:space="preserve">https://www.cenizaro.com/theresidence/maldives-dg/accommodation/sunrise-sunset-water-pool-villa</t>
  </si>
  <si>
    <t xml:space="preserve">Luxury Water Villa Maldives l One Bedroom Water Pool Villa</t>
  </si>
  <si>
    <t xml:space="preserve">https://www.cenizaro.com/theresidence/maldives-fm/accommodation</t>
  </si>
  <si>
    <t xml:space="preserve">Maldives 5 Star Resorts | The Residence Maldives | Villas</t>
  </si>
  <si>
    <t xml:space="preserve">output/pages/019_the-residence-maldives/diving__cenizaro.com__theresidence-maldives-fm-accommodation.md</t>
  </si>
  <si>
    <t xml:space="preserve">https://www.cenizaro.com/theresidence/maldives-dg/destination/itineraries</t>
  </si>
  <si>
    <t xml:space="preserve">Maldives Resort Activities l The Residence Maldives Dhigurah</t>
  </si>
  <si>
    <t xml:space="preserve">output/pages/020_the-residence-maldives-at-dhigurah/diving__cenizaro.com__theresidence-maldives-dg-destination-itineraries.md</t>
  </si>
  <si>
    <t xml:space="preserve">https://www.cenizaro.com/theresidence/maldives-fm/accommodation/room-amenities</t>
  </si>
  <si>
    <t xml:space="preserve">Maldives Beach Front Villas | The Residence Maldives</t>
  </si>
  <si>
    <t xml:space="preserve">output/pages/019_the-residence-maldives/diving__cenizaro.com__theresidence-maldives-fm-accommodation-room-amenities.md</t>
  </si>
  <si>
    <t xml:space="preserve">https://www.planhotel.com/faq/</t>
  </si>
  <si>
    <t xml:space="preserve">Faq  Hotel - Planhotel Hospitality group  in the Indian Ocean</t>
  </si>
  <si>
    <t xml:space="preserve">output/pages/013_sandies-bathala/events__planhotel.com__faq.md</t>
  </si>
  <si>
    <t xml:space="preserve">https://www.planhotel.com/media-centre/</t>
  </si>
  <si>
    <t xml:space="preserve">Media Centre  Hotel - Planhotel Hospitality group  in the Indian Ocean</t>
  </si>
  <si>
    <t xml:space="preserve">output/pages/013_sandies-bathala/events__planhotel.com__media-centre.md</t>
  </si>
  <si>
    <t xml:space="preserve">https://www.cenizaro.com/theresidence/maldives-dg/spa-wellness/yoga</t>
  </si>
  <si>
    <t xml:space="preserve">Maldives Yoga Retreat l Yoga at The Residence Dhigurah</t>
  </si>
  <si>
    <t xml:space="preserve">output/pages/020_the-residence-maldives-at-dhigurah/dining__cenizaro.com__theresidence-maldives-dg-spa-wellness-yoga.md</t>
  </si>
  <si>
    <t xml:space="preserve">https://www.cenizaro.com/theresidence/maldives-fm/dining/librarybar</t>
  </si>
  <si>
    <t xml:space="preserve">Maldives Resort Bars | The Residence Maldives | Library Bar</t>
  </si>
  <si>
    <t xml:space="preserve">output/pages/019_the-residence-maldives/dining__cenizaro.com__theresidence-maldives-fm-dining-librarybar.md</t>
  </si>
  <si>
    <t xml:space="preserve">https://www.cenizaro.com/theresidence/maldives-dg/accommodation/sunrise-sunset-deluxe-beach-pool-villa</t>
  </si>
  <si>
    <t xml:space="preserve">Maldives Luxury Villas l Sunrise Deluxe Beach Pool Villa</t>
  </si>
  <si>
    <t xml:space="preserve">output/pages/020_the-residence-maldives-at-dhigurah/diving__cenizaro.com__theresidence-maldives-dg-accommodation-sunrise-sunset-deluxe.md</t>
  </si>
  <si>
    <t xml:space="preserve">https://www.planhotel.com/travel-professional/weddings-ceremonies/diamonds-dream-africa/</t>
  </si>
  <si>
    <t xml:space="preserve">Weddings &amp; Ceremonies - Diamonds Dream of Africa  Hotel - Planhotel Hospitality group  in the Indian Ocean</t>
  </si>
  <si>
    <t xml:space="preserve">output/pages/013_sandies-bathala/wedding__planhotel.com__travel-professional-weddings-ceremonies-diamonds-dream-afric.md</t>
  </si>
  <si>
    <t xml:space="preserve">https://www.cenizaro.com/theresidence/maldives-fm/about/facilities</t>
  </si>
  <si>
    <t xml:space="preserve">Top Resorts in Maldives | The Residence Maldives Facilities</t>
  </si>
  <si>
    <t xml:space="preserve">output/pages/019_the-residence-maldives/diving__cenizaro.com__theresidence-maldives-fm-about-facilities.md</t>
  </si>
  <si>
    <t xml:space="preserve">https://www.cenizaro.com/theresidence/maldives-dg/accommodation/room-amenities</t>
  </si>
  <si>
    <t xml:space="preserve">Best Beach Villas in Maldives l Room Amenities</t>
  </si>
  <si>
    <t xml:space="preserve">output/pages/020_the-residence-maldives-at-dhigurah/diving__cenizaro.com__theresidence-maldives-dg-accommodation-room-amenities.md</t>
  </si>
  <si>
    <t xml:space="preserve">https://www.cenizaro.com/theresidence/maldives-fm/events-meetings/catering</t>
  </si>
  <si>
    <t xml:space="preserve">Catering in Maldives | The Residence Maldives | Catering</t>
  </si>
  <si>
    <t xml:space="preserve">output/pages/019_the-residence-maldives/events__cenizaro.com__theresidence-maldives-fm-events-meetings-catering.md</t>
  </si>
  <si>
    <t xml:space="preserve">https://www.planhotel.com/de/unsere-hotels-resorts/sandies-hotels-resorts/sandies-baobab-zanzibar/</t>
  </si>
  <si>
    <t xml:space="preserve">Sandies Hotels and Resorts - Sandies Baobab Beach Zanzibar Hotel -  Planhotel Hospitality group der Indischen Ozean</t>
  </si>
  <si>
    <t xml:space="preserve">output/pages/013_sandies-bathala/events__planhotel.com__de-unsere-hotels-resorts-sandies-hotels-resorts-sandies-baob.md</t>
  </si>
  <si>
    <t xml:space="preserve">https://www.cenizaro.com/theresidence/maldives-dg/dining/li-bai</t>
  </si>
  <si>
    <t xml:space="preserve">Chinese Food in Maldives l Li Bai l The Residence Dhigurah</t>
  </si>
  <si>
    <t xml:space="preserve">output/pages/020_the-residence-maldives-at-dhigurah/dining__cenizaro.com__theresidence-maldives-dg-dining-li-bai.md</t>
  </si>
  <si>
    <t xml:space="preserve">https://www.planhotel.com/it/travel-professional-it/matrimoni-cerimonie/sandies-tropical-village/</t>
  </si>
  <si>
    <t xml:space="preserve">Matrimoni &amp; Cerimonie - Sandies Tropical Village Hotel  - Planhotel Hospitality group  nell' Oceano Indiano</t>
  </si>
  <si>
    <t xml:space="preserve">output/pages/013_sandies-bathala/events__planhotel.com__it-travel-professional-it-matrimoni-cerimonie-sandies-tropic.md</t>
  </si>
  <si>
    <t xml:space="preserve">https://www.cenizaro.com/theresidence/maldives-fm/events-meetings/weddings-events</t>
  </si>
  <si>
    <t xml:space="preserve">Maldives Wedding Venues | Weddings &amp; Events | The Residence Maldives</t>
  </si>
  <si>
    <t xml:space="preserve">output/pages/019_the-residence-maldives/wedding__cenizaro.com__theresidence-maldives-fm-events-meetings-weddings-events.md</t>
  </si>
  <si>
    <t xml:space="preserve">https://www.cenizaro.com/theresidence/maldives-dg/experiences/dhoni-and-dolphins</t>
  </si>
  <si>
    <t xml:space="preserve">Maldives Dolphin Watching | The Residence Maldives Dhigurah</t>
  </si>
  <si>
    <t xml:space="preserve">output/pages/020_the-residence-maldives-at-dhigurah/diving__cenizaro.com__theresidence-maldives-dg-experiences-dhoni-and-dolphins.md</t>
  </si>
  <si>
    <t xml:space="preserve">https://www.planhotel.com/fr/nos-hotels-resorts/hotel-italia-cortona/</t>
  </si>
  <si>
    <t xml:space="preserve">Nos Hôtels &amp; Resorts - Hôtel Italia Cortona Hotel  -  Planhotel Hospitality group dans l'Océan Indien</t>
  </si>
  <si>
    <t xml:space="preserve">output/pages/013_sandies-bathala/events__planhotel.com__fr-nos-hotels-resorts-hotel-italia-cortona.md</t>
  </si>
  <si>
    <t xml:space="preserve">https://www.cenizaro.com/theresidence/maldives-fm/dining/private-dining</t>
  </si>
  <si>
    <t xml:space="preserve">Private Dining Maldives | The Residence Maldives</t>
  </si>
  <si>
    <t xml:space="preserve">output/pages/019_the-residence-maldives/dining__cenizaro.com__theresidence-maldives-fm-dining-private-dining.md</t>
  </si>
  <si>
    <t xml:space="preserve">https://www.cenizaro.com/theresidence/maldives-dg/offers</t>
  </si>
  <si>
    <t xml:space="preserve">Maldives Hotel Deals l The Residence Dhigurah Special Offers</t>
  </si>
  <si>
    <t xml:space="preserve">output/pages/020_the-residence-maldives-at-dhigurah/diving__cenizaro.com__theresidence-maldives-dg-offers.md</t>
  </si>
  <si>
    <t xml:space="preserve">https://www.cenizaro.com/theresidence/maldives-fm/dining/the-falhumaa</t>
  </si>
  <si>
    <t xml:space="preserve">Fine Dining Maldives | The Falhumaa | The Residence Maldives</t>
  </si>
  <si>
    <t xml:space="preserve">output/pages/019_the-residence-maldives/dining__cenizaro.com__theresidence-maldives-fm-dining-the-falhumaa.md</t>
  </si>
  <si>
    <t xml:space="preserve">https://www.planhotel.com/fr/nos-hotels-resorts/sandies-hotels-resorts/</t>
  </si>
  <si>
    <t xml:space="preserve">Nos Hôtels &amp; Resorts - Sandies Hotels and Resorts Hotel  -  Planhotel Hospitality group dans l'Océan Indien</t>
  </si>
  <si>
    <t xml:space="preserve">output/pages/013_sandies-bathala/events__planhotel.com__fr-nos-hotels-resorts-sandies-hotels-resorts.md</t>
  </si>
  <si>
    <t xml:space="preserve">https://www.cenizaro.com/theresidence/maldives-dg/destination</t>
  </si>
  <si>
    <t xml:space="preserve">Maldives Attractions l The Residence Dhigurah | Destination</t>
  </si>
  <si>
    <t xml:space="preserve">output/pages/020_the-residence-maldives-at-dhigurah/diving__cenizaro.com__theresidence-maldives-dg-destination.md</t>
  </si>
  <si>
    <t xml:space="preserve">https://www.planhotel.com/sustainability/beach-cleaning-days/</t>
  </si>
  <si>
    <t xml:space="preserve">SUSTAINABILITY - BEACH CLEANING DAYS  Hotel - Planhotel Hospitality group  in the Indian Ocean</t>
  </si>
  <si>
    <t xml:space="preserve">output/pages/013_sandies-bathala/events__planhotel.com__sustainability-beach-cleaning-days.md</t>
  </si>
  <si>
    <t xml:space="preserve">https://www.planhotel.com/fr/solutions-professionnelles/meeting-incentive/</t>
  </si>
  <si>
    <t xml:space="preserve">Solutions Professionnelles - Meeting &amp; Incentive Hotel  -  Planhotel Hospitality group dans l'Océan Indien</t>
  </si>
  <si>
    <t xml:space="preserve">output/pages/013_sandies-bathala/events__planhotel.com__fr-solutions-professionnelles-meeting-incentive.md</t>
  </si>
  <si>
    <t xml:space="preserve">https://www.cenizaro.com/theresidence/maldives-fm/accommodation/water-water-pool-villas</t>
  </si>
  <si>
    <t xml:space="preserve">Maldives Villa with Pool | One Bedroom Water Pool Villa</t>
  </si>
  <si>
    <t xml:space="preserve">output/pages/019_the-residence-maldives/diving__cenizaro.com__theresidence-maldives-fm-accommodation-water-water-pool-vill.md</t>
  </si>
  <si>
    <t xml:space="preserve">https://www.cenizaro.com/theresidence/maldives-dg/dining/the-dining-room</t>
  </si>
  <si>
    <t xml:space="preserve">Restaurant Maldives l The Residence Dhigurah Dining Room</t>
  </si>
  <si>
    <t xml:space="preserve">output/pages/020_the-residence-maldives-at-dhigurah/dining__cenizaro.com__theresidence-maldives-dg-dining-the-dining-room.md</t>
  </si>
  <si>
    <t xml:space="preserve">https://www.cenizaro.com/theresidence/maldives-fm/destination/location</t>
  </si>
  <si>
    <t xml:space="preserve">Five Star Maldives Resorts | The Residence Maldives Location</t>
  </si>
  <si>
    <t xml:space="preserve">output/pages/019_the-residence-maldives/diving__cenizaro.com__theresidence-maldives-fm-destination-location.md</t>
  </si>
  <si>
    <t xml:space="preserve">https://www.cenizaro.com/theresidence/maldives-dg/spa-wellness/wellness-retreat</t>
  </si>
  <si>
    <t xml:space="preserve">Wellness Packages Maldives l The Residence Dhigurah</t>
  </si>
  <si>
    <t xml:space="preserve">output/pages/020_the-residence-maldives-at-dhigurah/dining__cenizaro.com__theresidence-maldives-dg-spa-wellness-wellness-retreat.md</t>
  </si>
  <si>
    <t xml:space="preserve">https://www.planhotel.com/de/umweltvertraeglichkeit/the-big-build-maldives-de/</t>
  </si>
  <si>
    <t xml:space="preserve">Nachhatigkeit - THE BIG BUILD MALDIVES Hotel -  Planhotel Hospitality group der Indischen Ozean</t>
  </si>
  <si>
    <t xml:space="preserve">output/pages/013_sandies-bathala/events__planhotel.com__de-umweltvertraeglichkeit-the-big-build-maldives-de.md</t>
  </si>
  <si>
    <t xml:space="preserve">https://www.cenizaro.com/theresidence/maldives-dg/experiences/dive-the-deep-blue</t>
  </si>
  <si>
    <t xml:space="preserve">Maldives Scuba Diving Resorts | The Residence Dhigurah</t>
  </si>
  <si>
    <t xml:space="preserve">output/pages/020_the-residence-maldives-at-dhigurah/diving__cenizaro.com__theresidence-maldives-dg-experiences-dive-the-deep-blue.md</t>
  </si>
  <si>
    <t xml:space="preserve">https://www.planhotel.com/de/unsere-hotels-resorts/hotel-italia-cortona/</t>
  </si>
  <si>
    <t xml:space="preserve">Unsere Hotels &amp; Resorts - Hotel Italia Cortona Hotel -  Planhotel Hospitality group der Indischen Ozean</t>
  </si>
  <si>
    <t xml:space="preserve">output/pages/013_sandies-bathala/events__planhotel.com__de-unsere-hotels-resorts-hotel-italia-cortona.md</t>
  </si>
  <si>
    <t xml:space="preserve">https://www.planhotel.com/sustainability/mahre-marine-labs/</t>
  </si>
  <si>
    <t xml:space="preserve">SUSTAINABILITY - MaRHE MARINE LABS  Hotel - Planhotel Hospitality group  in the Indian Ocean</t>
  </si>
  <si>
    <t xml:space="preserve">output/pages/013_sandies-bathala/events__planhotel.com__sustainability-mahre-marine-labs.md</t>
  </si>
  <si>
    <t xml:space="preserve">https://www.cenizaro.com/theresidence/maldives-dg/sustainability</t>
  </si>
  <si>
    <t xml:space="preserve">The Residence Maldives | Sustainability</t>
  </si>
  <si>
    <t xml:space="preserve">output/pages/020_the-residence-maldives-at-dhigurah/diving__cenizaro.com__theresidence-maldives-dg-sustainability.md</t>
  </si>
  <si>
    <t xml:space="preserve">https://www.planhotel.com/it/i-nostri-hotels-resorts/hotel-italia-cortona/</t>
  </si>
  <si>
    <t xml:space="preserve">I Nostri Hotels &amp; Resorts - Hotel Italia Cortona Hotel  - Planhotel Hospitality group  nell' Oceano Indiano</t>
  </si>
  <si>
    <t xml:space="preserve">output/pages/013_sandies-bathala/events__planhotel.com__it-i-nostri-hotels-resorts-hotel-italia-cortona.md</t>
  </si>
  <si>
    <t xml:space="preserve">https://www.planhotel.com/it/i-nostri-hotels-resorts/diamonds-hotels-and-resorts/diamonds-leisure-beach-golf-resort/</t>
  </si>
  <si>
    <t xml:space="preserve">Diamonds Hotels and Resorts - DIAMONDS LEISURE BEACH &amp; GOLF RESORT Hotel  - Planhotel Hospitality group  nell' Oceano In</t>
  </si>
  <si>
    <t xml:space="preserve">https://www.planhotel.com/press-awards/</t>
  </si>
  <si>
    <t xml:space="preserve">Press Area  Hotel - Planhotel Hospitality group  in the Indian Ocean</t>
  </si>
  <si>
    <t xml:space="preserve">output/pages/013_sandies-bathala/events__planhotel.com__press-awards.md</t>
  </si>
  <si>
    <t xml:space="preserve">https://www.planhotel.com/fr/impressum/</t>
  </si>
  <si>
    <t xml:space="preserve">Impressum Hotel  -  Planhotel Hospitality group dans l'Océan Indien</t>
  </si>
  <si>
    <t xml:space="preserve">output/pages/013_sandies-bathala/events__planhotel.com__fr-impressum.md</t>
  </si>
  <si>
    <t xml:space="preserve">https://www.planhotel.com/dstv/</t>
  </si>
  <si>
    <t xml:space="preserve">DSTV  Hotel - Planhotel Hospitality group  in the Indian Ocean</t>
  </si>
  <si>
    <t xml:space="preserve">output/pages/013_sandies-bathala/events__planhotel.com__dstv.md</t>
  </si>
  <si>
    <t xml:space="preserve">https://www.planhotel.com/travel-professional/weddings-ceremonies/diamonds-mapenzi-beach/</t>
  </si>
  <si>
    <t xml:space="preserve">Weddings &amp; Ceremonies - Diamonds Mapenzi Beach  Hotel - Planhotel Hospitality group  in the Indian Ocean</t>
  </si>
  <si>
    <t xml:space="preserve">output/pages/013_sandies-bathala/wedding__planhotel.com__travel-professional-weddings-ceremonies-diamonds-mapenzi-bea.md</t>
  </si>
  <si>
    <t xml:space="preserve">https://www.planhotel.com/de/professionelle-loesungen/flitterwochen-und-jubilaen/diamonds-mapenzi-beach/</t>
  </si>
  <si>
    <t xml:space="preserve">Flitterwochen und Jubilaen - Diamonds Mapenzi Beach Hotel -  Planhotel Hospitality group der Indischen Ozean</t>
  </si>
  <si>
    <t xml:space="preserve">output/pages/013_sandies-bathala/events__planhotel.com__de-professionelle-loesungen-flitterwochen-und-jubilaen-diamo.md</t>
  </si>
  <si>
    <t xml:space="preserve">https://www.planhotel.com/it/travel-professional-it/meeting-incentive/diamonds-dream-africa/</t>
  </si>
  <si>
    <t xml:space="preserve">Meeting &amp; Incentive - Diamonds Dream of Africa Hotel  - Planhotel Hospitality group  nell' Oceano Indiano</t>
  </si>
  <si>
    <t xml:space="preserve">output/pages/013_sandies-bathala/events__planhotel.com__it-travel-professional-it-meeting-incentive-diamonds-dream-a.md</t>
  </si>
  <si>
    <t xml:space="preserve">https://www.planhotel.com/it/travel-professional-it/meeting-incentive/</t>
  </si>
  <si>
    <t xml:space="preserve">Soluzioni Professionali - Meeting &amp; Incentive Hotel  - Planhotel Hospitality group  nell' Oceano Indiano</t>
  </si>
  <si>
    <t xml:space="preserve">output/pages/013_sandies-bathala/events__planhotel.com__it-travel-professional-it-meeting-incentive.md</t>
  </si>
  <si>
    <t xml:space="preserve">https://www.planhotel.com/company/</t>
  </si>
  <si>
    <t xml:space="preserve">Company  Hotel - Planhotel Hospitality group  in the Indian Ocean</t>
  </si>
  <si>
    <t xml:space="preserve">output/pages/013_sandies-bathala/events__planhotel.com__company.md</t>
  </si>
  <si>
    <t xml:space="preserve">https://www.planhotel.com/fr/nos-hotels-resorts/</t>
  </si>
  <si>
    <t xml:space="preserve">Nos Hôtels &amp; Resorts Hotel  -  Planhotel Hospitality group dans l'Océan Indien</t>
  </si>
  <si>
    <t xml:space="preserve">output/pages/013_sandies-bathala/events__planhotel.com__fr-nos-hotels-resorts.md</t>
  </si>
  <si>
    <t xml:space="preserve">https://www.planhotel.com/de/faq/</t>
  </si>
  <si>
    <t xml:space="preserve">Faq Hotel  -  Planhotel Hospitality group der Indischen Ozean</t>
  </si>
  <si>
    <t xml:space="preserve">output/pages/013_sandies-bathala/events__planhotel.com__de-faq.md</t>
  </si>
  <si>
    <t xml:space="preserve">https://www.planhotel.com/it/i-nostri-hotels-resorts/the-view-lugano/</t>
  </si>
  <si>
    <t xml:space="preserve">I Nostri Hotels &amp; Resorts - The View Lugano Hotel  - Planhotel Hospitality group  nell' Oceano Indiano</t>
  </si>
  <si>
    <t xml:space="preserve">output/pages/013_sandies-bathala/events__planhotel.com__it-i-nostri-hotels-resorts-the-view-lugano.md</t>
  </si>
  <si>
    <t xml:space="preserve">https://www.planhotel.com/fr/solutions-professionnelles/meeting-incentive/sandies-tropical-village/</t>
  </si>
  <si>
    <t xml:space="preserve">Meeting &amp; Incentive - Sandies Tropical Village Hotel  -  Planhotel Hospitality group dans l'Océan Indien</t>
  </si>
  <si>
    <t xml:space="preserve">output/pages/013_sandies-bathala/events__planhotel.com__fr-solutions-professionnelles-meeting-incentive-sandies-trop.md</t>
  </si>
  <si>
    <t xml:space="preserve">https://www.planhotel.com/sustainability/investing-in-our-people/</t>
  </si>
  <si>
    <t xml:space="preserve">SUSTAINABILITY - INVESTING IN OUR PEOPLE  Hotel - Planhotel Hospitality group  in the Indian Ocean</t>
  </si>
  <si>
    <t xml:space="preserve">output/pages/013_sandies-bathala/events__planhotel.com__sustainability-investing-in-our-people.md</t>
  </si>
  <si>
    <t xml:space="preserve">https://www.planhotel.com/travel-professional/weddings-ceremonies/sandies-tropical-village/</t>
  </si>
  <si>
    <t xml:space="preserve">Weddings &amp; Ceremonies - Sandies Tropical Village  Hotel - Planhotel Hospitality group  in the Indian Ocean</t>
  </si>
  <si>
    <t xml:space="preserve">output/pages/013_sandies-bathala/wedding__planhotel.com__travel-professional-weddings-ceremonies-sandies-tropical-vil.md</t>
  </si>
  <si>
    <t xml:space="preserve">https://www.planhotel.com/privacy/</t>
  </si>
  <si>
    <t xml:space="preserve">Privacy  Hotel - Planhotel Hospitality group  in the Indian Ocean</t>
  </si>
  <si>
    <t xml:space="preserve">output/pages/013_sandies-bathala/events__planhotel.com__privacy.md</t>
  </si>
  <si>
    <t xml:space="preserve">https://www.planhotel.com/it/press-area/</t>
  </si>
  <si>
    <t xml:space="preserve">Press Area Hotel   - Planhotel Hospitality group  nell' Oceano Indiano</t>
  </si>
  <si>
    <t xml:space="preserve">output/pages/013_sandies-bathala/events__planhotel.com__it-press-area.md</t>
  </si>
  <si>
    <t xml:space="preserve">https://www.planhotel.com/travel-professional/honeymoons-anniversaries/diamonds-mequfi-beach/</t>
  </si>
  <si>
    <t xml:space="preserve">Honeymoons &amp; Anniversaries - Diamonds Mequfi Beach  Hotel - Planhotel Hospitality group  in the Indian Ocean</t>
  </si>
  <si>
    <t xml:space="preserve">output/pages/013_sandies-bathala/wedding__planhotel.com__travel-professional-honeymoons-anniversaries-diamonds-mequfi.md</t>
  </si>
  <si>
    <t xml:space="preserve">https://www.planhotel.com/fr/nos-hotels-resorts/diamonds-hotels-resorts/diamonds-thudufushi/</t>
  </si>
  <si>
    <t xml:space="preserve">Diamonds Hotels and Resorts - DIAMONDS THUDUFUSHI Hotel  -  Planhotel Hospitality group dans l'Océan Indien</t>
  </si>
  <si>
    <t xml:space="preserve">output/pages/013_sandies-bathala/events__planhotel.com__fr-nos-hotels-resorts-diamonds-hotels-resorts-diamonds-thudu.md</t>
  </si>
  <si>
    <t xml:space="preserve">https://www.planhotel.com/group-hotels/diamonds-hotels-and-resorts/diamonds-athuruga/</t>
  </si>
  <si>
    <t xml:space="preserve">Diamonds Hotels and Resorts - DIAMONDS ATHURUGA  Hotel - Planhotel Hospitality group  in the Indian Ocean</t>
  </si>
  <si>
    <t xml:space="preserve">output/pages/013_sandies-bathala/events__planhotel.com__group-hotels-diamonds-hotels-and-resorts-diamonds-athuruga.md</t>
  </si>
  <si>
    <t xml:space="preserve">https://www.planhotel.com/it/i-nostri-hotels-resorts/diamonds-hotels-and-resorts/diamonds-malindi/</t>
  </si>
  <si>
    <t xml:space="preserve">Diamonds Hotels and Resorts - DIAMONDS MALINDI Hotel  - Planhotel Hospitality group  nell' Oceano Indiano</t>
  </si>
  <si>
    <t xml:space="preserve">https://canareef.com/</t>
  </si>
  <si>
    <t xml:space="preserve">Best Resorts in Maldives | Canareef Resort Maldives Official Site</t>
  </si>
  <si>
    <t xml:space="preserve">output/pages/024_canareef-resort-maldives/diving__canareef.com__home.md</t>
  </si>
  <si>
    <t xml:space="preserve">https://canareef.com/offer-2025-locals-work-permit-holders/</t>
  </si>
  <si>
    <t xml:space="preserve">Canareef Resort Maldives Local Deal</t>
  </si>
  <si>
    <t xml:space="preserve">output/pages/024_canareef-resort-maldives/diving__canareef.com__offer-2025-locals-work-permit-holders.md</t>
  </si>
  <si>
    <t xml:space="preserve">https://canareef.com/maldives-world-bodybuilding-championships-canareef-resort-2024/</t>
  </si>
  <si>
    <t xml:space="preserve">Maldives Hosts 15th World Bodybuilding Championships at Canareef Resort</t>
  </si>
  <si>
    <t xml:space="preserve">output/pages/024_canareef-resort-maldives/diving__canareef.com__maldives-world-bodybuilding-championships-canareef-resort-20.md</t>
  </si>
  <si>
    <t xml:space="preserve">https://canareef.com/transfer/</t>
  </si>
  <si>
    <t xml:space="preserve">Speedboat Transfer Maldives | Canareef Maldives Transfer</t>
  </si>
  <si>
    <t xml:space="preserve">output/pages/024_canareef-resort-maldives/diving__canareef.com__transfer.md</t>
  </si>
  <si>
    <t xml:space="preserve">https://canareef.com/largest-chinese-group-arrival-jan-2024/</t>
  </si>
  <si>
    <t xml:space="preserve">Canareef Resort Welcomes Largest-Ever Chinese Group to Addu Atoll</t>
  </si>
  <si>
    <t xml:space="preserve">output/pages/024_canareef-resort-maldives/events__canareef.com__largest-chinese-group-arrival-jan-2024.md</t>
  </si>
  <si>
    <t xml:space="preserve">https://canareef.com/terms-conditions/</t>
  </si>
  <si>
    <t xml:space="preserve">Terms &amp; Conditions - Canareef</t>
  </si>
  <si>
    <t xml:space="preserve">output/pages/024_canareef-resort-maldives/other__canareef.com__terms-conditions.md</t>
  </si>
  <si>
    <t xml:space="preserve">https://canareef.com/canareef-maldives-world-travel-awards-2026/</t>
  </si>
  <si>
    <t xml:space="preserve">Canareef Maldives Nominated for World Travel Awards</t>
  </si>
  <si>
    <t xml:space="preserve">output/pages/024_canareef-resort-maldives/diving__canareef.com__canareef-maldives-world-travel-awards-2026.md</t>
  </si>
  <si>
    <t xml:space="preserve">https://canareef.com/canareef-resort-maldives-appoints-brenda-prosper-as-new-human-resources-manager/</t>
  </si>
  <si>
    <t xml:space="preserve">Canareef Resort Maldives Appoints Brenda Prosper as New Human Resources Manager - Canareef</t>
  </si>
  <si>
    <t xml:space="preserve">output/pages/024_canareef-resort-maldives/diving__canareef.com__canareef-resort-maldives-appoints-brenda-prosper-as-new-huma.md</t>
  </si>
  <si>
    <t xml:space="preserve">https://canareef.com/canareef-resort-maldives-receives-recommended-on-holidaycheck-award-for-2024/</t>
  </si>
  <si>
    <t xml:space="preserve">Canareef Resort Maldives Receives "Recommended on HolidayCheck" Award for 2024 - Canareef</t>
  </si>
  <si>
    <t xml:space="preserve">output/pages/024_canareef-resort-maldives/diving__canareef.com__canareef-resort-maldives-receives-recommended-on-holidaychec.md</t>
  </si>
  <si>
    <t xml:space="preserve">https://canareef.com/keymaa-restaurant/</t>
  </si>
  <si>
    <t xml:space="preserve">Best Buffet Maldives | Canareef Maldives | Keymaa Restaurant</t>
  </si>
  <si>
    <t xml:space="preserve">output/pages/024_canareef-resort-maldives/dining__canareef.com__keymaa-restaurant.md</t>
  </si>
  <si>
    <t xml:space="preserve">https://canareef.com/canareef-maldives-redefining-family-holidays/</t>
  </si>
  <si>
    <t xml:space="preserve">Canareef Maldives: Family Island Holidays</t>
  </si>
  <si>
    <t xml:space="preserve">output/pages/024_canareef-resort-maldives/diving__canareef.com__canareef-maldives-redefining-family-holidays.md</t>
  </si>
  <si>
    <t xml:space="preserve">https://canareef.com/all-inclusive-package/</t>
  </si>
  <si>
    <t xml:space="preserve">Best Maldives All Inclusive Packages | Canareef Resort Maldives</t>
  </si>
  <si>
    <t xml:space="preserve">output/pages/024_canareef-resort-maldives/diving__canareef.com__all-inclusive-package.md</t>
  </si>
  <si>
    <t xml:space="preserve">https://canareef.com/occasions/</t>
  </si>
  <si>
    <t xml:space="preserve">Romantic Maldives Resorts | Canareef Resort | Occasions</t>
  </si>
  <si>
    <t xml:space="preserve">output/pages/024_canareef-resort-maldives/diving__canareef.com__occasions.md</t>
  </si>
  <si>
    <t xml:space="preserve">https://canareef.com/canareef-resort-maldives-receives-prestigious-schauinsland-reisen-awards-2023/</t>
  </si>
  <si>
    <t xml:space="preserve">Canareef Resort Maldives Receives Prestigious Schauinsland Reisen Awards 2023 - Canareef</t>
  </si>
  <si>
    <t xml:space="preserve">output/pages/024_canareef-resort-maldives/diving__canareef.com__canareef-resort-maldives-receives-prestigious-schauinsland-r.md</t>
  </si>
  <si>
    <t xml:space="preserve">https://canareef.com/family-package/</t>
  </si>
  <si>
    <t xml:space="preserve">Family Package - Canareef</t>
  </si>
  <si>
    <t xml:space="preserve">output/pages/024_canareef-resort-maldives/kids__canareef.com__family-package.md</t>
  </si>
  <si>
    <t xml:space="preserve">https://canareef.com/repeater-offer-15-off/</t>
  </si>
  <si>
    <t xml:space="preserve">Repeater Offer 15% off - Canareef</t>
  </si>
  <si>
    <t xml:space="preserve">output/pages/024_canareef-resort-maldives/dining__canareef.com__repeater-offer-15-off.md</t>
  </si>
  <si>
    <t xml:space="preserve">https://canareef.com/leandra-worrell-carrington-joins-canareef-resort-maldives/</t>
  </si>
  <si>
    <t xml:space="preserve">Leandra Worrell Joins Canareef as Assistant Training Manager</t>
  </si>
  <si>
    <t xml:space="preserve">output/pages/024_canareef-resort-maldives/diving__canareef.com__leandra-worrell-carrington-joins-canareef-resort-maldives.md</t>
  </si>
  <si>
    <t xml:space="preserve">https://canareef.com/https-www-canareef-com-valentines-day-offers/</t>
  </si>
  <si>
    <t xml:space="preserve">Canareef Resort Maldives: Exclusive Valentine's Day Offers</t>
  </si>
  <si>
    <t xml:space="preserve">output/pages/024_canareef-resort-maldives/diving__canareef.com__https-www-canareef-com-valentines-day-offers.md</t>
  </si>
  <si>
    <t xml:space="preserve">https://canareef.com/gan-island-srilankan-airlines-educational-tour/</t>
  </si>
  <si>
    <t xml:space="preserve">SriLankan airline's Educational Tour at Canareef Maldives</t>
  </si>
  <si>
    <t xml:space="preserve">output/pages/024_canareef-resort-maldives/diving__canareef.com__gan-island-srilankan-airlines-educational-tour.md</t>
  </si>
  <si>
    <t xml:space="preserve">https://canareef.com/maldives-oktoberfest/</t>
  </si>
  <si>
    <t xml:space="preserve">Canareef Resort Maldives Gets Ready to Oktoberfest - Canareef</t>
  </si>
  <si>
    <t xml:space="preserve">output/pages/024_canareef-resort-maldives/diving__canareef.com__maldives-oktoberfest.md</t>
  </si>
  <si>
    <t xml:space="preserve">https://canareef.com/30-off-your-dream-getaway/</t>
  </si>
  <si>
    <t xml:space="preserve">30% Off Your Dream Getaway! - Canareef</t>
  </si>
  <si>
    <t xml:space="preserve">output/pages/024_canareef-resort-maldives/other__canareef.com__30-off-your-dream-getaway.md</t>
  </si>
  <si>
    <t xml:space="preserve">https://canareef.com/canareef-dolphin-dreams-maldives/</t>
  </si>
  <si>
    <t xml:space="preserve">Dolphin Dreams at Canareef Resort Maldives</t>
  </si>
  <si>
    <t xml:space="preserve">output/pages/024_canareef-resort-maldives/diving__canareef.com__canareef-dolphin-dreams-maldives.md</t>
  </si>
  <si>
    <t xml:space="preserve">https://canareef.com/festive-season/</t>
  </si>
  <si>
    <t xml:space="preserve">Festive Season at Maldives</t>
  </si>
  <si>
    <t xml:space="preserve">output/pages/024_canareef-resort-maldives/diving__canareef.com__festive-season.md</t>
  </si>
  <si>
    <t xml:space="preserve">https://canareef.com/dining/meera-bar/</t>
  </si>
  <si>
    <t xml:space="preserve">Beach Bar Maldives | Canareef Resort Maldives | Meera Bar</t>
  </si>
  <si>
    <t xml:space="preserve">output/pages/024_canareef-resort-maldives/dining__canareef.com__dining-meera-bar.md</t>
  </si>
  <si>
    <t xml:space="preserve">https://canareef.com/embrace-the-festive-season-at-canareef-resort-maldives/</t>
  </si>
  <si>
    <t xml:space="preserve">Embrace the Festive Season at Canareef Resort Maldives - Canareef</t>
  </si>
  <si>
    <t xml:space="preserve">output/pages/024_canareef-resort-maldives/diving__canareef.com__embrace-the-festive-season-at-canareef-resort-maldives.md</t>
  </si>
  <si>
    <t xml:space="preserve">https://canareef.com/guide-choosing-best-romantic-getaway-maldives/</t>
  </si>
  <si>
    <t xml:space="preserve">A Guide to Choosing the Best Getaway Resort in the Maldives for Honeymoon and Romance | Canareef</t>
  </si>
  <si>
    <t xml:space="preserve">output/pages/024_canareef-resort-maldives/wedding__canareef.com__guide-choosing-best-romantic-getaway-maldives.md</t>
  </si>
  <si>
    <t xml:space="preserve">https://www.centarahotelsresorts.com/centara/crf</t>
  </si>
  <si>
    <t xml:space="preserve">Discover Centara Ras Fushi Resort &amp; Spa Maldives</t>
  </si>
  <si>
    <t xml:space="preserve">output/pages/026_centara-ras-fushi-resort-spa/spa__centarahotelsresorts.com__centara-crf.md</t>
  </si>
  <si>
    <t xml:space="preserve">https://canareef.com/early-bird-offer/</t>
  </si>
  <si>
    <t xml:space="preserve">offers</t>
  </si>
  <si>
    <t xml:space="preserve">Early Bird Offer - Canareef</t>
  </si>
  <si>
    <t xml:space="preserve">output/pages/024_canareef-resort-maldives/offers__canareef.com__early-bird-offer.md</t>
  </si>
  <si>
    <t xml:space="preserve">https://www.centarahotelsresorts.com/centara/crf/centara-rasfushi-offer</t>
  </si>
  <si>
    <t xml:space="preserve">Ultimate Adults-Only Escape | Centara</t>
  </si>
  <si>
    <t xml:space="preserve">output/pages/026_centara-ras-fushi-resort-spa/offers__centarahotelsresorts.com__centara-crf-centara-rasfushi-offer.md</t>
  </si>
  <si>
    <t xml:space="preserve">https://canareef.com/careers/</t>
  </si>
  <si>
    <t xml:space="preserve">Careers | Canareef</t>
  </si>
  <si>
    <t xml:space="preserve">output/pages/024_canareef-resort-maldives/other__canareef.com__careers.md</t>
  </si>
  <si>
    <t xml:space="preserve">https://canareef.com/dining/beach-bar/</t>
  </si>
  <si>
    <t xml:space="preserve">Maldives Beach Bar | Canareef Resort Maldives | Beach Bar</t>
  </si>
  <si>
    <t xml:space="preserve">output/pages/024_canareef-resort-maldives/dining__canareef.com__dining-beach-bar.md</t>
  </si>
  <si>
    <t xml:space="preserve">https://canareef.com/blog/</t>
  </si>
  <si>
    <t xml:space="preserve">Things to Do in Maldives | Canareef Resort Maldives | Blog</t>
  </si>
  <si>
    <t xml:space="preserve">output/pages/024_canareef-resort-maldives/diving__canareef.com__blog.md</t>
  </si>
  <si>
    <t xml:space="preserve">https://canareef.com/canareef-resort-maldives-wins-tripadvisor-travellers-choice-award-2024/</t>
  </si>
  <si>
    <t xml:space="preserve">Canareef Resort Maldives Wins TripAdvisor Travellers’ Choice Award 2024 - Canareef</t>
  </si>
  <si>
    <t xml:space="preserve">output/pages/024_canareef-resort-maldives/diving__canareef.com__canareef-resort-maldives-wins-tripadvisor-travellers-choice-.md</t>
  </si>
  <si>
    <t xml:space="preserve">https://canareef.com/https-canareef-com-tripadvisor-travellers-choice-award-2025/</t>
  </si>
  <si>
    <t xml:space="preserve">Canareef Resort Maldives Wins Tripadvisor Travellers’ Choice Award 2025</t>
  </si>
  <si>
    <t xml:space="preserve">output/pages/024_canareef-resort-maldives/diving__canareef.com__https-canareef-com-tripadvisor-travellers-choice-award-2025.md</t>
  </si>
  <si>
    <t xml:space="preserve">https://canareef.com/canareef-resort-maldives-embraces-sustainable-energy-with-significant-solar-panel-installation/</t>
  </si>
  <si>
    <t xml:space="preserve">Canareef Resort Maldives Embraces Sustainable Energy with Significant Solar Panel Installation - Canareef</t>
  </si>
  <si>
    <t xml:space="preserve">output/pages/024_canareef-resort-maldives/diving__canareef.com__canareef-resort-maldives-embraces-sustainable-energy-with-si.md</t>
  </si>
  <si>
    <t xml:space="preserve">https://canareef.com/canareef-resort-srilankan-airlines-fam-tour/</t>
  </si>
  <si>
    <t xml:space="preserve">Canareef Resort Welcomes SriLankan Airlines Partner Agents</t>
  </si>
  <si>
    <t xml:space="preserve">output/pages/024_canareef-resort-maldives/overview__canareef.com__canareef-resort-srilankan-airlines-fam-tour.md</t>
  </si>
  <si>
    <t xml:space="preserve">https://canareef.com/maldives-weddings/</t>
  </si>
  <si>
    <t xml:space="preserve">Destination Wedding Maldives | Canareef | Maldives Weddings</t>
  </si>
  <si>
    <t xml:space="preserve">output/pages/024_canareef-resort-maldives/wedding__canareef.com__maldives-weddings.md</t>
  </si>
  <si>
    <t xml:space="preserve">https://canareef.com/canareef-resort-maldives-wins-medals-hotel-asia-2024/</t>
  </si>
  <si>
    <t xml:space="preserve">Canareef Resort Maldives Culinary Team Wins 17 Medals at Hotel Asia Exhibition 2024</t>
  </si>
  <si>
    <t xml:space="preserve">output/pages/024_canareef-resort-maldives/dining__canareef.com__canareef-resort-maldives-wins-medals-hotel-asia-2024.md</t>
  </si>
  <si>
    <t xml:space="preserve">https://canareef.com/world-wetlands-day-canareef/</t>
  </si>
  <si>
    <t xml:space="preserve">Celebrate World Wetlands Day at Canareef Resort Maldives</t>
  </si>
  <si>
    <t xml:space="preserve">output/pages/024_canareef-resort-maldives/wedding__canareef.com__world-wetlands-day-canareef.md</t>
  </si>
  <si>
    <t xml:space="preserve">https://www.centarahotelsresorts.com/centara/crf/gallery</t>
  </si>
  <si>
    <t xml:space="preserve">Gallery | Centara</t>
  </si>
  <si>
    <t xml:space="preserve">output/pages/026_centara-ras-fushi-resort-spa/downloads__centarahotelsresorts.com__centara-crf-gallery.md</t>
  </si>
  <si>
    <t xml:space="preserve">https://canareef.com/maldives-scuba-diving-at-canareef-resort-addu-atoll-paradise/</t>
  </si>
  <si>
    <t xml:space="preserve">Maldives Scuba Diving at Canareef Resort Addu Atoll Paradise</t>
  </si>
  <si>
    <t xml:space="preserve">output/pages/024_canareef-resort-maldives/diving__canareef.com__maldives-scuba-diving-at-canareef-resort-addu-atoll-paradise.md</t>
  </si>
  <si>
    <t xml:space="preserve">https://www.centarahotelsresorts.com/centara/crf/meal-plans</t>
  </si>
  <si>
    <t xml:space="preserve">Meal plans | Centara Ras Fushi Resort &amp; Spa Maldives</t>
  </si>
  <si>
    <t xml:space="preserve">output/pages/026_centara-ras-fushi-resort-spa/spa__centarahotelsresorts.com__centara-crf-meal-plans.md</t>
  </si>
  <si>
    <t xml:space="preserve">https://canareef.com/local-and-expat-offer/</t>
  </si>
  <si>
    <t xml:space="preserve">50% Discount for Maldivian Residents &amp; Expats this Eid Holiday - Canareef</t>
  </si>
  <si>
    <t xml:space="preserve">output/pages/024_canareef-resort-maldives/offers__canareef.com__local-and-expat-offer.md</t>
  </si>
  <si>
    <t xml:space="preserve">https://canareef.com/packages/</t>
  </si>
  <si>
    <t xml:space="preserve">Maldives Resort Packages | Canareef Resort Maldives | Packages</t>
  </si>
  <si>
    <t xml:space="preserve">output/pages/024_canareef-resort-maldives/diving__canareef.com__packages.md</t>
  </si>
  <si>
    <t xml:space="preserve">https://www.centarahotelsresorts.com/centara/crf/transfer</t>
  </si>
  <si>
    <t xml:space="preserve">Scenic Airport &amp; Boat Transfers | Centara Ras Fushi Maldives</t>
  </si>
  <si>
    <t xml:space="preserve">output/pages/026_centara-ras-fushi-resort-spa/diving__centarahotelsresorts.com__centara-crf-transfer.md</t>
  </si>
  <si>
    <t xml:space="preserve">https://www.centarahotelsresorts.com/centara/crf/corporate-events/</t>
  </si>
  <si>
    <t xml:space="preserve">Corporate events &amp; meetings at Centara Ras Fushi Resort</t>
  </si>
  <si>
    <t xml:space="preserve">output/pages/026_centara-ras-fushi-resort-spa/events__centarahotelsresorts.com__centara-crf-corporate-events.md</t>
  </si>
  <si>
    <t xml:space="preserve">https://canareef.com/holidaycheck-recommended-resort-2025/</t>
  </si>
  <si>
    <t xml:space="preserve">HolidayCheck 2025 Award for Canareef Resort Maldives</t>
  </si>
  <si>
    <t xml:space="preserve">output/pages/024_canareef-resort-maldives/diving__canareef.com__holidaycheck-recommended-resort-2025.md</t>
  </si>
  <si>
    <t xml:space="preserve">https://www.centarahotelsresorts.com/centara/crf/lagoon-view-beach-villa-with-swirl-pool</t>
  </si>
  <si>
    <t xml:space="preserve">Deluxe Beach Villa | Centara Ras Fushi Resort Maldives</t>
  </si>
  <si>
    <t xml:space="preserve">output/pages/026_centara-ras-fushi-resort-spa/diving__centarahotelsresorts.com__centara-crf-lagoon-view-beach-villa-with-swirl-pool.md</t>
  </si>
  <si>
    <t xml:space="preserve">https://canareef.com/coconut-benefits-maldives/</t>
  </si>
  <si>
    <t xml:space="preserve">Celebrate Coconut’s Health Benefits and Culinary Delights at Canareef Resort Maldives - Canareef</t>
  </si>
  <si>
    <t xml:space="preserve">output/pages/024_canareef-resort-maldives/wedding__canareef.com__coconut-benefits-maldives.md</t>
  </si>
  <si>
    <t xml:space="preserve">https://www.centarahotelsresorts.com/centara/crf/restaurants-and-bars</t>
  </si>
  <si>
    <t xml:space="preserve">Restaurants &amp; bars at Centara Ras Fushi Resort Maldives</t>
  </si>
  <si>
    <t xml:space="preserve">output/pages/026_centara-ras-fushi-resort-spa/dining__centarahotelsresorts.com__centara-crf-restaurants-and-bars.md</t>
  </si>
  <si>
    <t xml:space="preserve">https://canareef.com/canareef-cake-mixing-ceremony-2025/</t>
  </si>
  <si>
    <t xml:space="preserve">Canareef Hosts Joyful Cake Mixing Ceremony</t>
  </si>
  <si>
    <t xml:space="preserve">output/pages/024_canareef-resort-maldives/other__canareef.com__canareef-cake-mixing-ceremony-2025.md</t>
  </si>
  <si>
    <t xml:space="preserve">https://www.centarahotelsresorts.com/centara/crf/honeymoon</t>
  </si>
  <si>
    <t xml:space="preserve">Honeymoon Resort in Maldives | Romantic Couples Packages &amp; Villas</t>
  </si>
  <si>
    <t xml:space="preserve">output/pages/026_centara-ras-fushi-resort-spa/wedding__centarahotelsresorts.com__centara-crf-honeymoon.md</t>
  </si>
  <si>
    <t xml:space="preserve">https://canareef.com/maldives-fishermens-day-honoring-ocean-heroes/</t>
  </si>
  <si>
    <t xml:space="preserve">Maldives Fishermen’s Day: Honoring Our Ocean Heroes</t>
  </si>
  <si>
    <t xml:space="preserve">output/pages/024_canareef-resort-maldives/diving__canareef.com__maldives-fishermens-day-honoring-ocean-heroes.md</t>
  </si>
  <si>
    <t xml:space="preserve">https://www.centarahotelsresorts.com/centara/crf/deluxe-overwater-villa</t>
  </si>
  <si>
    <t xml:space="preserve">Deluxe Overwater Villa | Centara Ras Fushi Maldives</t>
  </si>
  <si>
    <t xml:space="preserve">output/pages/026_centara-ras-fushi-resort-spa/diving__centarahotelsresorts.com__centara-crf-deluxe-overwater-villa.md</t>
  </si>
  <si>
    <t xml:space="preserve">https://canareef.com/canareef-celebrates-environment-week-with-a-series-of-impactful-activities/</t>
  </si>
  <si>
    <t xml:space="preserve">Canareef Celebrates Environment Week with a Series of Impactful Activities - Canareef</t>
  </si>
  <si>
    <t xml:space="preserve">output/pages/024_canareef-resort-maldives/wedding__canareef.com__canareef-celebrates-environment-week-with-a-series-of-impact.md</t>
  </si>
  <si>
    <t xml:space="preserve">https://canareef.com/offers-old/</t>
  </si>
  <si>
    <t xml:space="preserve">Maldives Resort Packages | Canareef Resort Maldives | Offers</t>
  </si>
  <si>
    <t xml:space="preserve">output/pages/024_canareef-resort-maldives/diving__canareef.com__offers-old.md</t>
  </si>
  <si>
    <t xml:space="preserve">https://canareef.com/contact-us/</t>
  </si>
  <si>
    <t xml:space="preserve">Contact Us | Canareef</t>
  </si>
  <si>
    <t xml:space="preserve">output/pages/024_canareef-resort-maldives/other__canareef.com__contact-us.md</t>
  </si>
  <si>
    <t xml:space="preserve">https://canareef.com/experiences/</t>
  </si>
  <si>
    <t xml:space="preserve">Gan Addu Atoll Maldives | Canareef Resort Maldives | Experiences</t>
  </si>
  <si>
    <t xml:space="preserve">output/pages/024_canareef-resort-maldives/diving__canareef.com__experiences.md</t>
  </si>
  <si>
    <t xml:space="preserve">https://canareef.com/honeymoon-offer-15-off/</t>
  </si>
  <si>
    <t xml:space="preserve">Honeymoon Offer 15% off - Canareef</t>
  </si>
  <si>
    <t xml:space="preserve">output/pages/024_canareef-resort-maldives/wedding__canareef.com__honeymoon-offer-15-off.md</t>
  </si>
  <si>
    <t xml:space="preserve">https://canareef.com/html-sitemap/</t>
  </si>
  <si>
    <t xml:space="preserve">HTML Sitemap - Canareef</t>
  </si>
  <si>
    <t xml:space="preserve">output/pages/024_canareef-resort-maldives/other__canareef.com__html-sitemap.md</t>
  </si>
  <si>
    <t xml:space="preserve">https://canareef.com/celebrating-world-reef-day-with-coral-transplantation-at-canareef/</t>
  </si>
  <si>
    <t xml:space="preserve">Celebrating World Reef Day with Coral transplantation at Canareef - Canareef</t>
  </si>
  <si>
    <t xml:space="preserve">output/pages/024_canareef-resort-maldives/wedding__canareef.com__celebrating-world-reef-day-with-coral-transplantation-at-can.md</t>
  </si>
  <si>
    <t xml:space="preserve">https://canareef.com/about/</t>
  </si>
  <si>
    <t xml:space="preserve">Affordable Maldives Resorts | About Canareef Resort Maldives</t>
  </si>
  <si>
    <t xml:space="preserve">output/pages/024_canareef-resort-maldives/diving__canareef.com__about.md</t>
  </si>
  <si>
    <t xml:space="preserve">https://canareef.com/canareef-appoints-sherzod-berdov-as-front-office-manager/</t>
  </si>
  <si>
    <t xml:space="preserve">Canareef Appoints Sherzod Berdov as Front Office Manager - Canareef</t>
  </si>
  <si>
    <t xml:space="preserve">output/pages/024_canareef-resort-maldives/other__canareef.com__canareef-appoints-sherzod-berdov-as-front-office-manager.md</t>
  </si>
  <si>
    <t xml:space="preserve">https://www.centarahotelsresorts.com/centara/crf/waves-pool-bar</t>
  </si>
  <si>
    <t xml:space="preserve">Waves swim-up pool bar at Centara Ras Fushi Maldives</t>
  </si>
  <si>
    <t xml:space="preserve">output/pages/026_centara-ras-fushi-resort-spa/dining__centarahotelsresorts.com__centara-crf-waves-pool-bar.md</t>
  </si>
  <si>
    <t xml:space="preserve">https://canareef.com/sunset-cocktails-canareef-resort-maldives/</t>
  </si>
  <si>
    <t xml:space="preserve">Sunset Cocktails Ritual at Canareef Resort Maldives</t>
  </si>
  <si>
    <t xml:space="preserve">output/pages/024_canareef-resort-maldives/diving__canareef.com__sunset-cocktails-canareef-resort-maldives.md</t>
  </si>
  <si>
    <t xml:space="preserve">https://canareef.com/introduces-the-premium-beach-villa-with-whirlpool/</t>
  </si>
  <si>
    <t xml:space="preserve">Premium Beach Villa with Whirlpool</t>
  </si>
  <si>
    <t xml:space="preserve">output/pages/024_canareef-resort-maldives/villas__canareef.com__introduces-the-premium-beach-villa-with-whirlpool.md</t>
  </si>
  <si>
    <t xml:space="preserve">https://canareef.com/canareef-maldives-long-stay-offer-save-45/</t>
  </si>
  <si>
    <t xml:space="preserve">Stay Longer &amp; Save 45% at Canareef Maldives</t>
  </si>
  <si>
    <t xml:space="preserve">output/pages/024_canareef-resort-maldives/diving__canareef.com__canareef-maldives-long-stay-offer-save-45.md</t>
  </si>
  <si>
    <t xml:space="preserve">https://canareef.com/festive-season-canareef-resort-maldives/</t>
  </si>
  <si>
    <t xml:space="preserve">Celebrate a Magical Festive Season at Canareef Resort Maldives</t>
  </si>
  <si>
    <t xml:space="preserve">output/pages/024_canareef-resort-maldives/wedding__canareef.com__festive-season-canareef-resort-maldives.md</t>
  </si>
  <si>
    <t xml:space="preserve">https://canareef.com/canareef-tripadvisor-best-of-best-2026/</t>
  </si>
  <si>
    <t xml:space="preserve">Canareef Resort Maldives Best of Best 2026</t>
  </si>
  <si>
    <t xml:space="preserve">output/pages/024_canareef-resort-maldives/diving__canareef.com__canareef-tripadvisor-best-of-best-2026.md</t>
  </si>
  <si>
    <t xml:space="preserve">https://canareef.com/offers/</t>
  </si>
  <si>
    <t xml:space="preserve">Maldives Resort Offers | Canareef Resort Maldives | Offers</t>
  </si>
  <si>
    <t xml:space="preserve">output/pages/024_canareef-resort-maldives/diving__canareef.com__offers.md</t>
  </si>
  <si>
    <t xml:space="preserve">https://canareef.com/canareef-maldives-international-womens-day-yoga/</t>
  </si>
  <si>
    <t xml:space="preserve">International Women’s Day at Canareef Maldives</t>
  </si>
  <si>
    <t xml:space="preserve">output/pages/024_canareef-resort-maldives/spa__canareef.com__canareef-maldives-international-womens-day-yoga.md</t>
  </si>
  <si>
    <t xml:space="preserve">https://canareef.com/diving/</t>
  </si>
  <si>
    <t xml:space="preserve">Scuba Diving in Maldives | Canareef Resort Maldives | Diving</t>
  </si>
  <si>
    <t xml:space="preserve">output/pages/024_canareef-resort-maldives/diving__canareef.com__diving.md</t>
  </si>
  <si>
    <t xml:space="preserve">https://canareef.com/vote-world-travel-awards-2026/</t>
  </si>
  <si>
    <t xml:space="preserve">Vote Canareef: 2026 World Travel Awards Nominee</t>
  </si>
  <si>
    <t xml:space="preserve">output/pages/024_canareef-resort-maldives/other__canareef.com__vote-world-travel-awards-2026.md</t>
  </si>
  <si>
    <t xml:space="preserve">https://canareef.com/canareef-resort-maldives-family-honeymooners-experience/</t>
  </si>
  <si>
    <t xml:space="preserve">Family-Friendly &amp; Romantic Escapes | Canareef Maldives</t>
  </si>
  <si>
    <t xml:space="preserve">output/pages/024_canareef-resort-maldives/wedding__canareef.com__canareef-resort-maldives-family-honeymooners-experience.md</t>
  </si>
  <si>
    <t xml:space="preserve">https://www.centarahotelsresorts.com/centara/crf/in-villa-dining</t>
  </si>
  <si>
    <t xml:space="preserve">In-villa dining Centara Ras Fushi Resort &amp; Spa Maldives</t>
  </si>
  <si>
    <t xml:space="preserve">output/pages/026_centara-ras-fushi-resort-spa/dining__centarahotelsresorts.com__centara-crf-in-villa-dining.md</t>
  </si>
  <si>
    <t xml:space="preserve">https://canareef.com/canareef-resort-maldives-welcomes-sea-company-as-its-sales-representative-in-russia-and-the-cis-countries/</t>
  </si>
  <si>
    <t xml:space="preserve">Canareef Resort Maldives welcomes SEA Company as its Sales Representative in Russia and the CIS countries - Canareef</t>
  </si>
  <si>
    <t xml:space="preserve">output/pages/024_canareef-resort-maldives/diving__canareef.com__canareef-resort-maldives-welcomes-sea-company-as-its-sales-r.md</t>
  </si>
  <si>
    <t xml:space="preserve">https://canareef.com/villas/sunrise-villas/</t>
  </si>
  <si>
    <t xml:space="preserve">Sunrise Villas Maldives | Canareef Resort | Sunrise Villas</t>
  </si>
  <si>
    <t xml:space="preserve">output/pages/024_canareef-resort-maldives/diving__canareef.com__villas-sunrise-villas.md</t>
  </si>
  <si>
    <t xml:space="preserve">https://www.centarahotelsresorts.com/centara/crf/deluxe-spa-overwater-villa</t>
  </si>
  <si>
    <t xml:space="preserve">Deluxe Spa Overwater Villa | Centara Ras Fushi Maldives</t>
  </si>
  <si>
    <t xml:space="preserve">output/pages/026_centara-ras-fushi-resort-spa/spa__centarahotelsresorts.com__centara-crf-deluxe-spa-overwater-villa.md</t>
  </si>
  <si>
    <t xml:space="preserve">https://canareef.com/vote-canareef-sata-2026/</t>
  </si>
  <si>
    <t xml:space="preserve">Vote Canareef Resort Maldives for SATA 2026</t>
  </si>
  <si>
    <t xml:space="preserve">output/pages/024_canareef-resort-maldives/diving__canareef.com__vote-canareef-sata-2026.md</t>
  </si>
  <si>
    <t xml:space="preserve">https://canareef.com/island-getaway-locals-and-expats/</t>
  </si>
  <si>
    <t xml:space="preserve">Eid Offer 2026 – Canareef Resort Maldives Local Deal</t>
  </si>
  <si>
    <t xml:space="preserve">output/pages/024_canareef-resort-maldives/diving__canareef.com__island-getaway-locals-and-expats.md</t>
  </si>
  <si>
    <t xml:space="preserve">https://canareef.com/shaping-the-future-of-canareef-with-deepak-kannan/</t>
  </si>
  <si>
    <t xml:space="preserve">Shaping the Future of Canareef with Deepak Kannan - Canareef</t>
  </si>
  <si>
    <t xml:space="preserve">output/pages/024_canareef-resort-maldives/other__canareef.com__shaping-the-future-of-canareef-with-deepak-kannan.md</t>
  </si>
  <si>
    <t xml:space="preserve">https://www.centarahotelsresorts.com/centara/crf/social-events</t>
  </si>
  <si>
    <t xml:space="preserve">Social events | Centara Ras Fushi Resort &amp; Spa Maldives</t>
  </si>
  <si>
    <t xml:space="preserve">output/pages/026_centara-ras-fushi-resort-spa/events__centarahotelsresorts.com__centara-crf-social-events.md</t>
  </si>
  <si>
    <t xml:space="preserve">https://www.centarahotelsresorts.com/centara/crf/spa</t>
  </si>
  <si>
    <t xml:space="preserve">SPA Cenvaree at Centara Ras Fushi Resort &amp; Spa Maldives</t>
  </si>
  <si>
    <t xml:space="preserve">output/pages/026_centara-ras-fushi-resort-spa/spa__centarahotelsresorts.com__centara-crf-spa.md</t>
  </si>
  <si>
    <t xml:space="preserve">https://www.centarahotelsresorts.com/centara/crf/giraavaru-lobby-bar</t>
  </si>
  <si>
    <t xml:space="preserve">Giraavaru Lobby Bar | Centara Ras Fushi Resort Maldives</t>
  </si>
  <si>
    <t xml:space="preserve">output/pages/026_centara-ras-fushi-resort-spa/dining__centarahotelsresorts.com__centara-crf-giraavaru-lobby-bar.md</t>
  </si>
  <si>
    <t xml:space="preserve">https://www.centarahotelsresorts.com/centara/crf/experiences</t>
  </si>
  <si>
    <t xml:space="preserve">CRF Experience | Centara</t>
  </si>
  <si>
    <t xml:space="preserve">output/pages/026_centara-ras-fushi-resort-spa/excursions__centarahotelsresorts.com__centara-crf-experiences.md</t>
  </si>
  <si>
    <t xml:space="preserve">https://www.centarahotelsresorts.com/centara/crf/premium-deluxe-sunset-overwater-villa</t>
  </si>
  <si>
    <t xml:space="preserve">Premium Deluxe Sunset Overwater Villa | Centara Ras Fushi Maldives</t>
  </si>
  <si>
    <t xml:space="preserve">output/pages/026_centara-ras-fushi-resort-spa/diving__centarahotelsresorts.com__centara-crf-premium-deluxe-sunset-overwater-villa.md</t>
  </si>
  <si>
    <t xml:space="preserve">https://www.centarahotelsresorts.com/centara/crf/deluxe-sunset-overwater-villa</t>
  </si>
  <si>
    <t xml:space="preserve">Deluxe Sunset Overwater Villa | Centara Ras Fushi Maldives</t>
  </si>
  <si>
    <t xml:space="preserve">output/pages/026_centara-ras-fushi-resort-spa/diving__centarahotelsresorts.com__centara-crf-deluxe-sunset-overwater-villa.md</t>
  </si>
  <si>
    <t xml:space="preserve">https://www.centarahotelsresorts.com/centara/crf/viu-bar</t>
  </si>
  <si>
    <t xml:space="preserve">Viu Bar set over the lagoon at Centara Ras Fushi Resort</t>
  </si>
  <si>
    <t xml:space="preserve">output/pages/026_centara-ras-fushi-resort-spa/dining__centarahotelsresorts.com__centara-crf-viu-bar.md</t>
  </si>
  <si>
    <t xml:space="preserve">https://www.centarahotelsresorts.com/centara/crf/weddings</t>
  </si>
  <si>
    <t xml:space="preserve">Maldives Wedding Resort | Venues, Ceremonies, Vows &amp; Anniversaries</t>
  </si>
  <si>
    <t xml:space="preserve">output/pages/026_centara-ras-fushi-resort-spa/wedding__centarahotelsresorts.com__centara-crf-weddings.md</t>
  </si>
  <si>
    <t xml:space="preserve">https://www.centarahotelsresorts.com/centara/crf/lagoon-view-beach-villa</t>
  </si>
  <si>
    <t xml:space="preserve">Beach Villa | Centara Ras Fushi Resort &amp; Spa Maldives</t>
  </si>
  <si>
    <t xml:space="preserve">output/pages/026_centara-ras-fushi-resort-spa/spa__centarahotelsresorts.com__centara-crf-lagoon-view-beach-villa.md</t>
  </si>
  <si>
    <t xml:space="preserve">https://www.centarahotelsresorts.com/centara/crf/diving-and-excursions</t>
  </si>
  <si>
    <t xml:space="preserve">Maldives diving &amp; snorkelling | Centara Ras Fushi</t>
  </si>
  <si>
    <t xml:space="preserve">output/pages/026_centara-ras-fushi-resort-spa/diving__centarahotelsresorts.com__centara-crf-diving-and-excursions.md</t>
  </si>
  <si>
    <t xml:space="preserve">https://www.centarahotelsresorts.com/centara/crf/spa-credit</t>
  </si>
  <si>
    <t xml:space="preserve">Your Romantic Escape Awaits - Spa Credit on Us | Centara</t>
  </si>
  <si>
    <t xml:space="preserve">output/pages/026_centara-ras-fushi-resort-spa/spa__centarahotelsresorts.com__centara-crf-spa-credit.md</t>
  </si>
  <si>
    <t xml:space="preserve">https://www.centarahotelsresorts.com/centara/crf/gallery?field_media_image_type_target_id=73123</t>
  </si>
  <si>
    <t xml:space="preserve">https://www.centarahotelsresorts.com/centara/crf/gallery?field_media_image_type_target_id=73124</t>
  </si>
  <si>
    <t xml:space="preserve">https://www.centarahotelsresorts.com/centara/crf/gallery?field_media_image_type_target_id=73132</t>
  </si>
  <si>
    <t xml:space="preserve">https://www.centarahotelsresorts.com/centara/crf/gallery?field_media_image_type_target_id=73131</t>
  </si>
  <si>
    <t xml:space="preserve">https://www.centarahotelsresorts.com/centara/crf/gallery?field_media_image_type_target_id=73121</t>
  </si>
  <si>
    <t xml:space="preserve">https://www.centarahotelsresorts.com/centara/crf/al-khaimah-restaurant-event-venue</t>
  </si>
  <si>
    <t xml:space="preserve">Private events at Al Khaimah in Centara Ras Fushi</t>
  </si>
  <si>
    <t xml:space="preserve">output/pages/026_centara-ras-fushi-resort-spa/events__centarahotelsresorts.com__centara-crf-al-khaimah-restaurant-event-venue.md</t>
  </si>
  <si>
    <t xml:space="preserve">https://www.centarahotelsresorts.com/centara/crf/corporate-events</t>
  </si>
  <si>
    <t xml:space="preserve">https://www.centarahotelsresorts.com/centara/crf/overwater-villa-with-swirl-pool</t>
  </si>
  <si>
    <t xml:space="preserve">output/pages/026_centara-ras-fushi-resort-spa/spa__centarahotelsresorts.com__centara-crf-overwater-villa-with-swirl-pool.md</t>
  </si>
  <si>
    <t xml:space="preserve">https://www.centarahotelsresorts.com/centara/crf/overwater-villa</t>
  </si>
  <si>
    <t xml:space="preserve">output/pages/026_centara-ras-fushi-resort-spa/diving__centarahotelsresorts.com__centara-crf-overwater-villa.md</t>
  </si>
  <si>
    <t xml:space="preserve">https://www.centarahotelsresorts.com/centara/crf/sunset-overwater-villa-with-swirl-pool</t>
  </si>
  <si>
    <t xml:space="preserve">output/pages/026_centara-ras-fushi-resort-spa/diving__centarahotelsresorts.com__centara-crf-sunset-overwater-villa-with-swirl-pool.md</t>
  </si>
  <si>
    <t xml:space="preserve">https://www.centarahotelsresorts.com/centara/crf/experiences?field_article_type_target_id=129691</t>
  </si>
  <si>
    <t xml:space="preserve">https://www.centarahotelsresorts.com/centara/crf/sunset-overwater-villa</t>
  </si>
  <si>
    <t xml:space="preserve">output/pages/026_centara-ras-fushi-resort-spa/diving__centarahotelsresorts.com__centara-crf-sunset-overwater-villa.md</t>
  </si>
  <si>
    <t xml:space="preserve">https://www.centarahotelsresorts.com/centara/crf/underwater-wedding-ceremony</t>
  </si>
  <si>
    <t xml:space="preserve">Underwater Wedding Ceremony | Centara Ras Fushi</t>
  </si>
  <si>
    <t xml:space="preserve">output/pages/026_centara-ras-fushi-resort-spa/wedding__centarahotelsresorts.com__centara-crf-underwater-wedding-ceremony.md</t>
  </si>
  <si>
    <t xml:space="preserve">https://www.centarahotelsresorts.com/centara/crf/abadhuves-loabi-vey-wedding-package</t>
  </si>
  <si>
    <t xml:space="preserve">Abadhuves Loabi Vey wedding package | Renewal of vows</t>
  </si>
  <si>
    <t xml:space="preserve">output/pages/026_centara-ras-fushi-resort-spa/wedding__centarahotelsresorts.com__centara-crf-abadhuves-loabi-vey-wedding-package.md</t>
  </si>
  <si>
    <t xml:space="preserve">https://www.centarahotelsresorts.com/centara/crf/ocean-blessings-wedding-package</t>
  </si>
  <si>
    <t xml:space="preserve">Ocean Blessings Wedding Package | Centara Ras Fushi</t>
  </si>
  <si>
    <t xml:space="preserve">output/pages/026_centara-ras-fushi-resort-spa/wedding__centarahotelsresorts.com__centara-crf-ocean-blessings-wedding-package.md</t>
  </si>
  <si>
    <t xml:space="preserve">https://www.centarahotelsresorts.com/centara/crf/umuru-dhvahuge-wedding-package</t>
  </si>
  <si>
    <t xml:space="preserve">Umuru Dhvahuge wedding package | Blessings ceremony</t>
  </si>
  <si>
    <t xml:space="preserve">output/pages/026_centara-ras-fushi-resort-spa/wedding__centarahotelsresorts.com__centara-crf-umuru-dhvahuge-wedding-package.md</t>
  </si>
  <si>
    <t xml:space="preserve">https://www.cocoonmaldives.com/</t>
  </si>
  <si>
    <t xml:space="preserve">Cocoon Maldives | The first design hotel in the Maldives</t>
  </si>
  <si>
    <t xml:space="preserve">output/pages/032_cocoon-maldives/diving__cocoonmaldives.com__home.md</t>
  </si>
  <si>
    <t xml:space="preserve">https://www.cocoonmaldives.com/early-birds-offer</t>
  </si>
  <si>
    <t xml:space="preserve">Early Birds Offer | Cocoon Maldives Design Hotel</t>
  </si>
  <si>
    <t xml:space="preserve">output/pages/032_cocoon-maldives/diving__cocoonmaldives.com__early-birds-offer.md</t>
  </si>
  <si>
    <t xml:space="preserve">https://www.cocoonmaldives.com/cocoonsuite</t>
  </si>
  <si>
    <t xml:space="preserve">Cocoon Suite | Cocoon Maldives Design Hotel</t>
  </si>
  <si>
    <t xml:space="preserve">output/pages/032_cocoon-maldives/diving__cocoonmaldives.com__cocoonsuite.md</t>
  </si>
  <si>
    <t xml:space="preserve">https://www.cocoonmaldives.com</t>
  </si>
  <si>
    <t xml:space="preserve">https://www.cocoonmaldives.com/kurum-bar</t>
  </si>
  <si>
    <t xml:space="preserve">Kurum-Bar | Cocoon Maldives Design Hotel</t>
  </si>
  <si>
    <t xml:space="preserve">output/pages/032_cocoon-maldives/dining__cocoonmaldives.com__kurum-bar.md</t>
  </si>
  <si>
    <t xml:space="preserve">https://www.adaaran.com/selectmeedhupparu/</t>
  </si>
  <si>
    <t xml:space="preserve">Maldives Resort | Adaaran Select Meedhupparu Official Site</t>
  </si>
  <si>
    <t xml:space="preserve">output/pages/034_adaaran-select-meedhupparu/diving__adaaran.com__selectmeedhupparu.md</t>
  </si>
  <si>
    <t xml:space="preserve">https://www.adaaran.com/selectmeedhupparu/experiences/lovers-paradise/</t>
  </si>
  <si>
    <t xml:space="preserve">Things to do in Maldives for Couples | Adaaran Meedhupparu</t>
  </si>
  <si>
    <t xml:space="preserve">output/pages/034_adaaran-select-meedhupparu/diving__adaaran.com__selectmeedhupparu-experiences-lovers-paradise.md</t>
  </si>
  <si>
    <t xml:space="preserve">https://www.adaaran.com/selectmeedhupparu/dining/water-villa-restaurant/</t>
  </si>
  <si>
    <t xml:space="preserve">Water Villa Restaurant &amp; Lounge | Adaaran Select Meedhupparu</t>
  </si>
  <si>
    <t xml:space="preserve">output/pages/034_adaaran-select-meedhupparu/dining__adaaran.com__selectmeedhupparu-dining-water-villa-restaurant.md</t>
  </si>
  <si>
    <t xml:space="preserve">https://www.adaaran.com/selectmeedhupparu/facilities/komas-kids-club/</t>
  </si>
  <si>
    <t xml:space="preserve">Family Holiday Maldives | Komas Kids Club | Adaaran Meedhupparu</t>
  </si>
  <si>
    <t xml:space="preserve">output/pages/034_adaaran-select-meedhupparu/diving__adaaran.com__selectmeedhupparu-facilities-komas-kids-club.md</t>
  </si>
  <si>
    <t xml:space="preserve">https://www.adaaran.com/selectmeedhupparu/weddings/</t>
  </si>
  <si>
    <t xml:space="preserve">Maldives Weddings All Inclusive | Wedding | Adaaran Meedhupparu</t>
  </si>
  <si>
    <t xml:space="preserve">output/pages/034_adaaran-select-meedhupparu/wedding__adaaran.com__selectmeedhupparu-weddings.md</t>
  </si>
  <si>
    <t xml:space="preserve">https://www.adaaran.com/selectmeedhupparu/villas/maldives-beach-villas/</t>
  </si>
  <si>
    <t xml:space="preserve">Best Villas in Maldives | Beach Villas | Adaaran Meedhupparu</t>
  </si>
  <si>
    <t xml:space="preserve">output/pages/034_adaaran-select-meedhupparu/diving__adaaran.com__selectmeedhupparu-villas-maldives-beach-villas.md</t>
  </si>
  <si>
    <t xml:space="preserve">https://www.adaaran.com/selectmeedhupparu/offers/storrington-collective-family-getaway/</t>
  </si>
  <si>
    <t xml:space="preserve">Family Getaway in Maldives! | Adaaran Select Meedhupparu</t>
  </si>
  <si>
    <t xml:space="preserve">output/pages/034_adaaran-select-meedhupparu/diving__adaaran.com__selectmeedhupparu-offers-storrington-collective-family-getaw.md</t>
  </si>
  <si>
    <t xml:space="preserve">https://www.adaaran.com/selectmeedhupparu/dining/sunset-bar/</t>
  </si>
  <si>
    <t xml:space="preserve">Bars in Maldives | Adaaran Select Meedhupparu | Sunset Bar</t>
  </si>
  <si>
    <t xml:space="preserve">output/pages/034_adaaran-select-meedhupparu/dining__adaaran.com__selectmeedhupparu-dining-sunset-bar.md</t>
  </si>
  <si>
    <t xml:space="preserve">https://www.adaaran.com/selectmeedhupparu/experiences/excursions/</t>
  </si>
  <si>
    <t xml:space="preserve">Maldives Things to do and See | Excursions at Adaaran Meedhupparu</t>
  </si>
  <si>
    <t xml:space="preserve">output/pages/034_adaaran-select-meedhupparu/diving__adaaran.com__selectmeedhupparu-experiences-excursions.md</t>
  </si>
  <si>
    <t xml:space="preserve">https://www.adaaran.com/selectmeedhupparu/villas/honeymoon-suite/</t>
  </si>
  <si>
    <t xml:space="preserve">Best Resort for Couples in Maldives | Suite | Adaaran Meedhupparu</t>
  </si>
  <si>
    <t xml:space="preserve">output/pages/034_adaaran-select-meedhupparu/wedding__adaaran.com__selectmeedhupparu-villas-honeymoon-suite.md</t>
  </si>
  <si>
    <t xml:space="preserve">https://www.adaaran.com/selectmeedhupparu/facilities/spa/spa-facilities/</t>
  </si>
  <si>
    <t xml:space="preserve">Maldives Spa Resort | Spa Facilities | Adaaran Select Meedhupparu</t>
  </si>
  <si>
    <t xml:space="preserve">output/pages/034_adaaran-select-meedhupparu/spa__adaaran.com__selectmeedhupparu-facilities-spa-spa-facilities.md</t>
  </si>
  <si>
    <t xml:space="preserve">https://www.adaaran.com/selectmeedhupparu/sitemap/</t>
  </si>
  <si>
    <t xml:space="preserve">Sitemap | Adaaran Select Meedhupparu</t>
  </si>
  <si>
    <t xml:space="preserve">output/pages/034_adaaran-select-meedhupparu/other__adaaran.com__selectmeedhupparu-sitemap.md</t>
  </si>
  <si>
    <t xml:space="preserve">https://www.adaaran.com/selectmeedhupparu/facilities/transfers/</t>
  </si>
  <si>
    <t xml:space="preserve">Maldives Speedboat Transfers | Adaaran Meedhupparu | Facilities</t>
  </si>
  <si>
    <t xml:space="preserve">output/pages/034_adaaran-select-meedhupparu/diving__adaaran.com__selectmeedhupparu-facilities-transfers.md</t>
  </si>
  <si>
    <t xml:space="preserve">https://www.adaaran.com/selectmeedhupparu/experiences/housereef-meedhupparu/</t>
  </si>
  <si>
    <t xml:space="preserve">Housereef Meedhupparu | Adaaran Select Meedhupparu</t>
  </si>
  <si>
    <t xml:space="preserve">output/pages/034_adaaran-select-meedhupparu/excursions__adaaran.com__selectmeedhupparu-experiences-housereef-meedhupparu.md</t>
  </si>
  <si>
    <t xml:space="preserve">https://www.adaaran.com/selectmeedhupparu/experiences/dive-point/</t>
  </si>
  <si>
    <t xml:space="preserve">Diving Holidays Maldives | Adaaran Select Meedhupparu | Diving</t>
  </si>
  <si>
    <t xml:space="preserve">output/pages/034_adaaran-select-meedhupparu/diving__adaaran.com__selectmeedhupparu-experiences-dive-point.md</t>
  </si>
  <si>
    <t xml:space="preserve">https://www.adaaran.com/selectmeedhupparu/dining/sufura-restaurant/</t>
  </si>
  <si>
    <t xml:space="preserve">Best Resorts in Maldives with Indian food | Adaaran Meedhupparu</t>
  </si>
  <si>
    <t xml:space="preserve">output/pages/034_adaaran-select-meedhupparu/dining__adaaran.com__selectmeedhupparu-dining-sufura-restaurant.md</t>
  </si>
  <si>
    <t xml:space="preserve">https://www.adaaran.com/selectmeedhupparu/villas/deluxe-beach-villas/</t>
  </si>
  <si>
    <t xml:space="preserve">Deluxe Villa Maldives | Adaaran Select Meedhupparu</t>
  </si>
  <si>
    <t xml:space="preserve">output/pages/034_adaaran-select-meedhupparu/diving__adaaran.com__selectmeedhupparu-villas-deluxe-beach-villas.md</t>
  </si>
  <si>
    <t xml:space="preserve">https://www.heritancehotels.com/aarah/</t>
  </si>
  <si>
    <t xml:space="preserve">Premium All Inclusive Resort in Maldives | Heritance Aarah Official Site</t>
  </si>
  <si>
    <t xml:space="preserve">output/pages/035_heritance-aarah/diving__heritancehotels.com__aarah.md</t>
  </si>
  <si>
    <t xml:space="preserve">https://www.adaaran.com/selectmeedhupparu/villas/duplex-honeymoon-suite/</t>
  </si>
  <si>
    <t xml:space="preserve">All Inclusive Resorts in Maldives for Couples | Adaaran Meedhapparu</t>
  </si>
  <si>
    <t xml:space="preserve">output/pages/034_adaaran-select-meedhupparu/wedding__adaaran.com__selectmeedhupparu-villas-duplex-honeymoon-suite.md</t>
  </si>
  <si>
    <t xml:space="preserve">https://www.heritancehotels.com/aarah/dining/ambula-overwater-restaurant/</t>
  </si>
  <si>
    <t xml:space="preserve">Maldives Best Restaurant | Ambula Overwater Restaurant at Heritance Aarah</t>
  </si>
  <si>
    <t xml:space="preserve">output/pages/035_heritance-aarah/dining__heritancehotels.com__aarah-dining-ambula-overwater-restaurant.md</t>
  </si>
  <si>
    <t xml:space="preserve">https://www.adaaran.com/selectmeedhupparu/experiences/sunset-photo-flip/</t>
  </si>
  <si>
    <t xml:space="preserve">Maldives Sunset Cruise | Photo Flip | Adaaran Meedhupparu</t>
  </si>
  <si>
    <t xml:space="preserve">output/pages/034_adaaran-select-meedhupparu/diving__adaaran.com__selectmeedhupparu-experiences-sunset-photo-flip.md</t>
  </si>
  <si>
    <t xml:space="preserve">https://www.heritancehotels.com/aarah/experiences/wind-surfing/</t>
  </si>
  <si>
    <t xml:space="preserve">Windsurfing Maldives | Wind Surfing at Heritance Aarah Maldives</t>
  </si>
  <si>
    <t xml:space="preserve">output/pages/035_heritance-aarah/diving__heritancehotels.com__aarah-experiences-wind-surfing.md</t>
  </si>
  <si>
    <t xml:space="preserve">https://www.adaaran.com/selectmeedhupparu/offers/early-bird/</t>
  </si>
  <si>
    <t xml:space="preserve">Maldives Island Hotel Offer | Early Bird Offer at Adaaran Meedhupparu</t>
  </si>
  <si>
    <t xml:space="preserve">output/pages/034_adaaran-select-meedhupparu/diving__adaaran.com__selectmeedhupparu-offers-early-bird.md</t>
  </si>
  <si>
    <t xml:space="preserve">https://www.heritancehotels.com/aarah/dining/ginifati-private-dining/</t>
  </si>
  <si>
    <t xml:space="preserve">Ginifati private dining in Maldives | Restaurants Heritance Aarah</t>
  </si>
  <si>
    <t xml:space="preserve">output/pages/035_heritance-aarah/dining__heritancehotels.com__aarah-dining-ginifati-private-dining.md</t>
  </si>
  <si>
    <t xml:space="preserve">https://www.adaaran.com/selectmeedhupparu/facilities/spa/spa-treatments/</t>
  </si>
  <si>
    <t xml:space="preserve">Spa Treatments | Adaaran Select Meedhupparu</t>
  </si>
  <si>
    <t xml:space="preserve">output/pages/034_adaaran-select-meedhupparu/dining__adaaran.com__selectmeedhupparu-facilities-spa-spa-treatments.md</t>
  </si>
  <si>
    <t xml:space="preserve">https://www.heritancehotels.com/aarah/storrington-collective-family-getaway/</t>
  </si>
  <si>
    <t xml:space="preserve">Family Getaway in Maldives | Heritance Hotels</t>
  </si>
  <si>
    <t xml:space="preserve">output/pages/035_heritance-aarah/diving__heritancehotels.com__aarah-storrington-collective-family-getaway.md</t>
  </si>
  <si>
    <t xml:space="preserve">https://www.heritancehotels.com/aarah/offers/family-getaway/</t>
  </si>
  <si>
    <t xml:space="preserve">output/pages/035_heritance-aarah/diving__heritancehotels.com__aarah-offers-family-getaway.md</t>
  </si>
  <si>
    <t xml:space="preserve">https://www.adaaran.com/selectmeedhupparu/premium-all-inclusive-offering/</t>
  </si>
  <si>
    <t xml:space="preserve">Maldives Premium All Inclusive | Adaaran Select Meedhupparu</t>
  </si>
  <si>
    <t xml:space="preserve">output/pages/034_adaaran-select-meedhupparu/diving__adaaran.com__selectmeedhupparu-premium-all-inclusive-offering.md</t>
  </si>
  <si>
    <t xml:space="preserve">https://www.adaaran.com/selectmeedhupparu/offers/book-direct-ru/</t>
  </si>
  <si>
    <t xml:space="preserve">Maldives Resort All Inclusive Deals | Book Direct | Adaaran Meedhupparu</t>
  </si>
  <si>
    <t xml:space="preserve">output/pages/034_adaaran-select-meedhupparu/diving__adaaran.com__selectmeedhupparu-offers-book-direct-ru.md</t>
  </si>
  <si>
    <t xml:space="preserve">https://www.heritancehotels.com/aarah/experiences/water-skiing/</t>
  </si>
  <si>
    <t xml:space="preserve">Water Sports in Maldives | Water Skiing at Heritance Aarah Resort</t>
  </si>
  <si>
    <t xml:space="preserve">output/pages/035_heritance-aarah/diving__heritancehotels.com__aarah-experiences-water-skiing.md</t>
  </si>
  <si>
    <t xml:space="preserve">https://www.adaaran.com/selectmeedhupparu/dining/halaboli-bar/</t>
  </si>
  <si>
    <t xml:space="preserve">Best Bar in Maldives | Adaaran Select Meedhupparu | Halaboli Bar</t>
  </si>
  <si>
    <t xml:space="preserve">output/pages/034_adaaran-select-meedhupparu/dining__adaaran.com__selectmeedhupparu-dining-halaboli-bar.md</t>
  </si>
  <si>
    <t xml:space="preserve">https://www.heritancehotels.com/aarah/accommodation/ocean-villas/</t>
  </si>
  <si>
    <t xml:space="preserve">Maldives Best Water Villas| Ocean Villa at Heritance Aarah</t>
  </si>
  <si>
    <t xml:space="preserve">output/pages/035_heritance-aarah/diving__heritancehotels.com__aarah-accommodation-ocean-villas.md</t>
  </si>
  <si>
    <t xml:space="preserve">https://www.adaaran.com/selectmeedhupparu/villas/family-beach-villa/</t>
  </si>
  <si>
    <t xml:space="preserve">Family Villas Maldives | Family Beach Villa | Adaaran Meedhupparu</t>
  </si>
  <si>
    <t xml:space="preserve">output/pages/034_adaaran-select-meedhupparu/diving__adaaran.com__selectmeedhupparu-villas-family-beach-villa.md</t>
  </si>
  <si>
    <t xml:space="preserve">https://www.heritancehotels.com/aarah/accommodation/two-bedroom-family-pool-beach-villas/</t>
  </si>
  <si>
    <t xml:space="preserve">Family Villas in Maldives with Pool | Heritance Aarah</t>
  </si>
  <si>
    <t xml:space="preserve">output/pages/035_heritance-aarah/diving__heritancehotels.com__aarah-accommodation-two-bedroom-family-pool-beach-villas.md</t>
  </si>
  <si>
    <t xml:space="preserve">https://www.cocoonmaldives.com/winter-escapes</t>
  </si>
  <si>
    <t xml:space="preserve">Winter Escapes | Cocoon Maldives  Design Hotel</t>
  </si>
  <si>
    <t xml:space="preserve">output/pages/032_cocoon-maldives/diving__cocoonmaldives.com__winter-escapes.md</t>
  </si>
  <si>
    <t xml:space="preserve">https://www.adaaran.com/selectmeedhupparu/offers/book-direct/</t>
  </si>
  <si>
    <t xml:space="preserve">output/pages/034_adaaran-select-meedhupparu/diving__adaaran.com__selectmeedhupparu-offers-book-direct.md</t>
  </si>
  <si>
    <t xml:space="preserve">https://www.heritancehotels.com/aarah/accommodation/beach-villas/</t>
  </si>
  <si>
    <t xml:space="preserve">Beach Villa Maldives | Beach Villas at Heritance Aarah</t>
  </si>
  <si>
    <t xml:space="preserve">output/pages/035_heritance-aarah/diving__heritancehotels.com__aarah-accommodation-beach-villas.md</t>
  </si>
  <si>
    <t xml:space="preserve">https://www.adaaran.com/selectmeedhupparu/experiences/dolphin-safari/</t>
  </si>
  <si>
    <t xml:space="preserve">Dolphin Watching Maldives | Dolphin Safari | Adaaran Meedhupparu</t>
  </si>
  <si>
    <t xml:space="preserve">output/pages/034_adaaran-select-meedhupparu/diving__adaaran.com__selectmeedhupparu-experiences-dolphin-safari.md</t>
  </si>
  <si>
    <t xml:space="preserve">https://www.heritancehotels.com/aarah/experiences/diving/</t>
  </si>
  <si>
    <t xml:space="preserve">Maldives Dive Resort | Heritance Aarah Maldives</t>
  </si>
  <si>
    <t xml:space="preserve">output/pages/035_heritance-aarah/diving__heritancehotels.com__aarah-experiences-diving.md</t>
  </si>
  <si>
    <t xml:space="preserve">https://www.adaaran.com/selectmeedhupparu/gallery/</t>
  </si>
  <si>
    <t xml:space="preserve">Most beautiful resort in Maldives | Gallery | Adaaran Meedhupparu</t>
  </si>
  <si>
    <t xml:space="preserve">output/pages/034_adaaran-select-meedhupparu/diving__adaaran.com__selectmeedhupparu-gallery.md</t>
  </si>
  <si>
    <t xml:space="preserve">https://www.heritancehotels.com/aarah/offers/bologna-fc/</t>
  </si>
  <si>
    <t xml:space="preserve">Maldives Resort Offers | Bologna FC | Heritance Aarah</t>
  </si>
  <si>
    <t xml:space="preserve">output/pages/035_heritance-aarah/diving__heritancehotels.com__aarah-offers-bologna-fc.md</t>
  </si>
  <si>
    <t xml:space="preserve">https://www.adaaran.com/selectmeedhupparu/offers/romantic-getaway/</t>
  </si>
  <si>
    <t xml:space="preserve">Honeymoon Offers Maldives | Adaaran Meedhupparu | Romantic Gateway</t>
  </si>
  <si>
    <t xml:space="preserve">output/pages/034_adaaran-select-meedhupparu/wedding__adaaran.com__selectmeedhupparu-offers-romantic-getaway.md</t>
  </si>
  <si>
    <t xml:space="preserve">https://www.cocoonmaldives.com/watersport-diving</t>
  </si>
  <si>
    <t xml:space="preserve">Water Sports and Diving | Cocoon Maldives Design Hotel</t>
  </si>
  <si>
    <t xml:space="preserve">output/pages/032_cocoon-maldives/diving__cocoonmaldives.com__watersport-diving.md</t>
  </si>
  <si>
    <t xml:space="preserve">https://www.heritancehotels.com/aarah/experiences/photography-and-videography/</t>
  </si>
  <si>
    <t xml:space="preserve">Photography Services | Photograph at Heritance Aarah Maldives</t>
  </si>
  <si>
    <t xml:space="preserve">output/pages/035_heritance-aarah/diving__heritancehotels.com__aarah-experiences-photography-and-videography.md</t>
  </si>
  <si>
    <t xml:space="preserve">https://www.adaaran.com/selectmeedhupparu/location/maldives-attractions/</t>
  </si>
  <si>
    <t xml:space="preserve">Maldives Sightseeing | Maldives Attractions | Adaaran Meedhupparu</t>
  </si>
  <si>
    <t xml:space="preserve">output/pages/034_adaaran-select-meedhupparu/diving__adaaran.com__selectmeedhupparu-location-maldives-attractions.md</t>
  </si>
  <si>
    <t xml:space="preserve">https://www.heritancehotels.com/aarah/facilities/transfers/</t>
  </si>
  <si>
    <t xml:space="preserve">Maldives Transfers | Heritance Aarah | Get In</t>
  </si>
  <si>
    <t xml:space="preserve">output/pages/035_heritance-aarah/diving__heritancehotels.com__aarah-facilities-transfers.md</t>
  </si>
  <si>
    <t xml:space="preserve">https://www.cocoonmaldives.com/offers</t>
  </si>
  <si>
    <t xml:space="preserve">Offers | Cocoon Maldives Design Hotel</t>
  </si>
  <si>
    <t xml:space="preserve">output/pages/032_cocoon-maldives/diving__cocoonmaldives.com__offers.md</t>
  </si>
  <si>
    <t xml:space="preserve">https://www.adaaran.com/selectmeedhupparu/offers/eid-al-fitr-offer/</t>
  </si>
  <si>
    <t xml:space="preserve">Eid Al-Fitr | Adaaran Select Meedhupparu</t>
  </si>
  <si>
    <t xml:space="preserve">output/pages/034_adaaran-select-meedhupparu/offers__adaaran.com__selectmeedhupparu-offers-eid-al-fitr-offer.md</t>
  </si>
  <si>
    <t xml:space="preserve">https://www.heritancehotels.com/aarah/dining/ralu-overwater-restaurant/</t>
  </si>
  <si>
    <t xml:space="preserve">Top Restaurants in Maldives | Ralu of Heritance Aarah</t>
  </si>
  <si>
    <t xml:space="preserve">output/pages/035_heritance-aarah/dining__heritancehotels.com__aarah-dining-ralu-overwater-restaurant.md</t>
  </si>
  <si>
    <t xml:space="preserve">https://www.cocoonmaldives.com/japanese-garden</t>
  </si>
  <si>
    <t xml:space="preserve">Japanese Garden | Cocoon Maldives Design Hotel</t>
  </si>
  <si>
    <t xml:space="preserve">output/pages/032_cocoon-maldives/diving__cocoonmaldives.com__japanese-garden.md</t>
  </si>
  <si>
    <t xml:space="preserve">https://www.adaaran.com/selectmeedhupparu/location/</t>
  </si>
  <si>
    <t xml:space="preserve">Maldives Resort Island | Location | Adaaran Select Meedhupparu</t>
  </si>
  <si>
    <t xml:space="preserve">output/pages/034_adaaran-select-meedhupparu/diving__adaaran.com__selectmeedhupparu-location.md</t>
  </si>
  <si>
    <t xml:space="preserve">https://www.heritancehotels.com/aarah/accommodation/sunset-pool-and-beach-villas/</t>
  </si>
  <si>
    <t xml:space="preserve">Maldives Beach Villa with Private Pool | Heritance Aarah</t>
  </si>
  <si>
    <t xml:space="preserve">output/pages/035_heritance-aarah/diving__heritancehotels.com__aarah-accommodation-sunset-pool-and-beach-villas.md</t>
  </si>
  <si>
    <t xml:space="preserve">https://www.nivadhigali.com/privacy-policy/</t>
  </si>
  <si>
    <t xml:space="preserve">Privacy Policy | Niva Dhigali Maldives</t>
  </si>
  <si>
    <t xml:space="preserve">output/pages/033_dhigali-maldives/diving__nivadhigali.com__privacy-policy.md</t>
  </si>
  <si>
    <t xml:space="preserve">https://www.adaaran.com/selectmeedhupparu/dining/thavaa-restaurant/</t>
  </si>
  <si>
    <t xml:space="preserve">Mediterranean Maldives | Thavaa Restaurant | Adaaran Meedhupparu</t>
  </si>
  <si>
    <t xml:space="preserve">output/pages/034_adaaran-select-meedhupparu/dining__adaaran.com__selectmeedhupparu-dining-thavaa-restaurant.md</t>
  </si>
  <si>
    <t xml:space="preserve">https://www.heritancehotels.com/aarah/dining/hathaa-overwater-restaurant/</t>
  </si>
  <si>
    <t xml:space="preserve">Hathaa Overwater Maldives Restaurant | Heritance Aarah</t>
  </si>
  <si>
    <t xml:space="preserve">output/pages/035_heritance-aarah/dining__heritancehotels.com__aarah-dining-hathaa-overwater-restaurant.md</t>
  </si>
  <si>
    <t xml:space="preserve">https://www.adaaran.com/selectmeedhupparu/villas/deluxe-family-beach-villa/</t>
  </si>
  <si>
    <t xml:space="preserve">Deluxe Family Beach Villa | Adaaran Select Meedhupparu</t>
  </si>
  <si>
    <t xml:space="preserve">output/pages/034_adaaran-select-meedhupparu/kids__adaaran.com__selectmeedhupparu-villas-deluxe-family-beach-villa.md</t>
  </si>
  <si>
    <t xml:space="preserve">https://www.adaaran.com/selectmeedhupparu/villas/sunset-beach-villas/</t>
  </si>
  <si>
    <t xml:space="preserve">Sunset Beach Villa Maldives | Adaaran Select Meedhupparu</t>
  </si>
  <si>
    <t xml:space="preserve">output/pages/034_adaaran-select-meedhupparu/diving__adaaran.com__selectmeedhupparu-villas-sunset-beach-villas.md</t>
  </si>
  <si>
    <t xml:space="preserve">https://www.adaaran.com/selectmeedhupparu/villas/jacuzzi-beach-villas/</t>
  </si>
  <si>
    <t xml:space="preserve">Beach Villas in Maldives | Jacuzzi Villas | Adaaran Meedhupparu</t>
  </si>
  <si>
    <t xml:space="preserve">output/pages/034_adaaran-select-meedhupparu/diving__adaaran.com__selectmeedhupparu-villas-jacuzzi-beach-villas.md</t>
  </si>
  <si>
    <t xml:space="preserve">https://www.heritancehotels.com/aarah/facilities/kokaa-kids-club/</t>
  </si>
  <si>
    <t xml:space="preserve">Family Hotel Maldives | Heritance Aarah Resort Koka Kids Club</t>
  </si>
  <si>
    <t xml:space="preserve">output/pages/035_heritance-aarah/diving__heritancehotels.com__aarah-facilities-kokaa-kids-club.md</t>
  </si>
  <si>
    <t xml:space="preserve">https://www.adaaran.com/selectmeedhupparu/facilities/spa/</t>
  </si>
  <si>
    <t xml:space="preserve">Maldives Spa Hotel | Adaaran Select Meedhupparu | Spa Facility</t>
  </si>
  <si>
    <t xml:space="preserve">output/pages/034_adaaran-select-meedhupparu/spa__adaaran.com__selectmeedhupparu-facilities-spa.md</t>
  </si>
  <si>
    <t xml:space="preserve">https://www.heritancehotels.com/aarah/experiences/maldivian-village/</t>
  </si>
  <si>
    <t xml:space="preserve">Best Places to See in Maldives | Village Experience | Heritance Aarah</t>
  </si>
  <si>
    <t xml:space="preserve">output/pages/035_heritance-aarah/diving__heritancehotels.com__aarah-experiences-maldivian-village.md</t>
  </si>
  <si>
    <t xml:space="preserve">https://www.adaaran.com/selectmeedhupparu/villas/water-villa/</t>
  </si>
  <si>
    <t xml:space="preserve">Overwater Villa in Maldives | Adaaran Select Meedhupparu</t>
  </si>
  <si>
    <t xml:space="preserve">output/pages/034_adaaran-select-meedhupparu/diving__adaaran.com__selectmeedhupparu-villas-water-villa.md</t>
  </si>
  <si>
    <t xml:space="preserve">https://www.heritancehotels.com/aarah/dining/ralu-overwater-lounge-bar/</t>
  </si>
  <si>
    <t xml:space="preserve">Ralu Overwater Lounge Bar in Maldives | Heritance Hotels</t>
  </si>
  <si>
    <t xml:space="preserve">output/pages/035_heritance-aarah/dining__heritancehotels.com__aarah-dining-ralu-overwater-lounge-bar.md</t>
  </si>
  <si>
    <t xml:space="preserve">https://www.adaaran.com/selectmeedhupparu/dining/albino-bar/</t>
  </si>
  <si>
    <t xml:space="preserve">Maldives Beach Restaurant | Albino Bar at Adaaran Meedhupparu</t>
  </si>
  <si>
    <t xml:space="preserve">output/pages/034_adaaran-select-meedhupparu/dining__adaaran.com__selectmeedhupparu-dining-albino-bar.md</t>
  </si>
  <si>
    <t xml:space="preserve">https://www.heritancehotels.com/aarah/dining/baani-overwater-fine-dining/</t>
  </si>
  <si>
    <t xml:space="preserve">Fine Dining Maldives | Banni Restaurant at Heritance Aarah</t>
  </si>
  <si>
    <t xml:space="preserve">output/pages/035_heritance-aarah/dining__heritancehotels.com__aarah-dining-baani-overwater-fine-dining.md</t>
  </si>
  <si>
    <t xml:space="preserve">https://www.adaaran.com/selectmeedhupparu/dining/pool-bar/</t>
  </si>
  <si>
    <t xml:space="preserve">Maldives Beach Bar | Adaaran Select Meedhupparu | Pool Bar</t>
  </si>
  <si>
    <t xml:space="preserve">output/pages/034_adaaran-select-meedhupparu/dining__adaaran.com__selectmeedhupparu-dining-pool-bar.md</t>
  </si>
  <si>
    <t xml:space="preserve">https://www.heritancehotels.com/aarah/dining/ranba-restaurant/</t>
  </si>
  <si>
    <t xml:space="preserve">Best Restaurant in Maldives | Ranba International Buffet of Heritance Aarah</t>
  </si>
  <si>
    <t xml:space="preserve">output/pages/035_heritance-aarah/dining__heritancehotels.com__aarah-dining-ranba-restaurant.md</t>
  </si>
  <si>
    <t xml:space="preserve">https://www.adaaran.com/selectmeedhupparu/offers/long-stay-offer/</t>
  </si>
  <si>
    <t xml:space="preserve">Maldives Island Hotel Offer | Long Stay Offer at Adaaran Meedhupparu</t>
  </si>
  <si>
    <t xml:space="preserve">output/pages/034_adaaran-select-meedhupparu/diving__adaaran.com__selectmeedhupparu-offers-long-stay-offer.md</t>
  </si>
  <si>
    <t xml:space="preserve">https://www.heritancehotels.com/aarah/accommodation/</t>
  </si>
  <si>
    <t xml:space="preserve">Maldives All Inclusive Hotel and Resort | Suites and Villas at Heritance Aarah</t>
  </si>
  <si>
    <t xml:space="preserve">output/pages/035_heritance-aarah/diving__heritancehotels.com__aarah-accommodation.md</t>
  </si>
  <si>
    <t xml:space="preserve">https://www.adaaran.com/selectmeedhupparu/offers/family-getaway/</t>
  </si>
  <si>
    <t xml:space="preserve">Maldives Family Vacation Packages | Adaaran Meedhupparu</t>
  </si>
  <si>
    <t xml:space="preserve">output/pages/034_adaaran-select-meedhupparu/diving__adaaran.com__selectmeedhupparu-offers-family-getaway.md</t>
  </si>
  <si>
    <t xml:space="preserve">https://www.heritancehotels.com/aarah/experiences/</t>
  </si>
  <si>
    <t xml:space="preserve">Things to do in Maldives | Experiences Aat Heritance Aarah</t>
  </si>
  <si>
    <t xml:space="preserve">output/pages/035_heritance-aarah/diving__heritancehotels.com__aarah-experiences.md</t>
  </si>
  <si>
    <t xml:space="preserve">https://www.adaaran.com/selectmeedhupparu/facilities/spa/spa-packages/</t>
  </si>
  <si>
    <t xml:space="preserve">Maldives Spa Holiday | Spa Packages | Adaaran Select Meedhupparu</t>
  </si>
  <si>
    <t xml:space="preserve">output/pages/034_adaaran-select-meedhupparu/spa__adaaran.com__selectmeedhupparu-facilities-spa-spa-packages.md</t>
  </si>
  <si>
    <t xml:space="preserve">https://www.heritancehotels.com/aarah/iaso-spa/aesthetics/</t>
  </si>
  <si>
    <t xml:space="preserve">Aesthetic Treatments at Iaso Spa | Heritance Aarah Resort</t>
  </si>
  <si>
    <t xml:space="preserve">output/pages/035_heritance-aarah/dining__heritancehotels.com__aarah-iaso-spa-aesthetics.md</t>
  </si>
  <si>
    <t xml:space="preserve">https://www.adaaran.com/selectmeedhupparu/dining/cafe-mass/</t>
  </si>
  <si>
    <t xml:space="preserve">Cafes in Maldives | Adaaran Select Meedhupparu  | Café Mass</t>
  </si>
  <si>
    <t xml:space="preserve">output/pages/034_adaaran-select-meedhupparu/dining__adaaran.com__selectmeedhupparu-dining-cafe-mass.md</t>
  </si>
  <si>
    <t xml:space="preserve">https://www.heritancehotels.com/aarah/experiences/kite-surfing/</t>
  </si>
  <si>
    <t xml:space="preserve">Maldives Kitesurfing Resort | Heritance Aarah Maldives</t>
  </si>
  <si>
    <t xml:space="preserve">output/pages/035_heritance-aarah/diving__heritancehotels.com__aarah-experiences-kite-surfing.md</t>
  </si>
  <si>
    <t xml:space="preserve">https://www.adaaran.com/selectmeedhupparu/experiences/watersports/</t>
  </si>
  <si>
    <t xml:space="preserve">Maldives Water Sports | Watersports | Adaaran Select Meedhupparu</t>
  </si>
  <si>
    <t xml:space="preserve">output/pages/034_adaaran-select-meedhupparu/diving__adaaran.com__selectmeedhupparu-experiences-watersports.md</t>
  </si>
  <si>
    <t xml:space="preserve">https://www.adaaran.com/selectmeedhupparu/dining/jaafaiy-restaurant/</t>
  </si>
  <si>
    <t xml:space="preserve">Restaurant in Maldives | Jaafaiy Restaurant | Adaaran Meedhupparu</t>
  </si>
  <si>
    <t xml:space="preserve">output/pages/034_adaaran-select-meedhupparu/dining__adaaran.com__selectmeedhupparu-dining-jaafaiy-restaurant.md</t>
  </si>
  <si>
    <t xml:space="preserve">https://www.adaaran.com/selectmeedhupparu/villas/one-bedroom-family-beach-villa/</t>
  </si>
  <si>
    <t xml:space="preserve">output/pages/034_adaaran-select-meedhupparu/diving__adaaran.com__selectmeedhupparu-villas-one-bedroom-family-beach-villa.md</t>
  </si>
  <si>
    <t xml:space="preserve">https://www.heritancehotels.com/aarah/au-event/</t>
  </si>
  <si>
    <t xml:space="preserve">Heritance Aarah LUXPERIENCE | Heritance Hotels</t>
  </si>
  <si>
    <t xml:space="preserve">output/pages/035_heritance-aarah/events__heritancehotels.com__aarah-au-event.md</t>
  </si>
  <si>
    <t xml:space="preserve">https://www.adaaran.com/selectmeedhupparu/experiences/</t>
  </si>
  <si>
    <t xml:space="preserve">Maldives Activities | Excursions | Adaaran Select Meedhupparu</t>
  </si>
  <si>
    <t xml:space="preserve">output/pages/034_adaaran-select-meedhupparu/diving__adaaran.com__selectmeedhupparu-experiences.md</t>
  </si>
  <si>
    <t xml:space="preserve">https://www.heritancehotels.com/aarah/sustainability/</t>
  </si>
  <si>
    <t xml:space="preserve">Eco Resort Maldives | Sustainability at Heritance Aarah</t>
  </si>
  <si>
    <t xml:space="preserve">output/pages/035_heritance-aarah/diving__heritancehotels.com__aarah-sustainability.md</t>
  </si>
  <si>
    <t xml:space="preserve">https://www.heritancehotels.com/aarah/accommodation/ocean-residences-with-infinity-lap-pool/</t>
  </si>
  <si>
    <t xml:space="preserve">Maldives Ocean Residence | Heritance Aarah | Ocean Residence with Infinity Pool</t>
  </si>
  <si>
    <t xml:space="preserve">output/pages/035_heritance-aarah/diving__heritancehotels.com__aarah-accommodation-ocean-residences-with-infinity-lap-pool.md</t>
  </si>
  <si>
    <t xml:space="preserve">https://www.adaaran.com/selectmeedhupparu/offers/</t>
  </si>
  <si>
    <t xml:space="preserve">Maldives All Inclusive Deals | Offers |  Adaaran Meedhupparu</t>
  </si>
  <si>
    <t xml:space="preserve">output/pages/034_adaaran-select-meedhupparu/diving__adaaran.com__selectmeedhupparu-offers.md</t>
  </si>
  <si>
    <t xml:space="preserve">https://www.heritancehotels.com/aarah/offers/romantic-getaway/</t>
  </si>
  <si>
    <t xml:space="preserve">Honeymoon Offers in Maldives | Heritance Aarah</t>
  </si>
  <si>
    <t xml:space="preserve">output/pages/035_heritance-aarah/wedding__heritancehotels.com__aarah-offers-romantic-getaway.md</t>
  </si>
  <si>
    <t xml:space="preserve">https://www.adaaran.com/selectmeedhupparu/villas/</t>
  </si>
  <si>
    <t xml:space="preserve">Maldives All Inclusive | Accommodation | Adaaran Meedhupparu</t>
  </si>
  <si>
    <t xml:space="preserve">output/pages/034_adaaran-select-meedhupparu/diving__adaaran.com__selectmeedhupparu-villas.md</t>
  </si>
  <si>
    <t xml:space="preserve">https://www.heritancehotels.com/aarah/iaso-spa/medical-assessment/</t>
  </si>
  <si>
    <t xml:space="preserve">Professional Health &amp; Medical Assessments | Heritance Aarah Resort</t>
  </si>
  <si>
    <t xml:space="preserve">output/pages/035_heritance-aarah/spa__heritancehotels.com__aarah-iaso-spa-medical-assessment.md</t>
  </si>
  <si>
    <t xml:space="preserve">https://www.adaaran.com/selectmeedhupparu/dining/</t>
  </si>
  <si>
    <t xml:space="preserve">Best Restaurants in Maldives | Dining | Adaaran Meedhupparu</t>
  </si>
  <si>
    <t xml:space="preserve">output/pages/034_adaaran-select-meedhupparu/dining__adaaran.com__selectmeedhupparu-dining.md</t>
  </si>
  <si>
    <t xml:space="preserve">https://www.heritancehotels.com/aarah/experiences/jet-ski-tours/</t>
  </si>
  <si>
    <t xml:space="preserve">Jet Ski Tours | Heritance Aarah Maldives</t>
  </si>
  <si>
    <t xml:space="preserve">output/pages/035_heritance-aarah/diving__heritancehotels.com__aarah-experiences-jet-ski-tours.md</t>
  </si>
  <si>
    <t xml:space="preserve">https://www.heritancehotels.com/aarah/experiences/photography-and-videography/request-acknowledgement-photography-and-videography/</t>
  </si>
  <si>
    <t xml:space="preserve">Request Acknowledgement - Photography and Videography | Heritance Hotels</t>
  </si>
  <si>
    <t xml:space="preserve">output/pages/035_heritance-aarah/excursions__heritancehotels.com__aarah-experiences-photography-and-videography-request-acknow.md</t>
  </si>
  <si>
    <t xml:space="preserve">https://www.heritancehotels.com/aarah/facilities/weddings/</t>
  </si>
  <si>
    <t xml:space="preserve">Maldives Wedding Resort | Heritance Aarah | Weddng Venue</t>
  </si>
  <si>
    <t xml:space="preserve">output/pages/035_heritance-aarah/wedding__heritancehotels.com__aarah-facilities-weddings.md</t>
  </si>
  <si>
    <t xml:space="preserve">https://www.heritancehotels.com/aarah/accommodation/overwater-ocean-suites-with-infinity-pool/</t>
  </si>
  <si>
    <t xml:space="preserve">Overwater Suite Maldives | Ocean Suite with Pool at Heritance Aarah</t>
  </si>
  <si>
    <t xml:space="preserve">output/pages/035_heritance-aarah/diving__heritancehotels.com__aarah-accommodation-overwater-ocean-suites-with-infinity-poo.md</t>
  </si>
  <si>
    <t xml:space="preserve">https://www.heritancehotels.com/aarah/iaso-spa/wellness-packages/</t>
  </si>
  <si>
    <t xml:space="preserve">Wellness Package Maldives | Heritance Aarah Resort</t>
  </si>
  <si>
    <t xml:space="preserve">output/pages/035_heritance-aarah/spa__heritancehotels.com__aarah-iaso-spa-wellness-packages.md</t>
  </si>
  <si>
    <t xml:space="preserve">https://www.adaaran.com/selectmeedhupparu/offers/my-adaaran/</t>
  </si>
  <si>
    <t xml:space="preserve">output/pages/034_adaaran-select-meedhupparu/diving__adaaran.com__selectmeedhupparu-offers-my-adaaran.md</t>
  </si>
  <si>
    <t xml:space="preserve">https://www.heritancehotels.com/aarah/dining/bandhi-pool-bar/</t>
  </si>
  <si>
    <t xml:space="preserve">Bandhi Bar in Maldives | Heritance Aarah</t>
  </si>
  <si>
    <t xml:space="preserve">output/pages/035_heritance-aarah/dining__heritancehotels.com__aarah-dining-bandhi-pool-bar.md</t>
  </si>
  <si>
    <t xml:space="preserve">https://www.heritancehotels.com/aarah/gallery/</t>
  </si>
  <si>
    <t xml:space="preserve">Beautiful Resort in Maldives | Gallery at Heritance Aarah</t>
  </si>
  <si>
    <t xml:space="preserve">output/pages/035_heritance-aarah/diving__heritancehotels.com__aarah-gallery.md</t>
  </si>
  <si>
    <t xml:space="preserve">https://www.cocoonmaldives.com/entertainment</t>
  </si>
  <si>
    <t xml:space="preserve">Entertainment | Cocoon Maldives Design Hotel</t>
  </si>
  <si>
    <t xml:space="preserve">output/pages/032_cocoon-maldives/diving__cocoonmaldives.com__entertainment.md</t>
  </si>
  <si>
    <t xml:space="preserve">https://www.heritancehotels.com/aarah/experiences/catamaran-sailing/</t>
  </si>
  <si>
    <t xml:space="preserve">Catamaran Sailing Maldives with Heritance Aarah Resort</t>
  </si>
  <si>
    <t xml:space="preserve">output/pages/035_heritance-aarah/diving__heritancehotels.com__aarah-experiences-catamaran-sailing.md</t>
  </si>
  <si>
    <t xml:space="preserve">https://www.cocoonmaldives.com/news/cocoon-maldives-wins-2-prestigious-awards-at-sata-2022-</t>
  </si>
  <si>
    <t xml:space="preserve">Cocoon Maldives Wins 2 Prestigious Awards at SATA 2022  | Cocoon Maldives  New</t>
  </si>
  <si>
    <t xml:space="preserve">output/pages/032_cocoon-maldives/diving__cocoonmaldives.com__news-cocoon-maldives-wins-2-prestigious-awards-at-sata-2022.md</t>
  </si>
  <si>
    <t xml:space="preserve">https://www.adaaran.com/selectmeedhupparu/the-island-calendar/</t>
  </si>
  <si>
    <t xml:space="preserve">The Island Calendar | Adaaran Select Meedhupparu</t>
  </si>
  <si>
    <t xml:space="preserve">output/pages/034_adaaran-select-meedhupparu/overview__adaaran.com__selectmeedhupparu-the-island-calendar.md</t>
  </si>
  <si>
    <t xml:space="preserve">https://www.heritancehotels.com/aarah/offers/heritance-exclusive/</t>
  </si>
  <si>
    <t xml:space="preserve">Maldives Resort Offers | Island Getaways | Heritance Aarah</t>
  </si>
  <si>
    <t xml:space="preserve">output/pages/035_heritance-aarah/diving__heritancehotels.com__aarah-offers-heritance-exclusive.md</t>
  </si>
  <si>
    <t xml:space="preserve">https://www.cocoonmaldives.com/lagoon-suite-with-pool</t>
  </si>
  <si>
    <t xml:space="preserve">Lagoon Suite with Pool | Cocoon Maldives Design Hotel</t>
  </si>
  <si>
    <t xml:space="preserve">output/pages/032_cocoon-maldives/diving__cocoonmaldives.com__lagoon-suite-with-pool.md</t>
  </si>
  <si>
    <t xml:space="preserve">https://www.heritancehotels.com/aarah/dining/sky-overwater-bar/</t>
  </si>
  <si>
    <t xml:space="preserve">Maldives Resort Bar | Sky Bar at Heritance Aarah Maldives</t>
  </si>
  <si>
    <t xml:space="preserve">output/pages/035_heritance-aarah/dining__heritancehotels.com__aarah-dining-sky-overwater-bar.md</t>
  </si>
  <si>
    <t xml:space="preserve">https://www.heritancehotels.com/aarah/experiences/things-to-do/</t>
  </si>
  <si>
    <t xml:space="preserve">Things to do | Heritance Hotels</t>
  </si>
  <si>
    <t xml:space="preserve">output/pages/035_heritance-aarah/excursions__heritancehotels.com__aarah-experiences-things-to-do.md</t>
  </si>
  <si>
    <t xml:space="preserve">https://www.cocoonmaldives.com/loabiloabi-bar</t>
  </si>
  <si>
    <t xml:space="preserve">Loabi Loabi Bar | Cocoon Maldives Design Hotel</t>
  </si>
  <si>
    <t xml:space="preserve">output/pages/032_cocoon-maldives/dining__cocoonmaldives.com__loabiloabi-bar.md</t>
  </si>
  <si>
    <t xml:space="preserve">https://www.cocoonmaldives.com/family-beach-villa</t>
  </si>
  <si>
    <t xml:space="preserve">Family Beach Villa | Cocoon Maldives Design Hotel</t>
  </si>
  <si>
    <t xml:space="preserve">output/pages/032_cocoon-maldives/diving__cocoonmaldives.com__family-beach-villa.md</t>
  </si>
  <si>
    <t xml:space="preserve">https://www.heritancehotels.com/aarah/iaso-spa/</t>
  </si>
  <si>
    <t xml:space="preserve">Maldives Spa Resorts | Spa at Heritance Aarah Resort</t>
  </si>
  <si>
    <t xml:space="preserve">output/pages/035_heritance-aarah/spa__heritancehotels.com__aarah-iaso-spa.md</t>
  </si>
  <si>
    <t xml:space="preserve">https://www.heritancehotels.com/aarah/premium-all-inclusive-packages/</t>
  </si>
  <si>
    <t xml:space="preserve">Premium All Inclusive in Maldives | Heritance Aarah Resort</t>
  </si>
  <si>
    <t xml:space="preserve">output/pages/035_heritance-aarah/diving__heritancehotels.com__aarah-premium-all-inclusive-packages.md</t>
  </si>
  <si>
    <t xml:space="preserve">https://www.cocoonmaldives.com/meal-plan-overview</t>
  </si>
  <si>
    <t xml:space="preserve">Meal Plan Overview | Cocoon Maldives Design Hotel</t>
  </si>
  <si>
    <t xml:space="preserve">output/pages/032_cocoon-maldives/diving__cocoonmaldives.com__meal-plan-overview.md</t>
  </si>
  <si>
    <t xml:space="preserve">https://www.cocoonmaldives.com/beach-suite-with-pool</t>
  </si>
  <si>
    <t xml:space="preserve">Beach Suite with Pool | Cocoon Maldives Design Hotel</t>
  </si>
  <si>
    <t xml:space="preserve">output/pages/032_cocoon-maldives/diving__cocoonmaldives.com__beach-suite-with-pool.md</t>
  </si>
  <si>
    <t xml:space="preserve">https://www.heritancehotels.com/aarah/iaso-spa/iaso-spa-special-promotions/</t>
  </si>
  <si>
    <t xml:space="preserve">Maldives Spa Packages | Heritance Aarah | Spa Promotions</t>
  </si>
  <si>
    <t xml:space="preserve">output/pages/035_heritance-aarah/spa__heritancehotels.com__aarah-iaso-spa-iaso-spa-special-promotions.md</t>
  </si>
  <si>
    <t xml:space="preserve">https://www.heritancehotels.com/aarah/facilities/daily-activities-and-entertainment-in-maldives/</t>
  </si>
  <si>
    <t xml:space="preserve">Activities to do in Maldives | Daily Entertainment at Heritance Aarah</t>
  </si>
  <si>
    <t xml:space="preserve">output/pages/035_heritance-aarah/diving__heritancehotels.com__aarah-facilities-daily-activities-and-entertainment-in-maldi.md</t>
  </si>
  <si>
    <t xml:space="preserve">https://www.heritancehotels.com/aarah/offers/free-transfers/</t>
  </si>
  <si>
    <t xml:space="preserve">Free Transfer Offers in Maldives | Heritance Aarah</t>
  </si>
  <si>
    <t xml:space="preserve">output/pages/035_heritance-aarah/diving__heritancehotels.com__aarah-offers-free-transfers.md</t>
  </si>
  <si>
    <t xml:space="preserve">https://www.cocoonmaldives.com/spa</t>
  </si>
  <si>
    <t xml:space="preserve">The Cube Spa | Cocoon Maldives Design Hotel</t>
  </si>
  <si>
    <t xml:space="preserve">output/pages/032_cocoon-maldives/spa__cocoonmaldives.com__spa.md</t>
  </si>
  <si>
    <t xml:space="preserve">https://www.heritancehotels.com/aarah/dining/pizza-shack/</t>
  </si>
  <si>
    <t xml:space="preserve">Maldives Pizza Restaurant | Pizza Shack at Heritance Aarah</t>
  </si>
  <si>
    <t xml:space="preserve">output/pages/035_heritance-aarah/dining__heritancehotels.com__aarah-dining-pizza-shack.md</t>
  </si>
  <si>
    <t xml:space="preserve">https://www.cocoonmaldives.com/adventureawaits</t>
  </si>
  <si>
    <t xml:space="preserve">Events | Cocoon Maldives  Design Hotel</t>
  </si>
  <si>
    <t xml:space="preserve">output/pages/032_cocoon-maldives/events__cocoonmaldives.com__adventureawaits.md</t>
  </si>
  <si>
    <t xml:space="preserve">https://www.heritancehotels.com/aarah/sitemap/</t>
  </si>
  <si>
    <t xml:space="preserve">Sitemap | Heritance Aarah</t>
  </si>
  <si>
    <t xml:space="preserve">output/pages/035_heritance-aarah/other__heritancehotels.com__aarah-sitemap.md</t>
  </si>
  <si>
    <t xml:space="preserve">https://www.heritancehotels.com/aarah/experiences/snorkeling/</t>
  </si>
  <si>
    <t xml:space="preserve">Best Maldives Resorts for Snorkeling | Snorkeling at Aarah</t>
  </si>
  <si>
    <t xml:space="preserve">output/pages/035_heritance-aarah/diving__heritancehotels.com__aarah-experiences-snorkeling.md</t>
  </si>
  <si>
    <t xml:space="preserve">https://www.cocoonmaldives.com/lagoonvilla</t>
  </si>
  <si>
    <t xml:space="preserve">Lagoon Villa | Cocoon Maldives Design Hotel</t>
  </si>
  <si>
    <t xml:space="preserve">output/pages/032_cocoon-maldives/diving__cocoonmaldives.com__lagoonvilla.md</t>
  </si>
  <si>
    <t xml:space="preserve">https://www.cocoonmaldives.com/news</t>
  </si>
  <si>
    <t xml:space="preserve">News | Cocoon Maldives Design Hotel</t>
  </si>
  <si>
    <t xml:space="preserve">output/pages/032_cocoon-maldives/diving__cocoonmaldives.com__news.md</t>
  </si>
  <si>
    <t xml:space="preserve">https://www.heritancehotels.com/aarah/location/</t>
  </si>
  <si>
    <t xml:space="preserve">Maldives Private Island Resort | Heritance Aarah | Location, Raa Atoll</t>
  </si>
  <si>
    <t xml:space="preserve">output/pages/035_heritance-aarah/diving__heritancehotels.com__aarah-location.md</t>
  </si>
  <si>
    <t xml:space="preserve">https://www.cocoonmaldives.com/photostudio</t>
  </si>
  <si>
    <t xml:space="preserve">Photo Studio | Cocoon Maldives Design Hotel</t>
  </si>
  <si>
    <t xml:space="preserve">output/pages/032_cocoon-maldives/diving__cocoonmaldives.com__photostudio.md</t>
  </si>
  <si>
    <t xml:space="preserve">https://www.heritancehotels.com/aarah/iaso-spa/hair-salon-and-nail-services/</t>
  </si>
  <si>
    <t xml:space="preserve">Premium Salon Treatments – Hair &amp; Nails | Heritance Aarah Resort</t>
  </si>
  <si>
    <t xml:space="preserve">output/pages/035_heritance-aarah/dining__heritancehotels.com__aarah-iaso-spa-hair-salon-and-nail-services.md</t>
  </si>
  <si>
    <t xml:space="preserve">https://www.heritancehotels.com/aarah/dining/falhu-overwater-bar/</t>
  </si>
  <si>
    <t xml:space="preserve">Best Bars in Maldives | Falhu Bar at Heritance Aarah</t>
  </si>
  <si>
    <t xml:space="preserve">output/pages/035_heritance-aarah/dining__heritancehotels.com__aarah-dining-falhu-overwater-bar.md</t>
  </si>
  <si>
    <t xml:space="preserve">https://www.heritancehotels.com/aarah/dining/</t>
  </si>
  <si>
    <t xml:space="preserve">Dining in Maldives| Restaurants at Heritance Aarah Resort</t>
  </si>
  <si>
    <t xml:space="preserve">output/pages/035_heritance-aarah/dining__heritancehotels.com__aarah-dining.md</t>
  </si>
  <si>
    <t xml:space="preserve">https://www.heritancehotels.com/aarah/offers/</t>
  </si>
  <si>
    <t xml:space="preserve">Maldives Resort Package | Heritance Aarah Special Offers</t>
  </si>
  <si>
    <t xml:space="preserve">output/pages/035_heritance-aarah/diving__heritancehotels.com__aarah-offers.md</t>
  </si>
  <si>
    <t xml:space="preserve">https://www.cocoonmaldives.com/lagoon-suite-with-slide</t>
  </si>
  <si>
    <t xml:space="preserve">Lagoon Suite with Slide | Cocoon Maldives Design Hotel</t>
  </si>
  <si>
    <t xml:space="preserve">output/pages/032_cocoon-maldives/diving__cocoonmaldives.com__lagoon-suite-with-slide.md</t>
  </si>
  <si>
    <t xml:space="preserve">https://www.heritancehotels.com/aarah/?lang=zh-hans</t>
  </si>
  <si>
    <r>
      <rPr>
        <sz val="11"/>
        <color theme="1"/>
        <rFont val="WenQuanYi Zen Hei"/>
        <family val="2"/>
      </rPr>
      <t xml:space="preserve">马尔代夫高端一价全包度假酒店 </t>
    </r>
    <r>
      <rPr>
        <sz val="11"/>
        <color theme="1"/>
        <rFont val="Calibri"/>
        <family val="2"/>
        <charset val="1"/>
      </rPr>
      <t xml:space="preserve">| </t>
    </r>
    <r>
      <rPr>
        <sz val="11"/>
        <color theme="1"/>
        <rFont val="WenQuanYi Zen Hei"/>
        <family val="2"/>
      </rPr>
      <t xml:space="preserve">瑰宝岛阿拉赫遗产酒店官网</t>
    </r>
  </si>
  <si>
    <t xml:space="preserve">output/pages/035_heritance-aarah/other__heritancehotels.com__aarah.md</t>
  </si>
  <si>
    <t xml:space="preserve">https://www.heritancehotels.com/aarah/iaso-spa-in-maldives/</t>
  </si>
  <si>
    <t xml:space="preserve">output/pages/035_heritance-aarah/spa__heritancehotels.com__aarah-iaso-spa-in-maldives.md</t>
  </si>
  <si>
    <t xml:space="preserve">https://www.cocoonmaldives.com/august-escape-offer</t>
  </si>
  <si>
    <t xml:space="preserve">August Escape Offer | Cocoon Maldives  Design Hotel</t>
  </si>
  <si>
    <t xml:space="preserve">output/pages/032_cocoon-maldives/diving__cocoonmaldives.com__august-escape-offer.md</t>
  </si>
  <si>
    <t xml:space="preserve">https://www.cocoonmaldives.com/beachsuite</t>
  </si>
  <si>
    <t xml:space="preserve">Beach Suite | Cocoon Maldives Design Hotel</t>
  </si>
  <si>
    <t xml:space="preserve">output/pages/032_cocoon-maldives/diving__cocoonmaldives.com__beachsuite.md</t>
  </si>
  <si>
    <t xml:space="preserve">https://www.heritancehotels.com/aarah/dining/udaras-overwater-infinity-pool-bar/</t>
  </si>
  <si>
    <t xml:space="preserve">Maldives Bar | Udaras Infinity Pool Bar | Heritance Aarah</t>
  </si>
  <si>
    <t xml:space="preserve">output/pages/035_heritance-aarah/dining__heritancehotels.com__aarah-dining-udaras-overwater-infinity-pool-bar.md</t>
  </si>
  <si>
    <t xml:space="preserve">https://www.heritancehotels.com/aarah/?lang=ja</t>
  </si>
  <si>
    <t xml:space="preserve">モルディブのプレミアム・オールインクルーシブリゾート｜ヘリタンス・アーラ公式サイト</t>
  </si>
  <si>
    <t xml:space="preserve">https://www.heritancehotels.com/aarah/?lang=ru</t>
  </si>
  <si>
    <t xml:space="preserve">Курорт по системе «Премиум всё включено» на Мальдивах | «Heritance Aarah«</t>
  </si>
  <si>
    <t xml:space="preserve">https://www.cocoonmaldives.com/watersports-diving</t>
  </si>
  <si>
    <t xml:space="preserve">Water Sports &amp; Diving | Cocoon Maldives  Design Hotel</t>
  </si>
  <si>
    <t xml:space="preserve">output/pages/032_cocoon-maldives/diving__cocoonmaldives.com__watersports-diving.md</t>
  </si>
  <si>
    <t xml:space="preserve">https://www.heritancehotels.com/aarah/dining/ambula-overwater-restaurant/?lang=ja</t>
  </si>
  <si>
    <r>
      <rPr>
        <sz val="11"/>
        <color theme="1"/>
        <rFont val="WenQuanYi Zen Hei"/>
        <family val="2"/>
      </rPr>
      <t xml:space="preserve">モルディブ屈指のレストラン </t>
    </r>
    <r>
      <rPr>
        <sz val="11"/>
        <color theme="1"/>
        <rFont val="Calibri"/>
        <family val="2"/>
        <charset val="1"/>
      </rPr>
      <t xml:space="preserve">| </t>
    </r>
    <r>
      <rPr>
        <sz val="11"/>
        <color theme="1"/>
        <rFont val="WenQuanYi Zen Hei"/>
        <family val="2"/>
      </rPr>
      <t xml:space="preserve">ヘリタンス・アーラ、アンブラ・オーバーウォーターレストラン</t>
    </r>
  </si>
  <si>
    <t xml:space="preserve">https://www.heritancehotels.com/aarah/dining/ambula-overwater-restaurant/?lang=zh-hans</t>
  </si>
  <si>
    <r>
      <rPr>
        <sz val="11"/>
        <color theme="1"/>
        <rFont val="WenQuanYi Zen Hei"/>
        <family val="2"/>
      </rPr>
      <t xml:space="preserve">马尔代夫顶级餐厅 </t>
    </r>
    <r>
      <rPr>
        <sz val="11"/>
        <color theme="1"/>
        <rFont val="Calibri"/>
        <family val="2"/>
        <charset val="1"/>
      </rPr>
      <t xml:space="preserve">| </t>
    </r>
    <r>
      <rPr>
        <sz val="11"/>
        <color theme="1"/>
        <rFont val="WenQuanYi Zen Hei"/>
        <family val="2"/>
      </rPr>
      <t xml:space="preserve">瑰宝岛阿拉赫遗产酒店安布拉水上餐厅</t>
    </r>
  </si>
  <si>
    <t xml:space="preserve">https://www.cocoonmaldives.com/dining</t>
  </si>
  <si>
    <t xml:space="preserve">Dining | Cocoon Maldives Design Hotel</t>
  </si>
  <si>
    <t xml:space="preserve">output/pages/032_cocoon-maldives/dining__cocoonmaldives.com__dining.md</t>
  </si>
  <si>
    <t xml:space="preserve">https://www.heritancehotels.com/aarah/wind-surfing/?lang=ja</t>
  </si>
  <si>
    <t xml:space="preserve">モルディブのウィンドサーフィン｜ヘリタンス・アーラ・モルディブ</t>
  </si>
  <si>
    <t xml:space="preserve">output/pages/035_heritance-aarah/diving__heritancehotels.com__aarah-wind-surfing.md</t>
  </si>
  <si>
    <t xml:space="preserve">https://www.cocoonmaldives.com/news/cocoon-maldives-appoints-ahmed-jihad-jay-as-new-general-manager</t>
  </si>
  <si>
    <t xml:space="preserve">Cocoon Maldives Appoints Ahmed Jihad-Jay as New General Manager | Cocoon Maldives  New</t>
  </si>
  <si>
    <t xml:space="preserve">output/pages/032_cocoon-maldives/diving__cocoonmaldives.com__news-cocoon-maldives-appoints-ahmed-jihad-jay-as-new-general.md</t>
  </si>
  <si>
    <t xml:space="preserve">https://www.cocoonmaldives.com/manta-restaurant</t>
  </si>
  <si>
    <t xml:space="preserve">Manta Restaurant | Cocoon Maldives Design Hotel</t>
  </si>
  <si>
    <t xml:space="preserve">output/pages/032_cocoon-maldives/dining__cocoonmaldives.com__manta-restaurant.md</t>
  </si>
  <si>
    <t xml:space="preserve">https://www.heritancehotels.com/aarah/experiences/wind-surfing/?lang=zh-hans</t>
  </si>
  <si>
    <r>
      <rPr>
        <sz val="11"/>
        <color theme="1"/>
        <rFont val="WenQuanYi Zen Hei"/>
        <family val="2"/>
      </rPr>
      <t xml:space="preserve">马尔代夫滑浪风帆 </t>
    </r>
    <r>
      <rPr>
        <sz val="11"/>
        <color theme="1"/>
        <rFont val="Calibri"/>
        <family val="2"/>
        <charset val="1"/>
      </rPr>
      <t xml:space="preserve">| </t>
    </r>
    <r>
      <rPr>
        <sz val="11"/>
        <color theme="1"/>
        <rFont val="WenQuanYi Zen Hei"/>
        <family val="2"/>
      </rPr>
      <t xml:space="preserve">瑰宝岛阿拉赫遗产酒店滑浪风帆体验</t>
    </r>
  </si>
  <si>
    <t xml:space="preserve">https://www.cocoonmaldives.com/accomodation</t>
  </si>
  <si>
    <t xml:space="preserve">Accommodation | Cocoon Maldives Design Hotel</t>
  </si>
  <si>
    <t xml:space="preserve">output/pages/032_cocoon-maldives/diving__cocoonmaldives.com__accomodation.md</t>
  </si>
  <si>
    <t xml:space="preserve">https://www.heritancehotels.com/aarah/dining/ginifati-private-dining/?lang=zh-hans</t>
  </si>
  <si>
    <r>
      <rPr>
        <sz val="11"/>
        <color theme="1"/>
        <rFont val="WenQuanYi Zen Hei"/>
        <family val="2"/>
      </rPr>
      <t xml:space="preserve">马尔代夫吉尼法蒂私密用餐 </t>
    </r>
    <r>
      <rPr>
        <sz val="11"/>
        <color theme="1"/>
        <rFont val="Calibri"/>
        <family val="2"/>
        <charset val="1"/>
      </rPr>
      <t xml:space="preserve">| </t>
    </r>
    <r>
      <rPr>
        <sz val="11"/>
        <color theme="1"/>
        <rFont val="WenQuanYi Zen Hei"/>
        <family val="2"/>
      </rPr>
      <t xml:space="preserve">瑰宝岛阿拉赫遗产酒店餐厅</t>
    </r>
  </si>
  <si>
    <t xml:space="preserve">https://www.cocoonmaldives.com/festive-2024</t>
  </si>
  <si>
    <t xml:space="preserve">Never Before Festival | Cocoon Maldives  Design Hotel</t>
  </si>
  <si>
    <t xml:space="preserve">output/pages/032_cocoon-maldives/diving__cocoonmaldives.com__festive-2024.md</t>
  </si>
  <si>
    <t xml:space="preserve">https://www.heritancehotels.com/aarah/dining/ginifati-private-dining/?lang=ja</t>
  </si>
  <si>
    <r>
      <rPr>
        <sz val="11"/>
        <color theme="1"/>
        <rFont val="WenQuanYi Zen Hei"/>
        <family val="2"/>
      </rPr>
      <t xml:space="preserve">モルディブ・ギニファティ・プライベートダイニング </t>
    </r>
    <r>
      <rPr>
        <sz val="11"/>
        <color theme="1"/>
        <rFont val="Calibri"/>
        <family val="2"/>
        <charset val="1"/>
      </rPr>
      <t xml:space="preserve">| </t>
    </r>
    <r>
      <rPr>
        <sz val="11"/>
        <color theme="1"/>
        <rFont val="WenQuanYi Zen Hei"/>
        <family val="2"/>
      </rPr>
      <t xml:space="preserve">ヘリタンス・アーラのレストラン</t>
    </r>
  </si>
  <si>
    <t xml:space="preserve">https://www.cocoonmaldives.com/what-snewatcocoonmaldives</t>
  </si>
  <si>
    <t xml:space="preserve">What's New at Cocoon Maldives | Cocoon Maldives  Design Hotel</t>
  </si>
  <si>
    <t xml:space="preserve">output/pages/032_cocoon-maldives/diving__cocoonmaldives.com__what-snewatcocoonmaldives.md</t>
  </si>
  <si>
    <t xml:space="preserve">https://www.heritancehotels.com/aarah/storrington-collective-family-getaway/?lang=ja</t>
  </si>
  <si>
    <r>
      <rPr>
        <sz val="11"/>
        <color theme="1"/>
        <rFont val="WenQuanYi Zen Hei"/>
        <family val="2"/>
      </rPr>
      <t xml:space="preserve">モルディブで家族旅行 </t>
    </r>
    <r>
      <rPr>
        <sz val="11"/>
        <color theme="1"/>
        <rFont val="Calibri"/>
        <family val="2"/>
        <charset val="1"/>
      </rPr>
      <t xml:space="preserve">| Heritance Hotels</t>
    </r>
  </si>
  <si>
    <t xml:space="preserve">output/pages/035_heritance-aarah/kids__heritancehotels.com__aarah-storrington-collective-family-getaway.md</t>
  </si>
  <si>
    <t xml:space="preserve">https://www.cocoonmaldives.com/offer</t>
  </si>
  <si>
    <t xml:space="preserve">output/pages/032_cocoon-maldives/diving__cocoonmaldives.com__offer.md</t>
  </si>
  <si>
    <t xml:space="preserve">https://www.heritancehotels.com/aarah/storrington-collective-family-getaway/?lang=ru</t>
  </si>
  <si>
    <t xml:space="preserve">https://www.heritancehotels.com/aarah/offers/family-getaway/?lang=zh-hans</t>
  </si>
  <si>
    <r>
      <rPr>
        <sz val="11"/>
        <color theme="1"/>
        <rFont val="WenQuanYi Zen Hei"/>
        <family val="2"/>
      </rPr>
      <t xml:space="preserve">马尔代夫家庭度假之旅 </t>
    </r>
    <r>
      <rPr>
        <sz val="11"/>
        <color theme="1"/>
        <rFont val="Calibri"/>
        <family val="2"/>
        <charset val="1"/>
      </rPr>
      <t xml:space="preserve">| Heritance Hotels</t>
    </r>
  </si>
  <si>
    <t xml:space="preserve">output/pages/035_heritance-aarah/kids__heritancehotels.com__aarah-offers-family-getaway.md</t>
  </si>
  <si>
    <t xml:space="preserve">https://www.heritancehotels.com/aarah/%d0%bf%d1%80%d0%b5%d0%b4%d0%bb%d0%be%d0%b6%d0%b5%d0%bd%d0%b8%d1%8f/family-getaway/?lang=ru</t>
  </si>
  <si>
    <t xml:space="preserve">output/pages/035_heritance-aarah/diving__heritancehotels.com__aarah-d0-bf-d1-80-d0-b5-d0-b4-d0-bb-d0-be-d0-b6-d0-b5-d0-bd-.md</t>
  </si>
  <si>
    <t xml:space="preserve">https://veligandu.com/blog/2025/08/30/join-my-ocean-world-at-veligandu/</t>
  </si>
  <si>
    <t xml:space="preserve">Join My Ocean World - Excusions &amp; Watersports</t>
  </si>
  <si>
    <t xml:space="preserve">output/pages/038_veligandu-maldives-resort-island/diving__veligandu.com__blog-2025-08-30-join-my-ocean-world-at-veligandu.md</t>
  </si>
  <si>
    <t xml:space="preserve">https://veligandu.com/blog/2026/03/27/veligandu-sensory-wine-tasting-journey/</t>
  </si>
  <si>
    <t xml:space="preserve">Veligandus' Sensory Wine Tasting Journey - Veligandu Maldives</t>
  </si>
  <si>
    <t xml:space="preserve">output/pages/038_veligandu-maldives-resort-island/diving__veligandu.com__blog-2026-03-27-veligandu-sensory-wine-tasting-journey.md</t>
  </si>
  <si>
    <t xml:space="preserve">https://www.cocoonmaldives.com/wedding</t>
  </si>
  <si>
    <t xml:space="preserve">Wedding | Cocoon Maldives Design Hotel</t>
  </si>
  <si>
    <t xml:space="preserve">output/pages/032_cocoon-maldives/wedding__cocoonmaldives.com__wedding.md</t>
  </si>
  <si>
    <t xml:space="preserve">https://veligandu.com/blog/2026/07/03/sustainable-food-how-pineapples-are-repurposed/</t>
  </si>
  <si>
    <t xml:space="preserve">Sustainable Food: One Pineapple, Endless Possibilities - Veligandu Maldives</t>
  </si>
  <si>
    <t xml:space="preserve">output/pages/038_veligandu-maldives-resort-island/dining__veligandu.com__blog-2026-07-03-sustainable-food-how-pineapples-are-repurpos.md</t>
  </si>
  <si>
    <t xml:space="preserve">https://veligandu.com/blog/2026/05/06/protecting-the-beauty-beneath-the-surface-coral-restoration/</t>
  </si>
  <si>
    <t xml:space="preserve">Coral Restoration at Veligandu Maldives | Protecting Our Reef Protecting The Beauty Beneath The Surface - Coral Restorat</t>
  </si>
  <si>
    <t xml:space="preserve">output/pages/038_veligandu-maldives-resort-island/dining__veligandu.com__blog-2026-05-06-protecting-the-beauty-beneath-the-surface-co.md</t>
  </si>
  <si>
    <t xml:space="preserve">https://veligandu.com/blog/2026/07/30/the-dive-every-diver-talks-about-veligandu-maldives/</t>
  </si>
  <si>
    <t xml:space="preserve">Madivaru Corner Dive Site: The Best Channel Dive Near Veligandu Maldives - Veligandu Maldives</t>
  </si>
  <si>
    <t xml:space="preserve">output/pages/038_veligandu-maldives-resort-island/diving__veligandu.com__blog-2026-07-30-the-dive-every-diver-talks-about-veligandu-m.md</t>
  </si>
  <si>
    <t xml:space="preserve">https://veligandu.com/blog/2026/01/09/world-class-padel-pickleball-veligandu-maldives/</t>
  </si>
  <si>
    <t xml:space="preserve">World-Class Padel &amp; Pickleball Comes to Veligandu Maldives - Veligandu Maldives</t>
  </si>
  <si>
    <t xml:space="preserve">output/pages/038_veligandu-maldives-resort-island/diving__veligandu.com__blog-2026-01-09-world-class-padel-pickleball-veligandu-maldi.md</t>
  </si>
  <si>
    <t xml:space="preserve">https://veligandu.com/blog/2026/02/09/luxury-yachting-at-veligandu/</t>
  </si>
  <si>
    <t xml:space="preserve">Luxury Yacht Experiences at Veligandu Maldives - Veligandu Maldives</t>
  </si>
  <si>
    <t xml:space="preserve">output/pages/038_veligandu-maldives-resort-island/diving__veligandu.com__blog-2026-02-09-luxury-yachting-at-veligandu.md</t>
  </si>
  <si>
    <t xml:space="preserve">https://veligandu.com/gallery/</t>
  </si>
  <si>
    <t xml:space="preserve">Gallery - Veligandu Maldives</t>
  </si>
  <si>
    <t xml:space="preserve">output/pages/038_veligandu-maldives-resort-island/diving__veligandu.com__gallery.md</t>
  </si>
  <si>
    <t xml:space="preserve">https://www.jawakaraislands.com/</t>
  </si>
  <si>
    <t xml:space="preserve">jawakaraislands.com is registered at Namecheap</t>
  </si>
  <si>
    <t xml:space="preserve">output/pages/029_dheruhfinolhu-by-jawakara-islands-maldives/overview__jawakaraislands.com__home.md</t>
  </si>
  <si>
    <t xml:space="preserve">https://veligandu.com/blog/2025/09/30/bars-mixology-crafting-moments-in-every-pour/</t>
  </si>
  <si>
    <t xml:space="preserve">Bars &amp; mixology - Crafting Moments In Every Pour - Veligandu Maldives</t>
  </si>
  <si>
    <t xml:space="preserve">output/pages/038_veligandu-maldives-resort-island/dining__veligandu.com__blog-2025-09-30-bars-mixology-crafting-moments-in-every-pour.md</t>
  </si>
  <si>
    <t xml:space="preserve">https://veligandu.com/blog/2026/09/07/discover-typti-at-veligandu/</t>
  </si>
  <si>
    <t xml:space="preserve">Discover TYPTI, the new racquet sport in Veligandu - Veligandu Maldives</t>
  </si>
  <si>
    <t xml:space="preserve">output/pages/038_veligandu-maldives-resort-island/diving__veligandu.com__blog-2026-09-07-discover-typti-at-veligandu.md</t>
  </si>
  <si>
    <t xml:space="preserve">https://www.cocoonmaldives.com/faq</t>
  </si>
  <si>
    <t xml:space="preserve">Frequently Asked Questions | Cocoon Maldives  Design Hotel</t>
  </si>
  <si>
    <t xml:space="preserve">output/pages/032_cocoon-maldives/diving__cocoonmaldives.com__faq.md</t>
  </si>
  <si>
    <t xml:space="preserve">https://www.cocoonmaldives.com/experiences</t>
  </si>
  <si>
    <t xml:space="preserve">Experiences | Cocoon Maldives Design Hotel</t>
  </si>
  <si>
    <t xml:space="preserve">output/pages/032_cocoon-maldives/diving__cocoonmaldives.com__experiences.md</t>
  </si>
  <si>
    <t xml:space="preserve">https://www.cocoonmaldives.com/lago-design</t>
  </si>
  <si>
    <t xml:space="preserve">LAGO | Cocoon Maldives Design Hotel</t>
  </si>
  <si>
    <t xml:space="preserve">output/pages/032_cocoon-maldives/diving__cocoonmaldives.com__lago-design.md</t>
  </si>
  <si>
    <t xml:space="preserve">https://www.cocoonmaldives.com/winter-bliss-offer</t>
  </si>
  <si>
    <t xml:space="preserve">Winter Bliss Offer | Cocoon Maldives Design Hotel</t>
  </si>
  <si>
    <t xml:space="preserve">output/pages/032_cocoon-maldives/diving__cocoonmaldives.com__winter-bliss-offer.md</t>
  </si>
  <si>
    <t xml:space="preserve">https://www.cocoonmaldives.com/fishing</t>
  </si>
  <si>
    <t xml:space="preserve">Fishing | Cocoon Maldives Design Hotel</t>
  </si>
  <si>
    <t xml:space="preserve">output/pages/032_cocoon-maldives/diving__cocoonmaldives.com__fishing.md</t>
  </si>
  <si>
    <t xml:space="preserve">https://www.cocoonmaldives.com/privacy</t>
  </si>
  <si>
    <t xml:space="preserve">Privacy | Cocoon Maldives Design Hotel | Maldives</t>
  </si>
  <si>
    <t xml:space="preserve">output/pages/032_cocoon-maldives/diving__cocoonmaldives.com__privacy.md</t>
  </si>
  <si>
    <t xml:space="preserve">https://veligandu.com/locations.kml</t>
  </si>
  <si>
    <t xml:space="preserve">Locations Sitemap - Veligandu Maldives</t>
  </si>
  <si>
    <t xml:space="preserve">output/pages/038_veligandu-maldives-resort-island/diving__veligandu.com__locations-kml.md</t>
  </si>
  <si>
    <t xml:space="preserve">https://veligandu.com/blog/2025/05/22/a-3-day-escape-to-veligandu/</t>
  </si>
  <si>
    <t xml:space="preserve">A 3-Day Escape to Veligandu - Veligandu Maldives</t>
  </si>
  <si>
    <t xml:space="preserve">output/pages/038_veligandu-maldives-resort-island/diving__veligandu.com__blog-2025-05-22-a-3-day-escape-to-veligandu.md</t>
  </si>
  <si>
    <t xml:space="preserve">https://veligandu.com/elementor-707/</t>
  </si>
  <si>
    <t xml:space="preserve">Template 1 - Veligandu Maldives</t>
  </si>
  <si>
    <t xml:space="preserve">output/pages/038_veligandu-maldives-resort-island/diving__veligandu.com__elementor-707.md</t>
  </si>
  <si>
    <t xml:space="preserve">https://veligandu.com/blog/2025/05/24/family-travel-to-maldives-with-teenagers/</t>
  </si>
  <si>
    <t xml:space="preserve">Fun Maldives Vacations for Families with Teens - Veligandu Maldives</t>
  </si>
  <si>
    <t xml:space="preserve">output/pages/038_veligandu-maldives-resort-island/diving__veligandu.com__blog-2025-05-24-family-travel-to-maldives-with-teenagers.md</t>
  </si>
  <si>
    <t xml:space="preserve">https://www.cocoonmaldives.com/octopus-restaurant</t>
  </si>
  <si>
    <t xml:space="preserve">Octopus Restaurant | Cocoon Maldives Design Hotel</t>
  </si>
  <si>
    <t xml:space="preserve">output/pages/032_cocoon-maldives/dining__cocoonmaldives.com__octopus-restaurant.md</t>
  </si>
  <si>
    <t xml:space="preserve">https://www.cocoonmaldives.com/kids-club</t>
  </si>
  <si>
    <t xml:space="preserve">Kids Club | Cocoon Maldives Design Hotel</t>
  </si>
  <si>
    <t xml:space="preserve">output/pages/032_cocoon-maldives/diving__cocoonmaldives.com__kids-club.md</t>
  </si>
  <si>
    <t xml:space="preserve">https://www.cocoonmaldives.com/family-getaway</t>
  </si>
  <si>
    <t xml:space="preserve">Family Getaway | Cocoon Maldives</t>
  </si>
  <si>
    <t xml:space="preserve">output/pages/032_cocoon-maldives/diving__cocoonmaldives.com__family-getaway.md</t>
  </si>
  <si>
    <t xml:space="preserve">https://www.cocoonmaldives.com/honeymoon-getaway</t>
  </si>
  <si>
    <t xml:space="preserve">Honeymoon Getaway | Cocoon Maldives  Design Hotel</t>
  </si>
  <si>
    <t xml:space="preserve">output/pages/032_cocoon-maldives/wedding__cocoonmaldives.com__honeymoon-getaway.md</t>
  </si>
  <si>
    <t xml:space="preserve">https://www.cocoonmaldives.com/festive</t>
  </si>
  <si>
    <t xml:space="preserve">Festive | Cocoon Maldives Design Hotel</t>
  </si>
  <si>
    <t xml:space="preserve">output/pages/032_cocoon-maldives/diving__cocoonmaldives.com__festive.md</t>
  </si>
  <si>
    <t xml:space="preserve">https://www.cocoonmaldives.com/excursions</t>
  </si>
  <si>
    <t xml:space="preserve">Excursions | Cocoon Maldives Design Hotel</t>
  </si>
  <si>
    <t xml:space="preserve">output/pages/032_cocoon-maldives/diving__cocoonmaldives.com__excursions.md</t>
  </si>
  <si>
    <t xml:space="preserve">https://veligandu.com/blog/2026/09/08/active-holidays-in-maldives-with-veligandu/</t>
  </si>
  <si>
    <t xml:space="preserve">Active Holiday in the Maldives: Move, Play &amp; Relax - Veligandu Maldives</t>
  </si>
  <si>
    <t xml:space="preserve">output/pages/038_veligandu-maldives-resort-island/diving__veligandu.com__blog-2026-09-08-active-holidays-in-maldives-with-veligandu.md</t>
  </si>
  <si>
    <t xml:space="preserve">https://www.cocoonmaldives.com/beachvilla</t>
  </si>
  <si>
    <t xml:space="preserve">Beach Villa | Cocoon Maldives Design Hotel</t>
  </si>
  <si>
    <t xml:space="preserve">output/pages/032_cocoon-maldives/diving__cocoonmaldives.com__beachvilla.md</t>
  </si>
  <si>
    <t xml:space="preserve">https://www.cocoonmaldives.com/news/manta-restaurant-wins-traveler's-choice-award-by-tripadvisor</t>
  </si>
  <si>
    <t xml:space="preserve">Manta Restaurant Wins Traveler's Choice Award by TripAdvisor | Cocoon Maldives  New</t>
  </si>
  <si>
    <t xml:space="preserve">output/pages/032_cocoon-maldives/dining__cocoonmaldives.com__news-manta-restaurant-wins-traveler-s-choice-award-by-tripad.md</t>
  </si>
  <si>
    <t xml:space="preserve">https://veligandu.com/blog/2025/08/04/through-my-hands-through-my-heart-discover-himeyn-spa/</t>
  </si>
  <si>
    <t xml:space="preserve">Melia's Journey at Himeyn Spa - Veligandu Maldives</t>
  </si>
  <si>
    <t xml:space="preserve">output/pages/038_veligandu-maldives-resort-island/spa__veligandu.com__blog-2025-08-04-through-my-hands-through-my-heart-discover-h.md</t>
  </si>
  <si>
    <t xml:space="preserve">https://veligandu.com/blog/2026/07/29/ocean-adventures-beyond-the-reefs-of-veligandu-maldives/</t>
  </si>
  <si>
    <t xml:space="preserve">Maldives' unforgettable adventures - Veligandu Maldives</t>
  </si>
  <si>
    <t xml:space="preserve">output/pages/038_veligandu-maldives-resort-island/diving__veligandu.com__blog-2026-07-29-ocean-adventures-beyond-the-reefs-of-veligan.md</t>
  </si>
  <si>
    <t xml:space="preserve">https://veligandu.com/blog/2025/08/29/hot-grill-and-floating-tea-at-veligandu/</t>
  </si>
  <si>
    <t xml:space="preserve">New Dining Experiences at Veligandu</t>
  </si>
  <si>
    <t xml:space="preserve">output/pages/038_veligandu-maldives-resort-island/dining__veligandu.com__blog-2025-08-29-hot-grill-and-floating-tea-at-veligandu.md</t>
  </si>
  <si>
    <t xml:space="preserve">https://veligandu.com/blog/2026/05/25/how-to-celebrate-weddings-birtdays-milestones-in-maldives/</t>
  </si>
  <si>
    <t xml:space="preserve">How to celebrate weddings, babymoons, birthdays &amp; milestones in Maldives - Veligandu Maldives</t>
  </si>
  <si>
    <t xml:space="preserve">output/pages/038_veligandu-maldives-resort-island/wedding__veligandu.com__blog-2026-05-25-how-to-celebrate-weddings-birtdays-milestone.md</t>
  </si>
  <si>
    <t xml:space="preserve">https://veligandu.com/blog/2026/06/30/renewable-energy-nitiatives-at-veligandu-maldives/</t>
  </si>
  <si>
    <t xml:space="preserve">Powering Paradise with Renewable Energy - Veligandu Maldives</t>
  </si>
  <si>
    <t xml:space="preserve">output/pages/038_veligandu-maldives-resort-island/diving__veligandu.com__blog-2026-06-30-renewable-energy-nitiatives-at-veligandu-mal.md</t>
  </si>
  <si>
    <t xml:space="preserve">https://veligandu.com/blog/2024/08/23/veligandu-maldives-logo-the-story/</t>
  </si>
  <si>
    <t xml:space="preserve">Veligandu Maldives Logo – The Story - Veligandu Maldives</t>
  </si>
  <si>
    <t xml:space="preserve">output/pages/038_veligandu-maldives-resort-island/diving__veligandu.com__blog-2024-08-23-veligandu-maldives-logo-the-story.md</t>
  </si>
  <si>
    <t xml:space="preserve">https://veligandu.com/blog/2026/05/23/best-time-to-snorkel-at-veligandu-maldives-house-reef/</t>
  </si>
  <si>
    <t xml:space="preserve">Best time to snorkel at the House Reef of Veligandu Maldives - Veligandu Maldives</t>
  </si>
  <si>
    <t xml:space="preserve">output/pages/038_veligandu-maldives-resort-island/diving__veligandu.com__blog-2026-05-23-best-time-to-snorkel-at-veligandu-maldives-h.md</t>
  </si>
  <si>
    <t xml:space="preserve">https://veligandu.com/blog/2025/10/11/meet-the-team-villa-attendant-shahid/</t>
  </si>
  <si>
    <t xml:space="preserve">Meet The Team - Villa Attendant Shahid - Veligandu Maldives</t>
  </si>
  <si>
    <t xml:space="preserve">output/pages/038_veligandu-maldives-resort-island/diving__veligandu.com__blog-2025-10-11-meet-the-team-villa-attendant-shahid.md</t>
  </si>
  <si>
    <t xml:space="preserve">https://veligandu.com/blog/2025/08/03/your-island-your-way-villas-for-all-ages/</t>
  </si>
  <si>
    <t xml:space="preserve">Veligandu Villa Options for Families &amp; Adults - Veligandu Maldives</t>
  </si>
  <si>
    <t xml:space="preserve">output/pages/038_veligandu-maldives-resort-island/diving__veligandu.com__blog-2025-08-03-your-island-your-way-villas-for-all-ages.md</t>
  </si>
  <si>
    <t xml:space="preserve">https://veligandu.com/blog/2025/04/04/discover-the-graceful-giants-of-the-maldives-manta-rays-and-eagle-rays/</t>
  </si>
  <si>
    <t xml:space="preserve">Graceful Giants of Maldives: Manta Rays and Eagle Rays - Veligandu Maldives</t>
  </si>
  <si>
    <t xml:space="preserve">output/pages/038_veligandu-maldives-resort-island/diving__veligandu.com__blog-2025-04-04-discover-the-graceful-giants-of-the-maldives.md</t>
  </si>
  <si>
    <t xml:space="preserve">https://veligandu.com/blog/2024/08/24/mas-riha-maldivian-fish-curry-by-chef-didi-taste-of-maldives-by-veligandu/</t>
  </si>
  <si>
    <t xml:space="preserve">Mas Riha - Cook a Maldivian Fish Curry | Taste Of Maldives - Veligandu Maldives</t>
  </si>
  <si>
    <t xml:space="preserve">output/pages/038_veligandu-maldives-resort-island/diving__veligandu.com__blog-2024-08-24-mas-riha-maldivian-fish-curry-by-chef-didi-t.md</t>
  </si>
  <si>
    <t xml:space="preserve">https://veligandu.com/blog/2025/05/18/one-island-infinite-wedding-options/</t>
  </si>
  <si>
    <t xml:space="preserve">Veligandu Vows: One Island, Infinite Wedding Dreams - Veligandu Maldives</t>
  </si>
  <si>
    <t xml:space="preserve">output/pages/038_veligandu-maldives-resort-island/wedding__veligandu.com__blog-2025-05-18-one-island-infinite-wedding-options.md</t>
  </si>
  <si>
    <t xml:space="preserve">https://veligandu.com/blog/2025/03/05/exploring-the-vibrant-coral-reefs-of-veligandu/</t>
  </si>
  <si>
    <t xml:space="preserve">Exploring the Vibrant Coral Reefs of Veligandu - Veligandu Maldives</t>
  </si>
  <si>
    <t xml:space="preserve">output/pages/038_veligandu-maldives-resort-island/diving__veligandu.com__blog-2025-03-05-exploring-the-vibrant-coral-reefs-of-veligan.md</t>
  </si>
  <si>
    <t xml:space="preserve">https://veligandu.com/blog/category/blog/</t>
  </si>
  <si>
    <t xml:space="preserve">Blog - Veligandu Maldives</t>
  </si>
  <si>
    <t xml:space="preserve">output/pages/038_veligandu-maldives-resort-island/diving__veligandu.com__blog-category-blog.md</t>
  </si>
  <si>
    <t xml:space="preserve">https://veligandu.com/blog/2026/07/05/hidden-touches-of-sustainable-luxury/</t>
  </si>
  <si>
    <t xml:space="preserve">The Thoughtful Side Of Sustainable Luxury - Veligandu Maldives</t>
  </si>
  <si>
    <t xml:space="preserve">output/pages/038_veligandu-maldives-resort-island/diving__veligandu.com__blog-2026-07-05-hidden-touches-of-sustainable-luxury.md</t>
  </si>
  <si>
    <t xml:space="preserve">https://veligandu.com/cookie-policy/</t>
  </si>
  <si>
    <t xml:space="preserve">Cookie Policy - Veligandu Maldives</t>
  </si>
  <si>
    <t xml:space="preserve">output/pages/038_veligandu-maldives-resort-island/diving__veligandu.com__cookie-policy.md</t>
  </si>
  <si>
    <t xml:space="preserve">https://veligandu.com/blog/2025/12/05/moments-we-love-to-create-for-you-lifestyle-recommendations/</t>
  </si>
  <si>
    <t xml:space="preserve">Moments we love to create for you - Lifestyle Recommendations - Veligandu Maldives</t>
  </si>
  <si>
    <t xml:space="preserve">output/pages/038_veligandu-maldives-resort-island/dining__veligandu.com__blog-2025-12-05-moments-we-love-to-create-for-you-lifestyle-.md</t>
  </si>
  <si>
    <t xml:space="preserve">https://dhigufaru.com/</t>
  </si>
  <si>
    <t xml:space="preserve">Dhigufaru Island Resort - Baa Atoll, Maldives</t>
  </si>
  <si>
    <t xml:space="preserve">output/pages/043_dhigufaru-island-resort/diving__dhigufaru.com__home.md</t>
  </si>
  <si>
    <t xml:space="preserve">https://dhigufaru.com/experiences/stargazing-cruise/</t>
  </si>
  <si>
    <t xml:space="preserve">Stargazing Cruise – Dhigufaru Island Resort, Maldives</t>
  </si>
  <si>
    <t xml:space="preserve">output/pages/043_dhigufaru-island-resort/diving__dhigufaru.com__experiences-stargazing-cruise.md</t>
  </si>
  <si>
    <t xml:space="preserve">https://www.saiihotels.com/lagoon-maldives/</t>
  </si>
  <si>
    <t xml:space="preserve">Maldives Resort | SAii Lagoon Maldives Official Site</t>
  </si>
  <si>
    <t xml:space="preserve">output/pages/045_saii-lagoon-maldives/diving__saiihotels.com__lagoon-maldives.md</t>
  </si>
  <si>
    <t xml:space="preserve">https://dhigufaru.com/experiences/</t>
  </si>
  <si>
    <t xml:space="preserve">Experiences – Dhigufaru Island Resort, Maldives</t>
  </si>
  <si>
    <t xml:space="preserve">output/pages/043_dhigufaru-island-resort/diving__dhigufaru.com__experiences.md</t>
  </si>
  <si>
    <t xml:space="preserve">https://dhigufaru.com/wine-dine/dhandifulhu-restaurant/</t>
  </si>
  <si>
    <t xml:space="preserve">Dhandifulhu Restaurant – Dhigufaru Island Resort, Maldives</t>
  </si>
  <si>
    <t xml:space="preserve">output/pages/043_dhigufaru-island-resort/dining__dhigufaru.com__wine-dine-dhandifulhu-restaurant.md</t>
  </si>
  <si>
    <t xml:space="preserve">https://dhigufaru.com/spa/treatment-rooms/</t>
  </si>
  <si>
    <t xml:space="preserve">Treatment rooms – Dhigufaru Island Resort, Maldives</t>
  </si>
  <si>
    <t xml:space="preserve">output/pages/043_dhigufaru-island-resort/dining__dhigufaru.com__spa-treatment-rooms.md</t>
  </si>
  <si>
    <t xml:space="preserve">https://dhigufaru.com/experiences/fishing-excursions/</t>
  </si>
  <si>
    <t xml:space="preserve">Fishing Excursions – Dhigufaru Island Resort, Maldives</t>
  </si>
  <si>
    <t xml:space="preserve">output/pages/043_dhigufaru-island-resort/diving__dhigufaru.com__experiences-fishing-excursions.md</t>
  </si>
  <si>
    <t xml:space="preserve">https://dhigufaru.com/accommodation/sangu-suite/</t>
  </si>
  <si>
    <t xml:space="preserve">Sangu Suite – Dhigufaru Island Resort, Maldives</t>
  </si>
  <si>
    <t xml:space="preserve">output/pages/043_dhigufaru-island-resort/diving__dhigufaru.com__accommodation-sangu-suite.md</t>
  </si>
  <si>
    <t xml:space="preserve">https://dhigufaru.com/experiences/recreation-center/</t>
  </si>
  <si>
    <t xml:space="preserve">Thundi Recreation Center – Dhigufaru Island Resort, Maldives</t>
  </si>
  <si>
    <t xml:space="preserve">output/pages/043_dhigufaru-island-resort/dining__dhigufaru.com__experiences-recreation-center.md</t>
  </si>
  <si>
    <t xml:space="preserve">https://dhigufaru.com/accommodation/pool-beach-villa/</t>
  </si>
  <si>
    <t xml:space="preserve">Pool Beach Villa – Dhigufaru Island Resort, Maldives</t>
  </si>
  <si>
    <t xml:space="preserve">output/pages/043_dhigufaru-island-resort/diving__dhigufaru.com__accommodation-pool-beach-villa.md</t>
  </si>
  <si>
    <t xml:space="preserve">https://dhigufaru.com/accommodation/semi-water-villa/</t>
  </si>
  <si>
    <t xml:space="preserve">Semi Water Villa – Dhigufaru Island Resort, Maldives</t>
  </si>
  <si>
    <t xml:space="preserve">output/pages/043_dhigufaru-island-resort/diving__dhigufaru.com__accommodation-semi-water-villa.md</t>
  </si>
  <si>
    <t xml:space="preserve">https://dhigufaru.com/spa/</t>
  </si>
  <si>
    <t xml:space="preserve">Funa Spa – Dhigufaru Island Resort, Maldives</t>
  </si>
  <si>
    <t xml:space="preserve">output/pages/043_dhigufaru-island-resort/spa__dhigufaru.com__spa.md</t>
  </si>
  <si>
    <t xml:space="preserve">https://dhigufaru.com/weddings/</t>
  </si>
  <si>
    <t xml:space="preserve">Weddings in the Maldives – Dhigufaru Island Resort, Maldives</t>
  </si>
  <si>
    <t xml:space="preserve">output/pages/043_dhigufaru-island-resort/wedding__dhigufaru.com__weddings.md</t>
  </si>
  <si>
    <t xml:space="preserve">https://dhigufaru.com/spa/foot-therapy/</t>
  </si>
  <si>
    <t xml:space="preserve">Foot Therapy – Dhigufaru Island Resort, Maldives</t>
  </si>
  <si>
    <t xml:space="preserve">output/pages/043_dhigufaru-island-resort/spa__dhigufaru.com__spa-foot-therapy.md</t>
  </si>
  <si>
    <t xml:space="preserve">https://dhigufaru.com/experiences/dolphin-cruise/</t>
  </si>
  <si>
    <t xml:space="preserve">Dolphin Cruise – Dhigufaru Island Resort, Maldives</t>
  </si>
  <si>
    <t xml:space="preserve">output/pages/043_dhigufaru-island-resort/diving__dhigufaru.com__experiences-dolphin-cruise.md</t>
  </si>
  <si>
    <t xml:space="preserve">https://dhigufaru.com/story/</t>
  </si>
  <si>
    <t xml:space="preserve">Story – Dhigufaru Island Resort, Maldives</t>
  </si>
  <si>
    <t xml:space="preserve">output/pages/043_dhigufaru-island-resort/diving__dhigufaru.com__story.md</t>
  </si>
  <si>
    <t xml:space="preserve">https://dhigufaru.com/spa/sauna-steam-room/</t>
  </si>
  <si>
    <t xml:space="preserve">Sauna &amp; Steam Room – Dhigufaru Island Resort, Maldives</t>
  </si>
  <si>
    <t xml:space="preserve">output/pages/043_dhigufaru-island-resort/spa__dhigufaru.com__spa-sauna-steam-room.md</t>
  </si>
  <si>
    <t xml:space="preserve">https://dhigufaru.com/accommodation/water-villa/</t>
  </si>
  <si>
    <t xml:space="preserve">Water Villa – Dhigufaru Island Resort, Maldives</t>
  </si>
  <si>
    <t xml:space="preserve">output/pages/043_dhigufaru-island-resort/diving__dhigufaru.com__accommodation-water-villa.md</t>
  </si>
  <si>
    <t xml:space="preserve">https://dhigufaru.com/experiences/baraveli-kids-club/</t>
  </si>
  <si>
    <t xml:space="preserve">Baraveli Kids Club – Dhigufaru Island Resort, Maldives</t>
  </si>
  <si>
    <t xml:space="preserve">output/pages/043_dhigufaru-island-resort/dining__dhigufaru.com__experiences-baraveli-kids-club.md</t>
  </si>
  <si>
    <t xml:space="preserve">https://dhigufaru.com/wine-dine/in-villa-dining/</t>
  </si>
  <si>
    <t xml:space="preserve">In-Villa Dining – Dhigufaru Island Resort, Maldives</t>
  </si>
  <si>
    <t xml:space="preserve">output/pages/043_dhigufaru-island-resort/dining__dhigufaru.com__wine-dine-in-villa-dining.md</t>
  </si>
  <si>
    <t xml:space="preserve">https://dhigufaru.com/wine-dine/thundi-pool-bar/</t>
  </si>
  <si>
    <t xml:space="preserve">Thundi Pool Bar – Dhigufaru Island Resort, Maldives</t>
  </si>
  <si>
    <t xml:space="preserve">output/pages/043_dhigufaru-island-resort/dining__dhigufaru.com__wine-dine-thundi-pool-bar.md</t>
  </si>
  <si>
    <t xml:space="preserve">https://dhigufaru.com/inquiry/</t>
  </si>
  <si>
    <t xml:space="preserve">Inquiry – Dhigufaru Island Resort, Maldives</t>
  </si>
  <si>
    <t xml:space="preserve">output/pages/043_dhigufaru-island-resort/diving__dhigufaru.com__inquiry.md</t>
  </si>
  <si>
    <t xml:space="preserve">https://dhigufaru.com/spa/salon/</t>
  </si>
  <si>
    <t xml:space="preserve">Salon – Dhigufaru Island Resort, Maldives</t>
  </si>
  <si>
    <t xml:space="preserve">output/pages/043_dhigufaru-island-resort/spa__dhigufaru.com__spa-salon.md</t>
  </si>
  <si>
    <t xml:space="preserve">https://dhigufaru.com/privacy-policy/</t>
  </si>
  <si>
    <t xml:space="preserve">Privacy Policy – Dhigufaru Island Resort, Maldives</t>
  </si>
  <si>
    <t xml:space="preserve">output/pages/043_dhigufaru-island-resort/diving__dhigufaru.com__privacy-policy.md</t>
  </si>
  <si>
    <t xml:space="preserve">https://hotel.hardrock.com/maldives/</t>
  </si>
  <si>
    <t xml:space="preserve">Maldives Island Resort | Hard Rock Hotel Maldives Official Site</t>
  </si>
  <si>
    <t xml:space="preserve">output/pages/044_hard-rock-hotel-maldives/diving__hotel.hardrock.com__maldives.md</t>
  </si>
  <si>
    <t xml:space="preserve">https://dhigufaru.com/terms-conditions/</t>
  </si>
  <si>
    <t xml:space="preserve">Terms &amp; Conditions – Dhigufaru Island Resort, Maldives</t>
  </si>
  <si>
    <t xml:space="preserve">output/pages/043_dhigufaru-island-resort/diving__dhigufaru.com__terms-conditions.md</t>
  </si>
  <si>
    <t xml:space="preserve">https://hotel.hardrock.com/maldives/eat-and-drink.aspx</t>
  </si>
  <si>
    <t xml:space="preserve">Dining in Maldives | Eat &amp; Drink | Hard Rock Hotel Maldives</t>
  </si>
  <si>
    <t xml:space="preserve">output/pages/044_hard-rock-hotel-maldives/dining__hotel.hardrock.com__maldives-eat-and-drink-aspx.md</t>
  </si>
  <si>
    <t xml:space="preserve">https://dhigufaru.com/experiences/local-island-visits/</t>
  </si>
  <si>
    <t xml:space="preserve">Local Island Visits – Dhigufaru Island Resort, Maldives</t>
  </si>
  <si>
    <t xml:space="preserve">output/pages/043_dhigufaru-island-resort/diving__dhigufaru.com__experiences-local-island-visits.md</t>
  </si>
  <si>
    <t xml:space="preserve">https://hotel.hardrock.com/maldives/weddings.aspx</t>
  </si>
  <si>
    <t xml:space="preserve">Maldives Destination Wedding | Hard Rock Maldives</t>
  </si>
  <si>
    <t xml:space="preserve">output/pages/044_hard-rock-hotel-maldives/wedding__hotel.hardrock.com__maldives-weddings-aspx.md</t>
  </si>
  <si>
    <t xml:space="preserve">https://hotel.hardrock.com/maldives/rock-spa.aspx</t>
  </si>
  <si>
    <t xml:space="preserve">Spa Resorts Maldives | Hard Rock Hotel Maldives | Rock Spa</t>
  </si>
  <si>
    <t xml:space="preserve">output/pages/044_hard-rock-hotel-maldives/spa__hotel.hardrock.com__maldives-rock-spa-aspx.md</t>
  </si>
  <si>
    <t xml:space="preserve">https://dhigufaru.com/experiences/multi-purpose-court/</t>
  </si>
  <si>
    <t xml:space="preserve">Multi-Purpose Court – Dhigufaru Island Resort, Maldives</t>
  </si>
  <si>
    <t xml:space="preserve">output/pages/043_dhigufaru-island-resort/diving__dhigufaru.com__experiences-multi-purpose-court.md</t>
  </si>
  <si>
    <t xml:space="preserve">https://hotel.hardrock.com/maldives/offers.aspx</t>
  </si>
  <si>
    <t xml:space="preserve">Maldives Resort Deals | Offers | Hard Rock Hotel Hotel Maldives</t>
  </si>
  <si>
    <t xml:space="preserve">output/pages/044_hard-rock-hotel-maldives/diving__hotel.hardrock.com__maldives-offers-aspx.md</t>
  </si>
  <si>
    <t xml:space="preserve">https://dhigufaru.com/accommodation/pool-water-villa/</t>
  </si>
  <si>
    <t xml:space="preserve">Pool Water Villa – Dhigufaru Island Resort, Maldives</t>
  </si>
  <si>
    <t xml:space="preserve">output/pages/043_dhigufaru-island-resort/diving__dhigufaru.com__accommodation-pool-water-villa.md</t>
  </si>
  <si>
    <t xml:space="preserve">https://hotel.hardrock.com/maldives/resort-activities.aspx</t>
  </si>
  <si>
    <t xml:space="preserve">Activities in Maldives | Hard Rock Hotel Maldives</t>
  </si>
  <si>
    <t xml:space="preserve">output/pages/044_hard-rock-hotel-maldives/diving__hotel.hardrock.com__maldives-resort-activities-aspx.md</t>
  </si>
  <si>
    <t xml:space="preserve">https://dhigufaru.com/experiences/sunset-cruise/</t>
  </si>
  <si>
    <t xml:space="preserve">Sunset Cruise – Dhigufaru Island Resort, Maldives</t>
  </si>
  <si>
    <t xml:space="preserve">output/pages/043_dhigufaru-island-resort/diving__dhigufaru.com__experiences-sunset-cruise.md</t>
  </si>
  <si>
    <t xml:space="preserve">https://hotel.hardrock.com/maldives/request-information.aspx</t>
  </si>
  <si>
    <t xml:space="preserve">Request Maldives Event Information | Hard Rock Hotel Maldives</t>
  </si>
  <si>
    <t xml:space="preserve">output/pages/044_hard-rock-hotel-maldives/events__hotel.hardrock.com__maldives-request-information-aspx.md</t>
  </si>
  <si>
    <t xml:space="preserve">https://hotel.hardrock.com/maldives/amenities.aspx</t>
  </si>
  <si>
    <t xml:space="preserve">5 Star Resorts in Maldives | Amenities | Hard Rock Maldives</t>
  </si>
  <si>
    <t xml:space="preserve">output/pages/044_hard-rock-hotel-maldives/diving__hotel.hardrock.com__maldives-amenities-aspx.md</t>
  </si>
  <si>
    <t xml:space="preserve">https://dhigufaru.com/wine-dine/</t>
  </si>
  <si>
    <t xml:space="preserve">Wine &amp; Dine – Dhigufaru Island Resort, Maldives</t>
  </si>
  <si>
    <t xml:space="preserve">output/pages/043_dhigufaru-island-resort/diving__dhigufaru.com__wine-dine.md</t>
  </si>
  <si>
    <t xml:space="preserve">https://hotel.hardrock.com/maldives/sustainability.aspx</t>
  </si>
  <si>
    <t xml:space="preserve">Eco-friendly Resort in Maldives | Sustainability | Hard Rock Hotel</t>
  </si>
  <si>
    <t xml:space="preserve">output/pages/044_hard-rock-hotel-maldives/diving__hotel.hardrock.com__maldives-sustainability-aspx.md</t>
  </si>
  <si>
    <t xml:space="preserve">https://dhigufaru.com/accommodation/two-bedroom-family-beach-villa/</t>
  </si>
  <si>
    <t xml:space="preserve">Two Bedroom Family Beach Villa – Dhigufaru Island Resort, Maldives</t>
  </si>
  <si>
    <t xml:space="preserve">output/pages/043_dhigufaru-island-resort/diving__dhigufaru.com__accommodation-two-bedroom-family-beach-villa.md</t>
  </si>
  <si>
    <t xml:space="preserve">https://hotel.hardrock.com/maldives/hard-rock-roxity-kids-club.aspx</t>
  </si>
  <si>
    <t xml:space="preserve">Maldives Family Resort | Kids Club | Hard Rock Hotel Maldives</t>
  </si>
  <si>
    <t xml:space="preserve">output/pages/044_hard-rock-hotel-maldives/diving__hotel.hardrock.com__maldives-hard-rock-roxity-kids-club-aspx.md</t>
  </si>
  <si>
    <t xml:space="preserve">https://dhigufaru.com/experiences/sand-bank-picnic/</t>
  </si>
  <si>
    <t xml:space="preserve">Sand Bank Picnic – Dhigufaru Island Resort, Maldives</t>
  </si>
  <si>
    <t xml:space="preserve">output/pages/043_dhigufaru-island-resort/diving__dhigufaru.com__experiences-sand-bank-picnic.md</t>
  </si>
  <si>
    <t xml:space="preserve">https://hotel.hardrock.com/maldives/faq.aspx</t>
  </si>
  <si>
    <t xml:space="preserve">Frequently Asked Questions (FAQ) | Hard Rock Hotel Maldives</t>
  </si>
  <si>
    <t xml:space="preserve">output/pages/044_hard-rock-hotel-maldives/diving__hotel.hardrock.com__maldives-faq-aspx.md</t>
  </si>
  <si>
    <t xml:space="preserve">https://dhigufaru.com/accommodation/beach-villa/</t>
  </si>
  <si>
    <t xml:space="preserve">Beach Villa – Dhigufaru Island Resort, Maldives</t>
  </si>
  <si>
    <t xml:space="preserve">output/pages/043_dhigufaru-island-resort/diving__dhigufaru.com__accommodation-beach-villa.md</t>
  </si>
  <si>
    <t xml:space="preserve">https://hotel.hardrock.com/maldives/meetings-and-events.aspx</t>
  </si>
  <si>
    <t xml:space="preserve">Meeting Venues Maldives | Meetings &amp; Events | Hard Rock Maldives</t>
  </si>
  <si>
    <t xml:space="preserve">output/pages/044_hard-rock-hotel-maldives/events__hotel.hardrock.com__maldives-meetings-and-events-aspx.md</t>
  </si>
  <si>
    <t xml:space="preserve">https://dhigufaru.com/wine-dine/raagudi-bar/</t>
  </si>
  <si>
    <t xml:space="preserve">Raagudi Bar – Dhigufaru Island Resort, Maldives</t>
  </si>
  <si>
    <t xml:space="preserve">output/pages/043_dhigufaru-island-resort/dining__dhigufaru.com__wine-dine-raagudi-bar.md</t>
  </si>
  <si>
    <t xml:space="preserve">https://hotel.hardrock.com/maldives/an-iconic-all-inclusive-stay.aspx</t>
  </si>
  <si>
    <t xml:space="preserve">An Iconic All-Inclusive Stay</t>
  </si>
  <si>
    <t xml:space="preserve">output/pages/044_hard-rock-hotel-maldives/diving__hotel.hardrock.com__maldives-an-iconic-all-inclusive-stay-aspx.md</t>
  </si>
  <si>
    <t xml:space="preserve">https://dhigufaru.com/payments-communication-policy/</t>
  </si>
  <si>
    <t xml:space="preserve">Payments &amp; Communication Policy – Dhigufaru Island Resort, Maldives</t>
  </si>
  <si>
    <t xml:space="preserve">output/pages/043_dhigufaru-island-resort/diving__dhigufaru.com__payments-communication-policy.md</t>
  </si>
  <si>
    <t xml:space="preserve">https://hotel.hardrock.com/maldives/rooms-and-villas.aspx</t>
  </si>
  <si>
    <t xml:space="preserve">5 Star Hotels in Maldives | Rooms &amp; Villas | Hard Rock Maldives</t>
  </si>
  <si>
    <t xml:space="preserve">output/pages/044_hard-rock-hotel-maldives/diving__hotel.hardrock.com__maldives-rooms-and-villas-aspx.md</t>
  </si>
  <si>
    <t xml:space="preserve">https://dhigufaru.com/experiences/dive-school-water-sports-center/</t>
  </si>
  <si>
    <t xml:space="preserve">Ocean Dimensions Dive School &amp; Water Sports Center – Dhigufaru Island Resort, Maldives</t>
  </si>
  <si>
    <t xml:space="preserve">output/pages/043_dhigufaru-island-resort/diving__dhigufaru.com__experiences-dive-school-water-sports-center.md</t>
  </si>
  <si>
    <t xml:space="preserve">https://hotel.hardrock.com/maldives/meal-plans.aspx</t>
  </si>
  <si>
    <t xml:space="preserve">Maldives All Inclusive Offers | Hard Rock Hotel | Meal Plans</t>
  </si>
  <si>
    <t xml:space="preserve">output/pages/044_hard-rock-hotel-maldives/diving__hotel.hardrock.com__maldives-meal-plans-aspx.md</t>
  </si>
  <si>
    <t xml:space="preserve">https://hotel.hardrock.com/maldives/calendar-of-events.aspx</t>
  </si>
  <si>
    <t xml:space="preserve">Calendar of Events – October 2026 in Male</t>
  </si>
  <si>
    <t xml:space="preserve">output/pages/044_hard-rock-hotel-maldives/events__hotel.hardrock.com__maldives-calendar-of-events-aspx.md</t>
  </si>
  <si>
    <t xml:space="preserve">https://dhigufaru.com/accommodation/</t>
  </si>
  <si>
    <t xml:space="preserve">Accommodations – Dhigufaru Island Resort, Maldives</t>
  </si>
  <si>
    <t xml:space="preserve">output/pages/043_dhigufaru-island-resort/diving__dhigufaru.com__accommodation.md</t>
  </si>
  <si>
    <t xml:space="preserve">https://hotel.hardrock.com/maldives/meetings-and-weddings.aspx</t>
  </si>
  <si>
    <t xml:space="preserve">Event Venues Maldives | Meetings &amp; Weddings | Hard Rock Maldives</t>
  </si>
  <si>
    <t xml:space="preserve">output/pages/044_hard-rock-hotel-maldives/wedding__hotel.hardrock.com__maldives-meetings-and-weddings-aspx.md</t>
  </si>
  <si>
    <t xml:space="preserve">https://hotel.hardrock.com/maldives/unity-member-exclusive-offer.aspx</t>
  </si>
  <si>
    <t xml:space="preserve">Unity Member Exclusive | Hard Rock Hotel Maldives</t>
  </si>
  <si>
    <t xml:space="preserve">output/pages/044_hard-rock-hotel-maldives/diving__hotel.hardrock.com__maldives-unity-member-exclusive-offer-aspx.md</t>
  </si>
  <si>
    <t xml:space="preserve">https://dhigufaru.com/contact-us/</t>
  </si>
  <si>
    <t xml:space="preserve">Contact us – Dhigufaru Island Resort, Maldives</t>
  </si>
  <si>
    <t xml:space="preserve">output/pages/043_dhigufaru-island-resort/diving__dhigufaru.com__contact-us.md</t>
  </si>
  <si>
    <t xml:space="preserve">https://hotel.hardrock.com/maldives/advance-purchase.aspx</t>
  </si>
  <si>
    <t xml:space="preserve">Maldives Early Booking Offers | Offers | Hard Rock Maldives</t>
  </si>
  <si>
    <t xml:space="preserve">output/pages/044_hard-rock-hotel-maldives/diving__hotel.hardrock.com__maldives-advance-purchase-aspx.md</t>
  </si>
  <si>
    <t xml:space="preserve">https://dhigufaru.com/wine-dine/muraka-fine-dining-restaurant/</t>
  </si>
  <si>
    <t xml:space="preserve">Muraka Fine Dining Restaurant – Dhigufaru Island Resort, Maldives</t>
  </si>
  <si>
    <t xml:space="preserve">output/pages/043_dhigufaru-island-resort/dining__dhigufaru.com__wine-dine-muraka-fine-dining-restaurant.md</t>
  </si>
  <si>
    <t xml:space="preserve">https://hotel.hardrock.com/maldives/gallery.aspx</t>
  </si>
  <si>
    <t xml:space="preserve">Photos Gallery | Hard Rock Hotel Maldives | Hotel Images</t>
  </si>
  <si>
    <t xml:space="preserve">output/pages/044_hard-rock-hotel-maldives/diving__hotel.hardrock.com__maldives-gallery-aspx.md</t>
  </si>
  <si>
    <t xml:space="preserve">https://hotel.hardrock.com/maldives/entertainment.aspx</t>
  </si>
  <si>
    <t xml:space="preserve">Entertainment in Maldives | Night Life | Hard Rock Maldives</t>
  </si>
  <si>
    <t xml:space="preserve">output/pages/044_hard-rock-hotel-maldives/diving__hotel.hardrock.com__maldives-entertainment-aspx.md</t>
  </si>
  <si>
    <t xml:space="preserve">https://dhigufaru.com/spa</t>
  </si>
  <si>
    <t xml:space="preserve">https://hotel.hardrock.com/maldives/area-guide.aspx</t>
  </si>
  <si>
    <t xml:space="preserve">Maldives Attractions | Maldives Area Guide | Hard Rock Hotel</t>
  </si>
  <si>
    <t xml:space="preserve">output/pages/044_hard-rock-hotel-maldives/diving__hotel.hardrock.com__maldives-area-guide-aspx.md</t>
  </si>
  <si>
    <t xml:space="preserve">https://dhigufaru.com/spa/reflexology-centre/</t>
  </si>
  <si>
    <t xml:space="preserve">output/pages/043_dhigufaru-island-resort/spa__dhigufaru.com__spa-reflexology-centre.md</t>
  </si>
  <si>
    <t xml:space="preserve">https://hotel.hardrock.com/maldives/hotel-policies.aspx</t>
  </si>
  <si>
    <t xml:space="preserve">Hotel Policies | Hard Rock Hotel Maldives</t>
  </si>
  <si>
    <t xml:space="preserve">output/pages/044_hard-rock-hotel-maldives/diving__hotel.hardrock.com__maldives-hotel-policies-aspx.md</t>
  </si>
  <si>
    <t xml:space="preserve">https://dhigufaru.com/weddings</t>
  </si>
  <si>
    <t xml:space="preserve">https://hotel.hardrock.com/maldives/privacy-policy.aspx</t>
  </si>
  <si>
    <t xml:space="preserve">Privacy Policy | Hard Rock Hotel Maldives</t>
  </si>
  <si>
    <t xml:space="preserve">output/pages/044_hard-rock-hotel-maldives/diving__hotel.hardrock.com__maldives-privacy-policy-aspx.md</t>
  </si>
  <si>
    <t xml:space="preserve">https://dhigufaru.com/accomodation/beach-villa/</t>
  </si>
  <si>
    <t xml:space="preserve">output/pages/043_dhigufaru-island-resort/diving__dhigufaru.com__accomodation-beach-villa.md</t>
  </si>
  <si>
    <t xml:space="preserve">https://hotel.hardrock.com/maldives/arabic.aspx</t>
  </si>
  <si>
    <t xml:space="preserve">منتجع شاطئ المالديف | إن فندق هارد روك بجزر المالديف</t>
  </si>
  <si>
    <t xml:space="preserve">output/pages/044_hard-rock-hotel-maldives/diving__hotel.hardrock.com__maldives-arabic-aspx.md</t>
  </si>
  <si>
    <t xml:space="preserve">https://dhigufaru.com/inquiry</t>
  </si>
  <si>
    <t xml:space="preserve">https://hotel.hardrock.com/maldives/sitemap.aspx</t>
  </si>
  <si>
    <t xml:space="preserve">Sitemap | Hard Rock Hotel Maldives Gallery</t>
  </si>
  <si>
    <t xml:space="preserve">output/pages/044_hard-rock-hotel-maldives/diving__hotel.hardrock.com__maldives-sitemap-aspx.md</t>
  </si>
  <si>
    <t xml:space="preserve">https://dhigufaru.com/accomodation/pool-beach-villa/</t>
  </si>
  <si>
    <t xml:space="preserve">output/pages/043_dhigufaru-island-resort/diving__dhigufaru.com__accomodation-pool-beach-villa.md</t>
  </si>
  <si>
    <t xml:space="preserve">https://dhigufaru.com/wine-dine/athiri-speciality-restaurant</t>
  </si>
  <si>
    <t xml:space="preserve">Athiri Grill – Dhigufaru Island Resort, Maldives</t>
  </si>
  <si>
    <t xml:space="preserve">output/pages/043_dhigufaru-island-resort/dining__dhigufaru.com__wine-dine-athiri-speciality-restaurant.md</t>
  </si>
  <si>
    <t xml:space="preserve">https://dhigufaru.com/spa/reflexology-centre</t>
  </si>
  <si>
    <t xml:space="preserve">https://dhigufaru.com/experiences/sand-bank-picnic</t>
  </si>
  <si>
    <t xml:space="preserve">https://dhigufaru.com/wine-dine/muraka-fine-dining-restaurant</t>
  </si>
  <si>
    <t xml:space="preserve">https://dhigufaru.com/story</t>
  </si>
  <si>
    <t xml:space="preserve">https://dhigufaru.com/spa/treatment-rooms</t>
  </si>
  <si>
    <t xml:space="preserve">https://dhigufaru.com/experiences/fishing-excursions</t>
  </si>
  <si>
    <t xml:space="preserve">https://dhigufaru.com/privacy-policy</t>
  </si>
  <si>
    <t xml:space="preserve">https://dhigufaru.com/terms-conditions</t>
  </si>
  <si>
    <t xml:space="preserve">https://dhigufaru.com/experiences/dive-school-water-sports-center</t>
  </si>
  <si>
    <t xml:space="preserve">https://dhigufaru.com/wine-dine/thundi-pool-bar</t>
  </si>
  <si>
    <t xml:space="preserve">https://dhigufaru.com/wine-dine/dhandifulhu-restaurant</t>
  </si>
  <si>
    <t xml:space="preserve">https://dhigufaru.com/experiences/fulhangi-dive-school/</t>
  </si>
  <si>
    <t xml:space="preserve">output/pages/043_dhigufaru-island-resort/diving__dhigufaru.com__experiences-fulhangi-dive-school.md</t>
  </si>
  <si>
    <t xml:space="preserve">https://dhigufaru.com/spa/sauna-steam-room</t>
  </si>
  <si>
    <t xml:space="preserve">https://www.vakkarumaldives.com/</t>
  </si>
  <si>
    <t xml:space="preserve">Vakkaru Maldives - Luxury Resorts in Maldives</t>
  </si>
  <si>
    <t xml:space="preserve">output/pages/049_vakkaru-maldives/diving__vakkarumaldives.com__home.md</t>
  </si>
  <si>
    <t xml:space="preserve">https://www.vakkarumaldives.com/news/vakkaru-maldives-receives-one-michelin-key.html</t>
  </si>
  <si>
    <t xml:space="preserve">Vakkaru Maldives Receives One MICHELIN Key - Vakkaru Maldives.</t>
  </si>
  <si>
    <t xml:space="preserve">output/pages/049_vakkaru-maldives/diving__vakkarumaldives.com__news-vakkaru-maldives-receives-one-michelin-key-html.md</t>
  </si>
  <si>
    <t xml:space="preserve">https://www.vakkarumaldives.com/news/2024/</t>
  </si>
  <si>
    <t xml:space="preserve">News &amp; Events - Latest Updates from Vakkaru Maldives  - 2024</t>
  </si>
  <si>
    <t xml:space="preserve">output/pages/049_vakkaru-maldives/events__vakkarumaldives.com__news-2024.md</t>
  </si>
  <si>
    <t xml:space="preserve">https://www.vakkarumaldives.com/things-to-do-in-maldives/diving-courses.html</t>
  </si>
  <si>
    <t xml:space="preserve">Diving Courses in Maldives - Vakkaru Maldives - Maldives Island Resort</t>
  </si>
  <si>
    <t xml:space="preserve">output/pages/049_vakkaru-maldives/diving__vakkarumaldives.com__things-to-do-in-maldives-diving-courses-html.md</t>
  </si>
  <si>
    <t xml:space="preserve">https://www.vakkarumaldives.com/accommodation/residences/vakkaru-over-water-residence.html</t>
  </si>
  <si>
    <t xml:space="preserve">Luxury Overwater Bungalows Maldives - Vakkaru Maldives Resort</t>
  </si>
  <si>
    <t xml:space="preserve">output/pages/049_vakkaru-maldives/diving__vakkarumaldives.com__accommodation-residences-vakkaru-over-water-residence-html.md</t>
  </si>
  <si>
    <t xml:space="preserve">https://www.vakkarumaldives.com/news/2024/02/</t>
  </si>
  <si>
    <t xml:space="preserve">News &amp; Events - Latest Updates from Vakkaru Maldives  - 2024,February</t>
  </si>
  <si>
    <t xml:space="preserve">output/pages/049_vakkaru-maldives/events__vakkarumaldives.com__news-2024-02.md</t>
  </si>
  <si>
    <t xml:space="preserve">https://www.vakkarumaldives.com/index.html</t>
  </si>
  <si>
    <t xml:space="preserve">output/pages/049_vakkaru-maldives/diving__vakkarumaldives.com__index-html.md</t>
  </si>
  <si>
    <t xml:space="preserve">https://www.vakkarumaldives.com/offers/index.html</t>
  </si>
  <si>
    <t xml:space="preserve">Maldives Holiday Packages - Luxury Maldives Resort Deals at Vakkaru</t>
  </si>
  <si>
    <t xml:space="preserve">output/pages/049_vakkaru-maldives/diving__vakkarumaldives.com__offers-index-html.md</t>
  </si>
  <si>
    <t xml:space="preserve">https://www.vakkarumaldives.com/news/page3.html</t>
  </si>
  <si>
    <t xml:space="preserve">News &amp; Events - Latest Updates from Vakkaru Maldives  - Page3</t>
  </si>
  <si>
    <t xml:space="preserve">output/pages/049_vakkaru-maldives/events__vakkarumaldives.com__news-page3-html.md</t>
  </si>
  <si>
    <t xml:space="preserve">https://www.vakkarumaldives.com/news/2019/06/</t>
  </si>
  <si>
    <t xml:space="preserve">News &amp; Events - Latest Updates from Vakkaru Maldives  - 2019,June</t>
  </si>
  <si>
    <t xml:space="preserve">output/pages/049_vakkaru-maldives/events__vakkarumaldives.com__news-2019-06.md</t>
  </si>
  <si>
    <t xml:space="preserve">https://www.vakkarumaldives.com/things-to-do-in-maldives/snorkelling.html</t>
  </si>
  <si>
    <t xml:space="preserve">Snorkeling in Maldives - Vakkaru, Best Maldives Resorts for Snorkeling</t>
  </si>
  <si>
    <t xml:space="preserve">output/pages/049_vakkaru-maldives/diving__vakkarumaldives.com__things-to-do-in-maldives-snorkelling-html.md</t>
  </si>
  <si>
    <t xml:space="preserve">https://www.vakkarumaldives.com/news/2023/09/</t>
  </si>
  <si>
    <t xml:space="preserve">News &amp; Events - Latest Updates from Vakkaru Maldives  - 2023,September</t>
  </si>
  <si>
    <t xml:space="preserve">output/pages/049_vakkaru-maldives/events__vakkarumaldives.com__news-2023-09.md</t>
  </si>
  <si>
    <t xml:space="preserve">https://www.vakkarumaldives.com/accommodation/residences/</t>
  </si>
  <si>
    <t xml:space="preserve">Beach and Overwater Bungalows in Maldives - Vakkaru Maldives Resort</t>
  </si>
  <si>
    <t xml:space="preserve">output/pages/049_vakkaru-maldives/diving__vakkarumaldives.com__accommodation-residences.md</t>
  </si>
  <si>
    <t xml:space="preserve">https://www.vakkarumaldives.com/news/page4.html</t>
  </si>
  <si>
    <t xml:space="preserve">News &amp; Events - Latest Updates from Vakkaru Maldives  - Page4</t>
  </si>
  <si>
    <t xml:space="preserve">output/pages/049_vakkaru-maldives/events__vakkarumaldives.com__news-page4-html.md</t>
  </si>
  <si>
    <t xml:space="preserve">https://www.vakkarumaldives.com/accommodation/villa/over-water-pool-villa.html</t>
  </si>
  <si>
    <t xml:space="preserve">Luxury Overwater Villa Maldives - Vakkaru Maldives Resort</t>
  </si>
  <si>
    <t xml:space="preserve">output/pages/049_vakkaru-maldives/diving__vakkarumaldives.com__accommodation-villa-over-water-pool-villa-html.md</t>
  </si>
  <si>
    <t xml:space="preserve">https://hotel.hardrock.com/maldives/german.aspx</t>
  </si>
  <si>
    <t xml:space="preserve">Hard Rock Hotel Malediven Beach Resort | offizielle Website</t>
  </si>
  <si>
    <t xml:space="preserve">output/pages/044_hard-rock-hotel-maldives/diving__hotel.hardrock.com__maldives-german-aspx.md</t>
  </si>
  <si>
    <t xml:space="preserve">https://hotel.hardrock.com/maldives/chinese.aspx</t>
  </si>
  <si>
    <r>
      <rPr>
        <sz val="11"/>
        <color theme="1"/>
        <rFont val="WenQuanYi Zen Hei"/>
        <family val="2"/>
      </rPr>
      <t xml:space="preserve">马尔代夫沙滩度假村 </t>
    </r>
    <r>
      <rPr>
        <sz val="11"/>
        <color theme="1"/>
        <rFont val="Calibri"/>
        <family val="2"/>
        <charset val="1"/>
      </rPr>
      <t xml:space="preserve">| </t>
    </r>
    <r>
      <rPr>
        <sz val="11"/>
        <color theme="1"/>
        <rFont val="WenQuanYi Zen Hei"/>
        <family val="2"/>
      </rPr>
      <t xml:space="preserve">马尔代夫硬石酒店 </t>
    </r>
    <r>
      <rPr>
        <sz val="11"/>
        <color theme="1"/>
        <rFont val="Calibri"/>
        <family val="2"/>
        <charset val="1"/>
      </rPr>
      <t xml:space="preserve">| </t>
    </r>
    <r>
      <rPr>
        <sz val="11"/>
        <color theme="1"/>
        <rFont val="WenQuanYi Zen Hei"/>
        <family val="2"/>
      </rPr>
      <t xml:space="preserve">官方网站</t>
    </r>
  </si>
  <si>
    <t xml:space="preserve">output/pages/044_hard-rock-hotel-maldives/diving__hotel.hardrock.com__maldives-chinese-aspx.md</t>
  </si>
  <si>
    <t xml:space="preserve">https://www.vakkarumaldives.com/news/2023/11/</t>
  </si>
  <si>
    <t xml:space="preserve">News &amp; Events - Latest Updates from Vakkaru Maldives  - 2023,November</t>
  </si>
  <si>
    <t xml:space="preserve">output/pages/049_vakkaru-maldives/events__vakkarumaldives.com__news-2023-11.md</t>
  </si>
  <si>
    <t xml:space="preserve">https://hotel.hardrock.com/maldives/contact.aspx</t>
  </si>
  <si>
    <t xml:space="preserve">Contact Us | Telephone, E-mail | Hard Rock Hotel Maldives</t>
  </si>
  <si>
    <t xml:space="preserve">output/pages/044_hard-rock-hotel-maldives/diving__hotel.hardrock.com__maldives-contact-aspx.md</t>
  </si>
  <si>
    <t xml:space="preserve">https://www.vakkarumaldives.com/things-to-do-in-maldives/fishing-adventures.html</t>
  </si>
  <si>
    <t xml:space="preserve">Fishing Trip Maldives - Sunset Fishing and Big Game Fishing -  Vakkaru</t>
  </si>
  <si>
    <t xml:space="preserve">output/pages/049_vakkaru-maldives/diving__vakkarumaldives.com__things-to-do-in-maldives-fishing-adventures-html.md</t>
  </si>
  <si>
    <t xml:space="preserve">https://hotel.hardrock.com/maldives/careers.aspx</t>
  </si>
  <si>
    <t xml:space="preserve">Maldives Hotel Careers | Hard Rock Hotel Maldives Careers</t>
  </si>
  <si>
    <t xml:space="preserve">output/pages/044_hard-rock-hotel-maldives/diving__hotel.hardrock.com__maldives-careers-aspx.md</t>
  </si>
  <si>
    <t xml:space="preserve">https://hardrockhotels.com/maldives/russian.aspx</t>
  </si>
  <si>
    <t xml:space="preserve">Пляжный курорт на Мальдивах | Hard Rock Hotel Maldives</t>
  </si>
  <si>
    <t xml:space="preserve">output/pages/044_hard-rock-hotel-maldives/diving__hardrockhotels.com__maldives-russian-aspx.md</t>
  </si>
  <si>
    <t xml:space="preserve">https://www.vakkarumaldives.com/news/2023/page2.html</t>
  </si>
  <si>
    <t xml:space="preserve">News &amp; Events - Latest Updates from Vakkaru Maldives  - 2023 - Page2</t>
  </si>
  <si>
    <t xml:space="preserve">output/pages/049_vakkaru-maldives/events__vakkarumaldives.com__news-2023-page2-html.md</t>
  </si>
  <si>
    <t xml:space="preserve">https://www.vakkarumaldives.com/news/2024/01/</t>
  </si>
  <si>
    <t xml:space="preserve">News &amp; Events - Latest Updates from Vakkaru Maldives  - 2024,January</t>
  </si>
  <si>
    <t xml:space="preserve">output/pages/049_vakkaru-maldives/events__vakkarumaldives.com__news-2024-01.md</t>
  </si>
  <si>
    <t xml:space="preserve">https://www.vakkarumaldives.com/experiences/parrotfish-club.html</t>
  </si>
  <si>
    <t xml:space="preserve">Parrotfish Kids Club - Vakkaru, Kid Friendly Resorts in Maldives</t>
  </si>
  <si>
    <t xml:space="preserve">output/pages/049_vakkaru-maldives/diving__vakkarumaldives.com__experiences-parrotfish-club-html.md</t>
  </si>
  <si>
    <t xml:space="preserve">https://www.vakkarumaldives.com/experiences/sports-fields.html</t>
  </si>
  <si>
    <t xml:space="preserve">Sports Fields - Maldives Sports Activities - Vakkaru Maldives Resort</t>
  </si>
  <si>
    <t xml:space="preserve">output/pages/049_vakkaru-maldives/diving__vakkarumaldives.com__experiences-sports-fields-html.md</t>
  </si>
  <si>
    <t xml:space="preserve">https://www.vakkarumaldives.com/news/page2.html</t>
  </si>
  <si>
    <t xml:space="preserve">News &amp; Events - Latest Updates from Vakkaru Maldives  - Page2</t>
  </si>
  <si>
    <t xml:space="preserve">output/pages/049_vakkaru-maldives/events__vakkarumaldives.com__news-page2-html.md</t>
  </si>
  <si>
    <t xml:space="preserve">https://www.vakkarumaldives.com/brand-assets-and-collateral.html</t>
  </si>
  <si>
    <t xml:space="preserve">Brand Assets &amp; Collateral</t>
  </si>
  <si>
    <t xml:space="preserve">output/pages/049_vakkaru-maldives/other__vakkarumaldives.com__brand-assets-and-collateral-html.md</t>
  </si>
  <si>
    <t xml:space="preserve">https://www.vakkarumaldives.com/dining/lagoon-bar.html</t>
  </si>
  <si>
    <t xml:space="preserve">Lagoon Bar - Overwater Bar in Maldives - Vakkaru Maldives Resort</t>
  </si>
  <si>
    <t xml:space="preserve">output/pages/049_vakkaru-maldives/dining__vakkarumaldives.com__dining-lagoon-bar-html.md</t>
  </si>
  <si>
    <t xml:space="preserve">https://www.vakkarumaldives.com/experiences/</t>
  </si>
  <si>
    <t xml:space="preserve">Things to Do in Maldives Island - Vakkaru Maldives Resort</t>
  </si>
  <si>
    <t xml:space="preserve">output/pages/049_vakkaru-maldives/diving__vakkarumaldives.com__experiences.md</t>
  </si>
  <si>
    <t xml:space="preserve">https://www.vakkarumaldives.com/news/2019/03/</t>
  </si>
  <si>
    <t xml:space="preserve">News &amp; Events - Latest Updates from Vakkaru Maldives  - 2019,March</t>
  </si>
  <si>
    <t xml:space="preserve">output/pages/049_vakkaru-maldives/events__vakkarumaldives.com__news-2019-03.md</t>
  </si>
  <si>
    <t xml:space="preserve">https://www.vakkarumaldives.com/accommodation/villa/</t>
  </si>
  <si>
    <t xml:space="preserve">Luxury Water Villas &amp; Beach Villas in Maldives - Vakkaru Maldives</t>
  </si>
  <si>
    <t xml:space="preserve">output/pages/049_vakkaru-maldives/diving__vakkarumaldives.com__accommodation-villa.md</t>
  </si>
  <si>
    <t xml:space="preserve">https://www.sunsiyam.com/sun-siyam-olhuveli/</t>
  </si>
  <si>
    <t xml:space="preserve">Sun Siyam Olhuveli | 4 Star Beach &amp; Spa Resort in the Maldives</t>
  </si>
  <si>
    <t xml:space="preserve">output/pages/050_sun-siyam-olhuveli-maldives/spa__sunsiyam.com__sun-siyam-olhuveli.md</t>
  </si>
  <si>
    <t xml:space="preserve">https://www.vakkarumaldives.com/about/location.html</t>
  </si>
  <si>
    <t xml:space="preserve">Vakkaru Maldives Location - Private Island Resort in Maldives</t>
  </si>
  <si>
    <t xml:space="preserve">output/pages/049_vakkaru-maldives/diving__vakkarumaldives.com__about-location-html.md</t>
  </si>
  <si>
    <t xml:space="preserve">https://www.vakkarumaldives.com/offers/from-beach-to-beach.html</t>
  </si>
  <si>
    <t xml:space="preserve">From Beach to Beach - Vakkaru Maldives</t>
  </si>
  <si>
    <t xml:space="preserve">output/pages/049_vakkaru-maldives/diving__vakkarumaldives.com__offers-from-beach-to-beach-html.md</t>
  </si>
  <si>
    <t xml:space="preserve">https://www.vakkarumaldives.com/things-to-do-in-maldives/</t>
  </si>
  <si>
    <t xml:space="preserve">Watersports Maldives - Vakkaru, Maldives Resorts with Water Sports</t>
  </si>
  <si>
    <t xml:space="preserve">output/pages/049_vakkaru-maldives/diving__vakkarumaldives.com__things-to-do-in-maldives.md</t>
  </si>
  <si>
    <t xml:space="preserve">https://www.vakkarumaldives.com/news/lunar-new-year-magic-at-vakkaru-maldives.html</t>
  </si>
  <si>
    <t xml:space="preserve">Lunar New Year Magic at Vakkaru Maldives - Vakkaru Maldives.</t>
  </si>
  <si>
    <t xml:space="preserve">output/pages/049_vakkaru-maldives/diving__vakkarumaldives.com__news-lunar-new-year-magic-at-vakkaru-maldives-html.md</t>
  </si>
  <si>
    <t xml:space="preserve">https://www.vakkarumaldives.com/offers/vakkaru-dream-getaway-exclusive-deal.html</t>
  </si>
  <si>
    <t xml:space="preserve">Vakkaru Dream Getaway - Vakkaru Maldives</t>
  </si>
  <si>
    <t xml:space="preserve">output/pages/049_vakkaru-maldives/diving__vakkarumaldives.com__offers-vakkaru-dream-getaway-exclusive-deal-html.md</t>
  </si>
  <si>
    <t xml:space="preserve">https://www.vakkarumaldives.com/accommodation/villa/beach-pool-villa.html</t>
  </si>
  <si>
    <t xml:space="preserve">Maldives Beach Villa with Pool - Vakkaru Maldives Resort</t>
  </si>
  <si>
    <t xml:space="preserve">output/pages/049_vakkaru-maldives/diving__vakkarumaldives.com__accommodation-villa-beach-pool-villa-html.md</t>
  </si>
  <si>
    <t xml:space="preserve">https://www.sunsiyam.com/sun-siyam-olhuveli/leisure-activities/</t>
  </si>
  <si>
    <t xml:space="preserve">Maldives Activities | Watersports &amp; Diving | Sun Siyam Olhuveli</t>
  </si>
  <si>
    <t xml:space="preserve">output/pages/050_sun-siyam-olhuveli-maldives/diving__sunsiyam.com__sun-siyam-olhuveli-leisure-activities.md</t>
  </si>
  <si>
    <t xml:space="preserve">https://www.vakkarumaldives.com/about/</t>
  </si>
  <si>
    <t xml:space="preserve">About Vakkaru Maldives - Luxury Private Island Resorts in Maldives</t>
  </si>
  <si>
    <t xml:space="preserve">output/pages/049_vakkaru-maldives/diving__vakkarumaldives.com__about.md</t>
  </si>
  <si>
    <t xml:space="preserve">https://www.vakkarumaldives.com/experiences/event-inquiries.html</t>
  </si>
  <si>
    <t xml:space="preserve">Event Inquiries - Vakkaru Maldives - Luxury Island Resorts Maldives</t>
  </si>
  <si>
    <t xml:space="preserve">output/pages/049_vakkaru-maldives/events__vakkarumaldives.com__experiences-event-inquiries-html.md</t>
  </si>
  <si>
    <t xml:space="preserve">https://www.vakkarumaldives.com/news/2026/</t>
  </si>
  <si>
    <t xml:space="preserve">News &amp; Events - Latest Updates from Vakkaru Maldives  - 2026</t>
  </si>
  <si>
    <t xml:space="preserve">output/pages/049_vakkaru-maldives/events__vakkarumaldives.com__news-2026.md</t>
  </si>
  <si>
    <t xml:space="preserve">https://hotel.hardrock.com/maldives/request-spa-appointment.aspx</t>
  </si>
  <si>
    <t xml:space="preserve">Maldives Spa Resort | Rock Spa® Reservation at Hard Rock Maldives</t>
  </si>
  <si>
    <t xml:space="preserve">output/pages/044_hard-rock-hotel-maldives/spa__hotel.hardrock.com__maldives-request-spa-appointment-aspx.md</t>
  </si>
  <si>
    <t xml:space="preserve">https://hotel.hardrock.com/maldives/experiences/rock-spa</t>
  </si>
  <si>
    <t xml:space="preserve">output/pages/044_hard-rock-hotel-maldives/spa__hotel.hardrock.com__maldives-experiences-rock-spa.md</t>
  </si>
  <si>
    <t xml:space="preserve">https://www.vakkarumaldives.com/news/celebrations-as-the-maldives-and-vakkaru-maldives-welcome-the-one-millionth-visitor-to-the-island-country.html</t>
  </si>
  <si>
    <t xml:space="preserve">Celebrations as the Maldives and Vakkaru Maldives welcome the one-millionth visitor to the island country - Vakkaru Mald</t>
  </si>
  <si>
    <t xml:space="preserve">output/pages/049_vakkaru-maldives/wedding__vakkarumaldives.com__news-celebrations-as-the-maldives-and-vakkaru-maldives-welco.md</t>
  </si>
  <si>
    <t xml:space="preserve">https://www.vakkarumaldives.com/dining/anguru-teppanyaki.html</t>
  </si>
  <si>
    <t xml:space="preserve">Anguru Teppanyaki Maldives - Japanese Teppanyaki Restaurants - Vakkaru</t>
  </si>
  <si>
    <t xml:space="preserve">output/pages/049_vakkaru-maldives/dining__vakkarumaldives.com__dining-anguru-teppanyaki-html.md</t>
  </si>
  <si>
    <t xml:space="preserve">https://www.sunsiyam.com/sun-siyam-olhuveli/leisure-activities/watersports/</t>
  </si>
  <si>
    <t xml:space="preserve">Water Sports in the Maldives | Sun Siyam Olhuveli Resort</t>
  </si>
  <si>
    <t xml:space="preserve">output/pages/050_sun-siyam-olhuveli-maldives/diving__sunsiyam.com__sun-siyam-olhuveli-leisure-activities-watersports.md</t>
  </si>
  <si>
    <t xml:space="preserve">https://www.vakkarumaldives.com/spa-and-wellness/wellness.html</t>
  </si>
  <si>
    <t xml:space="preserve">Maldives Wellness Massage &amp; Spa - Vakkaru, Yoga Retreat Maldives</t>
  </si>
  <si>
    <t xml:space="preserve">output/pages/049_vakkaru-maldives/dining__vakkarumaldives.com__spa-and-wellness-wellness-html.md</t>
  </si>
  <si>
    <t xml:space="preserve">https://www.vakkarumaldives.com/sustainability.html</t>
  </si>
  <si>
    <t xml:space="preserve">Sustainability &amp; Marine Conservation - Vakkaru, Maldives Eco Resort</t>
  </si>
  <si>
    <t xml:space="preserve">output/pages/049_vakkaru-maldives/diving__vakkarumaldives.com__sustainability-html.md</t>
  </si>
  <si>
    <t xml:space="preserve">https://www.sunsiyam.com/sun-siyam-olhuveli/accommodation/</t>
  </si>
  <si>
    <t xml:space="preserve">Beach &amp; Romance Villas in Maldives | Sun Siyam Olhuveli</t>
  </si>
  <si>
    <t xml:space="preserve">output/pages/050_sun-siyam-olhuveli-maldives/wedding__sunsiyam.com__sun-siyam-olhuveli-accommodation.md</t>
  </si>
  <si>
    <t xml:space="preserve">https://www.vakkarumaldives.com/accommodation/residences/deluxe-beach-pool-residence.html</t>
  </si>
  <si>
    <t xml:space="preserve">One Bedroom Deluxe Beach Pool Residence - Vakkaru Maldives</t>
  </si>
  <si>
    <t xml:space="preserve">output/pages/049_vakkaru-maldives/diving__vakkarumaldives.com__accommodation-residences-deluxe-beach-pool-residence-html.md</t>
  </si>
  <si>
    <t xml:space="preserve">https://www.sunsiyam.com/sun-siyam-olhuveli/offers/oktoberfest-offer/</t>
  </si>
  <si>
    <t xml:space="preserve">Oktoberfest Offer | Sun Siyam Olhuveli</t>
  </si>
  <si>
    <t xml:space="preserve">output/pages/050_sun-siyam-olhuveli-maldives/offers__sunsiyam.com__sun-siyam-olhuveli-offers-oktoberfest-offer.md</t>
  </si>
  <si>
    <t xml:space="preserve">https://www.vakkarumaldives.com/news/2023/02/</t>
  </si>
  <si>
    <t xml:space="preserve">News &amp; Events - Latest Updates from Vakkaru Maldives  - 2023,February</t>
  </si>
  <si>
    <t xml:space="preserve">output/pages/049_vakkaru-maldives/events__vakkarumaldives.com__news-2023-02.md</t>
  </si>
  <si>
    <t xml:space="preserve">https://www.vakkarumaldives.com/privacy-policy.html</t>
  </si>
  <si>
    <t xml:space="preserve">Privacy Policy - Vakkaru Maldives - Luxury Island Resorts Maldives</t>
  </si>
  <si>
    <t xml:space="preserve">output/pages/049_vakkaru-maldives/diving__vakkarumaldives.com__privacy-policy-html.md</t>
  </si>
  <si>
    <t xml:space="preserve">https://www.sunsiyam.com/sun-siyam-olhuveli/meetings-enquiry/</t>
  </si>
  <si>
    <t xml:space="preserve">Meeting Enquiries | Sun Siyam Olhuveli Resort, Maldives</t>
  </si>
  <si>
    <t xml:space="preserve">output/pages/050_sun-siyam-olhuveli-maldives/events__sunsiyam.com__sun-siyam-olhuveli-meetings-enquiry.md</t>
  </si>
  <si>
    <t xml:space="preserve">https://www.emerald-maldives.com/</t>
  </si>
  <si>
    <t xml:space="preserve">Emerald Maldives Resort &amp; Spa</t>
  </si>
  <si>
    <t xml:space="preserve">output/pages/051_emerald-maldives-resort-spa-fasmendho/spa__emerald-maldives.com__home.md</t>
  </si>
  <si>
    <t xml:space="preserve">https://www.vakkarumaldives.com/news/2025/11/</t>
  </si>
  <si>
    <t xml:space="preserve">News &amp; Events - Latest Updates from Vakkaru Maldives  - 2025,November</t>
  </si>
  <si>
    <t xml:space="preserve">output/pages/049_vakkaru-maldives/events__vakkarumaldives.com__news-2025-11.md</t>
  </si>
  <si>
    <t xml:space="preserve">https://www.emerald-maldives.com/blog-posts/sweet-or-savory</t>
  </si>
  <si>
    <t xml:space="preserve">output/pages/051_emerald-maldives-resort-spa-fasmendho/other__emerald-maldives.com__blog-posts-sweet-or-savory.md</t>
  </si>
  <si>
    <t xml:space="preserve">https://www.emerald-maldives.com/villas/b-jac</t>
  </si>
  <si>
    <t xml:space="preserve">Emerald Maldives Resort &amp; Spa - Jacuzzi Beach Villas | All Inclusive Resort</t>
  </si>
  <si>
    <t xml:space="preserve">output/pages/051_emerald-maldives-resort-spa-fasmendho/spa__emerald-maldives.com__villas-b-jac.md</t>
  </si>
  <si>
    <t xml:space="preserve">https://www.vakkarumaldives.com/experiences/index.html</t>
  </si>
  <si>
    <t xml:space="preserve">output/pages/049_vakkaru-maldives/diving__vakkarumaldives.com__experiences-index-html.md</t>
  </si>
  <si>
    <t xml:space="preserve">https://www.emerald-maldives.com/experiences/gym-sports</t>
  </si>
  <si>
    <t xml:space="preserve">Emerald Maldives Resort &amp; Spa - Gym &amp; Sports Center</t>
  </si>
  <si>
    <t xml:space="preserve">output/pages/051_emerald-maldives-resort-spa-fasmendho/spa__emerald-maldives.com__experiences-gym-sports.md</t>
  </si>
  <si>
    <t xml:space="preserve">https://www.emerald-maldives.com/experiences/emerald-spa</t>
  </si>
  <si>
    <t xml:space="preserve">Emerald Maldives Resort &amp; Spa | 5 star All Inclusive Resort with Spa</t>
  </si>
  <si>
    <t xml:space="preserve">output/pages/051_emerald-maldives-resort-spa-fasmendho/spa__emerald-maldives.com__experiences-emerald-spa.md</t>
  </si>
  <si>
    <t xml:space="preserve">https://www.emerald-maldives.com/restaurants/sunrise-cafe</t>
  </si>
  <si>
    <t xml:space="preserve">Emerald Maldives Resort &amp; Spa - Sunrise Café</t>
  </si>
  <si>
    <t xml:space="preserve">output/pages/051_emerald-maldives-resort-spa-fasmendho/dining__emerald-maldives.com__restaurants-sunrise-cafe.md</t>
  </si>
  <si>
    <t xml:space="preserve">https://www.vakkarumaldives.com/accommodation/residences/beach-pool-residence.html</t>
  </si>
  <si>
    <t xml:space="preserve">Maldives Beach Bungalow with Pool - Vakkaru Maldives</t>
  </si>
  <si>
    <t xml:space="preserve">output/pages/049_vakkaru-maldives/diving__vakkarumaldives.com__accommodation-residences-beach-pool-residence-html.md</t>
  </si>
  <si>
    <t xml:space="preserve">https://www.emerald-maldives.com/restaurants/sunset-pool-cafe</t>
  </si>
  <si>
    <t xml:space="preserve">Emerald Maldives Resort &amp; Spa - Sunset Pool Café</t>
  </si>
  <si>
    <t xml:space="preserve">output/pages/051_emerald-maldives-resort-spa-fasmendho/dining__emerald-maldives.com__restaurants-sunset-pool-cafe.md</t>
  </si>
  <si>
    <t xml:space="preserve">https://www.emerald-maldives.com/blog-posts/the-art-of-mixology</t>
  </si>
  <si>
    <t xml:space="preserve">output/pages/051_emerald-maldives-resort-spa-fasmendho/other__emerald-maldives.com__blog-posts-the-art-of-mixology.md</t>
  </si>
  <si>
    <t xml:space="preserve">https://www.vakkarumaldives.com/dining/private-destination-dining.html</t>
  </si>
  <si>
    <t xml:space="preserve">Luxury Destination Dining Maldives - Vakkaru Maldives Resort</t>
  </si>
  <si>
    <t xml:space="preserve">output/pages/049_vakkaru-maldives/dining__vakkarumaldives.com__dining-private-destination-dining-html.md</t>
  </si>
  <si>
    <t xml:space="preserve">https://www.emerald-maldives.com/blog-posts/5-things-you-can-do-to-feel-at-emerald-maldives</t>
  </si>
  <si>
    <t xml:space="preserve">output/pages/051_emerald-maldives-resort-spa-fasmendho/diving__emerald-maldives.com__blog-posts-5-things-you-can-do-to-feel-at-emerald-maldives.md</t>
  </si>
  <si>
    <t xml:space="preserve">https://www.emerald-maldives.com/welcome</t>
  </si>
  <si>
    <t xml:space="preserve">Emerald Maldives Resort &amp; Spa - Become a friend</t>
  </si>
  <si>
    <t xml:space="preserve">output/pages/051_emerald-maldives-resort-spa-fasmendho/spa__emerald-maldives.com__welcome.md</t>
  </si>
  <si>
    <t xml:space="preserve">https://www.sunsiyam.com/sun-siyam-olhuveli/leisure-activities/diving/</t>
  </si>
  <si>
    <t xml:space="preserve">Diving in the Maldives | Sun Siyam Olhuveli Resort</t>
  </si>
  <si>
    <t xml:space="preserve">output/pages/050_sun-siyam-olhuveli-maldives/diving__sunsiyam.com__sun-siyam-olhuveli-leisure-activities-diving.md</t>
  </si>
  <si>
    <t xml:space="preserve">https://www.emerald-maldives.com/get-here</t>
  </si>
  <si>
    <t xml:space="preserve">Emerald Maldives Resort &amp; Spa - How to Get here  | Luxury Resort</t>
  </si>
  <si>
    <t xml:space="preserve">output/pages/051_emerald-maldives-resort-spa-fasmendho/spa__emerald-maldives.com__get-here.md</t>
  </si>
  <si>
    <t xml:space="preserve">https://www.vakkarumaldives.com/news/2025/06/</t>
  </si>
  <si>
    <t xml:space="preserve">News &amp; Events - Latest Updates from Vakkaru Maldives  - 2025,June</t>
  </si>
  <si>
    <t xml:space="preserve">output/pages/049_vakkaru-maldives/events__vakkarumaldives.com__news-2025-06.md</t>
  </si>
  <si>
    <t xml:space="preserve">https://www.emerald-maldives.com/blog-posts/easter-at-emerald-maldives</t>
  </si>
  <si>
    <t xml:space="preserve">output/pages/051_emerald-maldives-resort-spa-fasmendho/diving__emerald-maldives.com__blog-posts-easter-at-emerald-maldives.md</t>
  </si>
  <si>
    <t xml:space="preserve">https://www.emerald-maldives.com/blog-posts/plant-your-heart-at-emerald-maldives</t>
  </si>
  <si>
    <t xml:space="preserve">output/pages/051_emerald-maldives-resort-spa-fasmendho/diving__emerald-maldives.com__blog-posts-plant-your-heart-at-emerald-maldives.md</t>
  </si>
  <si>
    <t xml:space="preserve">https://www.sunsiyam.com/sun-siyam-olhuveli/experiences/</t>
  </si>
  <si>
    <t xml:space="preserve">Fun Experiences in Maldives | Sun Siyam Olhuveli Luxury Resort</t>
  </si>
  <si>
    <t xml:space="preserve">output/pages/050_sun-siyam-olhuveli-maldives/diving__sunsiyam.com__sun-siyam-olhuveli-experiences.md</t>
  </si>
  <si>
    <t xml:space="preserve">https://www.vakkarumaldives.com/contact.html</t>
  </si>
  <si>
    <t xml:space="preserve">Vakkaru Maldives Contact - Maldives Private Island Resort</t>
  </si>
  <si>
    <t xml:space="preserve">output/pages/049_vakkaru-maldives/diving__vakkarumaldives.com__contact-html.md</t>
  </si>
  <si>
    <t xml:space="preserve">https://www.emerald-maldives.com/blog-posts/russian-cuisine-landed-at-emerald-maldives</t>
  </si>
  <si>
    <t xml:space="preserve">output/pages/051_emerald-maldives-resort-spa-fasmendho/dining__emerald-maldives.com__blog-posts-russian-cuisine-landed-at-emerald-maldives.md</t>
  </si>
  <si>
    <t xml:space="preserve">https://hotel.hardrock.com/maldives/calendar-of-events.aspx?date=10/1/2026&amp;display=grid</t>
  </si>
  <si>
    <t xml:space="preserve">https://www.emerald-maldives.com/blog-posts/emerald-maldives-home-of-marine-turtles</t>
  </si>
  <si>
    <t xml:space="preserve">output/pages/051_emerald-maldives-resort-spa-fasmendho/diving__emerald-maldives.com__blog-posts-emerald-maldives-home-of-marine-turtles.md</t>
  </si>
  <si>
    <t xml:space="preserve">https://www.sunsiyam.com/sun-siyam-olhuveli/gallery/</t>
  </si>
  <si>
    <t xml:space="preserve">Our Gallery | Sun Siyam Olhuveli 4 Star Beach Resort, Maldives</t>
  </si>
  <si>
    <t xml:space="preserve">output/pages/050_sun-siyam-olhuveli-maldives/diving__sunsiyam.com__sun-siyam-olhuveli-gallery.md</t>
  </si>
  <si>
    <t xml:space="preserve">https://hotel.hardrock.com/maldives/calendar-of-events.aspx?date=10/14/2026&amp;display=day</t>
  </si>
  <si>
    <t xml:space="preserve">Calendar of Events – 10/14/2026 in Male</t>
  </si>
  <si>
    <t xml:space="preserve">https://www.emerald-maldives.com/blog-posts/rajeshwar-rao-kalakuntla-front-office-manager</t>
  </si>
  <si>
    <t xml:space="preserve">output/pages/051_emerald-maldives-resort-spa-fasmendho/other__emerald-maldives.com__blog-posts-rajeshwar-rao-kalakuntla-front-office-manager.md</t>
  </si>
  <si>
    <t xml:space="preserve">https://hotel.hardrock.com/maldives/calendar-of-events.aspx?date=10/2/2026&amp;display=day</t>
  </si>
  <si>
    <t xml:space="preserve">Calendar of Events – 10/2/2026 in Male</t>
  </si>
  <si>
    <t xml:space="preserve">https://www.emerald-maldives.com/villas/w-sup</t>
  </si>
  <si>
    <t xml:space="preserve">Emerald Maldives Resort &amp; Spa - Superior Water Villas with Pool</t>
  </si>
  <si>
    <t xml:space="preserve">output/pages/051_emerald-maldives-resort-spa-fasmendho/spa__emerald-maldives.com__villas-w-sup.md</t>
  </si>
  <si>
    <t xml:space="preserve">https://www.vakkarumaldives.com/news/2019/</t>
  </si>
  <si>
    <t xml:space="preserve">News &amp; Events - Latest Updates from Vakkaru Maldives  - 2019</t>
  </si>
  <si>
    <t xml:space="preserve">output/pages/049_vakkaru-maldives/events__vakkarumaldives.com__news-2019.md</t>
  </si>
  <si>
    <t xml:space="preserve">https://hotel.hardrock.com/maldives/calendar-of-events.aspx?date=10/6/2026&amp;display=day</t>
  </si>
  <si>
    <t xml:space="preserve">Calendar of Events – 10/6/2026 in Male</t>
  </si>
  <si>
    <t xml:space="preserve">https://www.emerald-maldives.com/blog-posts/emerald-maldives-resort-spa-blog-the-first-amazonico-restaurant</t>
  </si>
  <si>
    <t xml:space="preserve">output/pages/051_emerald-maldives-resort-spa-fasmendho/dining__emerald-maldives.com__blog-posts-emerald-maldives-resort-spa-blog-the-first-amazon.md</t>
  </si>
  <si>
    <t xml:space="preserve">https://www.sunsiyam.com/sun-siyam-olhuveli/offers/honeymoon-offer/</t>
  </si>
  <si>
    <t xml:space="preserve">Honeymoon Offer | Sun Siyam Olhuveli Resort</t>
  </si>
  <si>
    <t xml:space="preserve">output/pages/050_sun-siyam-olhuveli-maldives/wedding__sunsiyam.com__sun-siyam-olhuveli-offers-honeymoon-offer.md</t>
  </si>
  <si>
    <t xml:space="preserve">https://www.emerald-maldives.com/special-offers/early-bird-offer</t>
  </si>
  <si>
    <t xml:space="preserve">output/pages/051_emerald-maldives-resort-spa-fasmendho/offers__emerald-maldives.com__special-offers-early-bird-offer.md</t>
  </si>
  <si>
    <t xml:space="preserve">https://hotel.hardrock.com/maldives/calendar-of-events.aspx?date=10/4/2026&amp;display=day</t>
  </si>
  <si>
    <t xml:space="preserve">Calendar of Events – 10/4/2026 in Male</t>
  </si>
  <si>
    <t xml:space="preserve">https://www.sunsiyam.com/sun-siyam-olhuveli/leisure-activities/excursions/</t>
  </si>
  <si>
    <t xml:space="preserve">Excursions in the Maldives | Sun Siyam Olhuveli Resort</t>
  </si>
  <si>
    <t xml:space="preserve">output/pages/050_sun-siyam-olhuveli-maldives/diving__sunsiyam.com__sun-siyam-olhuveli-leisure-activities-excursions.md</t>
  </si>
  <si>
    <t xml:space="preserve">https://hotel.hardrock.com/maldives/calendar-of-events.aspx?date=10/12/2026&amp;display=day</t>
  </si>
  <si>
    <t xml:space="preserve">Calendar of Events – 10/12/2026 in Male</t>
  </si>
  <si>
    <t xml:space="preserve">https://www.emerald-maldives.com/lp/deluxe-all-inclusive-family-vacation</t>
  </si>
  <si>
    <t xml:space="preserve">Emerald Maldives</t>
  </si>
  <si>
    <t xml:space="preserve">output/pages/051_emerald-maldives-resort-spa-fasmendho/diving__emerald-maldives.com__lp-deluxe-all-inclusive-family-vacation.md</t>
  </si>
  <si>
    <t xml:space="preserve">https://www.vakkarumaldives.com/dining/the-organic-farm.html</t>
  </si>
  <si>
    <t xml:space="preserve">Organic Garden Dining at Vakkaru Maldives  - Maldives Eco Resort</t>
  </si>
  <si>
    <t xml:space="preserve">output/pages/049_vakkaru-maldives/dining__vakkarumaldives.com__dining-the-organic-farm-html.md</t>
  </si>
  <si>
    <t xml:space="preserve">https://www.emerald-maldives.com/covid-update</t>
  </si>
  <si>
    <t xml:space="preserve">Emerald Maldives Resort &amp; Spa - Covid-19 Update Details</t>
  </si>
  <si>
    <t xml:space="preserve">output/pages/051_emerald-maldives-resort-spa-fasmendho/spa__emerald-maldives.com__covid-update.md</t>
  </si>
  <si>
    <t xml:space="preserve">https://hotel.hardrock.com/maldives/calendar-of-events.aspx?date=10/24/2026&amp;display=day</t>
  </si>
  <si>
    <t xml:space="preserve">Calendar of Events – 10/24/2026 in Male</t>
  </si>
  <si>
    <t xml:space="preserve">https://www.emerald-maldives.com/villas/w-jac</t>
  </si>
  <si>
    <t xml:space="preserve">Emerald Maldives Resort &amp; Spa - Jacuzzi Water Villas | 5-star resort</t>
  </si>
  <si>
    <t xml:space="preserve">output/pages/051_emerald-maldives-resort-spa-fasmendho/spa__emerald-maldives.com__villas-w-jac.md</t>
  </si>
  <si>
    <t xml:space="preserve">https://hotel.hardrock.com/maldives/calendar-of-events.aspx?date=10/31/2026&amp;display=event&amp;eventid=2479135</t>
  </si>
  <si>
    <t xml:space="preserve">Calendar of Events – Halloween 10/31/2026 in Male</t>
  </si>
  <si>
    <t xml:space="preserve">https://www.emerald-maldives.com/special-offers/honeymoon-special-offer-maldives</t>
  </si>
  <si>
    <t xml:space="preserve">output/pages/051_emerald-maldives-resort-spa-fasmendho/wedding__emerald-maldives.com__special-offers-honeymoon-special-offer-maldives.md</t>
  </si>
  <si>
    <t xml:space="preserve">https://www.vakkarumaldives.com/news/world-leading-luxury-honeymoon-resort.html</t>
  </si>
  <si>
    <t xml:space="preserve">Vakkaru Maldives Crowned Leading Luxury Honeymoon Resort 2023 - Vakkaru Maldives.</t>
  </si>
  <si>
    <t xml:space="preserve">output/pages/049_vakkaru-maldives/wedding__vakkarumaldives.com__news-world-leading-luxury-honeymoon-resort-html.md</t>
  </si>
  <si>
    <t xml:space="preserve">https://hotel.hardrock.com/maldives/calendar-of-events.aspx?date=10/26/2026&amp;display=day</t>
  </si>
  <si>
    <t xml:space="preserve">Calendar of Events – 10/26/2026 in Male</t>
  </si>
  <si>
    <t xml:space="preserve">https://www.emerald-maldives.com/contact</t>
  </si>
  <si>
    <t xml:space="preserve">Emerald Maldives Resort &amp; Spa - Contact Us | Best 5 star Holiday</t>
  </si>
  <si>
    <t xml:space="preserve">output/pages/051_emerald-maldives-resort-spa-fasmendho/spa__emerald-maldives.com__contact.md</t>
  </si>
  <si>
    <t xml:space="preserve">https://hotel.hardrock.com/maldives/calendar-of-events.aspx?date=10/30/2026&amp;display=event&amp;eventid=2479134</t>
  </si>
  <si>
    <t xml:space="preserve">Calendar of Events – Halloween 10/30/2026 in Male</t>
  </si>
  <si>
    <t xml:space="preserve">https://hotel.hardrock.com/maldives/calendar-of-events.aspx?date=10/30/2026&amp;display=day</t>
  </si>
  <si>
    <t xml:space="preserve">Calendar of Events – 10/30/2026 in Male</t>
  </si>
  <si>
    <t xml:space="preserve">https://www.emerald-maldives.com/blog-posts/asian-cuisine-at-the-maldives</t>
  </si>
  <si>
    <t xml:space="preserve">output/pages/051_emerald-maldives-resort-spa-fasmendho/dining__emerald-maldives.com__blog-posts-asian-cuisine-at-the-maldives.md</t>
  </si>
  <si>
    <t xml:space="preserve">https://www.vakkarumaldives.com/things-to-do-in-maldives/scuba-diving.html</t>
  </si>
  <si>
    <t xml:space="preserve">Scuba Diving Maldives - Vakkaru, Maldives Diving Resort</t>
  </si>
  <si>
    <t xml:space="preserve">output/pages/049_vakkaru-maldives/diving__vakkarumaldives.com__things-to-do-in-maldives-scuba-diving-html.md</t>
  </si>
  <si>
    <t xml:space="preserve">https://hotel.hardrock.com/maldives/calendar-of-events.aspx?date=10/1/2026&amp;display=list</t>
  </si>
  <si>
    <t xml:space="preserve">https://www.emerald-maldives.com/villas/b-pool</t>
  </si>
  <si>
    <t xml:space="preserve">Emerald Maldives Resort &amp; Spa - Beach Villas with Pool | All Inclusive</t>
  </si>
  <si>
    <t xml:space="preserve">output/pages/051_emerald-maldives-resort-spa-fasmendho/spa__emerald-maldives.com__villas-b-pool.md</t>
  </si>
  <si>
    <t xml:space="preserve">https://www.sunsiyam.com/sun-siyam-olhuveli/restaurants-bars/</t>
  </si>
  <si>
    <t xml:space="preserve">Maldives Restaurants &amp; Bars | Sun Siyam Olhuveli 4 Star Resort</t>
  </si>
  <si>
    <t xml:space="preserve">output/pages/050_sun-siyam-olhuveli-maldives/dining__sunsiyam.com__sun-siyam-olhuveli-restaurants-bars.md</t>
  </si>
  <si>
    <t xml:space="preserve">https://www.emerald-maldives.com/blog-posts/emerald-brand-new-maldives-luxury-resort</t>
  </si>
  <si>
    <t xml:space="preserve">output/pages/051_emerald-maldives-resort-spa-fasmendho/diving__emerald-maldives.com__blog-posts-emerald-brand-new-maldives-luxury-resort.md</t>
  </si>
  <si>
    <t xml:space="preserve">https://hotel.hardrock.com/maldives/calendar-of-events.aspx?date=10/31/2026&amp;display=day</t>
  </si>
  <si>
    <t xml:space="preserve">Calendar of Events – 10/31/2026 in Male</t>
  </si>
  <si>
    <t xml:space="preserve">https://www.emerald-maldives.com/oasis</t>
  </si>
  <si>
    <t xml:space="preserve">Emerald Maldives Resort &amp; Spa - Oasis of bliss  | All Inclusive Holiday</t>
  </si>
  <si>
    <t xml:space="preserve">output/pages/051_emerald-maldives-resort-spa-fasmendho/spa__emerald-maldives.com__oasis.md</t>
  </si>
  <si>
    <t xml:space="preserve">https://www.vakkarumaldives.com/accommodation/residences/three-bedroom-beach-pool-residence.html</t>
  </si>
  <si>
    <t xml:space="preserve">Three Bedroom Beach Pool Residence - Vakkaru Maldives Beach Resort</t>
  </si>
  <si>
    <t xml:space="preserve">output/pages/049_vakkaru-maldives/diving__vakkarumaldives.com__accommodation-residences-three-bedroom-beach-pool-residence-.md</t>
  </si>
  <si>
    <t xml:space="preserve">https://hotel.hardrock.com/maldives/calendar-of-events.aspx?date=10/23/2026&amp;display=event&amp;eventid=2479132</t>
  </si>
  <si>
    <t xml:space="preserve">Calendar of Events – Pinktober 10/23/2026 in Male</t>
  </si>
  <si>
    <t xml:space="preserve">https://www.emerald-maldives.com/blog-posts/emerald-maldives-resort-spa-blog-a-proposal-at-emerald-maldives</t>
  </si>
  <si>
    <t xml:space="preserve">output/pages/051_emerald-maldives-resort-spa-fasmendho/spa__emerald-maldives.com__blog-posts-emerald-maldives-resort-spa-blog-a-proposal-at-em.md</t>
  </si>
  <si>
    <t xml:space="preserve">https://hotel.hardrock.com/maldives/calendar-of-events.aspx?date=10/3/2026&amp;display=day</t>
  </si>
  <si>
    <t xml:space="preserve">Calendar of Events – 10/3/2026 in Male</t>
  </si>
  <si>
    <t xml:space="preserve">https://www.emerald-maldives.com/blog-posts/festive-season-with-a-tropical-twist</t>
  </si>
  <si>
    <t xml:space="preserve">output/pages/051_emerald-maldives-resort-spa-fasmendho/other__emerald-maldives.com__blog-posts-festive-season-with-a-tropical-twist.md</t>
  </si>
  <si>
    <t xml:space="preserve">https://hotel.hardrock.com/maldives/calendar-of-events.aspx?date=10/9/2026&amp;display=day</t>
  </si>
  <si>
    <t xml:space="preserve">Calendar of Events – 10/9/2026 in Male</t>
  </si>
  <si>
    <t xml:space="preserve">https://www.sunsiyam.com/sun-siyam-olhuveli/offers/festive-offer/</t>
  </si>
  <si>
    <t xml:space="preserve">Festive Offer | Sun Siyam Olhuveli</t>
  </si>
  <si>
    <t xml:space="preserve">output/pages/050_sun-siyam-olhuveli-maldives/offers__sunsiyam.com__sun-siyam-olhuveli-offers-festive-offer.md</t>
  </si>
  <si>
    <t xml:space="preserve">https://www.emerald-maldives.com/experiences/diving</t>
  </si>
  <si>
    <t xml:space="preserve">Emerald Maldives Resort &amp; Spa - Diving Center | Resort with Activity</t>
  </si>
  <si>
    <t xml:space="preserve">output/pages/051_emerald-maldives-resort-spa-fasmendho/spa__emerald-maldives.com__experiences-diving.md</t>
  </si>
  <si>
    <t xml:space="preserve">https://www.vakkarumaldives.com/spa-and-wellness/ayurveda.html</t>
  </si>
  <si>
    <t xml:space="preserve">Ayurveda Maldives - Vakkaru Maldives - Best Spa Resort in Maldives</t>
  </si>
  <si>
    <t xml:space="preserve">output/pages/049_vakkaru-maldives/spa__vakkarumaldives.com__spa-and-wellness-ayurveda-html.md</t>
  </si>
  <si>
    <t xml:space="preserve">https://hotel.hardrock.com/maldives/calendar-of-events.aspx?date=10/11/2026&amp;display=day</t>
  </si>
  <si>
    <t xml:space="preserve">Calendar of Events – 10/11/2026 in Male</t>
  </si>
  <si>
    <t xml:space="preserve">https://www.emerald-maldives.com/villas/w-pres</t>
  </si>
  <si>
    <t xml:space="preserve">Emerald Maldives Resort &amp; Spa - Presidential Water Villa | All Inclusive Holiday</t>
  </si>
  <si>
    <t xml:space="preserve">output/pages/051_emerald-maldives-resort-spa-fasmendho/spa__emerald-maldives.com__villas-w-pres.md</t>
  </si>
  <si>
    <t xml:space="preserve">https://hotel.hardrock.com/maldives/calendar-of-events.aspx?date=10/18/2026&amp;display=day</t>
  </si>
  <si>
    <t xml:space="preserve">Calendar of Events – 10/18/2026 in Male</t>
  </si>
  <si>
    <t xml:space="preserve">https://www.emerald-maldives.com/blog-posts/discover-the-maldivian-sea-world</t>
  </si>
  <si>
    <t xml:space="preserve">output/pages/051_emerald-maldives-resort-spa-fasmendho/excursions__emerald-maldives.com__blog-posts-discover-the-maldivian-sea-world.md</t>
  </si>
  <si>
    <t xml:space="preserve">https://www.sunsiyam.com/sun-siyam-olhuveli/weddings-celebrations/</t>
  </si>
  <si>
    <t xml:space="preserve">Celebrate Your Special Moments | Sun Siyam Olhuveli Maldives</t>
  </si>
  <si>
    <t xml:space="preserve">output/pages/050_sun-siyam-olhuveli-maldives/wedding__sunsiyam.com__sun-siyam-olhuveli-weddings-celebrations.md</t>
  </si>
  <si>
    <t xml:space="preserve">https://hotel.hardrock.com/maldives/calendar-of-events.aspx?date=10/10/2026&amp;display=day</t>
  </si>
  <si>
    <t xml:space="preserve">Calendar of Events – 10/10/2026 in Male</t>
  </si>
  <si>
    <t xml:space="preserve">https://www.vakkarumaldives.com/spa-and-wellness/salon.html</t>
  </si>
  <si>
    <t xml:space="preserve">Hair Studio and Nail Care -  Vakkaru, Maldives Wellness Resort</t>
  </si>
  <si>
    <t xml:space="preserve">output/pages/049_vakkaru-maldives/spa__vakkarumaldives.com__spa-and-wellness-salon-html.md</t>
  </si>
  <si>
    <t xml:space="preserve">https://hotel.hardrock.com/maldives/calendar-of-events.aspx?&amp;format=ical</t>
  </si>
  <si>
    <t xml:space="preserve">https://hotel.hardrock.com/maldives/calendar-of-events.aspx?date=10/7/2026&amp;display=day</t>
  </si>
  <si>
    <t xml:space="preserve">Calendar of Events – 10/7/2026 in Male</t>
  </si>
  <si>
    <t xml:space="preserve">https://www.emerald-maldives.com/blog-posts/more-than-a-romance</t>
  </si>
  <si>
    <t xml:space="preserve">output/pages/051_emerald-maldives-resort-spa-fasmendho/wedding__emerald-maldives.com__blog-posts-more-than-a-romance.md</t>
  </si>
  <si>
    <t xml:space="preserve">https://hotel.hardrock.com/maldives/calendar-of-events.aspx?date=10/1/2026&amp;display=day</t>
  </si>
  <si>
    <t xml:space="preserve">Calendar of Events – 10/1/2026 in Male</t>
  </si>
  <si>
    <t xml:space="preserve">https://www.emerald-maldives.com/villas/b-sup</t>
  </si>
  <si>
    <t xml:space="preserve">Emerald Maldives Resort &amp; Spa - Superior Beach Villas with Pool</t>
  </si>
  <si>
    <t xml:space="preserve">output/pages/051_emerald-maldives-resort-spa-fasmendho/spa__emerald-maldives.com__villas-b-sup.md</t>
  </si>
  <si>
    <t xml:space="preserve">https://hotel.hardrock.com/maldives/calendar-of-events.aspx?date=10/21/2026&amp;display=day</t>
  </si>
  <si>
    <t xml:space="preserve">Calendar of Events – 10/21/2026 in Male</t>
  </si>
  <si>
    <t xml:space="preserve">https://www.emerald-maldives.com/blog-posts/emerald-maldives-resort-spa-blog-vote-for-emerald-maldives-in-the-world-travel-2020-awards</t>
  </si>
  <si>
    <t xml:space="preserve">output/pages/051_emerald-maldives-resort-spa-fasmendho/spa__emerald-maldives.com__blog-posts-emerald-maldives-resort-spa-blog-vote-for-emerald.md</t>
  </si>
  <si>
    <t xml:space="preserve">https://www.vakkarumaldives.com/dining/index.html</t>
  </si>
  <si>
    <t xml:space="preserve">Best Restaurants and Bars in Maldives - Vakkaru Maldives Luxury Dining</t>
  </si>
  <si>
    <t xml:space="preserve">output/pages/049_vakkaru-maldives/dining__vakkarumaldives.com__dining-index-html.md</t>
  </si>
  <si>
    <t xml:space="preserve">https://hotel.hardrock.com/maldives/calendar-of-events.aspx?date=10/5/2026&amp;display=day</t>
  </si>
  <si>
    <t xml:space="preserve">Calendar of Events – 10/5/2026 in Male</t>
  </si>
  <si>
    <t xml:space="preserve">https://www.emerald-maldives.com/restaurants/asiatique</t>
  </si>
  <si>
    <t xml:space="preserve">Emerald Maldives Resort &amp; Spa - Le Asiatique</t>
  </si>
  <si>
    <t xml:space="preserve">output/pages/051_emerald-maldives-resort-spa-fasmendho/dining__emerald-maldives.com__restaurants-asiatique.md</t>
  </si>
  <si>
    <t xml:space="preserve">https://hotel.hardrock.com/maldives/calendar-of-events.aspx?date=10/13/2026&amp;display=day</t>
  </si>
  <si>
    <t xml:space="preserve">Calendar of Events – 10/13/2026 in Male</t>
  </si>
  <si>
    <t xml:space="preserve">https://www.emerald-maldives.com/blog-posts/emerald-maldives-resort-spa-blog-a-greener-emerald-maldives</t>
  </si>
  <si>
    <t xml:space="preserve">output/pages/051_emerald-maldives-resort-spa-fasmendho/spa__emerald-maldives.com__blog-posts-emerald-maldives-resort-spa-blog-a-greener-emeral.md</t>
  </si>
  <si>
    <t xml:space="preserve">https://hotel.hardrock.com/maldives/calendar-of-events.aspx?date=10/19/2026&amp;display=day</t>
  </si>
  <si>
    <t xml:space="preserve">Calendar of Events – 10/19/2026 in Male</t>
  </si>
  <si>
    <t xml:space="preserve">https://www.emerald-maldives.com/blog-posts/kids-magical-side-of-the-maldives</t>
  </si>
  <si>
    <t xml:space="preserve">output/pages/051_emerald-maldives-resort-spa-fasmendho/diving__emerald-maldives.com__blog-posts-kids-magical-side-of-the-maldives.md</t>
  </si>
  <si>
    <t xml:space="preserve">https://www.vakkarumaldives.com/accommodation/residences/two-bedroom-beach-pool-residence.html</t>
  </si>
  <si>
    <t xml:space="preserve">Two Bedroom Beach Pool Residence - Vakkaru Maldives Family Resort</t>
  </si>
  <si>
    <t xml:space="preserve">output/pages/049_vakkaru-maldives/diving__vakkarumaldives.com__accommodation-residences-two-bedroom-beach-pool-residence-ht.md</t>
  </si>
  <si>
    <t xml:space="preserve">https://hotel.hardrock.com/maldives/calendar-of-events.aspx?date=10/23/2026&amp;display=day</t>
  </si>
  <si>
    <t xml:space="preserve">Calendar of Events – 10/23/2026 in Male</t>
  </si>
  <si>
    <t xml:space="preserve">https://hotel.hardrock.com/maldives/calendar-of-events.aspx?&amp;format=rss</t>
  </si>
  <si>
    <t xml:space="preserve">Hard Rock Hotel Maldives Calendar RSS</t>
  </si>
  <si>
    <t xml:space="preserve">https://www.emerald-maldives.com/blog-posts/the-beach-club-grill-restaurant</t>
  </si>
  <si>
    <t xml:space="preserve">output/pages/051_emerald-maldives-resort-spa-fasmendho/dining__emerald-maldives.com__blog-posts-the-beach-club-grill-restaurant.md</t>
  </si>
  <si>
    <t xml:space="preserve">https://hotel.hardrock.com/maldives/calendar-of-events.aspx?date=10/27/2026&amp;display=day</t>
  </si>
  <si>
    <t xml:space="preserve">Calendar of Events – 10/27/2026 in Male</t>
  </si>
  <si>
    <t xml:space="preserve">https://www.emerald-maldives.com/restaurants/beach-club-grill</t>
  </si>
  <si>
    <t xml:space="preserve">Emerald Maldives Resort &amp; Spa - Beach Club Grill Restaurant</t>
  </si>
  <si>
    <t xml:space="preserve">output/pages/051_emerald-maldives-resort-spa-fasmendho/dining__emerald-maldives.com__restaurants-beach-club-grill.md</t>
  </si>
  <si>
    <t xml:space="preserve">https://hotel.hardrock.com/maldives/calendar-of-events.aspx?date=11/1/2026&amp;display=grid</t>
  </si>
  <si>
    <t xml:space="preserve">Calendar of Events – November 2026 in Male</t>
  </si>
  <si>
    <t xml:space="preserve">https://www.emerald-maldives.com/villas/water-villa</t>
  </si>
  <si>
    <t xml:space="preserve">Water Villas Maldives | Emerald Maldives Resort &amp; Spa</t>
  </si>
  <si>
    <t xml:space="preserve">output/pages/051_emerald-maldives-resort-spa-fasmendho/spa__emerald-maldives.com__villas-water-villa.md</t>
  </si>
  <si>
    <t xml:space="preserve">https://www.vakkarumaldives.com/news/vakkaru-maldives-welcomes-miha-plesnik-as-new-resident-tennis-coach.html</t>
  </si>
  <si>
    <t xml:space="preserve">Vakkaru Maldives Welcomes Miha Plesnik as New Resident Tennis Coach - Vakkaru Maldives.</t>
  </si>
  <si>
    <t xml:space="preserve">output/pages/049_vakkaru-maldives/diving__vakkarumaldives.com__news-vakkaru-maldives-welcomes-miha-plesnik-as-new-resident-.md</t>
  </si>
  <si>
    <t xml:space="preserve">https://hotel.hardrock.com/maldives/calendar-of-events.aspx?date=10/16/2026&amp;display=day</t>
  </si>
  <si>
    <t xml:space="preserve">Calendar of Events – 10/16/2026 in Male</t>
  </si>
  <si>
    <t xml:space="preserve">https://www.emerald-maldives.com/blog-posts/green-holidays</t>
  </si>
  <si>
    <t xml:space="preserve">output/pages/051_emerald-maldives-resort-spa-fasmendho/sustainability__emerald-maldives.com__blog-posts-green-holidays.md</t>
  </si>
  <si>
    <t xml:space="preserve">https://www.sunsiyam.com/sun-siyam-olhuveli/wellness-enquiry/</t>
  </si>
  <si>
    <t xml:space="preserve">Wellness Enquiries | Sun Siyam Olhuveli 4 Star Beach Resort</t>
  </si>
  <si>
    <t xml:space="preserve">output/pages/050_sun-siyam-olhuveli-maldives/spa__sunsiyam.com__sun-siyam-olhuveli-wellness-enquiry.md</t>
  </si>
  <si>
    <t xml:space="preserve">https://hotel.hardrock.com/maldives/calendar-of-events.aspx?date=10/25/2026&amp;display=day</t>
  </si>
  <si>
    <t xml:space="preserve">Calendar of Events – 10/25/2026 in Male</t>
  </si>
  <si>
    <t xml:space="preserve">https://www.emerald-maldives.com/villas/b</t>
  </si>
  <si>
    <t xml:space="preserve">Emerald Maldives Resort &amp; Spa - Luxury Beach Villas</t>
  </si>
  <si>
    <t xml:space="preserve">output/pages/051_emerald-maldives-resort-spa-fasmendho/spa__emerald-maldives.com__villas-b.md</t>
  </si>
  <si>
    <t xml:space="preserve">https://hotel.hardrock.com/maldives/calendar-of-events.aspx?date=10/22/2026&amp;display=day</t>
  </si>
  <si>
    <t xml:space="preserve">Calendar of Events – 10/22/2026 in Male</t>
  </si>
  <si>
    <t xml:space="preserve">https://www.sunsiyam.com/sun-siyam-olhuveli/facilities/excursions/</t>
  </si>
  <si>
    <t xml:space="preserve">output/pages/050_sun-siyam-olhuveli-maldives/diving__sunsiyam.com__sun-siyam-olhuveli-facilities-excursions.md</t>
  </si>
  <si>
    <t xml:space="preserve">https://hotel.hardrock.com/maldives/calendar-of-events.aspx?date=10/24/2026&amp;display=event&amp;eventid=2479133</t>
  </si>
  <si>
    <t xml:space="preserve">Calendar of Events – Pinktober 10/24/2026 in Male</t>
  </si>
  <si>
    <t xml:space="preserve">https://www.vakkarumaldives.com/news/2023/12/</t>
  </si>
  <si>
    <t xml:space="preserve">News &amp; Events - Latest Updates from Vakkaru Maldives  - 2023,December</t>
  </si>
  <si>
    <t xml:space="preserve">output/pages/049_vakkaru-maldives/events__vakkarumaldives.com__news-2023-12.md</t>
  </si>
  <si>
    <t xml:space="preserve">https://www.emerald-maldives.com/blog-posts/re-imagine-the-maldives-family-friendly</t>
  </si>
  <si>
    <t xml:space="preserve">output/pages/051_emerald-maldives-resort-spa-fasmendho/diving__emerald-maldives.com__blog-posts-re-imagine-the-maldives-family-friendly.md</t>
  </si>
  <si>
    <t xml:space="preserve">https://hotel.hardrock.com/maldives/calendar-of-events.aspx?date=10/29/2026&amp;display=day</t>
  </si>
  <si>
    <t xml:space="preserve">Calendar of Events – 10/29/2026 in Male</t>
  </si>
  <si>
    <t xml:space="preserve">https://www.emerald-maldives.com/experiences</t>
  </si>
  <si>
    <t xml:space="preserve">Emerald Maldives Resort &amp; Spa -5 star All Inclusive Experiences</t>
  </si>
  <si>
    <t xml:space="preserve">output/pages/051_emerald-maldives-resort-spa-fasmendho/spa__emerald-maldives.com__experiences.md</t>
  </si>
  <si>
    <t xml:space="preserve">https://hotel.hardrock.com/maldives/calendar-of-events.aspx?date=10/28/2026&amp;display=day</t>
  </si>
  <si>
    <t xml:space="preserve">Calendar of Events – 10/28/2026 in Male</t>
  </si>
  <si>
    <t xml:space="preserve">https://www.sunsiyam.com/sun-siyam-olhuveli/experiences/jet-car/</t>
  </si>
  <si>
    <t xml:space="preserve">Jet Car Experience at Sun Siyam Olhuveli</t>
  </si>
  <si>
    <t xml:space="preserve">output/pages/050_sun-siyam-olhuveli-maldives/excursions__sunsiyam.com__sun-siyam-olhuveli-experiences-jet-car.md</t>
  </si>
  <si>
    <t xml:space="preserve">https://www.emerald-maldives.com/blog-posts/natural-elegance</t>
  </si>
  <si>
    <t xml:space="preserve">output/pages/051_emerald-maldives-resort-spa-fasmendho/other__emerald-maldives.com__blog-posts-natural-elegance.md</t>
  </si>
  <si>
    <t xml:space="preserve">https://www.vakkarumaldives.com/news/page5.html</t>
  </si>
  <si>
    <t xml:space="preserve">News &amp; Events - Latest Updates from Vakkaru Maldives  - Page5</t>
  </si>
  <si>
    <t xml:space="preserve">output/pages/049_vakkaru-maldives/events__vakkarumaldives.com__news-page5-html.md</t>
  </si>
  <si>
    <t xml:space="preserve">https://www.emerald-maldives.com/blog-posts/christmas-holidays-in-the-maldives</t>
  </si>
  <si>
    <t xml:space="preserve">output/pages/051_emerald-maldives-resort-spa-fasmendho/diving__emerald-maldives.com__blog-posts-christmas-holidays-in-the-maldives.md</t>
  </si>
  <si>
    <t xml:space="preserve">https://www.emerald-maldives.com/special-offers</t>
  </si>
  <si>
    <t xml:space="preserve">Special Offers</t>
  </si>
  <si>
    <t xml:space="preserve">output/pages/051_emerald-maldives-resort-spa-fasmendho/offers__emerald-maldives.com__special-offers.md</t>
  </si>
  <si>
    <t xml:space="preserve">https://www.vakkarumaldives.com/spa-and-wellness/merana-spa.html</t>
  </si>
  <si>
    <t xml:space="preserve">Merana Spa - Luxury Spa Maldives - Vakkaru, Maldives Spa Resort</t>
  </si>
  <si>
    <t xml:space="preserve">output/pages/049_vakkaru-maldives/spa__vakkarumaldives.com__spa-and-wellness-merana-spa-html.md</t>
  </si>
  <si>
    <t xml:space="preserve">https://www.emerald-maldives.com/blog-posts/5-star-padi-diving-center</t>
  </si>
  <si>
    <t xml:space="preserve">output/pages/051_emerald-maldives-resort-spa-fasmendho/diving__emerald-maldives.com__blog-posts-5-star-padi-diving-center.md</t>
  </si>
  <si>
    <t xml:space="preserve">https://www.emerald-maldives.com/blog-posts/emerald-maldives-resort-spa-blog-love-paradise-destination</t>
  </si>
  <si>
    <t xml:space="preserve">output/pages/051_emerald-maldives-resort-spa-fasmendho/spa__emerald-maldives.com__blog-posts-emerald-maldives-resort-spa-blog-love-paradise-de.md</t>
  </si>
  <si>
    <t xml:space="preserve">https://www.emerald-maldives.com/all-inclusive</t>
  </si>
  <si>
    <t xml:space="preserve">Emerald Maldives Resort &amp; Spa - 5 Star Deluxe All-inclusive Sanctuary</t>
  </si>
  <si>
    <t xml:space="preserve">output/pages/051_emerald-maldives-resort-spa-fasmendho/spa__emerald-maldives.com__all-inclusive.md</t>
  </si>
  <si>
    <t xml:space="preserve">https://www.vakkarumaldives.com/accommodation/villa/index.html</t>
  </si>
  <si>
    <t xml:space="preserve">output/pages/049_vakkaru-maldives/diving__vakkarumaldives.com__accommodation-villa-index-html.md</t>
  </si>
  <si>
    <t xml:space="preserve">https://www.emerald-maldives.com/special-offers/winter-special-offer</t>
  </si>
  <si>
    <t xml:space="preserve">output/pages/051_emerald-maldives-resort-spa-fasmendho/offers__emerald-maldives.com__special-offers-winter-special-offer.md</t>
  </si>
  <si>
    <t xml:space="preserve">https://www.sunsiyam.com/sun-siyam-olhuveli/offers/romance-offer/</t>
  </si>
  <si>
    <t xml:space="preserve">Romantic Getaway at Sun Siyam Olhuveli Romance Island</t>
  </si>
  <si>
    <t xml:space="preserve">output/pages/050_sun-siyam-olhuveli-maldives/wedding__sunsiyam.com__sun-siyam-olhuveli-offers-romance-offer.md</t>
  </si>
  <si>
    <t xml:space="preserve">https://www.emerald-maldives.com/blog-posts/eco-green-resort</t>
  </si>
  <si>
    <t xml:space="preserve">output/pages/051_emerald-maldives-resort-spa-fasmendho/sustainability__emerald-maldives.com__blog-posts-eco-green-resort.md</t>
  </si>
  <si>
    <t xml:space="preserve">https://www.emerald-maldives.com/blog-posts/maldives-resort-general-manager-interview</t>
  </si>
  <si>
    <t xml:space="preserve">output/pages/051_emerald-maldives-resort-spa-fasmendho/diving__emerald-maldives.com__blog-posts-maldives-resort-general-manager-interview.md</t>
  </si>
  <si>
    <t xml:space="preserve">https://www.vakkarumaldives.com/news/2023/05/</t>
  </si>
  <si>
    <t xml:space="preserve">News &amp; Events - Latest Updates from Vakkaru Maldives  - 2023,May</t>
  </si>
  <si>
    <t xml:space="preserve">output/pages/049_vakkaru-maldives/events__vakkarumaldives.com__news-2023-05.md</t>
  </si>
  <si>
    <t xml:space="preserve">https://www.vakkarumaldives.com/careers/index.html</t>
  </si>
  <si>
    <t xml:space="preserve">Resort Jobs in Maldives - Vakkaru Maldives Careers</t>
  </si>
  <si>
    <t xml:space="preserve">output/pages/049_vakkaru-maldives/diving__vakkarumaldives.com__careers-index-html.md</t>
  </si>
  <si>
    <t xml:space="preserve">https://www.sunsiyam.com/sun-siyam-olhuveli/facilities/watersports/</t>
  </si>
  <si>
    <t xml:space="preserve">output/pages/050_sun-siyam-olhuveli-maldives/diving__sunsiyam.com__sun-siyam-olhuveli-facilities-watersports.md</t>
  </si>
  <si>
    <t xml:space="preserve">https://www.emerald-maldives.com/villas</t>
  </si>
  <si>
    <t xml:space="preserve">Emerald Maldives Resort &amp; Spa - Villas | 5 Star All Inclusive</t>
  </si>
  <si>
    <t xml:space="preserve">output/pages/051_emerald-maldives-resort-spa-fasmendho/spa__emerald-maldives.com__villas.md</t>
  </si>
  <si>
    <t xml:space="preserve">https://www.emerald-maldives.com/blog-posts/five-reasons-spend-holidays-maldives</t>
  </si>
  <si>
    <t xml:space="preserve">output/pages/051_emerald-maldives-resort-spa-fasmendho/diving__emerald-maldives.com__blog-posts-five-reasons-spend-holidays-maldives.md</t>
  </si>
  <si>
    <t xml:space="preserve">https://www.emerald-maldives.com/blog-posts/emerald-maldives-resort-spa-blog-move-your-home-to-us</t>
  </si>
  <si>
    <t xml:space="preserve">output/pages/051_emerald-maldives-resort-spa-fasmendho/spa__emerald-maldives.com__blog-posts-emerald-maldives-resort-spa-blog-move-your-home-t.md</t>
  </si>
  <si>
    <t xml:space="preserve">https://www.vakkarumaldives.com/news/timeless-romance-valentines-day-celebration-at-vakkaru-maldives.html</t>
  </si>
  <si>
    <t xml:space="preserve">'Timeless Romance' Valentine’s Day Celebration at Vakkaru Maldives - Vakkaru Maldives.</t>
  </si>
  <si>
    <t xml:space="preserve">output/pages/049_vakkaru-maldives/wedding__vakkarumaldives.com__news-timeless-romance-valentines-day-celebration-at-vakkaru-.md</t>
  </si>
  <si>
    <t xml:space="preserve">https://www.emerald-maldives.com/blog-posts/maldives-with-family</t>
  </si>
  <si>
    <t xml:space="preserve">output/pages/051_emerald-maldives-resort-spa-fasmendho/diving__emerald-maldives.com__blog-posts-maldives-with-family.md</t>
  </si>
  <si>
    <t xml:space="preserve">https://www.emerald-maldives.com/experiences/water-sports</t>
  </si>
  <si>
    <t xml:space="preserve">Emerald Maldives Resort &amp; Spa - Water Sports Center | Resort with Activities</t>
  </si>
  <si>
    <t xml:space="preserve">output/pages/051_emerald-maldives-resort-spa-fasmendho/spa__emerald-maldives.com__experiences-water-sports.md</t>
  </si>
  <si>
    <t xml:space="preserve">https://www.vakkarumaldives.com/accommodation/residences/four-bedroom-beach-pool-residence.html</t>
  </si>
  <si>
    <t xml:space="preserve">Four Bedroom Beach Pool Residence - Vakkaru Maldives Beach Resort</t>
  </si>
  <si>
    <t xml:space="preserve">output/pages/049_vakkaru-maldives/diving__vakkarumaldives.com__accommodation-residences-four-bedroom-beach-pool-residence-h.md</t>
  </si>
  <si>
    <t xml:space="preserve">https://www.emerald-maldives.com/blog-posts/a-family-friendly-destination</t>
  </si>
  <si>
    <t xml:space="preserve">output/pages/051_emerald-maldives-resort-spa-fasmendho/kids__emerald-maldives.com__blog-posts-a-family-friendly-destination.md</t>
  </si>
  <si>
    <t xml:space="preserve">https://www.emerald-maldives.com/blog-posts/dreaming-about-the-maldivian-essence</t>
  </si>
  <si>
    <t xml:space="preserve">output/pages/051_emerald-maldives-resort-spa-fasmendho/overview__emerald-maldives.com__blog-posts-dreaming-about-the-maldivian-essence.md</t>
  </si>
  <si>
    <t xml:space="preserve">https://www.vakkarumaldives.com/offers/</t>
  </si>
  <si>
    <t xml:space="preserve">output/pages/049_vakkaru-maldives/diving__vakkarumaldives.com__offers.md</t>
  </si>
  <si>
    <t xml:space="preserve">https://www.emerald-maldives.com/villas/b-royal</t>
  </si>
  <si>
    <t xml:space="preserve">Emerald Maldives Resort &amp; Spa - Royal Beach Villa | Maldives Honeymoon</t>
  </si>
  <si>
    <t xml:space="preserve">output/pages/051_emerald-maldives-resort-spa-fasmendho/wedding__emerald-maldives.com__villas-b-royal.md</t>
  </si>
  <si>
    <t xml:space="preserve">https://www.vakkarumaldives.com/offers/idyllic-romance-package-at-vakkaru-maldives.html</t>
  </si>
  <si>
    <t xml:space="preserve">Idyllic Romance Package - Vakkaru Maldives</t>
  </si>
  <si>
    <t xml:space="preserve">output/pages/049_vakkaru-maldives/wedding__vakkarumaldives.com__offers-idyllic-romance-package-at-vakkaru-maldives-html.md</t>
  </si>
  <si>
    <t xml:space="preserve">https://www.emerald-maldives.com/restaurants/amazonico</t>
  </si>
  <si>
    <t xml:space="preserve">Emerald Maldives Resort &amp; Spa - Amazònico Restaurant</t>
  </si>
  <si>
    <t xml:space="preserve">output/pages/051_emerald-maldives-resort-spa-fasmendho/dining__emerald-maldives.com__restaurants-amazonico.md</t>
  </si>
  <si>
    <t xml:space="preserve">https://www.sunsiyam.com/sun-siyam-olhuveli/facilities/diving/</t>
  </si>
  <si>
    <t xml:space="preserve">output/pages/050_sun-siyam-olhuveli-maldives/diving__sunsiyam.com__sun-siyam-olhuveli-facilities-diving.md</t>
  </si>
  <si>
    <t xml:space="preserve">https://www.emerald-maldives.com/blog-posts/emerald-maldives-resort-spa-blog-feeling-blue-think-emerald</t>
  </si>
  <si>
    <t xml:space="preserve">output/pages/051_emerald-maldives-resort-spa-fasmendho/spa__emerald-maldives.com__blog-posts-emerald-maldives-resort-spa-blog-feeling-blue-thi.md</t>
  </si>
  <si>
    <t xml:space="preserve">https://www.emerald-maldives.com/blog-posts/emerald-maldives-resort-spa-blog-enhancing-your-holiday-at-the-emerald-spa</t>
  </si>
  <si>
    <t xml:space="preserve">output/pages/051_emerald-maldives-resort-spa-fasmendho/spa__emerald-maldives.com__blog-posts-emerald-maldives-resort-spa-blog-enhancing-your-h.md</t>
  </si>
  <si>
    <t xml:space="preserve">https://www.sunsiyam.com/sun-siyam-olhuveli/offers/</t>
  </si>
  <si>
    <t xml:space="preserve">Maldives Resort Deals &amp; Offers| Sun Siyam Olhuveli, Maldives</t>
  </si>
  <si>
    <t xml:space="preserve">output/pages/050_sun-siyam-olhuveli-maldives/diving__sunsiyam.com__sun-siyam-olhuveli-offers.md</t>
  </si>
  <si>
    <t xml:space="preserve">https://www.emerald-maldives.com/blog-posts/from-dolphin-kids-club-to-you</t>
  </si>
  <si>
    <t xml:space="preserve">output/pages/051_emerald-maldives-resort-spa-fasmendho/kids__emerald-maldives.com__blog-posts-from-dolphin-kids-club-to-you.md</t>
  </si>
  <si>
    <t xml:space="preserve">https://www.emerald-faarufushi.com/</t>
  </si>
  <si>
    <t xml:space="preserve">output/pages/054_emerald-faarufushi-resort-spa/spa__emerald-faarufushi.com__home.md</t>
  </si>
  <si>
    <t xml:space="preserve">https://emerald-faarufushi.com/welcome</t>
  </si>
  <si>
    <t xml:space="preserve">Emerald Faarufushi Resort &amp; Spa - Become a friend</t>
  </si>
  <si>
    <t xml:space="preserve">output/pages/054_emerald-faarufushi-resort-spa/spa__emerald-faarufushi.com__welcome.md</t>
  </si>
  <si>
    <t xml:space="preserve">https://emerald-faarufushi.com/contact</t>
  </si>
  <si>
    <t xml:space="preserve">Emerald Faarufushi Resort &amp; Spa - Contact Us | Best 5 star Holiday</t>
  </si>
  <si>
    <t xml:space="preserve">output/pages/054_emerald-faarufushi-resort-spa/spa__emerald-faarufushi.com__contact.md</t>
  </si>
  <si>
    <t xml:space="preserve">https://emerald-faarufushi.com</t>
  </si>
  <si>
    <t xml:space="preserve">https://emerald-faarufushi.com/villas/beach-villas-with-pool</t>
  </si>
  <si>
    <t xml:space="preserve">Emerald Faarufushi Resort &amp; Spa - Beach Villas with Pool</t>
  </si>
  <si>
    <t xml:space="preserve">output/pages/054_emerald-faarufushi-resort-spa/spa__emerald-faarufushi.com__villas-beach-villas-with-pool.md</t>
  </si>
  <si>
    <t xml:space="preserve">https://erimaldives.com/</t>
  </si>
  <si>
    <t xml:space="preserve">Eri Maldives | Eco-Chic Island Resort 45min from Male Airport</t>
  </si>
  <si>
    <t xml:space="preserve">output/pages/052_eri-maldives/diving__erimaldives.com__home.md</t>
  </si>
  <si>
    <t xml:space="preserve">https://emerald-faarufushi.com/restaurants/sunset-pool-bar</t>
  </si>
  <si>
    <t xml:space="preserve">Emerald Faarufushi Resort &amp; Spa - Sunset Pool &amp; Bar</t>
  </si>
  <si>
    <t xml:space="preserve">output/pages/054_emerald-faarufushi-resort-spa/dining__emerald-faarufushi.com__restaurants-sunset-pool-bar.md</t>
  </si>
  <si>
    <t xml:space="preserve">https://emerald-faarufushi.com/restaurants/asiatique-teppanyaki-grill</t>
  </si>
  <si>
    <t xml:space="preserve">Emerald Faarufushi Resort &amp; Spa - Le Asiatique and Teppanyaki Grill</t>
  </si>
  <si>
    <t xml:space="preserve">output/pages/054_emerald-faarufushi-resort-spa/dining__emerald-faarufushi.com__restaurants-asiatique-teppanyaki-grill.md</t>
  </si>
  <si>
    <t xml:space="preserve">https://emerald-faarufushi.com/restaurants/mediterraneo-restaurant</t>
  </si>
  <si>
    <t xml:space="preserve">Emerald Faarufushi Resort &amp; Spa - Mediterraneo Restaurant</t>
  </si>
  <si>
    <t xml:space="preserve">output/pages/054_emerald-faarufushi-resort-spa/dining__emerald-faarufushi.com__restaurants-mediterraneo-restaurant.md</t>
  </si>
  <si>
    <t xml:space="preserve">https://erimaldives.com/blog/post/why-may-is-the-best-time-to-visit-the-maldives/</t>
  </si>
  <si>
    <t xml:space="preserve">Why May is the Best Time to Visit the Maldives - Eri Maldives</t>
  </si>
  <si>
    <t xml:space="preserve">output/pages/052_eri-maldives/diving__erimaldives.com__blog-post-why-may-is-the-best-time-to-visit-the-maldives.md</t>
  </si>
  <si>
    <t xml:space="preserve">https://emerald-faarufushi.com/experiences/gym-sports-center</t>
  </si>
  <si>
    <t xml:space="preserve">Emerald Faarufushi Resort &amp; Spa - Gym &amp; Sports Center</t>
  </si>
  <si>
    <t xml:space="preserve">output/pages/054_emerald-faarufushi-resort-spa/spa__emerald-faarufushi.com__experiences-gym-sports-center.md</t>
  </si>
  <si>
    <t xml:space="preserve">https://emerald-faarufushi.com/lp/deluxe-all-inclusive-family-vacation</t>
  </si>
  <si>
    <t xml:space="preserve">Emerald Faarufushi</t>
  </si>
  <si>
    <t xml:space="preserve">output/pages/054_emerald-faarufushi-resort-spa/kids__emerald-faarufushi.com__lp-deluxe-all-inclusive-family-vacation.md</t>
  </si>
  <si>
    <t xml:space="preserve">https://emerald-faarufushi.com/restaurants/carnivorous-restaurant</t>
  </si>
  <si>
    <t xml:space="preserve">Emerald Faarufushi Resort &amp; Spa - Carnivorous Restaurant</t>
  </si>
  <si>
    <t xml:space="preserve">output/pages/054_emerald-faarufushi-resort-spa/dining__emerald-faarufushi.com__restaurants-carnivorous-restaurant.md</t>
  </si>
  <si>
    <t xml:space="preserve">https://erimaldives.com/eri-map/</t>
  </si>
  <si>
    <t xml:space="preserve">Eri Map - Eri Maldives</t>
  </si>
  <si>
    <t xml:space="preserve">output/pages/052_eri-maldives/diving__erimaldives.com__eri-map.md</t>
  </si>
  <si>
    <t xml:space="preserve">https://emerald-faarufushi.com/restaurants/aqua-restaurant</t>
  </si>
  <si>
    <t xml:space="preserve">Emerald Faarufushi Resort &amp; Spa - Aqua Restaurant</t>
  </si>
  <si>
    <t xml:space="preserve">output/pages/054_emerald-faarufushi-resort-spa/dining__emerald-faarufushi.com__restaurants-aqua-restaurant.md</t>
  </si>
  <si>
    <t xml:space="preserve">https://www.cinnamonhotels.com/</t>
  </si>
  <si>
    <t xml:space="preserve">Sri Lanka Hotels | Cinnamon Hotels &amp; Resorts Official Site</t>
  </si>
  <si>
    <t xml:space="preserve">output/pages/053_cinnamon-hakuraa-huraa-maldives/overview__cinnamonhotels.com__home.md</t>
  </si>
  <si>
    <t xml:space="preserve">https://emerald-faarufushi.com/villas/water-villas-with-pool</t>
  </si>
  <si>
    <t xml:space="preserve">Emerald Faarufushi Resort &amp; Spa - Water Villas with Pool</t>
  </si>
  <si>
    <t xml:space="preserve">output/pages/054_emerald-faarufushi-resort-spa/spa__emerald-faarufushi.com__villas-water-villas-with-pool.md</t>
  </si>
  <si>
    <t xml:space="preserve">https://erimaldives.com/facilities/</t>
  </si>
  <si>
    <t xml:space="preserve">Facilities - Eri Maldives</t>
  </si>
  <si>
    <t xml:space="preserve">output/pages/052_eri-maldives/diving__erimaldives.com__facilities.md</t>
  </si>
  <si>
    <t xml:space="preserve">https://emerald-faarufushi.com/villas/superior-water-villas-with-pool</t>
  </si>
  <si>
    <t xml:space="preserve">Emerald Faarufushi Resort &amp; Spa - Superior Water Villas with Pool</t>
  </si>
  <si>
    <t xml:space="preserve">output/pages/054_emerald-faarufushi-resort-spa/spa__emerald-faarufushi.com__villas-superior-water-villas-with-pool.md</t>
  </si>
  <si>
    <t xml:space="preserve">https://emerald-faarufushi.com/villas/sunset-water-villas-with-pool</t>
  </si>
  <si>
    <t xml:space="preserve">Emerald Faarufushi Resort &amp; Spa - Sunset Water Villas with Pool</t>
  </si>
  <si>
    <t xml:space="preserve">output/pages/054_emerald-faarufushi-resort-spa/spa__emerald-faarufushi.com__villas-sunset-water-villas-with-pool.md</t>
  </si>
  <si>
    <t xml:space="preserve">https://emerald-faarufushi.com/special-offers/honeymoon-special-offer-maldives</t>
  </si>
  <si>
    <t xml:space="preserve">output/pages/054_emerald-faarufushi-resort-spa/wedding__emerald-faarufushi.com__special-offers-honeymoon-special-offer-maldives.md</t>
  </si>
  <si>
    <t xml:space="preserve">https://erimaldives.com/blog/post/best-resort-for-maldives-vacations/</t>
  </si>
  <si>
    <t xml:space="preserve">Best Resort for Maldives Vacations - Eri Maldives</t>
  </si>
  <si>
    <t xml:space="preserve">output/pages/052_eri-maldives/diving__erimaldives.com__blog-post-best-resort-for-maldives-vacations.md</t>
  </si>
  <si>
    <t xml:space="preserve">https://emerald-faarufushi.com/covid-update</t>
  </si>
  <si>
    <t xml:space="preserve">Emerald Faarufushi Resort &amp; Spa - Covid-19 Update Details</t>
  </si>
  <si>
    <t xml:space="preserve">output/pages/054_emerald-faarufushi-resort-spa/spa__emerald-faarufushi.com__covid-update.md</t>
  </si>
  <si>
    <t xml:space="preserve">https://emerald-faarufushi.com/villas</t>
  </si>
  <si>
    <t xml:space="preserve">Emerald Faarufushi Resort &amp; Spa - Villas</t>
  </si>
  <si>
    <t xml:space="preserve">output/pages/054_emerald-faarufushi-resort-spa/spa__emerald-faarufushi.com__villas.md</t>
  </si>
  <si>
    <t xml:space="preserve">https://emerald-faarufushi.com/restaurants/eclipse-bar</t>
  </si>
  <si>
    <t xml:space="preserve">Emerald Faarufushi Resort &amp; Spa - Eclipse bar</t>
  </si>
  <si>
    <t xml:space="preserve">output/pages/054_emerald-faarufushi-resort-spa/dining__emerald-faarufushi.com__restaurants-eclipse-bar.md</t>
  </si>
  <si>
    <t xml:space="preserve">https://erimaldives.com/about-us/</t>
  </si>
  <si>
    <t xml:space="preserve">About Us - Eri Maldives</t>
  </si>
  <si>
    <t xml:space="preserve">output/pages/052_eri-maldives/diving__erimaldives.com__about-us.md</t>
  </si>
  <si>
    <t xml:space="preserve">https://emerald-faarufushi.com/villas/family-beach-villas-with-pool</t>
  </si>
  <si>
    <t xml:space="preserve">Emerald Faarufushi Resort &amp; Spa - Family Beach Villas with Pool</t>
  </si>
  <si>
    <t xml:space="preserve">output/pages/054_emerald-faarufushi-resort-spa/spa__emerald-faarufushi.com__villas-family-beach-villas-with-pool.md</t>
  </si>
  <si>
    <t xml:space="preserve">https://emerald-faarufushi.com/how-to-get-here</t>
  </si>
  <si>
    <t xml:space="preserve">Emerald Faarufushi Resort &amp; Spa - How to Get here</t>
  </si>
  <si>
    <t xml:space="preserve">output/pages/054_emerald-faarufushi-resort-spa/spa__emerald-faarufushi.com__how-to-get-here.md</t>
  </si>
  <si>
    <t xml:space="preserve">https://erimaldives.com/villas/beach-suite/</t>
  </si>
  <si>
    <t xml:space="preserve">Beach Suite - Eri Maldives</t>
  </si>
  <si>
    <t xml:space="preserve">output/pages/052_eri-maldives/diving__erimaldives.com__villas-beach-suite.md</t>
  </si>
  <si>
    <t xml:space="preserve">https://emerald-faarufushi.com/barefoot-haven-of-bliss</t>
  </si>
  <si>
    <t xml:space="preserve">Emerald Faarufushi Resort &amp; Spa - Barefoot Haven of Bliss</t>
  </si>
  <si>
    <t xml:space="preserve">output/pages/054_emerald-faarufushi-resort-spa/dining__emerald-faarufushi.com__barefoot-haven-of-bliss.md</t>
  </si>
  <si>
    <t xml:space="preserve">https://emerald-faarufushi.com/villas/beach-villas</t>
  </si>
  <si>
    <t xml:space="preserve">Emerald Faarufushi Resort &amp; Spa - Beach Villas</t>
  </si>
  <si>
    <t xml:space="preserve">output/pages/054_emerald-faarufushi-resort-spa/spa__emerald-faarufushi.com__villas-beach-villas.md</t>
  </si>
  <si>
    <t xml:space="preserve">https://emerald-faarufushi.com/experiences/the-emerald-spa</t>
  </si>
  <si>
    <t xml:space="preserve">Emerald Faarufushi Resort &amp; Spa - The Emerald Spa</t>
  </si>
  <si>
    <t xml:space="preserve">output/pages/054_emerald-faarufushi-resort-spa/spa__emerald-faarufushi.com__experiences-the-emerald-spa.md</t>
  </si>
  <si>
    <t xml:space="preserve">https://erimaldives.com/offers/festive-offer/</t>
  </si>
  <si>
    <t xml:space="preserve">Maldives Festive Offer | Eri Maldives Up to 30% Off</t>
  </si>
  <si>
    <t xml:space="preserve">output/pages/052_eri-maldives/diving__erimaldives.com__offers-festive-offer.md</t>
  </si>
  <si>
    <t xml:space="preserve">https://emerald-faarufushi.com/deluxe-all-inclusive-oasis</t>
  </si>
  <si>
    <t xml:space="preserve">Emerald Faarufushi Resort &amp; Spa - Deluxe All-Inclusive Oasis</t>
  </si>
  <si>
    <t xml:space="preserve">output/pages/054_emerald-faarufushi-resort-spa/spa__emerald-faarufushi.com__deluxe-all-inclusive-oasis.md</t>
  </si>
  <si>
    <t xml:space="preserve">https://emerald-faarufushi.com/friends/signup</t>
  </si>
  <si>
    <t xml:space="preserve">Emerald Faarufushi Resort &amp; Spa - Welcome new Friend!</t>
  </si>
  <si>
    <t xml:space="preserve">output/pages/054_emerald-faarufushi-resort-spa/spa__emerald-faarufushi.com__friends-signup.md</t>
  </si>
  <si>
    <t xml:space="preserve">https://emerald-faarufushi.com/experiences/water-sports</t>
  </si>
  <si>
    <t xml:space="preserve">Emerald Faarufushi Resort &amp; Spa - Water Sports Center</t>
  </si>
  <si>
    <t xml:space="preserve">output/pages/054_emerald-faarufushi-resort-spa/spa__emerald-faarufushi.com__experiences-water-sports.md</t>
  </si>
  <si>
    <t xml:space="preserve">https://erimaldives.com/renew-your-vows-in-paradise/</t>
  </si>
  <si>
    <t xml:space="preserve">Weddings in Maldives | Renewal of vows at Eri Maldives</t>
  </si>
  <si>
    <t xml:space="preserve">output/pages/052_eri-maldives/wedding__erimaldives.com__renew-your-vows-in-paradise.md</t>
  </si>
  <si>
    <t xml:space="preserve">https://emerald-faarufushi.com/special-offers/maldives-get-away-deal</t>
  </si>
  <si>
    <t xml:space="preserve">output/pages/054_emerald-faarufushi-resort-spa/diving__emerald-faarufushi.com__special-offers-maldives-get-away-deal.md</t>
  </si>
  <si>
    <t xml:space="preserve">https://emerald-faarufushi.com/experiences/kids-club</t>
  </si>
  <si>
    <t xml:space="preserve">Emerald Faarufushi Resort &amp; Spa - Dolphin Kids Club</t>
  </si>
  <si>
    <t xml:space="preserve">output/pages/054_emerald-faarufushi-resort-spa/spa__emerald-faarufushi.com__experiences-kids-club.md</t>
  </si>
  <si>
    <t xml:space="preserve">https://www.fushifaru.com/</t>
  </si>
  <si>
    <t xml:space="preserve">5 Star Boutique Resort in the Maldives - Fushifaru Maldives Resort</t>
  </si>
  <si>
    <t xml:space="preserve">output/pages/057_fushifaru-maldives/diving__fushifaru.com__home.md</t>
  </si>
  <si>
    <t xml:space="preserve">https://emerald-faarufushi.com/villas/presidential-beach-villa</t>
  </si>
  <si>
    <t xml:space="preserve">Emerald Faarufushi Resort &amp; Spa - Presidential Beach Villa</t>
  </si>
  <si>
    <t xml:space="preserve">output/pages/054_emerald-faarufushi-resort-spa/spa__emerald-faarufushi.com__villas-presidential-beach-villa.md</t>
  </si>
  <si>
    <t xml:space="preserve">https://erimaldives.com/blog/post/how-to-stay-healthy-during-your-stay-at-eri-maldives/</t>
  </si>
  <si>
    <t xml:space="preserve">How to Stay Healthy During Your Stay at Eri Maldives - Eri Maldives</t>
  </si>
  <si>
    <t xml:space="preserve">output/pages/052_eri-maldives/diving__erimaldives.com__blog-post-how-to-stay-healthy-during-your-stay-at-eri-maldiv.md</t>
  </si>
  <si>
    <t xml:space="preserve">https://emerald-faarufushi.com/experiences/5-star-diving-center</t>
  </si>
  <si>
    <t xml:space="preserve">Emerald Faarufushi Resort &amp; Spa - Diving Center</t>
  </si>
  <si>
    <t xml:space="preserve">output/pages/054_emerald-faarufushi-resort-spa/spa__emerald-faarufushi.com__experiences-5-star-diving-center.md</t>
  </si>
  <si>
    <t xml:space="preserve">https://www.fushifaru.com/honeymoon-of-a-lifetime-at-fushifaru-maldives/</t>
  </si>
  <si>
    <t xml:space="preserve">The Ultimate Maldives Honeymoon Guide: Fushifaru Maldives - Fushifaru Maldives Resort</t>
  </si>
  <si>
    <t xml:space="preserve">output/pages/057_fushifaru-maldives/wedding__fushifaru.com__honeymoon-of-a-lifetime-at-fushifaru-maldives.md</t>
  </si>
  <si>
    <t xml:space="preserve">https://emerald-faarufushi.com/special-offers</t>
  </si>
  <si>
    <t xml:space="preserve">Emerald Faarufushi Resort &amp; Spa - Special Offers</t>
  </si>
  <si>
    <t xml:space="preserve">output/pages/054_emerald-faarufushi-resort-spa/spa__emerald-faarufushi.com__special-offers.md</t>
  </si>
  <si>
    <t xml:space="preserve">https://www.fushifaru.com/villa/premium-pool-water-villa/</t>
  </si>
  <si>
    <t xml:space="preserve">Premium Pool Water Villa - Luxury Water Villas - Fushifaru Maldives</t>
  </si>
  <si>
    <t xml:space="preserve">output/pages/057_fushifaru-maldives/diving__fushifaru.com__villa-premium-pool-water-villa.md</t>
  </si>
  <si>
    <t xml:space="preserve">https://emerald-faarufushi.com/special-offers/early-bird-offer</t>
  </si>
  <si>
    <t xml:space="preserve">output/pages/054_emerald-faarufushi-resort-spa/offers__emerald-faarufushi.com__special-offers-early-bird-offer.md</t>
  </si>
  <si>
    <t xml:space="preserve">https://erimaldives.com/blog/post/the-maldives-guide-for-travellers-who-love-nature-beyond-the-beach/</t>
  </si>
  <si>
    <t xml:space="preserve">The Maldives Guide for Travellers Who Love Nature Beyond the Beach - Eri Maldives</t>
  </si>
  <si>
    <t xml:space="preserve">output/pages/052_eri-maldives/diving__erimaldives.com__blog-post-the-maldives-guide-for-travellers-who-love-nature-.md</t>
  </si>
  <si>
    <t xml:space="preserve">https://www.fushifaru.com/offer/winter-sun-escape-offer/</t>
  </si>
  <si>
    <t xml:space="preserve">Winter Sun Escape Offer - Fushifaru Maldives Resort</t>
  </si>
  <si>
    <t xml:space="preserve">output/pages/057_fushifaru-maldives/diving__fushifaru.com__offer-winter-sun-escape-offer.md</t>
  </si>
  <si>
    <t xml:space="preserve">https://emerald-faarufushi.com/emerald-experiences</t>
  </si>
  <si>
    <t xml:space="preserve">Emerald Faarufushi Resort &amp; Spa - Emerald Experiences</t>
  </si>
  <si>
    <t xml:space="preserve">output/pages/054_emerald-faarufushi-resort-spa/spa__emerald-faarufushi.com__emerald-experiences.md</t>
  </si>
  <si>
    <t xml:space="preserve">https://emerald-faarufushi.com/restaurants/beach-club-grill-restaurant</t>
  </si>
  <si>
    <t xml:space="preserve">Emerald Faarufushi Resort &amp; Spa - Beach Club Grill Restaurant</t>
  </si>
  <si>
    <t xml:space="preserve">output/pages/054_emerald-faarufushi-resort-spa/dining__emerald-faarufushi.com__restaurants-beach-club-grill-restaurant.md</t>
  </si>
  <si>
    <t xml:space="preserve">https://erimaldives.com/villas/beach-villa/</t>
  </si>
  <si>
    <t xml:space="preserve">Beach Villa - Eri Maldives</t>
  </si>
  <si>
    <t xml:space="preserve">output/pages/052_eri-maldives/diving__erimaldives.com__villas-beach-villa.md</t>
  </si>
  <si>
    <t xml:space="preserve">https://www.emerald-faarufushi.com/deluxe-all-inclusive-oasis</t>
  </si>
  <si>
    <t xml:space="preserve">https://www.fushifaru.com/a-hopeful-future-for-our-coral-reefs/</t>
  </si>
  <si>
    <t xml:space="preserve">Coral Reef Restoration in the Maldives | Fushifaru Maldives</t>
  </si>
  <si>
    <t xml:space="preserve">output/pages/057_fushifaru-maldives/diving__fushifaru.com__a-hopeful-future-for-our-coral-reefs.md</t>
  </si>
  <si>
    <t xml:space="preserve">https://www.emerald-faarufushi.com/special-offers</t>
  </si>
  <si>
    <t xml:space="preserve">https://www.fushifaru.com/news-press/</t>
  </si>
  <si>
    <t xml:space="preserve">Our News - Fushifaru Maldives Resort</t>
  </si>
  <si>
    <t xml:space="preserve">output/pages/057_fushifaru-maldives/diving__fushifaru.com__news-press.md</t>
  </si>
  <si>
    <t xml:space="preserve">https://erimaldives.com/destination-dining/</t>
  </si>
  <si>
    <t xml:space="preserve">Destination Dining - Eri Maldives</t>
  </si>
  <si>
    <t xml:space="preserve">output/pages/052_eri-maldives/dining__erimaldives.com__destination-dining.md</t>
  </si>
  <si>
    <t xml:space="preserve">https://www.emerald-faarufushi.com/welcome</t>
  </si>
  <si>
    <t xml:space="preserve">https://erimaldives.com/accommodation/</t>
  </si>
  <si>
    <t xml:space="preserve">Resorts Near Male Airport | Eri Maldives | Accommodation</t>
  </si>
  <si>
    <t xml:space="preserve">output/pages/052_eri-maldives/diving__erimaldives.com__accommodation.md</t>
  </si>
  <si>
    <t xml:space="preserve">https://www.emerald-faarufushi.com/how-to-get-here</t>
  </si>
  <si>
    <t xml:space="preserve">https://www.emerald-faarufushi.com/contact</t>
  </si>
  <si>
    <t xml:space="preserve">https://www.fushifaru.com/offer/romantic-indulgence/</t>
  </si>
  <si>
    <t xml:space="preserve">Romantic Indulgence - Fushifaru Maldives Resort</t>
  </si>
  <si>
    <t xml:space="preserve">output/pages/057_fushifaru-maldives/diving__fushifaru.com__offer-romantic-indulgence.md</t>
  </si>
  <si>
    <t xml:space="preserve">https://www.emerald-faarufushi.com/barefoot-haven-of-bliss</t>
  </si>
  <si>
    <t xml:space="preserve">https://erimaldives.com/authentic-cultural-immersion/</t>
  </si>
  <si>
    <t xml:space="preserve">Authentic Cultural Immersion - Eri Maldives</t>
  </si>
  <si>
    <t xml:space="preserve">output/pages/052_eri-maldives/diving__erimaldives.com__authentic-cultural-immersion.md</t>
  </si>
  <si>
    <t xml:space="preserve">https://www.emerald-faarufushi.com/villas</t>
  </si>
  <si>
    <t xml:space="preserve">https://www.fushifaru.com/experience/cultural-activities/</t>
  </si>
  <si>
    <t xml:space="preserve">Cultural Activities - Fushifaru Maldives Resort</t>
  </si>
  <si>
    <t xml:space="preserve">output/pages/057_fushifaru-maldives/diving__fushifaru.com__experience-cultural-activities.md</t>
  </si>
  <si>
    <t xml:space="preserve">https://www.emerald-faarufushi.com/emerald-experiences</t>
  </si>
  <si>
    <t xml:space="preserve">https://emerald-faarufushi.com/</t>
  </si>
  <si>
    <t xml:space="preserve">https://www.fushifaru.com/villa/beach-villa-sunrise/</t>
  </si>
  <si>
    <t xml:space="preserve">Maldives Private Beach Villas Sunrise - Fushifaru Maldives Resort</t>
  </si>
  <si>
    <t xml:space="preserve">output/pages/057_fushifaru-maldives/diving__fushifaru.com__villa-beach-villa-sunrise.md</t>
  </si>
  <si>
    <t xml:space="preserve">https://erimaldives.com/villas/beach-pool-villa/</t>
  </si>
  <si>
    <t xml:space="preserve">Beach Pool Villa - Eri Maldives</t>
  </si>
  <si>
    <t xml:space="preserve">output/pages/052_eri-maldives/diving__erimaldives.com__villas-beach-pool-villa.md</t>
  </si>
  <si>
    <t xml:space="preserve">https://www.emerald-faarufushi.com/restaurants/aqua-restaurant</t>
  </si>
  <si>
    <t xml:space="preserve">https://www.emerald-faarufushi.com/restaurants/asiatique-teppanyaki-grill</t>
  </si>
  <si>
    <t xml:space="preserve">https://www.fushifaru.com/why-celebrate-easter-2026-at-fushifaru-maldives/</t>
  </si>
  <si>
    <t xml:space="preserve">Why Celebrate Easter at Fushifaru Maldives: A Perfect Family Holiday Destination - Fushifaru Maldives Resort</t>
  </si>
  <si>
    <t xml:space="preserve">output/pages/057_fushifaru-maldives/wedding__fushifaru.com__why-celebrate-easter-2026-at-fushifaru-maldives.md</t>
  </si>
  <si>
    <t xml:space="preserve">https://www.fushifaru.com/experiences/</t>
  </si>
  <si>
    <t xml:space="preserve">Things to do in the Maldives - Fushifaru Maldives Boutique Hotel</t>
  </si>
  <si>
    <t xml:space="preserve">output/pages/057_fushifaru-maldives/diving__fushifaru.com__experiences.md</t>
  </si>
  <si>
    <t xml:space="preserve">https://www.emerald-faarufushi.com/restaurants/eclipse-bar</t>
  </si>
  <si>
    <t xml:space="preserve">https://erimaldives.com/meet-the-turtles-of-eri/</t>
  </si>
  <si>
    <t xml:space="preserve">Meet the Turtles of Eri - Eri Maldives</t>
  </si>
  <si>
    <t xml:space="preserve">output/pages/052_eri-maldives/diving__erimaldives.com__meet-the-turtles-of-eri.md</t>
  </si>
  <si>
    <t xml:space="preserve">https://www.emerald-faarufushi.com/restaurants/carnivorous-restaurant</t>
  </si>
  <si>
    <t xml:space="preserve">https://www.fushifaru.com/why-boutique-resorts-are-the-maldives-best-kept-secret/</t>
  </si>
  <si>
    <t xml:space="preserve">Why Boutique Resorts Are the Maldives' Best-Kept Secret - Fushifaru Maldives Resort</t>
  </si>
  <si>
    <t xml:space="preserve">output/pages/057_fushifaru-maldives/diving__fushifaru.com__why-boutique-resorts-are-the-maldives-best-kept-secret.md</t>
  </si>
  <si>
    <t xml:space="preserve">https://www.emerald-faarufushi.com/restaurants/sunset-pool-bar</t>
  </si>
  <si>
    <t xml:space="preserve">https://www.emerald-faarufushi.com/restaurants/mediterraneo-restaurant</t>
  </si>
  <si>
    <t xml:space="preserve">https://erimaldives.com/blog/post/snorkelling-and-diving-in-the-maldives/</t>
  </si>
  <si>
    <t xml:space="preserve">Snorkelling and Diving in the Maldives - Eri Maldives</t>
  </si>
  <si>
    <t xml:space="preserve">output/pages/052_eri-maldives/diving__erimaldives.com__blog-post-snorkelling-and-diving-in-the-maldives.md</t>
  </si>
  <si>
    <t xml:space="preserve">https://www.emerald-faarufushi.com/restaurants/beach-club-grill-restaurant</t>
  </si>
  <si>
    <t xml:space="preserve">https://www.emerald-faarufushi.com/special-offers/early-bird-offer</t>
  </si>
  <si>
    <t xml:space="preserve">https://www.emerald-faarufushi.com/special-offers/maldives-get-away-deal</t>
  </si>
  <si>
    <t xml:space="preserve">https://www.fushifaru.com/villa/pool-beach-villa-sunset/</t>
  </si>
  <si>
    <t xml:space="preserve">Maldives Beach Villas Sunset with Private Pool - Fushifaru Maldives Resort</t>
  </si>
  <si>
    <t xml:space="preserve">output/pages/057_fushifaru-maldives/diving__fushifaru.com__villa-pool-beach-villa-sunset.md</t>
  </si>
  <si>
    <t xml:space="preserve">https://erimaldives.com/blog/post/a-solo-escape-at-eri-maldives/</t>
  </si>
  <si>
    <t xml:space="preserve">A Solo Escape at Eri Maldives - Eri Maldives</t>
  </si>
  <si>
    <t xml:space="preserve">output/pages/052_eri-maldives/diving__erimaldives.com__blog-post-a-solo-escape-at-eri-maldives.md</t>
  </si>
  <si>
    <t xml:space="preserve">https://www.emerald-faarufushi.com/special-offers/honeymoon-special-offer-maldives</t>
  </si>
  <si>
    <t xml:space="preserve">https://www.emerald-faarufushi.com/experiences/water-sports</t>
  </si>
  <si>
    <t xml:space="preserve">https://www.fushifaru.com/dine/raalhu-bar/</t>
  </si>
  <si>
    <t xml:space="preserve">Raalhu Bar - Fushifaru Maldives Resort</t>
  </si>
  <si>
    <t xml:space="preserve">output/pages/057_fushifaru-maldives/dining__fushifaru.com__dine-raalhu-bar.md</t>
  </si>
  <si>
    <t xml:space="preserve">https://www.emerald-faarufushi.com/villas/water-villas-with-pool</t>
  </si>
  <si>
    <t xml:space="preserve">https://www.emerald-faarufushi.com/villas/beach-villas-with-pool</t>
  </si>
  <si>
    <t xml:space="preserve">https://www.emerald-faarufushi.com/villas/presidential-beach-villa</t>
  </si>
  <si>
    <t xml:space="preserve">https://erimaldives.com/villas/premium-beach-villa/</t>
  </si>
  <si>
    <t xml:space="preserve">output/pages/052_eri-maldives/diving__erimaldives.com__villas-premium-beach-villa.md</t>
  </si>
  <si>
    <t xml:space="preserve">https://www.emerald-faarufushi.com/experiences/the-emerald-spa</t>
  </si>
  <si>
    <t xml:space="preserve">https://www.emerald-faarufushi.com/experiences/5-star-diving-center</t>
  </si>
  <si>
    <t xml:space="preserve">https://www.emerald-faarufushi.com/experiences/gym-sports-center</t>
  </si>
  <si>
    <t xml:space="preserve">https://www.emerald-faarufushi.com/villas/superior-water-villas-with-pool</t>
  </si>
  <si>
    <t xml:space="preserve">https://erimaldives.com/blog/post/dive-sites-near-north-male-atoll/</t>
  </si>
  <si>
    <t xml:space="preserve">Dive Sites Near North Male’ Atoll - Eri Maldives</t>
  </si>
  <si>
    <t xml:space="preserve">output/pages/052_eri-maldives/diving__erimaldives.com__blog-post-dive-sites-near-north-male-atoll.md</t>
  </si>
  <si>
    <t xml:space="preserve">https://www.emerald-faarufushi.com/villas/family-beach-villas-with-pool</t>
  </si>
  <si>
    <t xml:space="preserve">https://www.emerald-faarufushi.com/experiences/kids-club</t>
  </si>
  <si>
    <t xml:space="preserve">https://erimaldives.com/blog/post/which-resort-is-the-most-romantic-in-the-maldives/</t>
  </si>
  <si>
    <t xml:space="preserve">Which Resort Is the Most Romantic in the Maldives? - Eri Maldives</t>
  </si>
  <si>
    <t xml:space="preserve">output/pages/052_eri-maldives/diving__erimaldives.com__blog-post-which-resort-is-the-most-romantic-in-the-maldives.md</t>
  </si>
  <si>
    <t xml:space="preserve">https://www.jumeirah.com/en/stay/maldives/jumeirah-olhahali-island</t>
  </si>
  <si>
    <t xml:space="preserve">Book your stay with Jumeirah Olhahali Island in the Maldives</t>
  </si>
  <si>
    <t xml:space="preserve">output/pages/059_jumeirah-maldives-olhahali-island/diving__jumeirah.com__en-stay-maldives-jumeirah-olhahali-island.md</t>
  </si>
  <si>
    <t xml:space="preserve">https://www.fushifaru.com/offer/family-offer/</t>
  </si>
  <si>
    <t xml:space="preserve">Family Offer - Fushifaru Maldives Resort</t>
  </si>
  <si>
    <t xml:space="preserve">output/pages/057_fushifaru-maldives/diving__fushifaru.com__offer-family-offer.md</t>
  </si>
  <si>
    <t xml:space="preserve">https://www.fushifaru.com/villas/</t>
  </si>
  <si>
    <t xml:space="preserve">Luxurious Accommodation in the Maldives - Fushifaru Maldives Boutique Hotel</t>
  </si>
  <si>
    <t xml:space="preserve">output/pages/057_fushifaru-maldives/diving__fushifaru.com__villas.md</t>
  </si>
  <si>
    <t xml:space="preserve">https://erimaldives.com/blog/post/can-you-swim-in-the-maldives-all-year/</t>
  </si>
  <si>
    <t xml:space="preserve">Can You Swim in the Maldives All Year? - Eri Maldives</t>
  </si>
  <si>
    <t xml:space="preserve">output/pages/052_eri-maldives/diving__erimaldives.com__blog-post-can-you-swim-in-the-maldives-all-year.md</t>
  </si>
  <si>
    <t xml:space="preserve">https://erimaldives.com/offers/advance-purchase-offer/</t>
  </si>
  <si>
    <t xml:space="preserve">2027 Advance Purchase Offer: Up to 40% Off at Eri Maldives</t>
  </si>
  <si>
    <t xml:space="preserve">output/pages/052_eri-maldives/diving__erimaldives.com__offers-advance-purchase-offer.md</t>
  </si>
  <si>
    <t xml:space="preserve">https://www.fushifaru.com/spa/hair-beauty-salon/</t>
  </si>
  <si>
    <t xml:space="preserve">Hair &amp; Beauty Salon - Fushifaru Maldives Resort</t>
  </si>
  <si>
    <t xml:space="preserve">output/pages/057_fushifaru-maldives/spa__fushifaru.com__spa-hair-beauty-salon.md</t>
  </si>
  <si>
    <t xml:space="preserve">https://erimaldives.com/blog/post/discover-the-right-maldives-resort-for-you/</t>
  </si>
  <si>
    <t xml:space="preserve">Discover the Right Maldives Resort for You - Eri Maldives</t>
  </si>
  <si>
    <t xml:space="preserve">output/pages/052_eri-maldives/diving__erimaldives.com__blog-post-discover-the-right-maldives-resort-for-you.md</t>
  </si>
  <si>
    <t xml:space="preserve">https://www.fushifaru.com/spa/veyoge-spa/</t>
  </si>
  <si>
    <t xml:space="preserve">Veyoge Spa - Fushifaru Maldives Resort</t>
  </si>
  <si>
    <t xml:space="preserve">output/pages/057_fushifaru-maldives/spa__fushifaru.com__spa-veyoge-spa.md</t>
  </si>
  <si>
    <t xml:space="preserve">https://www.fushifaru.com/5-unique-experiences-at-fushifaru/</t>
  </si>
  <si>
    <t xml:space="preserve">5 Unique Experiences at Fushifaru - Fushifaru Maldives Resort</t>
  </si>
  <si>
    <t xml:space="preserve">output/pages/057_fushifaru-maldives/diving__fushifaru.com__5-unique-experiences-at-fushifaru.md</t>
  </si>
  <si>
    <t xml:space="preserve">https://erimaldives.com/villas/beach-studio/</t>
  </si>
  <si>
    <t xml:space="preserve">Beach Studio - Eri Maldives</t>
  </si>
  <si>
    <t xml:space="preserve">output/pages/052_eri-maldives/diving__erimaldives.com__villas-beach-studio.md</t>
  </si>
  <si>
    <t xml:space="preserve">https://www.fushifaru.com/experience-the-magic-of-manta-ray-season/</t>
  </si>
  <si>
    <t xml:space="preserve">Experience the Magic of Manta Ray Season - Fushifaru Maldives Resort</t>
  </si>
  <si>
    <t xml:space="preserve">output/pages/057_fushifaru-maldives/diving__fushifaru.com__experience-the-magic-of-manta-ray-season.md</t>
  </si>
  <si>
    <t xml:space="preserve">https://erimaldives.com/offers/eri-all-inclusive-offer/</t>
  </si>
  <si>
    <t xml:space="preserve">Eri Maldives All-Inclusive Offer: Save Up to 40%</t>
  </si>
  <si>
    <t xml:space="preserve">output/pages/052_eri-maldives/diving__erimaldives.com__offers-eri-all-inclusive-offer.md</t>
  </si>
  <si>
    <t xml:space="preserve">https://erimaldives.com/blog/post/which-maldives-resort-offers-the-best-beachfront-villas/</t>
  </si>
  <si>
    <t xml:space="preserve">Which Maldives Resort Offers the Best Beachfront Villas? - Eri Maldives</t>
  </si>
  <si>
    <t xml:space="preserve">output/pages/052_eri-maldives/diving__erimaldives.com__blog-post-which-maldives-resort-offers-the-best-beachfront-v.md</t>
  </si>
  <si>
    <t xml:space="preserve">https://erimaldives.com/dining/soul-kitchen/</t>
  </si>
  <si>
    <t xml:space="preserve">Soul Kitchen Maldives | All-Day Dining at Eri Maldives</t>
  </si>
  <si>
    <t xml:space="preserve">output/pages/052_eri-maldives/dining__erimaldives.com__dining-soul-kitchen.md</t>
  </si>
  <si>
    <t xml:space="preserve">https://erimaldives.com/blog/post/discover-the-maldives-the-local-way-at-eri-maldives/</t>
  </si>
  <si>
    <t xml:space="preserve">Discover the Maldives the Local Way at Eri Maldives - Eri Maldives</t>
  </si>
  <si>
    <t xml:space="preserve">output/pages/052_eri-maldives/diving__erimaldives.com__blog-post-discover-the-maldives-the-local-way-at-eri-maldive.md</t>
  </si>
  <si>
    <t xml:space="preserve">https://erimaldives.com/experiences/</t>
  </si>
  <si>
    <t xml:space="preserve">Top Things to Do in Maldives | Experiences at Eri Maldives</t>
  </si>
  <si>
    <t xml:space="preserve">output/pages/052_eri-maldives/diving__erimaldives.com__experiences.md</t>
  </si>
  <si>
    <t xml:space="preserve">https://erimaldives.com/blog/post/resorts-near-velana-airport/</t>
  </si>
  <si>
    <t xml:space="preserve">Resorts Near Velana Airport - Eri Maldives</t>
  </si>
  <si>
    <t xml:space="preserve">output/pages/052_eri-maldives/diving__erimaldives.com__blog-post-resorts-near-velana-airport.md</t>
  </si>
  <si>
    <t xml:space="preserve">https://erimaldives.com/dining/beach-shack/</t>
  </si>
  <si>
    <t xml:space="preserve">Beach Shack - Beachfront Dining &amp; Cocktails at Eri Maldives</t>
  </si>
  <si>
    <t xml:space="preserve">output/pages/052_eri-maldives/dining__erimaldives.com__dining-beach-shack.md</t>
  </si>
  <si>
    <t xml:space="preserve">https://erimaldives.com/blog/post/marine-wonders-to-discover-in-the-maldives/</t>
  </si>
  <si>
    <t xml:space="preserve">Marine Wonders to Discover in the Maldives - Eri Maldives</t>
  </si>
  <si>
    <t xml:space="preserve">output/pages/052_eri-maldives/diving__erimaldives.com__blog-post-marine-wonders-to-discover-in-the-maldives.md</t>
  </si>
  <si>
    <t xml:space="preserve">https://erimaldives.com/blog/post/wellness-at-eri-maldives/</t>
  </si>
  <si>
    <t xml:space="preserve">Wellness at Eri Maldives - Eri Maldives</t>
  </si>
  <si>
    <t xml:space="preserve">output/pages/052_eri-maldives/spa__erimaldives.com__blog-post-wellness-at-eri-maldives.md</t>
  </si>
  <si>
    <t xml:space="preserve">https://erimaldives.com/blog/post/the-perfect-day-at-eri-maldives/</t>
  </si>
  <si>
    <t xml:space="preserve">The Perfect Day at Eri Maldives - Eri Maldives</t>
  </si>
  <si>
    <t xml:space="preserve">output/pages/052_eri-maldives/diving__erimaldives.com__blog-post-the-perfect-day-at-eri-maldives.md</t>
  </si>
  <si>
    <t xml:space="preserve">https://erimaldives.com/blog/post/a-guide-to-the-villas-at-eri-maldives/</t>
  </si>
  <si>
    <t xml:space="preserve">A Guide to the Villas at Eri Maldives - Eri Maldives</t>
  </si>
  <si>
    <t xml:space="preserve">output/pages/052_eri-maldives/diving__erimaldives.com__blog-post-a-guide-to-the-villas-at-eri-maldives.md</t>
  </si>
  <si>
    <t xml:space="preserve">https://erimaldives.com/offers/</t>
  </si>
  <si>
    <t xml:space="preserve">Maldives Resort Offers &amp; All-Inclusive Stays - 40% Off | Eri Maldives</t>
  </si>
  <si>
    <t xml:space="preserve">output/pages/052_eri-maldives/diving__erimaldives.com__offers.md</t>
  </si>
  <si>
    <t xml:space="preserve">https://erimaldives.com/blog/post/dining-at-eri-maldives-best-restaurants-in-north-male-atoll/</t>
  </si>
  <si>
    <t xml:space="preserve">Dining at Eri: Best Restaurants in North Male Atoll - Eri Maldives</t>
  </si>
  <si>
    <t xml:space="preserve">output/pages/052_eri-maldives/dining__erimaldives.com__blog-post-dining-at-eri-maldives-best-restaurants-in-north-m.md</t>
  </si>
  <si>
    <t xml:space="preserve">https://erimaldives.com/getting-here/</t>
  </si>
  <si>
    <t xml:space="preserve">Getting Here is a Breeze - Eri Maldives</t>
  </si>
  <si>
    <t xml:space="preserve">output/pages/052_eri-maldives/diving__erimaldives.com__getting-here.md</t>
  </si>
  <si>
    <t xml:space="preserve">https://erimaldives.com/blog/post/top-reasons-to-visit-the-maldives-in-the-off-season/</t>
  </si>
  <si>
    <t xml:space="preserve">Top Reasons to Visit the Maldives in the Off-Season - Eri Maldives</t>
  </si>
  <si>
    <t xml:space="preserve">output/pages/052_eri-maldives/diving__erimaldives.com__blog-post-top-reasons-to-visit-the-maldives-in-the-off-seaso.md</t>
  </si>
  <si>
    <t xml:space="preserve">https://erimaldives.com/blog/post/eco-chic-stays-at-eri/</t>
  </si>
  <si>
    <t xml:space="preserve">Eco-Chic Stays at Eri - Eri Maldives</t>
  </si>
  <si>
    <t xml:space="preserve">output/pages/052_eri-maldives/diving__erimaldives.com__blog-post-eco-chic-stays-at-eri.md</t>
  </si>
  <si>
    <t xml:space="preserve">https://erimaldives.com/offers/barefoot-beginnings/</t>
  </si>
  <si>
    <t xml:space="preserve">output/pages/052_eri-maldives/dining__erimaldives.com__offers-barefoot-beginnings.md</t>
  </si>
  <si>
    <t xml:space="preserve">https://erimaldives.com/blog/post/where-can-you-experience-a-mindful-maldives-getaway/</t>
  </si>
  <si>
    <t xml:space="preserve">Where Can You Experience a Mindful Maldives Getaway? - Eri Maldives</t>
  </si>
  <si>
    <t xml:space="preserve">output/pages/052_eri-maldives/diving__erimaldives.com__blog-post-where-can-you-experience-a-mindful-maldives-getawa.md</t>
  </si>
  <si>
    <t xml:space="preserve">https://erimaldives.com/blog/post/seven-days-by-the-sea-an-ocean-wellness-itinerary-at-eri-maldives/</t>
  </si>
  <si>
    <t xml:space="preserve">Seven Days by the Sea: An Ocean Wellness Itinerary at Eri Maldives - Eri Maldives</t>
  </si>
  <si>
    <t xml:space="preserve">output/pages/052_eri-maldives/spa__erimaldives.com__blog-post-seven-days-by-the-sea-an-ocean-wellness-itinerary-.md</t>
  </si>
  <si>
    <t xml:space="preserve">https://erimaldives.com/wellness/</t>
  </si>
  <si>
    <t xml:space="preserve">Wellness - Eri Maldives</t>
  </si>
  <si>
    <t xml:space="preserve">output/pages/052_eri-maldives/spa__erimaldives.com__wellness.md</t>
  </si>
  <si>
    <t xml:space="preserve">https://erimaldives.com/blog/post/sunrise-to-sunset-at-eri/</t>
  </si>
  <si>
    <t xml:space="preserve">Sunrise to Sunset at Eri - Eri Maldives</t>
  </si>
  <si>
    <t xml:space="preserve">output/pages/052_eri-maldives/diving__erimaldives.com__blog-post-sunrise-to-sunset-at-eri.md</t>
  </si>
  <si>
    <t xml:space="preserve">https://erimaldives.com/offers/limited-time-deal/</t>
  </si>
  <si>
    <t xml:space="preserve">Maldives Resort Deals: Up to 40% Off | Flash Sale at Eri Maldives</t>
  </si>
  <si>
    <t xml:space="preserve">output/pages/052_eri-maldives/diving__erimaldives.com__offers-limited-time-deal.md</t>
  </si>
  <si>
    <t xml:space="preserve">https://erimaldives.com/blog/post/where-can-couples-find-a-romantic-resort-near-male-airport/</t>
  </si>
  <si>
    <t xml:space="preserve">Where Can Couples Find a Romantic Resort Near Malé Airport? - Eri Maldives</t>
  </si>
  <si>
    <t xml:space="preserve">output/pages/052_eri-maldives/diving__erimaldives.com__blog-post-where-can-couples-find-a-romantic-resort-near-male.md</t>
  </si>
  <si>
    <t xml:space="preserve">https://erimaldives.com/blog/post/maldives-travel-tips-everything-you-need-to-know-before-your-island-escape/</t>
  </si>
  <si>
    <t xml:space="preserve">Maldives Travel Tips: Everything You Need to Know Before Your Island Escape - Eri Maldives</t>
  </si>
  <si>
    <t xml:space="preserve">output/pages/052_eri-maldives/diving__erimaldives.com__blog-post-maldives-travel-tips-everything-you-need-to-know-b.md</t>
  </si>
  <si>
    <t xml:space="preserve">https://erimaldives.com/experiences/underwater-diving/dive-sites/</t>
  </si>
  <si>
    <t xml:space="preserve">Best Dive Sites in Maldives | Eri Maldives</t>
  </si>
  <si>
    <t xml:space="preserve">output/pages/052_eri-maldives/diving__erimaldives.com__experiences-underwater-diving-dive-sites.md</t>
  </si>
  <si>
    <t xml:space="preserve">https://erimaldives.com/villas/sunset-beach-villa/</t>
  </si>
  <si>
    <t xml:space="preserve">Sunset Beach Villa - Eri Maldives</t>
  </si>
  <si>
    <t xml:space="preserve">output/pages/052_eri-maldives/diving__erimaldives.com__villas-sunset-beach-villa.md</t>
  </si>
  <si>
    <t xml:space="preserve">https://erimaldives.com/dining/sip-dip-main-bar/</t>
  </si>
  <si>
    <t xml:space="preserve">Sip &amp; Dip - Main Bar - Eri Maldives</t>
  </si>
  <si>
    <t xml:space="preserve">output/pages/052_eri-maldives/dining__erimaldives.com__dining-sip-dip-main-bar.md</t>
  </si>
  <si>
    <t xml:space="preserve">https://erimaldives.com/blog/post/what-kind-of-traveller-are-you-in-the-maldives/</t>
  </si>
  <si>
    <t xml:space="preserve">What Kind of Traveller Are You in the Maldives? - Eri Maldives</t>
  </si>
  <si>
    <t xml:space="preserve">output/pages/052_eri-maldives/diving__erimaldives.com__blog-post-what-kind-of-traveller-are-you-in-the-maldives.md</t>
  </si>
  <si>
    <t xml:space="preserve">https://erimaldives.com/blog/post/first-time-diving-in-the-maldives-your-beginners-guide-to-diving-at-eri/</t>
  </si>
  <si>
    <t xml:space="preserve">First Time Diving in the Maldives? Your Beginner’s Guide to Diving at Eri - Eri Maldives</t>
  </si>
  <si>
    <t xml:space="preserve">output/pages/052_eri-maldives/diving__erimaldives.com__blog-post-first-time-diving-in-the-maldives-your-beginners-g.md</t>
  </si>
  <si>
    <t xml:space="preserve">https://erimaldives.com/blog/post/a-guide-to-island-moments-made-for-two/</t>
  </si>
  <si>
    <t xml:space="preserve">A Guide to Island Moments Made for Two - Eri Maldives</t>
  </si>
  <si>
    <t xml:space="preserve">output/pages/052_eri-maldives/diving__erimaldives.com__blog-post-a-guide-to-island-moments-made-for-two.md</t>
  </si>
  <si>
    <t xml:space="preserve">https://erimaldives.com/blog/</t>
  </si>
  <si>
    <t xml:space="preserve">Blog - Eri Maldives</t>
  </si>
  <si>
    <t xml:space="preserve">output/pages/052_eri-maldives/diving__erimaldives.com__blog.md</t>
  </si>
  <si>
    <t xml:space="preserve">https://erimaldives.com/blog/post/beneath-eris-turquoise-waters/</t>
  </si>
  <si>
    <t xml:space="preserve">Beneath Eri’s Turquoise Waters - Eri Maldives</t>
  </si>
  <si>
    <t xml:space="preserve">output/pages/052_eri-maldives/dining__erimaldives.com__blog-post-beneath-eris-turquoise-waters.md</t>
  </si>
  <si>
    <t xml:space="preserve">https://erimaldives.com/blog/post/eri-maldives-pristine-coral-gardens/</t>
  </si>
  <si>
    <t xml:space="preserve">Eri Maldives’ Pristine Coral Gardens - Eri Maldives</t>
  </si>
  <si>
    <t xml:space="preserve">output/pages/052_eri-maldives/diving__erimaldives.com__blog-post-eri-maldives-pristine-coral-gardens.md</t>
  </si>
  <si>
    <t xml:space="preserve">https://erimaldives.com/blog/post/easter-in-full-bloom-at-eri/</t>
  </si>
  <si>
    <t xml:space="preserve">Easter in Full Bloom at Eri - Eri Maldives</t>
  </si>
  <si>
    <t xml:space="preserve">output/pages/052_eri-maldives/diving__erimaldives.com__blog-post-easter-in-full-bloom-at-eri.md</t>
  </si>
  <si>
    <t xml:space="preserve">https://erimaldives.com/blog/post/how-to-make-the-most-of-a-5-day-maldives-vacation/</t>
  </si>
  <si>
    <t xml:space="preserve">How to Make the Most of a 5-Day Maldives Vacation - Eri Maldives</t>
  </si>
  <si>
    <t xml:space="preserve">output/pages/052_eri-maldives/diving__erimaldives.com__blog-post-how-to-make-the-most-of-a-5-day-maldives-vacation.md</t>
  </si>
  <si>
    <t xml:space="preserve">https://erimaldives.com/eri-meal-plan/</t>
  </si>
  <si>
    <t xml:space="preserve">Eri Meal Plan - Eri Maldives</t>
  </si>
  <si>
    <t xml:space="preserve">output/pages/052_eri-maldives/diving__erimaldives.com__eri-meal-plan.md</t>
  </si>
  <si>
    <t xml:space="preserve">https://erimaldives.com/blog/post/how-eri-maldives-combines-adventure-and-relaxation-for-every-traveller/</t>
  </si>
  <si>
    <t xml:space="preserve">How Eri Maldives Combines Adventure and Relaxation for Every Traveller - Eri Maldives</t>
  </si>
  <si>
    <t xml:space="preserve">output/pages/052_eri-maldives/diving__erimaldives.com__blog-post-how-eri-maldives-combines-adventure-and-relaxation.md</t>
  </si>
  <si>
    <t xml:space="preserve">https://erimaldives.com/blog/post/romantic-villas-for-two-in-the-maldives-a-soulful-escape-at-eri/</t>
  </si>
  <si>
    <t xml:space="preserve">Romantic Villas for Two in the Maldives: A Soulful Escape at Eri - Eri Maldives</t>
  </si>
  <si>
    <t xml:space="preserve">output/pages/052_eri-maldives/diving__erimaldives.com__blog-post-romantic-villas-for-two-in-the-maldives-a-soulful-.md</t>
  </si>
  <si>
    <t xml:space="preserve">https://erimaldives.com/blog/post/resorts-near-male-international-airport/</t>
  </si>
  <si>
    <t xml:space="preserve">Resorts Near Male' International Airport - Eri Maldives</t>
  </si>
  <si>
    <t xml:space="preserve">output/pages/052_eri-maldives/diving__erimaldives.com__blog-post-resorts-near-male-international-airport.md</t>
  </si>
  <si>
    <t xml:space="preserve">https://erimaldives.com/dining/</t>
  </si>
  <si>
    <t xml:space="preserve">Best Restaurants in Maldives | Dining at Eri Maldives</t>
  </si>
  <si>
    <t xml:space="preserve">output/pages/052_eri-maldives/dining__erimaldives.com__dining.md</t>
  </si>
  <si>
    <t xml:space="preserve">https://erimaldives.com/blog/post/plan-the-ultimate-group-getaway-at-eri-maldives/</t>
  </si>
  <si>
    <t xml:space="preserve">Plan the Ultimate Group Getaway at Eri - Spacious Beach Villas for Group Getaways</t>
  </si>
  <si>
    <t xml:space="preserve">output/pages/052_eri-maldives/events__erimaldives.com__blog-post-plan-the-ultimate-group-getaway-at-eri-maldives.md</t>
  </si>
  <si>
    <t xml:space="preserve">https://erimaldives.com/experiences/underwater-diving/</t>
  </si>
  <si>
    <t xml:space="preserve">Best Place to Dive in Maldives | Diving at Eri Maldives</t>
  </si>
  <si>
    <t xml:space="preserve">output/pages/052_eri-maldives/diving__erimaldives.com__experiences-underwater-diving.md</t>
  </si>
  <si>
    <t xml:space="preserve">https://erimaldives.com/villas/seaview-sky-room/</t>
  </si>
  <si>
    <t xml:space="preserve">Sky Studio - Eri Maldives</t>
  </si>
  <si>
    <t xml:space="preserve">output/pages/052_eri-maldives/diving__erimaldives.com__villas-seaview-sky-room.md</t>
  </si>
  <si>
    <t xml:space="preserve">https://erimaldives.com/blog/post/a-guide-to-spending-5-days-in-the-maldives/</t>
  </si>
  <si>
    <t xml:space="preserve">A Guide to Spending 5 Days in the Maldives - Eri Maldives</t>
  </si>
  <si>
    <t xml:space="preserve">output/pages/052_eri-maldives/diving__erimaldives.com__blog-post-a-guide-to-spending-5-days-in-the-maldives.md</t>
  </si>
  <si>
    <t xml:space="preserve">https://mondomaldive.it/it/villaggio/pullman-maldives-maamutaa-resort/foto_utenti</t>
  </si>
  <si>
    <t xml:space="preserve">Le fotografie di tutti i Villaggi isole Maldive - Elenco: Pullman Maldives Maamutaa Resort - MondoMaldive</t>
  </si>
  <si>
    <t xml:space="preserve">output/pages/123_pullman-maldives-maamutaa-resort/diving__mondomaldive.it__it-villaggio-pullman-maldives-maamutaa-resort-foto-utenti.md</t>
  </si>
  <si>
    <t xml:space="preserve">https://mondomaldive.it/it/villaggio/angaga-island-resort/recensione/5039</t>
  </si>
  <si>
    <t xml:space="preserve">Recensione di ManuelaeAndrea in data 12/02/2013 per Angaga Island Resort - MondoMaldive</t>
  </si>
  <si>
    <t xml:space="preserve">output/pages/011_angaga-island-resort-and-spa/diving__mondomaldive.it__it-villaggio-angaga-island-resort-recensione-5039.md</t>
  </si>
  <si>
    <t xml:space="preserve">https://mondomaldive.it/it/villaggio/maayafushi-maldives/recensione/3587</t>
  </si>
  <si>
    <t xml:space="preserve">Recensione di Susana in data 28/02/2010 per Maayafushi Maldives - MondoMaldive</t>
  </si>
  <si>
    <t xml:space="preserve">output/pages/093_maayafushi-tourist-resort/diving__mondomaldive.it__it-villaggio-maayafushi-maldives-recensione-3587.md</t>
  </si>
  <si>
    <t xml:space="preserve">https://mondomaldive.it/it/villaggio/angsana-velavaru/recensione/4521</t>
  </si>
  <si>
    <t xml:space="preserve">Recensione di aryfra in data 11/07/2011 per Angsana Velavaru - MondoMaldive</t>
  </si>
  <si>
    <t xml:space="preserve">output/pages/097_angsana-resort-spa-maldives-velavaru/diving__mondomaldive.it__it-villaggio-angsana-velavaru-recensione-4521.md</t>
  </si>
  <si>
    <t xml:space="preserve">https://mondomaldive.it/it/villaggio/makunudu-island/recensione/6217</t>
  </si>
  <si>
    <t xml:space="preserve">Recensione di REBECCA V. in data 21/09/2018 per Makunudu Island - MondoMaldive</t>
  </si>
  <si>
    <t xml:space="preserve">output/pages/152_makunudu-island/diving__mondomaldive.it__it-villaggio-makunudu-island-recensione-6217.md</t>
  </si>
  <si>
    <t xml:space="preserve">https://mondomaldive.it/it/villaggio/thulhagiri-island-resort/recensione/4999</t>
  </si>
  <si>
    <t xml:space="preserve">Recensione di molly8 in data 24/12/2012 per Thulhagiri Island Resort - MondoMaldive</t>
  </si>
  <si>
    <t xml:space="preserve">output/pages/012_thulhagiri-island-resort-spa/diving__mondomaldive.it__it-villaggio-thulhagiri-island-resort-recensione-4999.md</t>
  </si>
  <si>
    <t xml:space="preserve">https://mondomaldive.it/it/villaggio/maayafushi-maldives/recensione/5261</t>
  </si>
  <si>
    <t xml:space="preserve">Recensione di Dany e Corrado in data 20/01/2014 per Maayafushi Maldives - MondoMaldive</t>
  </si>
  <si>
    <t xml:space="preserve">output/pages/093_maayafushi-tourist-resort/diving__mondomaldive.it__it-villaggio-maayafushi-maldives-recensione-5261.md</t>
  </si>
  <si>
    <t xml:space="preserve">https://mondomaldive.it/it/villaggio/kandolhu-island/racconti</t>
  </si>
  <si>
    <t xml:space="preserve">Racconti Villaggi isole Maldive - Elenco: Kandolhu Island - MondoMaldive</t>
  </si>
  <si>
    <t xml:space="preserve">output/pages/074_kandolhu-island-maldives/diving__mondomaldive.it__it-villaggio-kandolhu-island-racconti.md</t>
  </si>
  <si>
    <t xml:space="preserve">https://mondomaldive.it/it/villaggio/lily-beach-resort/recensione/3895</t>
  </si>
  <si>
    <t xml:space="preserve">Recensione di MANTA64FLY in data 08/08/2010 per Lily Beach Resort - MondoMaldive</t>
  </si>
  <si>
    <t xml:space="preserve">output/pages/091_lily-beach-resort/diving__mondomaldive.it__it-villaggio-lily-beach-resort-recensione-3895.md</t>
  </si>
  <si>
    <t xml:space="preserve">https://mondomaldive.it/it/villaggio/vilamendhoo-island-resort/recensione/5296</t>
  </si>
  <si>
    <t xml:space="preserve">Recensione di Roby in data 05/03/2014 per Vilamendhoo Island Resort - MondoMaldive</t>
  </si>
  <si>
    <t xml:space="preserve">output/pages/174_vilamendhoo-island-resort/diving__mondomaldive.it__it-villaggio-vilamendhoo-island-resort-recensione-5296.md</t>
  </si>
  <si>
    <t xml:space="preserve">https://mondomaldive.it/it/villaggio/waldorf-astoria-maldives-ithaafushi/recensioni</t>
  </si>
  <si>
    <t xml:space="preserve">Schede di Valutazione e Recensioni  - Elenco: Waldorf Astoria Maldives Ithaafushi - MondoMaldive</t>
  </si>
  <si>
    <t xml:space="preserve">output/pages/067_waldorf-astoria-maldives-ithaafushi/diving__mondomaldive.it__it-villaggio-waldorf-astoria-maldives-ithaafushi-recensioni.md</t>
  </si>
  <si>
    <t xml:space="preserve">https://mondomaldive.it/it/villaggio/reethi-faru-resort/foto_utenti</t>
  </si>
  <si>
    <t xml:space="preserve">Le fotografie di tutti i Villaggi isole Maldive - Elenco: Reethi Faru Resort - MondoMaldive</t>
  </si>
  <si>
    <t xml:space="preserve">output/pages/094_reethi-faru-resort/diving__mondomaldive.it__it-villaggio-reethi-faru-resort-foto-utenti.md</t>
  </si>
  <si>
    <t xml:space="preserve">https://mondomaldive.it/it/villaggio/thulhagiri-island-resort/recensione/6265</t>
  </si>
  <si>
    <t xml:space="preserve">Recensione di Claudio B. in data 04/01/2019 per Thulhagiri Island Resort - MondoMaldive</t>
  </si>
  <si>
    <t xml:space="preserve">output/pages/012_thulhagiri-island-resort-spa/diving__mondomaldive.it__it-villaggio-thulhagiri-island-resort-recensione-6265.md</t>
  </si>
  <si>
    <t xml:space="preserve">https://mondomaldive.it/it/villaggio/angaga-island-resort/recensione/5859</t>
  </si>
  <si>
    <t xml:space="preserve">Recensione di rogi in data 12/02/2017 per Angaga Island Resort - MondoMaldive</t>
  </si>
  <si>
    <t xml:space="preserve">output/pages/011_angaga-island-resort-and-spa/diving__mondomaldive.it__it-villaggio-angaga-island-resort-recensione-5859.md</t>
  </si>
  <si>
    <t xml:space="preserve">https://mondomaldive.it/it/villaggio/maayafushi-maldives/recensione/5412</t>
  </si>
  <si>
    <t xml:space="preserve">Recensione di pado in data 24/11/2014 per Maayafushi Maldives - MondoMaldive</t>
  </si>
  <si>
    <t xml:space="preserve">output/pages/093_maayafushi-tourist-resort/diving__mondomaldive.it__it-villaggio-maayafushi-maldives-recensione-5412.md</t>
  </si>
  <si>
    <t xml:space="preserve">https://mondomaldive.it/it/villaggio/alimatha-maldives/recensione/4830</t>
  </si>
  <si>
    <t xml:space="preserve">Recensione di gixxgi in data 16/04/2012 per Bravo Alimathà - MondoMaldive</t>
  </si>
  <si>
    <t xml:space="preserve">output/pages/084_alimatha-aquatic-resort/diving__mondomaldive.it__it-villaggio-alimatha-maldives-recensione-4830.md</t>
  </si>
  <si>
    <t xml:space="preserve">https://mondomaldive.it/it/villaggio/park-hyatt-hadahaa/foto_utenti</t>
  </si>
  <si>
    <t xml:space="preserve">Le fotografie di tutti i Villaggi isole Maldive - Elenco: Park Hyatt Hadahaa - MondoMaldive</t>
  </si>
  <si>
    <t xml:space="preserve">output/pages/047_park-hyatt-maldives-hadahaa/diving__mondomaldive.it__it-villaggio-park-hyatt-hadahaa-foto-utenti.md</t>
  </si>
  <si>
    <t xml:space="preserve">https://mondomaldive.it/it/villaggio/angaga-island-resort/recensione/6606</t>
  </si>
  <si>
    <t xml:space="preserve">Recensione di nicola d. in data 13/12/2019 per Angaga Island Resort - MondoMaldive</t>
  </si>
  <si>
    <t xml:space="preserve">output/pages/011_angaga-island-resort-and-spa/diving__mondomaldive.it__it-villaggio-angaga-island-resort-recensione-6606.md</t>
  </si>
  <si>
    <t xml:space="preserve">https://mondomaldive.it/it/fotografie_villaggio/hotel-riu-atoll</t>
  </si>
  <si>
    <t xml:space="preserve">Hotel Riu Atoll atollo di  Dhaalu - MondoMaldive</t>
  </si>
  <si>
    <t xml:space="preserve">output/pages/129_riu-atoll-and-riu-palace-maldivas/diving__mondomaldive.it__it-fotografie-villaggio-hotel-riu-atoll.md</t>
  </si>
  <si>
    <t xml:space="preserve">https://mondomaldive.it/it/villaggio/maayafushi-maldives/recensione/5918</t>
  </si>
  <si>
    <t xml:space="preserve">Recensione di andrinia in data 10/04/2017 per Maayafushi Maldives - MondoMaldive</t>
  </si>
  <si>
    <t xml:space="preserve">output/pages/093_maayafushi-tourist-resort/diving__mondomaldive.it__it-villaggio-maayafushi-maldives-recensione-5918.md</t>
  </si>
  <si>
    <t xml:space="preserve">https://mondomaldive.it/it/villaggio/dhiggiri-maldives/recensione/6039</t>
  </si>
  <si>
    <t xml:space="preserve">Recensione di MARGHERITA C. in data 22/01/2018 per Dhiggiri Maldives - MondoMaldive</t>
  </si>
  <si>
    <t xml:space="preserve">output/pages/042_dhiggiri-tourist-resort/diving__mondomaldive.it__it-villaggio-dhiggiri-maldives-recensione-6039.md</t>
  </si>
  <si>
    <t xml:space="preserve">https://mondomaldive.it/it/villaggio/maayafushi-maldives/recensione/5669</t>
  </si>
  <si>
    <t xml:space="preserve">Recensione di Lalelolo in data 22/02/2016 per Maayafushi Maldives - MondoMaldive</t>
  </si>
  <si>
    <t xml:space="preserve">output/pages/093_maayafushi-tourist-resort/diving__mondomaldive.it__it-villaggio-maayafushi-maldives-recensione-5669.md</t>
  </si>
  <si>
    <t xml:space="preserve">https://mondomaldive.it/it/villaggio/grand-park-kodhipparu/recensioni</t>
  </si>
  <si>
    <t xml:space="preserve">Schede di Valutazione e Recensioni  - Elenco: Grand Park Kodhipparu - MondoMaldive</t>
  </si>
  <si>
    <t xml:space="preserve">output/pages/027_grand-park-kodhipparu-maldives/diving__mondomaldive.it__it-villaggio-grand-park-kodhipparu-recensioni.md</t>
  </si>
  <si>
    <t xml:space="preserve">https://hummingbird.travel/company/journals/surf-sunsets-island-life-james-experience-at-niyama-private-islands-maldives</t>
  </si>
  <si>
    <t xml:space="preserve">Surf, Sunsets &amp; Island Life: James’ Experience at Niyama Private Islands Maldives - Hummingbird Travel</t>
  </si>
  <si>
    <t xml:space="preserve">output/pages/117_niyama-maldives/diving__hummingbird.travel__company-journals-surf-sunsets-island-life-james-experience-a.md</t>
  </si>
  <si>
    <t xml:space="preserve">https://mondomaldive.it/it/villaggio/cinnamon-dhonveli-maldives/racconto/un-altro-mondo-in-questo</t>
  </si>
  <si>
    <t xml:space="preserve">UN ALTRO MONDO IN QUESTO  - isole Maldive - MondoMaldive</t>
  </si>
  <si>
    <t xml:space="preserve">output/pages/159_cinnamon-dhonveli-maldives/diving__mondomaldive.it__it-villaggio-cinnamon-dhonveli-maldives-racconto-un-altro-mo.md</t>
  </si>
  <si>
    <t xml:space="preserve">https://letsgomaldives.com/news/celebrate-the-holidays-with-rhythms-of-the-eras-at-kandima-maldives/</t>
  </si>
  <si>
    <t xml:space="preserve">Celebrate the Holidays with “Rhythms of the Eras” at Kandima Maldives - Maldives Tour Packages - Lets Go Maldives Pvt. L</t>
  </si>
  <si>
    <t xml:space="preserve">output/pages/075_kandima-maldives/wedding__letsgomaldives.com__news-celebrate-the-holidays-with-rhythms-of-the-eras-at-kand.md</t>
  </si>
  <si>
    <t xml:space="preserve">https://letsgomaldives.com/blogs/rejuvenate-your-senses-at-kuda-villingili-resort-maldives-spa/</t>
  </si>
  <si>
    <t xml:space="preserve">Rejuvenate Your Senses at Kuda Villingili Resort Maldives Spa - Maldives Tour Packages - Lets Go Maldives Pvt. Ltd.</t>
  </si>
  <si>
    <t xml:space="preserve">output/pages/105_kuda-villingili-resort-maldives/spa__letsgomaldives.com__blogs-rejuvenate-your-senses-at-kuda-villingili-resort-maldi.md</t>
  </si>
  <si>
    <t xml:space="preserve">https://letsgomaldives.com/news/full-moon-rituals-renew-balance-and-manifest-at-the-nautilus-maldives/</t>
  </si>
  <si>
    <t xml:space="preserve">Full Moon Rituals: Renew, Balance, and Manifest at The Nautilus Maldives - Maldives Tour Packages - Lets Go Maldives Pvt</t>
  </si>
  <si>
    <t xml:space="preserve">output/pages/157_the-nautilus-maldives/diving__letsgomaldives.com__news-full-moon-rituals-renew-balance-and-manifest-at-the-nau.md</t>
  </si>
  <si>
    <t xml:space="preserve">https://letsgomaldives.com/news/baglioni-resort-maldives/</t>
  </si>
  <si>
    <t xml:space="preserve">Baglioni Resort Maldives - Maldives Tour Packages - Lets Go Maldives Pvt. Ltd.</t>
  </si>
  <si>
    <t xml:space="preserve">output/pages/014_baglioni-resort-maldives/diving__letsgomaldives.com__news-baglioni-resort-maldives.md</t>
  </si>
  <si>
    <t xml:space="preserve">https://mondomaldive.it/it/villaggio/filitheyo-island-resort/racconto/una-settimana-in-paradiso-1</t>
  </si>
  <si>
    <t xml:space="preserve">Una settimana in paradiso  - isole Maldive - MondoMaldive</t>
  </si>
  <si>
    <t xml:space="preserve">output/pages/002_filitheyo-island-resort/diving__mondomaldive.it__it-villaggio-filitheyo-island-resort-racconto-una-settimana-.md</t>
  </si>
  <si>
    <t xml:space="preserve">https://letsgomaldives.com/news/experience-a-sweet-escape-at-ifuru-island-maldives-candyland-easter-celebration/</t>
  </si>
  <si>
    <t xml:space="preserve">Experience a Sweet Escape at Ifuru Island Maldives’ Candyland Easter Celebration - Maldives Tour Packages - Lets Go Mald</t>
  </si>
  <si>
    <t xml:space="preserve">output/pages/082_ifuru-island-maldives/wedding__letsgomaldives.com__news-experience-a-sweet-escape-at-ifuru-island-maldives-cand.md</t>
  </si>
  <si>
    <t xml:space="preserve">https://mondomaldive.it/it/villaggio/alimatha-maldives/recensione/5629</t>
  </si>
  <si>
    <t xml:space="preserve">Recensione di Cristina E. in data 10/01/2016 per Bravo Alimathà - MondoMaldive</t>
  </si>
  <si>
    <t xml:space="preserve">output/pages/084_alimatha-aquatic-resort/diving__mondomaldive.it__it-villaggio-alimatha-maldives-recensione-5629.md</t>
  </si>
  <si>
    <t xml:space="preserve">https://mondomaldive.it/it/villaggio/kandima-maldives/foto_utenti</t>
  </si>
  <si>
    <t xml:space="preserve">Le fotografie di tutti i Villaggi isole Maldive - Elenco: Kandima Maldives - MondoMaldive</t>
  </si>
  <si>
    <t xml:space="preserve">output/pages/075_kandima-maldives/diving__mondomaldive.it__it-villaggio-kandima-maldives-foto-utenti.md</t>
  </si>
  <si>
    <t xml:space="preserve">https://mondomaldive.it/it/villaggio/gangehi-island-resort/recensione/3613</t>
  </si>
  <si>
    <t xml:space="preserve">Recensione di ciro e chiara in data 06/03/2010 per Gangehi Island Resort - MondoMaldive</t>
  </si>
  <si>
    <t xml:space="preserve">output/pages/114_gangehi-island-resort/diving__mondomaldive.it__it-villaggio-gangehi-island-resort-recensione-3613.md</t>
  </si>
  <si>
    <t xml:space="preserve">https://letsgomaldives.com/news/special-offer-from-centara-grand-island-resort-spa-maldives/</t>
  </si>
  <si>
    <t xml:space="preserve">6 Reasons to Visit Centara Grand Island Resort &amp; Spa Maldives - Maldives Tour Packages - Lets Go Maldives Pvt. Ltd.</t>
  </si>
  <si>
    <t xml:space="preserve">output/pages/126_centara-grand-island-resort-spa-maldives/spa__letsgomaldives.com__news-special-offer-from-centara-grand-island-resort-spa-mald.md</t>
  </si>
  <si>
    <t xml:space="preserve">https://mondomaldive.it/it/villaggio/saii-lagoon-maldives/foto_utenti</t>
  </si>
  <si>
    <t xml:space="preserve">Le fotografie di tutti i Villaggi isole Maldive - Elenco: SAii Lagoon Maldives - MondoMaldive</t>
  </si>
  <si>
    <t xml:space="preserve">output/pages/045_saii-lagoon-maldives/diving__mondomaldive.it__it-villaggio-saii-lagoon-maldives-foto-utenti.md</t>
  </si>
  <si>
    <t xml:space="preserve">https://letsgomaldives.com/news/fushifaru-maldives-wins-four-awards-at-the-prestigious-luxe-global-awards/</t>
  </si>
  <si>
    <t xml:space="preserve">Fushifaru Maldives Wins Four Awards at the Prestigious Luxe Global Awards - Maldives Tour Packages - Lets Go Maldives Pv</t>
  </si>
  <si>
    <t xml:space="preserve">output/pages/057_fushifaru-maldives/diving__letsgomaldives.com__news-fushifaru-maldives-wins-four-awards-at-the-prestigious-.md</t>
  </si>
  <si>
    <t xml:space="preserve">https://hummingbird.travel/property/kurumba-maldives</t>
  </si>
  <si>
    <t xml:space="preserve">Niva Kurumba Maldives - Hummingbird Travel</t>
  </si>
  <si>
    <t xml:space="preserve">output/pages/173_kurumba-maldives/diving__hummingbird.travel__property-kurumba-maldives.md</t>
  </si>
  <si>
    <t xml:space="preserve">https://mondomaldive.it/it/villaggio/maayafushi-maldives/recensione/5392</t>
  </si>
  <si>
    <t xml:space="preserve">Recensione di mattbond in data 19/08/2014 per Maayafushi Maldives - MondoMaldive</t>
  </si>
  <si>
    <t xml:space="preserve">output/pages/093_maayafushi-tourist-resort/diving__mondomaldive.it__it-villaggio-maayafushi-maldives-recensione-5392.md</t>
  </si>
  <si>
    <t xml:space="preserve">https://mondomaldive.it/it/villaggio/adaaran-club-rannalhi/recensione/5525</t>
  </si>
  <si>
    <t xml:space="preserve">Recensione di Fux1966 in data 04/04/2015 per Adaaran Club Rannalhi - MondoMaldive</t>
  </si>
  <si>
    <t xml:space="preserve">output/pages/069_adaaran-club-rannalhi/diving__mondomaldive.it__it-villaggio-adaaran-club-rannalhi-recensione-5525.md</t>
  </si>
  <si>
    <t xml:space="preserve">https://letsgomaldives.com/news/kandolhu-maldives-unveils-refined-luxury-and-inspired-experiences/</t>
  </si>
  <si>
    <t xml:space="preserve">Kandolhu Maldives Unveils Refined Luxury and Inspired Experiences - Maldives Tour Packages - Lets Go Maldives Pvt. Ltd.</t>
  </si>
  <si>
    <t xml:space="preserve">output/pages/074_kandolhu-island-maldives/diving__letsgomaldives.com__news-kandolhu-maldives-unveils-refined-luxury-and-inspired-e.md</t>
  </si>
  <si>
    <t xml:space="preserve">https://mondomaldive.it/it/villaggio/drift-thelu-veliga-retreat-maldives/recensione/6601</t>
  </si>
  <si>
    <t xml:space="preserve">Recensione di Maria G. in data 20/12/2019 per Drift Thelu Veliga - MondoMaldive</t>
  </si>
  <si>
    <t xml:space="preserve">output/pages/156_drift-theluveliga-retreat/dining__mondomaldive.it__it-villaggio-drift-thelu-veliga-retreat-maldives-recensione-.md</t>
  </si>
  <si>
    <t xml:space="preserve">https://letsgomaldives.com/news/ifuru-island-maldives-launches-curated-dive-packages-for-all-levels-of-experience/</t>
  </si>
  <si>
    <t xml:space="preserve">Ifuru Island Maldives Launches Curated Dive Packages for All Levels of Experience - Maldives Tour Packages - Lets Go Mal</t>
  </si>
  <si>
    <t xml:space="preserve">output/pages/082_ifuru-island-maldives/diving__letsgomaldives.com__news-ifuru-island-maldives-launches-curated-dive-packages-fo.md</t>
  </si>
  <si>
    <t xml:space="preserve">https://letsgomaldives.com/news/escape-to-maldives-with-angsana-velavaru/</t>
  </si>
  <si>
    <t xml:space="preserve">Escape to Maldives with Angsana Velavaru - Maldives Tour Packages - Lets Go Maldives Pvt. Ltd.</t>
  </si>
  <si>
    <t xml:space="preserve">output/pages/097_angsana-resort-spa-maldives-velavaru/diving__letsgomaldives.com__news-escape-to-maldives-with-angsana-velavaru.md</t>
  </si>
  <si>
    <t xml:space="preserve">https://letsgomaldives.com/news/cheval-blanc-randheli-a-commitment-to-sustainability-and-excellence/</t>
  </si>
  <si>
    <t xml:space="preserve">Cheval Blanc Randheli: A Commitment to Sustainability and Excellence - Maldives Tour Packages - Lets Go Maldives Pvt. Lt</t>
  </si>
  <si>
    <t xml:space="preserve">output/pages/065_cheval-blanc-randheli/diving__letsgomaldives.com__news-cheval-blanc-randheli-a-commitment-to-sustainability-an.md</t>
  </si>
  <si>
    <t xml:space="preserve">https://mondomaldive.it/it/villaggio/oneonlyreethi-rah/recensione/3937</t>
  </si>
  <si>
    <t xml:space="preserve">Recensione di eti in data 19/08/2010 per One&amp;Only Reethi Rah - MondoMaldive</t>
  </si>
  <si>
    <t xml:space="preserve">output/pages/128_one-only-reethi-rah-maldives/diving__mondomaldive.it__it-villaggio-oneonlyreethi-rah-recensione-3937.md</t>
  </si>
  <si>
    <t xml:space="preserve">https://letsgomaldives.com/news/discover-wellness-like-never-before-at-st-regis-maldives-vommuli-resort/</t>
  </si>
  <si>
    <t xml:space="preserve">Discover Wellness Like Never Before at St. Regis Maldives Vommuli Resort - Maldives Tour Packages - Lets Go Maldives Pvt</t>
  </si>
  <si>
    <t xml:space="preserve">output/pages/134_the-st-regis-vommuli-resort-maldives/spa__letsgomaldives.com__news-discover-wellness-like-never-before-at-st-regis-maldive.md</t>
  </si>
  <si>
    <t xml:space="preserve">https://letsgomaldives.com/news/cocoon-maldives-temporarily-closed-for-renovation-august-15-september-30-2024/</t>
  </si>
  <si>
    <t xml:space="preserve">Cocoon Maldives: Temporarily Closed for Renovation August 15 - September 30, 2024 - Maldives Tour Packages - Lets Go Mal</t>
  </si>
  <si>
    <t xml:space="preserve">output/pages/032_cocoon-maldives/diving__letsgomaldives.com__news-cocoon-maldives-temporarily-closed-for-renovation-augus.md</t>
  </si>
  <si>
    <t xml:space="preserve">https://mondomaldive.it/it/villaggio/maayafushi-maldives/recensione/5077</t>
  </si>
  <si>
    <t xml:space="preserve">Recensione di lacki64 in data 09/03/2013 per Maayafushi Maldives - MondoMaldive</t>
  </si>
  <si>
    <t xml:space="preserve">output/pages/093_maayafushi-tourist-resort/diving__mondomaldive.it__it-villaggio-maayafushi-maldives-recensione-5077.md</t>
  </si>
  <si>
    <t xml:space="preserve">https://mondomaldive.it/it/villaggio/radisson-blu-resort-maldives</t>
  </si>
  <si>
    <t xml:space="preserve">Radisson Blu Resort Maldives - scheda del Villaggio - MondoMaldive</t>
  </si>
  <si>
    <t xml:space="preserve">output/pages/064_radisson-blu-resort-maldives/diving__mondomaldive.it__it-villaggio-radisson-blu-resort-maldives.md</t>
  </si>
  <si>
    <t xml:space="preserve">https://hummingbird.travel/property/dhigali-maldives</t>
  </si>
  <si>
    <t xml:space="preserve">Niva Dhigali Maldives - Hummingbird Travel</t>
  </si>
  <si>
    <t xml:space="preserve">output/pages/033_dhigali-maldives/diving__hummingbird.travel__property-dhigali-maldives.md</t>
  </si>
  <si>
    <t xml:space="preserve">https://letsgomaldives.com/news/machchafushis-house-reef-named-one-of-the-best-in-the-maldives-and-its-easy-to-see-why/</t>
  </si>
  <si>
    <t xml:space="preserve">Machchafushi’s House Reef Named One of the Best in the Maldives — and It’s Easy to See Why - Maldives Tour Packages - Le</t>
  </si>
  <si>
    <t xml:space="preserve">output/pages/126_centara-grand-island-resort-spa-maldives/diving__letsgomaldives.com__news-machchafushis-house-reef-named-one-of-the-best-in-the-m.md</t>
  </si>
  <si>
    <t xml:space="preserve">https://letsgomaldives.com/news/leadership-strengthens-ultra-luxury-positioning-at-the-ritz-carlton-maldives-fari-islands/</t>
  </si>
  <si>
    <t xml:space="preserve">Leadership Strengthens Ultra-Luxury Positioning at The Ritz-Carlton Maldives, Fari Islands - Maldives Tour Packages - Le</t>
  </si>
  <si>
    <t xml:space="preserve">output/pages/037_the-ritz-carlton-maldives-fari-islands/diving__letsgomaldives.com__news-leadership-strengthens-ultra-luxury-positioning-at-the-.md</t>
  </si>
  <si>
    <t xml:space="preserve">https://mondomaldive.it/it/villaggio/sandies-bathala/recensione/6593</t>
  </si>
  <si>
    <t xml:space="preserve">Recensione di Giorgia C. in data 16/12/2019 per Sandies Bathala - MondoMaldive</t>
  </si>
  <si>
    <t xml:space="preserve">output/pages/013_sandies-bathala/diving__mondomaldive.it__it-villaggio-sandies-bathala-recensione-6593.md</t>
  </si>
  <si>
    <t xml:space="preserve">https://mondomaldive.it/it/villaggio/hurawalhi-resort-maldives/recensione/6094</t>
  </si>
  <si>
    <t xml:space="preserve">Recensione di tiziana P. in data 07/03/2018 per Hurawalhi Resort - MondoMaldive</t>
  </si>
  <si>
    <t xml:space="preserve">output/pages/030_hurawalhi-island-resort/diving__mondomaldive.it__it-villaggio-hurawalhi-resort-maldives-recensione-6094.md</t>
  </si>
  <si>
    <t xml:space="preserve">https://mondomaldive.it/it/villaggio/adaaran-club-rannalhi/recensioni</t>
  </si>
  <si>
    <t xml:space="preserve">Schede di Valutazione e Recensioni  - Elenco: Adaaran Club Rannalhi - MondoMaldive</t>
  </si>
  <si>
    <t xml:space="preserve">output/pages/069_adaaran-club-rannalhi/diving__mondomaldive.it__it-villaggio-adaaran-club-rannalhi-recensioni.md</t>
  </si>
  <si>
    <t xml:space="preserve">https://letsgomaldives.com/news/milaidhoo-maldives-elevates-culinary-travel-with-a-chateau-minuty-wine-pairing-dinner/</t>
  </si>
  <si>
    <t xml:space="preserve">Milaidhoo Maldives Elevates Culinary Travel with a Château Minuty Wine Pairing Dinner - Maldives Tour Packages - Lets Go</t>
  </si>
  <si>
    <t xml:space="preserve">output/pages/167_milaidhoo-island-maldives/dining__letsgomaldives.com__news-milaidhoo-maldives-elevates-culinary-travel-with-a-chat.md</t>
  </si>
  <si>
    <t xml:space="preserve">https://letsgomaldives.com/news/celebrate-the-holidays-at-sun-siyam-vilu-reef-ocean-odyssey-festive-2025/</t>
  </si>
  <si>
    <t xml:space="preserve">Celebrate the Holidays at Sun Siyam Vilu Reef: Ocean Odyssey – Festive 2025 - Maldives Tour Packages - Lets Go Maldives </t>
  </si>
  <si>
    <t xml:space="preserve">output/pages/147_sun-siyam-vilu-reef-maldives/wedding__letsgomaldives.com__news-celebrate-the-holidays-at-sun-siyam-vilu-reef-ocean-ody.md</t>
  </si>
  <si>
    <t xml:space="preserve">https://letsgomaldives.com/news/celebrate-a-wholesome-tropical-easter-at-fushifaru-maldives/</t>
  </si>
  <si>
    <t xml:space="preserve">Celebrate a Wholesome, Tropical Easter at Fushifaru Maldives - Maldives Tour Packages - Lets Go Maldives Pvt. Ltd.</t>
  </si>
  <si>
    <t xml:space="preserve">output/pages/057_fushifaru-maldives/wedding__letsgomaldives.com__news-celebrate-a-wholesome-tropical-easter-at-fushifaru-mald.md</t>
  </si>
  <si>
    <t xml:space="preserve">https://mondomaldive.it/it/villaggio/angaga-island-resort/recensione/4603</t>
  </si>
  <si>
    <t xml:space="preserve">Recensione di enrygio in data 05/10/2011 per Angaga Island Resort - MondoMaldive</t>
  </si>
  <si>
    <t xml:space="preserve">output/pages/011_angaga-island-resort-and-spa/diving__mondomaldive.it__it-villaggio-angaga-island-resort-recensione-4603.md</t>
  </si>
  <si>
    <t xml:space="preserve">https://mondomaldive.it/it/villaggio/kudafushi-resort-spa/gallery/maldive-le-foto-di-matteo</t>
  </si>
  <si>
    <t xml:space="preserve">Kudafushi Resort &amp; Spa - Raa - MondoMaldive</t>
  </si>
  <si>
    <t xml:space="preserve">output/pages/139_kudafushi-resort-spa/spa__mondomaldive.it__it-villaggio-kudafushi-resort-spa-gallery-maldive-le-foto-di.md</t>
  </si>
  <si>
    <t xml:space="preserve">https://letsgomaldives.com/news/sun-siyam-olhuveli-unveils-a-high-energy-start-to-the-festive-season-with-charith-n-silva/</t>
  </si>
  <si>
    <t xml:space="preserve">Sun Siyam Olhuveli Unveils a High-Energy Start to the Festive Season with Charith N. Silva - Maldives Tour Packages - Le</t>
  </si>
  <si>
    <t xml:space="preserve">output/pages/050_sun-siyam-olhuveli-maldives/diving__letsgomaldives.com__news-sun-siyam-olhuveli-unveils-a-high-energy-start-to-the-f.md</t>
  </si>
  <si>
    <t xml:space="preserve">https://letsgomaldives.com/news/alila-kothaifaru-maldives-luxury-meets-sustainability/</t>
  </si>
  <si>
    <t xml:space="preserve">Alila Kothaifaru Maldives: Luxury Meets Sustainability - Maldives Tour Packages - Lets Go Maldives Pvt. Ltd.</t>
  </si>
  <si>
    <t xml:space="preserve">output/pages/015_alila-kothaifaru-maldives/diving__letsgomaldives.com__news-alila-kothaifaru-maldives-luxury-meets-sustainability.md</t>
  </si>
  <si>
    <t xml:space="preserve">https://letsgomaldives.com/news/velassaru-moments-revealed/</t>
  </si>
  <si>
    <t xml:space="preserve">Velassaru Moments Revealed - Maldives Tour Packages - Lets Go Maldives Pvt. Ltd.</t>
  </si>
  <si>
    <t xml:space="preserve">output/pages/165_velassaru-maldives/diving__letsgomaldives.com__news-velassaru-moments-revealed.md</t>
  </si>
  <si>
    <t xml:space="preserve">https://mondomaldive.it/it/mappa_villaggio/four-seasons-kuda-huraa</t>
  </si>
  <si>
    <t xml:space="preserve">La mappa di Four Seasons Kuda Huraa - MondoMaldive</t>
  </si>
  <si>
    <t xml:space="preserve">output/pages/056_four-seasons-resort-maldives-at-kuda-huraa/diving__mondomaldive.it__it-mappa-villaggio-four-seasons-kuda-huraa.md</t>
  </si>
  <si>
    <t xml:space="preserve">https://letsgomaldives.com/news/escape-to-paradise-veligandu-island-resort-spa/</t>
  </si>
  <si>
    <t xml:space="preserve">Escape to Paradise: Veligandu Island Resort &amp; Spa - Maldives Tour Packages - Lets Go Maldives Pvt. Ltd.</t>
  </si>
  <si>
    <t xml:space="preserve">output/pages/038_veligandu-maldives-resort-island/spa__letsgomaldives.com__news-escape-to-paradise-veligandu-island-resort-spa.md</t>
  </si>
  <si>
    <t xml:space="preserve">https://letsgomaldives.com/news/the-westin-maldives-miriandhoo-resort-appoints-alberto-burgio-as-executive-chef/</t>
  </si>
  <si>
    <t xml:space="preserve">The Westin Maldives Miriandhoo Resort Appoints Alberto Burgio as Executive Chef - Maldives Tour Packages - Lets Go Maldi</t>
  </si>
  <si>
    <t xml:space="preserve">output/pages/107_the-westin-maldives-miriandhoo-resort/diving__letsgomaldives.com__news-the-westin-maldives-miriandhoo-resort-appoints-alberto-.md</t>
  </si>
  <si>
    <t xml:space="preserve">https://mondomaldive.it/it/villaggio/safari-island-resort/recensione/5444</t>
  </si>
  <si>
    <t xml:space="preserve">Recensione di efenfra in data 10/01/2015 per Safari Island Resort - MondoMaldive</t>
  </si>
  <si>
    <t xml:space="preserve">output/pages/142_safari-island/diving__mondomaldive.it__it-villaggio-safari-island-resort-recensione-5444.md</t>
  </si>
  <si>
    <t xml:space="preserve">https://mondomaldive.it/it/villaggio/makunudu-island/recensione/6494</t>
  </si>
  <si>
    <t xml:space="preserve">Recensione di laura g. in data 18/01/2019 per Makunudu Island - MondoMaldive</t>
  </si>
  <si>
    <t xml:space="preserve">output/pages/152_makunudu-island/diving__mondomaldive.it__it-villaggio-makunudu-island-recensione-6494.md</t>
  </si>
  <si>
    <t xml:space="preserve">https://letsgomaldives.com/news/equator-village-scores-leading-airport-city-hotel-at-the-maldives-travel-awards/</t>
  </si>
  <si>
    <t xml:space="preserve">Equator Village scores "Leading Airport &amp; City Hotel" Award at the Maldives Travel Awards! - Maldives Tour Packages - Le</t>
  </si>
  <si>
    <t xml:space="preserve">output/pages/061_equator-village/diving__letsgomaldives.com__news-equator-village-scores-leading-airport-city-hotel-at-th.md</t>
  </si>
  <si>
    <t xml:space="preserve">https://mondomaldive.it/it/villaggio/thulhagiri-island-resort/recensione/6070</t>
  </si>
  <si>
    <t xml:space="preserve">Recensione di ManuelaeAndrea in data 07/02/2018 per Thulhagiri Island Resort - MondoMaldive</t>
  </si>
  <si>
    <t xml:space="preserve">output/pages/012_thulhagiri-island-resort-spa/diving__mondomaldive.it__it-villaggio-thulhagiri-island-resort-recensione-6070.md</t>
  </si>
  <si>
    <t xml:space="preserve">https://mondomaldive.it/it/villaggio/gangehi-island-resort/recensione/4448</t>
  </si>
  <si>
    <t xml:space="preserve">Recensione di alorac82 in data 16/05/2011 per Gangehi Island Resort - MondoMaldive</t>
  </si>
  <si>
    <t xml:space="preserve">output/pages/114_gangehi-island-resort/diving__mondomaldive.it__it-villaggio-gangehi-island-resort-recensione-4448.md</t>
  </si>
  <si>
    <t xml:space="preserve">https://letsgomaldives.com/offers/anantara-dhigu-offers/</t>
  </si>
  <si>
    <t xml:space="preserve">Anantara Dhigu Offers - Maldives Tour Packages - Lets Go Maldives Pvt. Ltd.</t>
  </si>
  <si>
    <t xml:space="preserve">output/pages/145_anantara-resort-and-spa-maldives/diving__letsgomaldives.com__offers-anantara-dhigu-offers.md</t>
  </si>
  <si>
    <t xml:space="preserve">https://letsgomaldives.com/pt-pt/sem-categoria/este-agosto-el-futbol-se-convierte-en-magia-en-siyam-world-maldives/</t>
  </si>
  <si>
    <t xml:space="preserve">Este agosto, el fútbol se convierte en magia en Siyam World Maldives - Maldives Tour Packages - Lets Go Maldives Pvt. Lt</t>
  </si>
  <si>
    <t xml:space="preserve">output/pages/179_siyam-world-maldives/diving__letsgomaldives.com__pt-pt-sem-categoria-este-agosto-el-futbol-se-convierte-en-ma.md</t>
  </si>
  <si>
    <t xml:space="preserve">https://mondomaldive.it/it/villaggio/vakkaru-maldives/foto_utenti</t>
  </si>
  <si>
    <t xml:space="preserve">Le fotografie di tutti i Villaggi isole Maldive - Elenco: Vakkaru Maldives - MondoMaldive</t>
  </si>
  <si>
    <t xml:space="preserve">output/pages/049_vakkaru-maldives/diving__mondomaldive.it__it-villaggio-vakkaru-maldives-foto-utenti.md</t>
  </si>
  <si>
    <t xml:space="preserve">https://letsgomaldives.com/news/festive-program-for-angsana-ihuru-2014/</t>
  </si>
  <si>
    <t xml:space="preserve">Festive Program for Angsana Ihuru 2014 - Maldives Tour Packages - Lets Go Maldives Pvt. Ltd.</t>
  </si>
  <si>
    <t xml:space="preserve">output/pages/096_dhawa-ihuru/diving__letsgomaldives.com__news-festive-program-for-angsana-ihuru-2014.md</t>
  </si>
  <si>
    <t xml:space="preserve">https://letsgomaldives.com/news/a-sustainable-shift-ellaidhoo-maldives-by-cinnamon-embraces-eco-friendly-mosquito-control/</t>
  </si>
  <si>
    <t xml:space="preserve">A Sustainable Shift: Ellaidhoo Maldives by Cinnamon Embraces Eco-Friendly Mosquito Control - Maldives Tour Packages - Le</t>
  </si>
  <si>
    <t xml:space="preserve">output/pages/161_ellaidhoo-maldives-by-cinnamon/diving__letsgomaldives.com__news-a-sustainable-shift-ellaidhoo-maldives-by-cinnamon-embr.md</t>
  </si>
  <si>
    <t xml:space="preserve">https://mondomaldive.it/it/villaggio/athuruga-diamonds-island-resort/recensione/5357</t>
  </si>
  <si>
    <t xml:space="preserve">Recensione di charder70 in data 19/05/2014 per Athuruga Diamonds - MondoMaldive</t>
  </si>
  <si>
    <t xml:space="preserve">output/pages/178_diamonds-athuruga-beach-water-villas/diving__mondomaldive.it__it-villaggio-athuruga-diamonds-island-resort-recensione-5357.md</t>
  </si>
  <si>
    <t xml:space="preserve">https://mondomaldive.it/it/villaggio/royal-island-resort/recensione/6602</t>
  </si>
  <si>
    <t xml:space="preserve">Recensione di Marianna F. in data 26/08/2019 per Royal Island Resort - MondoMaldive</t>
  </si>
  <si>
    <t xml:space="preserve">output/pages/177_royal-island-resort-and-spa/diving__mondomaldive.it__it-villaggio-royal-island-resort-recensione-6602.md</t>
  </si>
  <si>
    <t xml:space="preserve">https://letsgomaldives.com/news/the-5-best-dining-options-at-ja-manafaru-island/</t>
  </si>
  <si>
    <t xml:space="preserve">The 5 Best Dining Options at Ja Manafaru Island - Maldives Tour Packages - Lets Go Maldives Pvt. Ltd.</t>
  </si>
  <si>
    <t xml:space="preserve">output/pages/068_ja-manafaru/dining__letsgomaldives.com__news-the-5-best-dining-options-at-ja-manafaru-island.md</t>
  </si>
  <si>
    <t xml:space="preserve">https://letsgomaldives.com/news/celebrate-world-oceans-day-at-sirru-fen-fushi-a-freediving-journey-like-no-other/</t>
  </si>
  <si>
    <t xml:space="preserve">CELEBRATE WORLD OCEANS DAY AT SIRRU FEN FUSHI – One Ocean, One Breath  - Maldives Tour Packages - Lets Go Maldives Pvt. </t>
  </si>
  <si>
    <t xml:space="preserve">output/pages/058_sirru-fen-fushi/wedding__letsgomaldives.com__news-celebrate-world-oceans-day-at-sirru-fen-fushi-a-freediv.md</t>
  </si>
  <si>
    <t xml:space="preserve">https://mondomaldive.it/it/villaggio/banyan-tree-vabbinfaru/foto_utenti</t>
  </si>
  <si>
    <t xml:space="preserve">Le fotografie di tutti i Villaggi isole Maldive - Elenco: Banyan Tree Vabbinfaru - MondoMaldive</t>
  </si>
  <si>
    <t xml:space="preserve">output/pages/169_banyan-tree-maldives-vabbinfaru/diving__mondomaldive.it__it-villaggio-banyan-tree-vabbinfaru-foto-utenti.md</t>
  </si>
  <si>
    <t xml:space="preserve">https://mondomaldive.it/it/villaggio/dhiggiri-maldives/recensioni</t>
  </si>
  <si>
    <t xml:space="preserve">Schede di Valutazione e Recensioni  - Elenco: Dhiggiri Maldives - MondoMaldive</t>
  </si>
  <si>
    <t xml:space="preserve">output/pages/042_dhiggiri-tourist-resort/diving__mondomaldive.it__it-villaggio-dhiggiri-maldives-recensioni.md</t>
  </si>
  <si>
    <t xml:space="preserve">https://letsgomaldives.com/offers/angsana-velavaru-offers-2/</t>
  </si>
  <si>
    <t xml:space="preserve">ANGSANA VELAVARU – OFFERS  - Maldives Tour Packages - Lets Go Maldives Pvt. Ltd.</t>
  </si>
  <si>
    <t xml:space="preserve">output/pages/097_angsana-resort-spa-maldives-velavaru/diving__letsgomaldives.com__offers-angsana-velavaru-offers-2.md</t>
  </si>
  <si>
    <t xml:space="preserve">https://mondomaldive.it/it/villaggio/cinnamon-dhonveli-maldives/racconti</t>
  </si>
  <si>
    <t xml:space="preserve">Racconti Villaggi isole Maldive - Elenco: Cinnamon Dhonveli Maldives - MondoMaldive</t>
  </si>
  <si>
    <t xml:space="preserve">output/pages/159_cinnamon-dhonveli-maldives/diving__mondomaldive.it__it-villaggio-cinnamon-dhonveli-maldives-racconti.md</t>
  </si>
  <si>
    <t xml:space="preserve">https://letsgomaldives.com/news/well-fest-at-dusit-thani-maldives/</t>
  </si>
  <si>
    <t xml:space="preserve">Join Well-Fest at Dusit Thani Maldives - Maldives Tour Packages - Lets Go Maldives Pvt. Ltd.</t>
  </si>
  <si>
    <t xml:space="preserve">output/pages/048_dusit-thani-maldives/diving__letsgomaldives.com__news-well-fest-at-dusit-thani-maldives.md</t>
  </si>
  <si>
    <t xml:space="preserve">https://mondomaldive.it/it/villaggio/thudufushi-diamonds-island-resort/recensione/4269</t>
  </si>
  <si>
    <t xml:space="preserve">Recensione di vienna in data 27/02/2011 per Thudufushi Diamonds - MondoMaldive</t>
  </si>
  <si>
    <t xml:space="preserve">output/pages/135_diamonds-thudufushi-beach-and-water-villas/diving__mondomaldive.it__it-villaggio-thudufushi-diamonds-island-resort-recensione-42.md</t>
  </si>
  <si>
    <t xml:space="preserve">https://letsgomaldives.com/news/a-taste-of-italy-in-the-heart-of-the-maldives-chef-igles-corelli-arrives-at-lily-beach/</t>
  </si>
  <si>
    <t xml:space="preserve">A Taste of Italy in the Heart of the Maldives: Chef Igles Corelli Arrives at Lily Beach - Maldives Tour Packages - Lets </t>
  </si>
  <si>
    <t xml:space="preserve">output/pages/091_lily-beach-resort/diving__letsgomaldives.com__news-a-taste-of-italy-in-the-heart-of-the-maldives-chef-igle.md</t>
  </si>
  <si>
    <t xml:space="preserve">https://letsgomaldives.com/news/testing-the-new-stand-up-paddleboards-in-maafushivaru/</t>
  </si>
  <si>
    <t xml:space="preserve">Testing the new stand up paddleboards in Maafushivaru - Maldives Tour Packages - Lets Go Maldives Pvt. Ltd.</t>
  </si>
  <si>
    <t xml:space="preserve">output/pages/119_outrigger-maldives-maafushivaru-resort/diving__letsgomaldives.com__news-testing-the-new-stand-up-paddleboards-in-maafushivaru.md</t>
  </si>
  <si>
    <t xml:space="preserve">https://letsgomaldives.com/news/outrigger-maldives-maafushivaru-resort-pioneering-conservation-through-tourism/</t>
  </si>
  <si>
    <t xml:space="preserve">Outrigger Maldives Maafushivaru Resort: Pioneering Conservation Through Tourism - Maldives Tour Packages - Lets Go Maldi</t>
  </si>
  <si>
    <t xml:space="preserve">output/pages/119_outrigger-maldives-maafushivaru-resort/diving__letsgomaldives.com__news-outrigger-maldives-maafushivaru-resort-pioneering-conse.md</t>
  </si>
  <si>
    <t xml:space="preserve">https://mondomaldive.it/it/villaggio/adaaran-club-rannalhi/recensione/3668</t>
  </si>
  <si>
    <t xml:space="preserve">Recensione di Pol&amp;Barbara in data 14/03/2010 per Adaaran Club Rannalhi - MondoMaldive</t>
  </si>
  <si>
    <t xml:space="preserve">output/pages/069_adaaran-club-rannalhi/dining__mondomaldive.it__it-villaggio-adaaran-club-rannalhi-recensione-3668.md</t>
  </si>
  <si>
    <t xml:space="preserve">https://letsgomaldives.com/news/whats-next-in-august-w-maldives/</t>
  </si>
  <si>
    <t xml:space="preserve">What's Next in August | W Maldives - Maldives Tour Packages - Lets Go Maldives Pvt. Ltd.</t>
  </si>
  <si>
    <t xml:space="preserve">output/pages/102_w-maldives/diving__letsgomaldives.com__news-whats-next-in-august-w-maldives.md</t>
  </si>
  <si>
    <t xml:space="preserve">https://mondomaldive.it/it/villaggio/maayafushi-maldives/recensione/3970</t>
  </si>
  <si>
    <t xml:space="preserve">Recensione di dader7484 in data 06/09/2010 per Maayafushi Maldives - MondoMaldive</t>
  </si>
  <si>
    <t xml:space="preserve">output/pages/093_maayafushi-tourist-resort/diving__mondomaldive.it__it-villaggio-maayafushi-maldives-recensione-3970.md</t>
  </si>
  <si>
    <t xml:space="preserve">https://mondomaldive.it/it/villaggio/the-nautilus-maldives</t>
  </si>
  <si>
    <t xml:space="preserve">The Nautilus Maldives - scheda del Villaggio - MondoMaldive</t>
  </si>
  <si>
    <t xml:space="preserve">output/pages/157_the-nautilus-maldives/diving__mondomaldive.it__it-villaggio-the-nautilus-maldives.md</t>
  </si>
  <si>
    <t xml:space="preserve">https://mondomaldive.it/it/villaggio/vilamendhoo-island-resort/recensione/6155</t>
  </si>
  <si>
    <t xml:space="preserve">Recensione di Gustavo G. in data 23/06/2018 per Vilamendhoo Island Resort - MondoMaldive</t>
  </si>
  <si>
    <t xml:space="preserve">output/pages/174_vilamendhoo-island-resort/diving__mondomaldive.it__it-villaggio-vilamendhoo-island-resort-recensione-6155.md</t>
  </si>
  <si>
    <t xml:space="preserve">https://mondomaldive.it/it/villaggio/vilamendhoo-island-resort/recensione/5978</t>
  </si>
  <si>
    <t xml:space="preserve">Recensione di maria paola in data 22/09/2017 per Vilamendhoo Island Resort - MondoMaldive</t>
  </si>
  <si>
    <t xml:space="preserve">output/pages/174_vilamendhoo-island-resort/diving__mondomaldive.it__it-villaggio-vilamendhoo-island-resort-recensione-5978.md</t>
  </si>
  <si>
    <t xml:space="preserve">https://mondomaldive.it/it/villaggio/gangehi-island-resort/recensione/5827</t>
  </si>
  <si>
    <t xml:space="preserve">Recensione di Attila K. in data 06/01/2017 per Gangehi Island Resort - MondoMaldive</t>
  </si>
  <si>
    <t xml:space="preserve">output/pages/114_gangehi-island-resort/diving__mondomaldive.it__it-villaggio-gangehi-island-resort-recensione-5827.md</t>
  </si>
  <si>
    <t xml:space="preserve">https://letsgomaldives.com/news/exclusive-new-retreat-velaa-private-island-opens-today-in-the-maldives/</t>
  </si>
  <si>
    <t xml:space="preserve">Exclusive New Retreat Velaa Private Island Opens in the Maldives - Maldives Tour Packages - Lets Go Maldives Pvt. Ltd.</t>
  </si>
  <si>
    <t xml:space="preserve">output/pages/171_velaa-private-island-maldives/dining__letsgomaldives.com__news-exclusive-new-retreat-velaa-private-island-opens-today-.md</t>
  </si>
  <si>
    <t xml:space="preserve">https://letsgomaldives.com/news/ifuru-island-maldives-strengthens-global-commercial-team-with-two-strategic-promotions/</t>
  </si>
  <si>
    <t xml:space="preserve">Ifuru Island Maldives Strengthens Global Commercial Team With Two Strategic Promotions - Maldives Tour Packages - Lets G</t>
  </si>
  <si>
    <t xml:space="preserve">output/pages/082_ifuru-island-maldives/diving__letsgomaldives.com__news-ifuru-island-maldives-strengthens-global-commercial-tea.md</t>
  </si>
  <si>
    <t xml:space="preserve">https://mondomaldive.it/it/villaggio/gangehi-island-resort/recensione/3563</t>
  </si>
  <si>
    <t xml:space="preserve">Recensione di Maxlivorno in data 16/02/2010 per Gangehi Island Resort - MondoMaldive</t>
  </si>
  <si>
    <t xml:space="preserve">output/pages/114_gangehi-island-resort/diving__mondomaldive.it__it-villaggio-gangehi-island-resort-recensione-3563.md</t>
  </si>
  <si>
    <t xml:space="preserve">https://mondomaldive.it/it/villaggio/angsana-velavaru/recensione/4279</t>
  </si>
  <si>
    <t xml:space="preserve">Recensione di edcanelles in data 01/03/2011 per Angsana Velavaru - MondoMaldive</t>
  </si>
  <si>
    <t xml:space="preserve">output/pages/097_angsana-resort-spa-maldives-velavaru/diving__mondomaldive.it__it-villaggio-angsana-velavaru-recensione-4279.md</t>
  </si>
  <si>
    <t xml:space="preserve">https://letsgomaldives.com/news/become-instagram-famous-with-ayada-maldives/</t>
  </si>
  <si>
    <t xml:space="preserve">Ayada Maldives - Maldives Ayada Resort - Maldives Tour Packages - Lets Go Maldives Pvt. Ltd.</t>
  </si>
  <si>
    <t xml:space="preserve">output/pages/004_ayada-maldives/diving__letsgomaldives.com__news-become-instagram-famous-with-ayada-maldives.md</t>
  </si>
  <si>
    <t xml:space="preserve">https://hummingbird.travel/property/huvafen-fushi</t>
  </si>
  <si>
    <t xml:space="preserve">Huvafen Fushi - Hummingbird Travel</t>
  </si>
  <si>
    <t xml:space="preserve">output/pages/111_huvafenfushi-maldives/other__hummingbird.travel__property-huvafen-fushi.md</t>
  </si>
  <si>
    <t xml:space="preserve">https://letsgomaldives.com/news/celebrate-summer-with-connection-creativity-and-adventure-at-jumeirah-olhahali-island/</t>
  </si>
  <si>
    <t xml:space="preserve">Celebrate Summer with Connection, Creativity, and Adventure at Jumeirah Olhahali Island - Maldives Tour Packages - Lets </t>
  </si>
  <si>
    <t xml:space="preserve">output/pages/059_jumeirah-maldives-olhahali-island/wedding__letsgomaldives.com__news-celebrate-summer-with-connection-creativity-and-adventu.md</t>
  </si>
  <si>
    <t xml:space="preserve">https://letsgomaldives.com/news/baros-maldives-hosts-exclusive-duval-leroy-champagne-pairing-dinner-at-the-lighthouse/</t>
  </si>
  <si>
    <t xml:space="preserve">Baros Maldives Hosts Exclusive Duval-Leroy Champagne Pairing Dinner at The Lighthouse - Maldives Tour Packages - Lets Go</t>
  </si>
  <si>
    <t xml:space="preserve">output/pages/164_baros-maldives/dining__letsgomaldives.com__news-baros-maldives-hosts-exclusive-duval-leroy-champagne-pa.md</t>
  </si>
  <si>
    <t xml:space="preserve">https://letsgomaldives.com/news/this-summer-rediscover-the-art-of-doing-nothing-at-oaga-art-resort/</t>
  </si>
  <si>
    <t xml:space="preserve">This Summer, Rediscover the Art of Doing Nothing at Oaga Art Resort - Maldives Tour Packages - Lets Go Maldives Pvt. Ltd</t>
  </si>
  <si>
    <t xml:space="preserve">output/pages/127_oaga-art-resort/diving__letsgomaldives.com__news-this-summer-rediscover-the-art-of-doing-nothing-at-oaga.md</t>
  </si>
  <si>
    <t xml:space="preserve">https://letsgomaldives.com/news/a-festive-escape-at-sheraton-maldives-full-moon-resort-spa/</t>
  </si>
  <si>
    <t xml:space="preserve">A Festive Escape at Sheraton Maldives Full Moon Resort &amp; Spa - Maldives Tour Packages - Lets Go Maldives Pvt. Ltd.</t>
  </si>
  <si>
    <t xml:space="preserve">output/pages/103_sheraton-maldives-full-moon-resort-spa/spa__letsgomaldives.com__news-a-festive-escape-at-sheraton-maldives-full-moon-resort-.md</t>
  </si>
  <si>
    <t xml:space="preserve">https://hummingbird.travel/property/milaidhoo-maldives</t>
  </si>
  <si>
    <t xml:space="preserve">Milaidhoo Maldives - Hummingbird Travel</t>
  </si>
  <si>
    <t xml:space="preserve">output/pages/167_milaidhoo-island-maldives/diving__hummingbird.travel__property-milaidhoo-maldives.md</t>
  </si>
  <si>
    <t xml:space="preserve">https://mondomaldive.it/it/villaggio/fihalhohi-island-resort/recensione/6319</t>
  </si>
  <si>
    <t xml:space="preserve">Recensione di Andrea P. in data 20/02/2019 per Fihalhohi Maldives - MondoMaldive</t>
  </si>
  <si>
    <t xml:space="preserve">output/pages/055_fihaalhohi-maldives/diving__mondomaldive.it__it-villaggio-fihalhohi-island-resort-recensione-6319.md</t>
  </si>
  <si>
    <t xml:space="preserve">https://mondomaldive.it/it/villaggio/maayafushi-maldives/recensione/5606</t>
  </si>
  <si>
    <t xml:space="preserve">Recensione di sarah G. in data 27/11/2015 per Maayafushi Maldives - MondoMaldive</t>
  </si>
  <si>
    <t xml:space="preserve">output/pages/093_maayafushi-tourist-resort/diving__mondomaldive.it__it-villaggio-maayafushi-maldives-recensione-5606.md</t>
  </si>
  <si>
    <t xml:space="preserve">https://letsgomaldives.com/news/michelin-starred-chef-glynn-purnell-joins-the-st-regis-maldives-tastemaker-series/</t>
  </si>
  <si>
    <t xml:space="preserve">Michelin-Starred Chef Glynn Purnell Joins the St. Regis Maldives Tastemaker Series - Maldives Tour Packages - Lets Go Ma</t>
  </si>
  <si>
    <t xml:space="preserve">output/pages/134_the-st-regis-vommuli-resort-maldives/diving__letsgomaldives.com__news-michelin-starred-chef-glynn-purnell-joins-the-st-regis-.md</t>
  </si>
  <si>
    <t xml:space="preserve">https://mondomaldive.it/it/fotografie_villaggio/adaaran-club-rannalhi</t>
  </si>
  <si>
    <t xml:space="preserve">Adaaran Club Rannalhi atollo di  Male Sud - MondoMaldive</t>
  </si>
  <si>
    <t xml:space="preserve">output/pages/069_adaaran-club-rannalhi/diving__mondomaldive.it__it-fotografie-villaggio-adaaran-club-rannalhi.md</t>
  </si>
  <si>
    <t xml:space="preserve">https://letsgomaldives.com/news/a-fresh-take-on-island-luxury-the-new-era-of-cinnamon-hakuraa-huraa-maldives/</t>
  </si>
  <si>
    <t xml:space="preserve">A Fresh Take on Island Luxury: The New Era of Cinnamon Hakuraa Huraa Maldives - Maldives Tour Packages - Lets Go Maldive</t>
  </si>
  <si>
    <t xml:space="preserve">output/pages/053_cinnamon-hakuraa-huraa-maldives/diving__letsgomaldives.com__news-a-fresh-take-on-island-luxury-the-new-era-of-cinnamon-h.md</t>
  </si>
  <si>
    <t xml:space="preserve">https://hummingbird.travel/property/baros-maldives</t>
  </si>
  <si>
    <t xml:space="preserve">Baros Maldives - Hummingbird Travel</t>
  </si>
  <si>
    <t xml:space="preserve">output/pages/164_baros-maldives/dining__hummingbird.travel__property-baros-maldives.md</t>
  </si>
  <si>
    <t xml:space="preserve">https://mondomaldive.it/it/villaggio/gangehi-island-resort/recensione/5623</t>
  </si>
  <si>
    <t xml:space="preserve">Recensione di patrizia B. in data 01/01/2016 per Gangehi Island Resort - MondoMaldive</t>
  </si>
  <si>
    <t xml:space="preserve">output/pages/114_gangehi-island-resort/diving__mondomaldive.it__it-villaggio-gangehi-island-resort-recensione-5623.md</t>
  </si>
  <si>
    <t xml:space="preserve">https://mondomaldive.it/it/villaggio/safari-island-resort/recensione/6516</t>
  </si>
  <si>
    <t xml:space="preserve">Recensione di Andrea B. in data 13/08/2019 per Safari Island Resort - MondoMaldive</t>
  </si>
  <si>
    <t xml:space="preserve">output/pages/142_safari-island/diving__mondomaldive.it__it-villaggio-safari-island-resort-recensione-6516.md</t>
  </si>
  <si>
    <t xml:space="preserve">https://mondomaldive.it/it/villaggio/vilamendhoo-island-resort/recensione/5999</t>
  </si>
  <si>
    <t xml:space="preserve">Recensione di Mario B. in data 17/12/2017 per Vilamendhoo Island Resort - MondoMaldive</t>
  </si>
  <si>
    <t xml:space="preserve">output/pages/174_vilamendhoo-island-resort/diving__mondomaldive.it__it-villaggio-vilamendhoo-island-resort-recensione-5999.md</t>
  </si>
  <si>
    <t xml:space="preserve">https://letsgomaldives.com/news/celebrate-easter-in-paradise-at-sun-siyam-iru-fushi/</t>
  </si>
  <si>
    <t xml:space="preserve">Celebrate Easter in Paradise at Sun Siyam Iru Fushi - Maldives Tour Packages - Lets Go Maldives Pvt. Ltd.</t>
  </si>
  <si>
    <t xml:space="preserve">output/pages/148_sun-siyam-iru-fushi-maldives/wedding__letsgomaldives.com__news-celebrate-easter-in-paradise-at-sun-siyam-iru-fushi.md</t>
  </si>
  <si>
    <t xml:space="preserve">https://mondomaldive.it/it/villaggio/filitheyo-island-resort/recensione/6784</t>
  </si>
  <si>
    <t xml:space="preserve">Recensione di VITTORIO C. in data 03/03/2020 per Filitheyo Island Resort - MondoMaldive</t>
  </si>
  <si>
    <t xml:space="preserve">output/pages/002_filitheyo-island-resort/diving__mondomaldive.it__it-villaggio-filitheyo-island-resort-recensione-6784.md</t>
  </si>
  <si>
    <t xml:space="preserve">https://letsgomaldives.com/news/discover-obsidian-skincare-for-men-at-kuramathi-spa/</t>
  </si>
  <si>
    <t xml:space="preserve">Discover Obsidian: Skincare for Men at Kuramathi Spa - Maldives Tour Packages - Lets Go Maldives Pvt. Ltd.</t>
  </si>
  <si>
    <t xml:space="preserve">output/pages/166_kuramathi-maldives/spa__letsgomaldives.com__news-discover-obsidian-skincare-for-men-at-kuramathi-spa.md</t>
  </si>
  <si>
    <t xml:space="preserve">https://mondomaldive.it/it/villaggio/maayafushi-maldives/racconto/la-storia-di-gio</t>
  </si>
  <si>
    <t xml:space="preserve">La storia di gio  - isole Maldive - MondoMaldive</t>
  </si>
  <si>
    <t xml:space="preserve">output/pages/093_maayafushi-tourist-resort/diving__mondomaldive.it__it-villaggio-maayafushi-maldives-racconto-la-storia-di-gio.md</t>
  </si>
  <si>
    <t xml:space="preserve">https://letsgomaldives.com/news/easter-island-moments-at-ayada-maldives-a-relaxed-seasonal-escape-for-families-and-couples/</t>
  </si>
  <si>
    <t xml:space="preserve">Easter Island Moments at Ayada Maldives: A Relaxed Seasonal Escape for Families and Couples - Maldives Tour Packages - L</t>
  </si>
  <si>
    <t xml:space="preserve">output/pages/004_ayada-maldives/diving__letsgomaldives.com__news-easter-island-moments-at-ayada-maldives-a-relaxed-seaso.md</t>
  </si>
  <si>
    <t xml:space="preserve">https://hummingbird.travel/property/velassaru-maldives</t>
  </si>
  <si>
    <t xml:space="preserve">Niva Velassaru Maldives - Hummingbird Travel</t>
  </si>
  <si>
    <t xml:space="preserve">output/pages/165_velassaru-maldives/diving__hummingbird.travel__property-velassaru-maldives.md</t>
  </si>
  <si>
    <t xml:space="preserve">https://letsgomaldives.com/news/unveil-festive-traditions-and-magical-moments-at-finolhu-baa-atoll-maldives/</t>
  </si>
  <si>
    <t xml:space="preserve">Unveil Festive Traditions and Magical Moments at Finolhu Baa Atoll Maldives - Maldives Tour Packages - Lets Go Maldives </t>
  </si>
  <si>
    <t xml:space="preserve">output/pages/136_finolhu-baa-atoll-maldives/diving__letsgomaldives.com__news-unveil-festive-traditions-and-magical-moments-at-finolh.md</t>
  </si>
  <si>
    <t xml:space="preserve">https://mondomaldive.it/it/villaggio/royal-island-resort/recensione/3639</t>
  </si>
  <si>
    <t xml:space="preserve">Recensione di laurasgio in data 20/02/2010 per Royal Island Resort - MondoMaldive</t>
  </si>
  <si>
    <t xml:space="preserve">output/pages/177_royal-island-resort-and-spa/diving__mondomaldive.it__it-villaggio-royal-island-resort-recensione-3639.md</t>
  </si>
  <si>
    <t xml:space="preserve">https://mondomaldive.it/it/villaggio/angaga-island-resort/recensione/6173</t>
  </si>
  <si>
    <t xml:space="preserve">Recensione di Francesca C. in data 15/08/2018 per Angaga Island Resort - MondoMaldive</t>
  </si>
  <si>
    <t xml:space="preserve">output/pages/011_angaga-island-resort-and-spa/diving__mondomaldive.it__it-villaggio-angaga-island-resort-recensione-6173.md</t>
  </si>
  <si>
    <t xml:space="preserve">https://letsgomaldives.com/news/re-vibe-collective-wellness-experience-lti-maafushivaru-maldives/</t>
  </si>
  <si>
    <t xml:space="preserve">Re-Vibe Collective - wellness experience @ Lti Maafushivaru Maldives - Maldives Tour Packages - Lets Go Maldives Pvt. Lt</t>
  </si>
  <si>
    <t xml:space="preserve">output/pages/119_outrigger-maldives-maafushivaru-resort/spa__letsgomaldives.com__news-re-vibe-collective-wellness-experience-lti-maafushivaru.md</t>
  </si>
  <si>
    <t xml:space="preserve">https://letsgomaldives.com/ru/%d0%bd%d0%be%d0%b2%d0%be%d1%81%d1%82%d0%b8/kandooma-maldives-%d0%bb%d1%83%d1%87%d1%88%d0%b8%d0%b9-%d0%b4%d0%b0%d0%b9%d0%b2-%d0%ba%d1%83%d1%80%d0%be%d1%80%d1%82-%d0%bc%d0%b0%d0%bb%d1%8c%d0%b4%d0%b8%d0%b2-%d0%b2-2025-%d0%b3%d0%be%d0%b4%d1%83/</t>
  </si>
  <si>
    <t xml:space="preserve">Kandooma Maldives - лучший дайв-курорт Мальдив в 2025 году - Maldives Tour Packages - Lets Go Maldives Pvt. Ltd.</t>
  </si>
  <si>
    <t xml:space="preserve">output/pages/088_holiday-inn-resort-kandooma-maldives/diving__letsgomaldives.com__ru-d0-bd-d0-be-d0-b2-d0-be-d1-81-d1-82-d0-b8-kandooma-maldiv.md</t>
  </si>
  <si>
    <t xml:space="preserve">https://letsgomaldives.com/news/a-new-chapter-of-experiences-at-the-st-regis-maldives-vommuli-resort/</t>
  </si>
  <si>
    <t xml:space="preserve">A New Chapter of Experiences at The St. Regis Maldives Vommuli Resort - Maldives Tour Packages - Lets Go Maldives Pvt. L</t>
  </si>
  <si>
    <t xml:space="preserve">output/pages/134_the-st-regis-vommuli-resort-maldives/diving__letsgomaldives.com__news-a-new-chapter-of-experiences-at-the-st-regis-maldives-v.md</t>
  </si>
  <si>
    <t xml:space="preserve">https://mondomaldive.it/it/villaggio/maayafushi-maldives/recensione/5809</t>
  </si>
  <si>
    <t xml:space="preserve">Recensione di Giulia C. in data 24/12/2016 per Maayafushi Maldives - MondoMaldive</t>
  </si>
  <si>
    <t xml:space="preserve">output/pages/093_maayafushi-tourist-resort/diving__mondomaldive.it__it-villaggio-maayafushi-maldives-recensione-5809.md</t>
  </si>
  <si>
    <t xml:space="preserve">https://letsgomaldives.com/news/noku-maldives-joins-ihgs-vignette-collection-a-new-era-of-luxury-in-noonu-atoll/</t>
  </si>
  <si>
    <t xml:space="preserve">Noku Maldives Joins IHG’s Vignette Collection: A New Era of Luxury in Noonu Atoll - Maldives Tour Packages - Lets Go Mal</t>
  </si>
  <si>
    <t xml:space="preserve">output/pages/132_noku-maldives/diving__letsgomaldives.com__news-noku-maldives-joins-ihgs-vignette-collection-a-new-era-.md</t>
  </si>
  <si>
    <t xml:space="preserve">https://mondomaldive.it/it/villaggio/adaaran-club-rannalhi/recensione/4283</t>
  </si>
  <si>
    <t xml:space="preserve">Recensione di morenito in data 02/01/2011 per Adaaran Club Rannalhi - MondoMaldive</t>
  </si>
  <si>
    <t xml:space="preserve">output/pages/069_adaaran-club-rannalhi/diving__mondomaldive.it__it-villaggio-adaaran-club-rannalhi-recensione-4283.md</t>
  </si>
  <si>
    <t xml:space="preserve">https://mondomaldive.it/it/villaggio/atmosphere-kanifushi-maldives/recensione/5485</t>
  </si>
  <si>
    <t xml:space="preserve">Recensione di Claudio N. in data 01/03/2015 per Atmosphere Kanifushi - MondoMaldive</t>
  </si>
  <si>
    <t xml:space="preserve">output/pages/077_atmosphere-kanifushi-maldives/diving__mondomaldive.it__it-villaggio-atmosphere-kanifushi-maldives-recensione-5485.md</t>
  </si>
  <si>
    <t xml:space="preserve">https://mondomaldive.it/it/villaggio/grand-park-kodhipparu</t>
  </si>
  <si>
    <t xml:space="preserve">Grand Park Kodhipparu - scheda del Villaggio - MondoMaldive</t>
  </si>
  <si>
    <t xml:space="preserve">output/pages/027_grand-park-kodhipparu-maldives/diving__mondomaldive.it__it-villaggio-grand-park-kodhipparu.md</t>
  </si>
  <si>
    <t xml:space="preserve">https://letsgomaldives.com/news/so-maldives-presents-savour-the-unexpected-a-four-day-fusion-culinary-showcase-with-chef-kareem-atef/</t>
  </si>
  <si>
    <t xml:space="preserve">SO/ Maldives Presents “Savour the Unexpected” - A Four-Day Fusion Culinary Showcase with Chef Kareem Atef - Maldives Tou</t>
  </si>
  <si>
    <t xml:space="preserve">output/pages/046_so-maldives/dining__letsgomaldives.com__news-so-maldives-presents-savour-the-unexpected-a-four-day-f.md</t>
  </si>
  <si>
    <t xml:space="preserve">https://hummingbird.travel/bespoke-journeys/indian-ocean/perfect-pairing-gili-lankanfushi-raffles-maldives</t>
  </si>
  <si>
    <t xml:space="preserve">Perfect Pairing: Gili Lankanfushi &amp; The Halcyon Private Isles Maldives</t>
  </si>
  <si>
    <t xml:space="preserve">output/pages/125_gili-lankanfushi/diving__hummingbird.travel__bespoke-journeys-indian-ocean-perfect-pairing-gili-lankanfus.md</t>
  </si>
  <si>
    <t xml:space="preserve">https://mondomaldive.it/it/villaggio/thudufushi-diamonds-island-resort/recensione/4596</t>
  </si>
  <si>
    <t xml:space="preserve">Recensione di npetretto in data 03/10/2011 per Thudufushi Diamonds - MondoMaldive</t>
  </si>
  <si>
    <t xml:space="preserve">output/pages/135_diamonds-thudufushi-beach-and-water-villas/diving__mondomaldive.it__it-villaggio-thudufushi-diamonds-island-resort-recensione-45.md</t>
  </si>
  <si>
    <t xml:space="preserve">https://letsgomaldives.com/news/cocoon-maldives-resort/</t>
  </si>
  <si>
    <t xml:space="preserve">Garden of Eden in Cocoon Maldives - Maldives Tour Packages - Lets Go Maldives Pvt. Ltd.</t>
  </si>
  <si>
    <t xml:space="preserve">output/pages/032_cocoon-maldives/diving__letsgomaldives.com__news-cocoon-maldives-resort.md</t>
  </si>
  <si>
    <t xml:space="preserve">https://letsgomaldives.com/news/celebrate-the-festive-season-at-coco-bodu-hithi/</t>
  </si>
  <si>
    <t xml:space="preserve">Celebrate the Festive Season at Coco Bodu Hithi - Maldives Tour Packages - Lets Go Maldives Pvt. Ltd.</t>
  </si>
  <si>
    <t xml:space="preserve">output/pages/150_coco-bodu-hithi/wedding__letsgomaldives.com__news-celebrate-the-festive-season-at-coco-bodu-hithi.md</t>
  </si>
  <si>
    <t xml:space="preserve">https://letsgomaldives.com/news/the-ritz-carlton-maldives-fari-islands-immerse-yourself-in-the-spirit-of-water-this-festive-season/</t>
  </si>
  <si>
    <t xml:space="preserve">The Ritz-Carlton Maldives, Fari Islands: Immerse Yourself in the Spirit of Water This Festive Season - Maldives Tour Pac</t>
  </si>
  <si>
    <t xml:space="preserve">output/pages/037_the-ritz-carlton-maldives-fari-islands/diving__letsgomaldives.com__news-the-ritz-carlton-maldives-fari-islands-immerse-yourself.md</t>
  </si>
  <si>
    <t xml:space="preserve">https://mondomaldive.it/it/villaggio/adaaran-club-rannalhi/recensione/5877</t>
  </si>
  <si>
    <t xml:space="preserve">Recensione di Roberto M. in data 01/03/2017 per Adaaran Club Rannalhi - MondoMaldive</t>
  </si>
  <si>
    <t xml:space="preserve">output/pages/069_adaaran-club-rannalhi/diving__mondomaldive.it__it-villaggio-adaaran-club-rannalhi-recensione-5877.md</t>
  </si>
  <si>
    <t xml:space="preserve">https://mondomaldive.it/it/villaggio/maayafushi-maldives/recensione/5351</t>
  </si>
  <si>
    <t xml:space="preserve">Recensione di brega30 in data 04/04/2014 per Maayafushi Maldives - MondoMaldive</t>
  </si>
  <si>
    <t xml:space="preserve">output/pages/093_maayafushi-tourist-resort/diving__mondomaldive.it__it-villaggio-maayafushi-maldives-recensione-5351.md</t>
  </si>
  <si>
    <t xml:space="preserve">https://letsgomaldives.com/news/celebrate-a-whimsical-easter-at-sun-siyam-iru-veli/</t>
  </si>
  <si>
    <t xml:space="preserve">Celebrate a Whimsical Easter at Sun Siyam Iru Veli - Maldives Tour Packages - Lets Go Maldives Pvt. Ltd.</t>
  </si>
  <si>
    <t xml:space="preserve">output/pages/118_sun-siyam-iru-veli-maldives/wedding__letsgomaldives.com__news-celebrate-a-whimsical-easter-at-sun-siyam-iru-veli.md</t>
  </si>
  <si>
    <t xml:space="preserve">https://mondomaldive.it/it/villaggio/maayafushi-maldives/recensione/5020</t>
  </si>
  <si>
    <t xml:space="preserve">Recensione di Iron64 in data 25/01/2013 per Maayafushi Maldives - MondoMaldive</t>
  </si>
  <si>
    <t xml:space="preserve">output/pages/093_maayafushi-tourist-resort/diving__mondomaldive.it__it-villaggio-maayafushi-maldives-recensione-5020.md</t>
  </si>
  <si>
    <t xml:space="preserve">https://mondomaldive.it/it/villaggio/kudafushi-resort-spa/recensione/6107</t>
  </si>
  <si>
    <t xml:space="preserve">Recensione di spfrs in data 15/03/2018 per Kudafushi Resort - MondoMaldive</t>
  </si>
  <si>
    <t xml:space="preserve">output/pages/139_kudafushi-resort-spa/spa__mondomaldive.it__it-villaggio-kudafushi-resort-spa-recensione-6107.md</t>
  </si>
  <si>
    <t xml:space="preserve">https://letsgomaldives.com/news/festive-family-offer-grand-park-kodhipparu-maldives/</t>
  </si>
  <si>
    <t xml:space="preserve">Festive Family Offer | Grand Park Kodhipparu Maldives - Maldives Tour Packages - Lets Go Maldives Pvt. Ltd.</t>
  </si>
  <si>
    <t xml:space="preserve">output/pages/027_grand-park-kodhipparu-maldives/diving__letsgomaldives.com__news-festive-family-offer-grand-park-kodhipparu-maldives.md</t>
  </si>
  <si>
    <t xml:space="preserve">https://letsgomaldives.com/news/women-who-shape-maldivian-hospitality-inside-she-is-hospitality-at-sun-siyam-iru-fushi/</t>
  </si>
  <si>
    <t xml:space="preserve">Women Who Shape Maldivian Hospitality: Inside “She Is Hospitality” at Sun Siyam Iru Fushi - Maldives Tour Packages - Let</t>
  </si>
  <si>
    <t xml:space="preserve">output/pages/148_sun-siyam-iru-fushi-maldives/diving__letsgomaldives.com__news-women-who-shape-maldivian-hospitality-inside-she-is-hos.md</t>
  </si>
  <si>
    <t xml:space="preserve">https://mondomaldive.it/it/villaggio/athuruga-diamonds-island-resort/gallery/il-paradiso</t>
  </si>
  <si>
    <t xml:space="preserve">Athuruga Diamonds Island Resort - Ari Sud - MondoMaldive</t>
  </si>
  <si>
    <t xml:space="preserve">output/pages/178_diamonds-athuruga-beach-water-villas/diving__mondomaldive.it__it-villaggio-athuruga-diamonds-island-resort-gallery-il-para.md</t>
  </si>
  <si>
    <t xml:space="preserve">https://letsgomaldives.com/news/call-of-the-sangu-at-dusit-thani-maldives/</t>
  </si>
  <si>
    <t xml:space="preserve">“Call of the Sangu” at Dusit Thani Maldives - Maldives Tour Packages - Lets Go Maldives Pvt. Ltd.</t>
  </si>
  <si>
    <t xml:space="preserve">output/pages/048_dusit-thani-maldives/diving__letsgomaldives.com__news-call-of-the-sangu-at-dusit-thani-maldives.md</t>
  </si>
  <si>
    <t xml:space="preserve">https://mondomaldive.it/it/villaggio/maayafushi-maldives/gallery/maldive-le-foto-di-rmaurizio</t>
  </si>
  <si>
    <t xml:space="preserve">Maayafushi Maldives - Ari Nord - MondoMaldive</t>
  </si>
  <si>
    <t xml:space="preserve">output/pages/093_maayafushi-tourist-resort/diving__mondomaldive.it__it-villaggio-maayafushi-maldives-gallery-maldive-le-foto-di-.md</t>
  </si>
  <si>
    <t xml:space="preserve">https://unihotel.org/como-cocoa-island</t>
  </si>
  <si>
    <t xml:space="preserve">Como Cocoa Island</t>
  </si>
  <si>
    <t xml:space="preserve">output/pages/121_cocoa-island/overview__unihotel.org__como-cocoa-island.md</t>
  </si>
  <si>
    <t xml:space="preserve">https://mondomaldive.it/it/villaggio/sun-siyam-iru-fushi-maldives/racconto/finalmente-iru-fushi-ecco-come-davvero</t>
  </si>
  <si>
    <t xml:space="preserve">Finalmente Iru Fushi... ecco com'è davvero !  - isole Maldive - MondoMaldive</t>
  </si>
  <si>
    <t xml:space="preserve">output/pages/148_sun-siyam-iru-fushi-maldives/diving__mondomaldive.it__it-villaggio-sun-siyam-iru-fushi-maldives-racconto-finalment.md</t>
  </si>
  <si>
    <t xml:space="preserve">https://mondomaldive.it/it/villaggio/vilamendhoo-island-resort/recensione/3621</t>
  </si>
  <si>
    <t xml:space="preserve">Recensione di stefbald in data 12/03/2010 per Vilamendhoo Island Resort - MondoMaldive</t>
  </si>
  <si>
    <t xml:space="preserve">output/pages/174_vilamendhoo-island-resort/diving__mondomaldive.it__it-villaggio-vilamendhoo-island-resort-recensione-3621.md</t>
  </si>
  <si>
    <t xml:space="preserve">https://mondomaldive.it/it/villaggio/maayafushi-maldives/recensione/5554</t>
  </si>
  <si>
    <t xml:space="preserve">Recensione di Marco Mattera in data 24/05/2015 per Maayafushi Maldives - MondoMaldive</t>
  </si>
  <si>
    <t xml:space="preserve">output/pages/093_maayafushi-tourist-resort/diving__mondomaldive.it__it-villaggio-maayafushi-maldives-recensione-5554.md</t>
  </si>
  <si>
    <t xml:space="preserve">https://letsgomaldives.com/news/eid-al-adha-crossroads/</t>
  </si>
  <si>
    <t xml:space="preserve">Eid al-Adha celebration in Crossroads Maldives - Maldives Tour Packages - Lets Go Maldives Pvt. Ltd.</t>
  </si>
  <si>
    <t xml:space="preserve">output/pages/162_the-marina-at-crossroads-maldives/wedding__letsgomaldives.com__news-eid-al-adha-crossroads.md</t>
  </si>
  <si>
    <t xml:space="preserve">https://mondomaldive.it/it/villaggio/vilamendhoo-island-resort/recensione/6149</t>
  </si>
  <si>
    <t xml:space="preserve">Recensione di anna B. in data 17/06/2018 per Vilamendhoo Island Resort - MondoMaldive</t>
  </si>
  <si>
    <t xml:space="preserve">output/pages/174_vilamendhoo-island-resort/diving__mondomaldive.it__it-villaggio-vilamendhoo-island-resort-recensione-6149.md</t>
  </si>
  <si>
    <t xml:space="preserve">https://letsgomaldives.com/news/trash-the-dress-in-kandima-maldives/</t>
  </si>
  <si>
    <t xml:space="preserve">Trash the dress in Kandima Maldives - Maldives Tour Packages - Lets Go Maldives Pvt. Ltd.</t>
  </si>
  <si>
    <t xml:space="preserve">output/pages/075_kandima-maldives/diving__letsgomaldives.com__news-trash-the-dress-in-kandima-maldives.md</t>
  </si>
  <si>
    <t xml:space="preserve">https://letsgomaldives.com/news/discover-wellness-your-way-at-ja-manafaru/</t>
  </si>
  <si>
    <t xml:space="preserve">Discover Wellness Your Way at JA Manafaru - Maldives Tour Packages - Lets Go Maldives Pvt. Ltd.</t>
  </si>
  <si>
    <t xml:space="preserve">output/pages/068_ja-manafaru/spa__letsgomaldives.com__news-discover-wellness-your-way-at-ja-manafaru.md</t>
  </si>
  <si>
    <t xml:space="preserve">https://letsgomaldives.com/news/jw-marriott-maldives-resort-spa-elevates-nowruz-with-a-curated-spring-festival-series/</t>
  </si>
  <si>
    <t xml:space="preserve">JW Marriott Maldives Resort &amp; Spa Elevates Nowruz with a Curated Spring Festival Series - Maldives Tour Packages - Lets </t>
  </si>
  <si>
    <t xml:space="preserve">output/pages/018_jw-marriott-maldives-resort-spa/spa__letsgomaldives.com__news-jw-marriott-maldives-resort-spa-elevates-nowruz-with-a-.md</t>
  </si>
  <si>
    <t xml:space="preserve">https://unihotel.org/kempinski-barbaros-bay-bodrum</t>
  </si>
  <si>
    <t xml:space="preserve">Kempinski Hotel Barbaros Bay Bodrum</t>
  </si>
  <si>
    <t xml:space="preserve">output/pages/164_baros-maldives/dining__unihotel.org__kempinski-barbaros-bay-bodrum.md</t>
  </si>
  <si>
    <t xml:space="preserve">https://mondomaldive.it/it/mappa_villaggio/w-maldives</t>
  </si>
  <si>
    <t xml:space="preserve">La mappa di W Maldives - MondoMaldive</t>
  </si>
  <si>
    <t xml:space="preserve">output/pages/102_w-maldives/diving__mondomaldive.it__it-mappa-villaggio-w-maldives.md</t>
  </si>
  <si>
    <t xml:space="preserve">https://mondomaldive.it/it/fotografie_villaggio/the-st-regis-maldives-vommuli-resort</t>
  </si>
  <si>
    <t xml:space="preserve">The St. Regis Maldives Vommuli Resort atollo di  Dhaalu - MondoMaldive</t>
  </si>
  <si>
    <t xml:space="preserve">output/pages/134_the-st-regis-vommuli-resort-maldives/diving__mondomaldive.it__it-fotografie-villaggio-the-st-regis-maldives-vommuli-resort.md</t>
  </si>
  <si>
    <t xml:space="preserve">https://letsgomaldives.com/news/nicole-scherzinger-live-at-oneonly-reethi-rah-the-ultimate-maldives-new-years-eve-2025/</t>
  </si>
  <si>
    <t xml:space="preserve">Nicole Scherzinger Live at One&amp;Only Reethi Rah: The Ultimate Maldives New Year’s Eve 2025 - Maldives Tour Packages - Let</t>
  </si>
  <si>
    <t xml:space="preserve">output/pages/128_one-only-reethi-rah-maldives/diving__letsgomaldives.com__news-nicole-scherzinger-live-at-oneonly-reethi-rah-the-ultim.md</t>
  </si>
  <si>
    <t xml:space="preserve">https://unihotel.org/kandima</t>
  </si>
  <si>
    <t xml:space="preserve">output/pages/075_kandima-maldives/diving__unihotel.org__kandima.md</t>
  </si>
  <si>
    <t xml:space="preserve">https://mondomaldive.it/it/villaggio/robinson-club-maldives/recensione/6324</t>
  </si>
  <si>
    <t xml:space="preserve">Recensione di MARIA F. in data 01/03/2019 per Robinson Club Maldives - MondoMaldive</t>
  </si>
  <si>
    <t xml:space="preserve">output/pages/131_robinson-maldives/diving__mondomaldive.it__it-villaggio-robinson-club-maldives-recensione-6324.md</t>
  </si>
  <si>
    <t xml:space="preserve">https://mondomaldive.it/it/villaggio/four-seasons-kuda-huraa/recensione/4888</t>
  </si>
  <si>
    <t xml:space="preserve">Recensione di Roberta in data 02/07/2012 per Four Seasons Kuda Huraa - MondoMaldive</t>
  </si>
  <si>
    <t xml:space="preserve">output/pages/056_four-seasons-resort-maldives-at-kuda-huraa/diving__mondomaldive.it__it-villaggio-four-seasons-kuda-huraa-recensione-4888.md</t>
  </si>
  <si>
    <t xml:space="preserve">https://mondomaldive.it/it/villaggio/the-nautilus-maldives/foto_utenti</t>
  </si>
  <si>
    <t xml:space="preserve">Le fotografie di tutti i Villaggi isole Maldive - Elenco: The Nautilus Maldives - MondoMaldive</t>
  </si>
  <si>
    <t xml:space="preserve">output/pages/157_the-nautilus-maldives/diving__mondomaldive.it__it-villaggio-the-nautilus-maldives-foto-utenti.md</t>
  </si>
  <si>
    <t xml:space="preserve">https://mondomaldive.it/it/villaggio/angsana-velavaru/recensione/6713</t>
  </si>
  <si>
    <t xml:space="preserve">Recensione di LETIZIA T. in data 07/02/2020 per Angsana Velavaru - MondoMaldive</t>
  </si>
  <si>
    <t xml:space="preserve">output/pages/097_angsana-resort-spa-maldives-velavaru/diving__mondomaldive.it__it-villaggio-angsana-velavaru-recensione-6713.md</t>
  </si>
  <si>
    <t xml:space="preserve">https://letsgomaldives.com/news/easter-2025-at-crossroads-maldives-a-celebration-of-colour-connection-and-island-joy/</t>
  </si>
  <si>
    <t xml:space="preserve">Easter 2025 at CROSSROADS Maldives: A Celebration of Colour, Connection, and Island Joy - Maldives Tour Packages - Lets </t>
  </si>
  <si>
    <t xml:space="preserve">output/pages/162_the-marina-at-crossroads-maldives/wedding__letsgomaldives.com__news-easter-2025-at-crossroads-maldives-a-celebration-of-col.md</t>
  </si>
  <si>
    <t xml:space="preserve">https://mondomaldive.it/it/villaggio/six-senses-laamu/recensioni</t>
  </si>
  <si>
    <t xml:space="preserve">Schede di Valutazione e Recensioni  - Elenco: Six Senses Laamu - MondoMaldive</t>
  </si>
  <si>
    <t xml:space="preserve">output/pages/001_six-senses-laamu/diving__mondomaldive.it__it-villaggio-six-senses-laamu-recensioni.md</t>
  </si>
  <si>
    <t xml:space="preserve">https://mondomaldive.it/it/villaggio/atmosphere-kanifushi-maldives/recensione/5250</t>
  </si>
  <si>
    <t xml:space="preserve">Recensione di Rosella P. in data 01/01/2014 per Atmosphere Kanifushi - MondoMaldive</t>
  </si>
  <si>
    <t xml:space="preserve">output/pages/077_atmosphere-kanifushi-maldives/diving__mondomaldive.it__it-villaggio-atmosphere-kanifushi-maldives-recensione-5250.md</t>
  </si>
  <si>
    <t xml:space="preserve">https://letsgomaldives.com/news/symphony-of-the-sea-festive-celebration-at-jw-marriott-maldives-resort-spa/</t>
  </si>
  <si>
    <t xml:space="preserve">Symphony of the Sea Festive Celebration at JW Marriott Maldives Resort &amp; Spa - Maldives Tour Packages - Lets Go Maldives</t>
  </si>
  <si>
    <t xml:space="preserve">output/pages/018_jw-marriott-maldives-resort-spa/wedding__letsgomaldives.com__news-symphony-of-the-sea-festive-celebration-at-jw-marriott-.md</t>
  </si>
  <si>
    <t xml:space="preserve">https://mondomaldive.it/it/villaggio/como-maalifushi/recensioni</t>
  </si>
  <si>
    <t xml:space="preserve">Schede di Valutazione e Recensioni  - Elenco: COMO Maalifushi - MondoMaldive</t>
  </si>
  <si>
    <t xml:space="preserve">output/pages/066_como-maalifushi/diving__mondomaldive.it__it-villaggio-como-maalifushi-recensioni.md</t>
  </si>
  <si>
    <t xml:space="preserve">https://mondomaldive.it/it/villaggio/club-med-finolhu-villas</t>
  </si>
  <si>
    <t xml:space="preserve">Club Med Finolhu Villas - scheda del Villaggio - MondoMaldive</t>
  </si>
  <si>
    <t xml:space="preserve">output/pages/101_club-med-finolhu-villas/diving__mondomaldive.it__it-villaggio-club-med-finolhu-villas.md</t>
  </si>
  <si>
    <t xml:space="preserve">https://letsgomaldives.com/news/so-maldives-unveils-a-refined-valentines-day-experience-for-2026-rose-all-the-way/</t>
  </si>
  <si>
    <t xml:space="preserve">SO/ Maldives Unveils a Refined Valentine’s Day Experience for 2026: Rosé All the Way - Maldives Tour Packages - Lets Go </t>
  </si>
  <si>
    <t xml:space="preserve">output/pages/046_so-maldives/diving__letsgomaldives.com__news-so-maldives-unveils-a-refined-valentines-day-experience.md</t>
  </si>
  <si>
    <t xml:space="preserve">https://mondomaldive.it/it/villaggio/vilamendhoo-island-resort/racconto/vilamendhoo-per-tutti-i-gusti</t>
  </si>
  <si>
    <t xml:space="preserve">Vilamendhoo per tutti i gusti!  - isole Maldive - MondoMaldive</t>
  </si>
  <si>
    <t xml:space="preserve">output/pages/174_vilamendhoo-island-resort/diving__mondomaldive.it__it-villaggio-vilamendhoo-island-resort-racconto-vilamendhoo-.md</t>
  </si>
  <si>
    <t xml:space="preserve">https://letsgomaldives.com/news/sun-siyam-vilu-reef-to-introduce-new-water-villas-facility-enhancement-works-starting-september-2025/</t>
  </si>
  <si>
    <t xml:space="preserve">Sun Siyam Vilu Reef to Introduce New Water Villas – Facility Enhancement Works Starting September 2025 - Maldives Tour P</t>
  </si>
  <si>
    <t xml:space="preserve">output/pages/147_sun-siyam-vilu-reef-maldives/diving__letsgomaldives.com__news-sun-siyam-vilu-reef-to-introduce-new-water-villas-facil.md</t>
  </si>
  <si>
    <t xml:space="preserve">https://mondomaldive.it/it/villaggio/maayafushi-maldives/recensione/3981</t>
  </si>
  <si>
    <t xml:space="preserve">Recensione di valerio in data 03/10/2010 per Maayafushi Maldives - MondoMaldive</t>
  </si>
  <si>
    <t xml:space="preserve">output/pages/093_maayafushi-tourist-resort/diving__mondomaldive.it__it-villaggio-maayafushi-maldives-recensione-3981.md</t>
  </si>
  <si>
    <t xml:space="preserve">https://letsgomaldives.com/news/sun-shiyam-iru-fushi-festive-programme-for-christmas-and-new-year/</t>
  </si>
  <si>
    <t xml:space="preserve">Sun Shiyam Iru Fushi - Festive Programme for Christmas and New Year - Maldives Tour Packages - Lets Go Maldives Pvt. Ltd</t>
  </si>
  <si>
    <t xml:space="preserve">output/pages/148_sun-siyam-iru-fushi-maldives/diving__letsgomaldives.com__news-sun-shiyam-iru-fushi-festive-programme-for-christmas-an.md</t>
  </si>
  <si>
    <t xml:space="preserve">https://mondomaldive.it/it/villaggio/fihalhohi-island-resort/recensione/6575</t>
  </si>
  <si>
    <t xml:space="preserve">Recensione di CLAUDIO F. in data 19/11/2019 per Fihalhohi Maldives - MondoMaldive</t>
  </si>
  <si>
    <t xml:space="preserve">output/pages/055_fihaalhohi-maldives/diving__mondomaldive.it__it-villaggio-fihalhohi-island-resort-recensione-6575.md</t>
  </si>
  <si>
    <t xml:space="preserve">https://letsgomaldives.com/zh-hans/%e5%ba%a6%e5%81%87%e6%9d%91%e5%8a%a8%e6%80%81/%e5%a4%87%e5%8f%97%e6%9c%9f%e5%be%85%e7%9a%84%e5%bc%80%e4%b8%9a%ef%bc%9av-villas-maldives-at-mirihi-mgallery-collection%ef%bc%88%e9%a2%84%e8%ae%a1-2026-%e5%b9%b4%e5%88%9d%ef%bc%89/</t>
  </si>
  <si>
    <r>
      <rPr>
        <sz val="11"/>
        <color theme="1"/>
        <rFont val="WenQuanYi Zen Hei"/>
        <family val="2"/>
      </rPr>
      <t xml:space="preserve">备受期待的开业：</t>
    </r>
    <r>
      <rPr>
        <sz val="11"/>
        <color theme="1"/>
        <rFont val="Calibri"/>
        <family val="2"/>
        <charset val="1"/>
      </rPr>
      <t xml:space="preserve">V Villas Maldives at Mirihi – MGallery Collection</t>
    </r>
    <r>
      <rPr>
        <sz val="11"/>
        <color theme="1"/>
        <rFont val="WenQuanYi Zen Hei"/>
        <family val="2"/>
      </rPr>
      <t xml:space="preserve">（预计 </t>
    </r>
    <r>
      <rPr>
        <sz val="11"/>
        <color theme="1"/>
        <rFont val="Calibri"/>
        <family val="2"/>
        <charset val="1"/>
      </rPr>
      <t xml:space="preserve">2026 </t>
    </r>
    <r>
      <rPr>
        <sz val="11"/>
        <color theme="1"/>
        <rFont val="WenQuanYi Zen Hei"/>
        <family val="2"/>
      </rPr>
      <t xml:space="preserve">年初） </t>
    </r>
    <r>
      <rPr>
        <sz val="11"/>
        <color theme="1"/>
        <rFont val="Calibri"/>
        <family val="2"/>
        <charset val="1"/>
      </rPr>
      <t xml:space="preserve">- Maldives Tour Packages - Lets Go Maldives Pvt. L</t>
    </r>
  </si>
  <si>
    <t xml:space="preserve">output/pages/172_mirihi-island-resort/diving__letsgomaldives.com__zh-hans-e5-ba-a6-e5-81-87-e6-9d-91-e5-8a-a8-e6-80-81-e5-a4-8.md</t>
  </si>
  <si>
    <t xml:space="preserve">https://mondomaldive.it/it/villaggio/anantara-dhigu-resort-spa/recensione/3557</t>
  </si>
  <si>
    <t xml:space="preserve">Recensione di kam in data 20/02/2010 per Anantara Dhigu Resort - MondoMaldive</t>
  </si>
  <si>
    <t xml:space="preserve">output/pages/145_anantara-resort-and-spa-maldives/spa__mondomaldive.it__it-villaggio-anantara-dhigu-resort-spa-recensione-3557.md</t>
  </si>
  <si>
    <t xml:space="preserve">https://letsgomaldives.com/news/hurawalhi-maldives-5-8-undersea-restaurant-is-presenting-many-enhanced-dining-experiences/</t>
  </si>
  <si>
    <t xml:space="preserve">Hurawalhi Maldives: 5.8 Undersea Restaurant is presenting many enhanced dining experiences.  - Maldives Tour Packages - </t>
  </si>
  <si>
    <t xml:space="preserve">output/pages/030_hurawalhi-island-resort/dining__letsgomaldives.com__news-hurawalhi-maldives-5-8-undersea-restaurant-is-presentin.md</t>
  </si>
  <si>
    <t xml:space="preserve">https://letsgomaldives.com/news/the-ritz-carlton-maldives-fari-islands-marks-international-womens-day-2026-with-give-to-gain/</t>
  </si>
  <si>
    <t xml:space="preserve">The Ritz-Carlton Maldives, Fari Islands Marks International Women’s Day 2026 with “Give to Gain” - Maldives Tour Package</t>
  </si>
  <si>
    <t xml:space="preserve">output/pages/037_the-ritz-carlton-maldives-fari-islands/diving__letsgomaldives.com__news-the-ritz-carlton-maldives-fari-islands-marks-internatio.md</t>
  </si>
  <si>
    <t xml:space="preserve">https://mondomaldive.it/it/villaggio/hurawalhi-resort-maldives/foto_utenti</t>
  </si>
  <si>
    <t xml:space="preserve">Le fotografie di tutti i Villaggi isole Maldive - Elenco: Hurawalhi Island Resort - MondoMaldive</t>
  </si>
  <si>
    <t xml:space="preserve">output/pages/030_hurawalhi-island-resort/diving__mondomaldive.it__it-villaggio-hurawalhi-resort-maldives-foto-utenti.md</t>
  </si>
  <si>
    <t xml:space="preserve">https://mondomaldive.it/it/villaggio/maayafushi-maldives/recensione/6156</t>
  </si>
  <si>
    <t xml:space="preserve">Recensione di MAURIZIO R. in data 09/07/2018 per Maayafushi Maldives - MondoMaldive</t>
  </si>
  <si>
    <t xml:space="preserve">output/pages/093_maayafushi-tourist-resort/diving__mondomaldive.it__it-villaggio-maayafushi-maldives-recensione-6156.md</t>
  </si>
  <si>
    <t xml:space="preserve">https://letsgomaldives.com/news/celebrate-mothers-day-at-baros/</t>
  </si>
  <si>
    <t xml:space="preserve">Celebrate Mother's Day at Baros - Maldives Tour Packages - Lets Go Maldives Pvt. Ltd.</t>
  </si>
  <si>
    <t xml:space="preserve">output/pages/164_baros-maldives/wedding__letsgomaldives.com__news-celebrate-mothers-day-at-baros.md</t>
  </si>
  <si>
    <t xml:space="preserve">https://mondomaldive.it/it/villaggio/pullman-maldives-maamutaa-resort/racconti</t>
  </si>
  <si>
    <t xml:space="preserve">Racconti Villaggi isole Maldive - Elenco: Pullman Maldives Maamutaa Resort - MondoMaldive</t>
  </si>
  <si>
    <t xml:space="preserve">output/pages/123_pullman-maldives-maamutaa-resort/diving__mondomaldive.it__it-villaggio-pullman-maldives-maamutaa-resort-racconti.md</t>
  </si>
  <si>
    <t xml:space="preserve">https://mondomaldive.it/it/villaggio/athuruga-diamonds-island-resort/recensione/5027</t>
  </si>
  <si>
    <t xml:space="preserve">Recensione di Ric68 in data 12/01/2013 per Athuruga Diamonds - MondoMaldive</t>
  </si>
  <si>
    <t xml:space="preserve">output/pages/178_diamonds-athuruga-beach-water-villas/diving__mondomaldive.it__it-villaggio-athuruga-diamonds-island-resort-recensione-5027.md</t>
  </si>
  <si>
    <t xml:space="preserve">https://mondomaldive.it/it/villaggio/cora-cora-maldives/foto_utenti</t>
  </si>
  <si>
    <t xml:space="preserve">Le fotografie di tutti i Villaggi isole Maldive - Elenco: Cora Cora Maldives - MondoMaldive</t>
  </si>
  <si>
    <t xml:space="preserve">output/pages/062_cora-cora-maldives/diving__mondomaldive.it__it-villaggio-cora-cora-maldives-foto-utenti.md</t>
  </si>
  <si>
    <t xml:space="preserve">https://letsgomaldives.com/news/pixie-lott-joins-amilla-maldives-new-years-eve-celebrations/</t>
  </si>
  <si>
    <t xml:space="preserve">Pixie Lott joins Amilla Maldives’ New Year's Eve Celebrations - Maldives Tour Packages - Lets Go Maldives Pvt. Ltd.</t>
  </si>
  <si>
    <t xml:space="preserve">output/pages/009_amilla-fushi/wedding__letsgomaldives.com__news-pixie-lott-joins-amilla-maldives-new-years-eve-celebrat.md</t>
  </si>
  <si>
    <t xml:space="preserve">https://mondomaldive.it/it/villaggio/maayafushi-maldives/recensione/5075</t>
  </si>
  <si>
    <t xml:space="preserve">Recensione di marcolino in data 21/03/2013 per Maayafushi Maldives - MondoMaldive</t>
  </si>
  <si>
    <t xml:space="preserve">output/pages/093_maayafushi-tourist-resort/diving__mondomaldive.it__it-villaggio-maayafushi-maldives-recensione-5075.md</t>
  </si>
  <si>
    <t xml:space="preserve">https://mondomaldive.it/it/villaggio/gangehi-island-resort/recensione/5949</t>
  </si>
  <si>
    <t xml:space="preserve">Recensione di VaeVictis in data 02/07/2017 per Gangehi Island Resort - MondoMaldive</t>
  </si>
  <si>
    <t xml:space="preserve">output/pages/114_gangehi-island-resort/diving__mondomaldive.it__it-villaggio-gangehi-island-resort-recensione-5949.md</t>
  </si>
  <si>
    <t xml:space="preserve">https://mondomaldive.it/it/villaggio/filitheyo-island-resort/recensione/6386</t>
  </si>
  <si>
    <t xml:space="preserve">Recensione di Carmen P. in data 30/01/2019 per Filitheyo Island Resort - MondoMaldive</t>
  </si>
  <si>
    <t xml:space="preserve">output/pages/002_filitheyo-island-resort/diving__mondomaldive.it__it-villaggio-filitheyo-island-resort-recensione-6386.md</t>
  </si>
  <si>
    <t xml:space="preserve">https://letsgomaldives.com/news/charity-run-by-st-regis-maldives-vommuli-resort/</t>
  </si>
  <si>
    <t xml:space="preserve">Charity Run hosted by St. Regis Maldives Vommuli Resort! - Maldives Tour Packages - Lets Go Maldives Pvt. Ltd.</t>
  </si>
  <si>
    <t xml:space="preserve">output/pages/134_the-st-regis-vommuli-resort-maldives/diving__letsgomaldives.com__news-charity-run-by-st-regis-maldives-vommuli-resort.md</t>
  </si>
  <si>
    <t xml:space="preserve">https://letsgomaldives.com/news/tis-the-season-to-celebrate-festivities-await-at-kuramathi/</t>
  </si>
  <si>
    <t xml:space="preserve">Tis the Season to Celebrate: Festivities Await at Kuramathi - Maldives Tour Packages - Lets Go Maldives Pvt. Ltd.</t>
  </si>
  <si>
    <t xml:space="preserve">output/pages/166_kuramathi-maldives/wedding__letsgomaldives.com__news-tis-the-season-to-celebrate-festivities-await-at-kurama.md</t>
  </si>
  <si>
    <t xml:space="preserve">https://letsgomaldives.com/maldives-vacation-packages/our-trip-to-soneva-fushi/</t>
  </si>
  <si>
    <t xml:space="preserve">Our Trip To Soneva Fushi - Maldives Tour Packages - Lets Go Maldives Pvt. Ltd.</t>
  </si>
  <si>
    <t xml:space="preserve">output/pages/141_soneva-fushi-resort/diving__letsgomaldives.com__maldives-vacation-packages-our-trip-to-soneva-fushi.md</t>
  </si>
  <si>
    <t xml:space="preserve">https://mondomaldive.it/it/fotografie_villaggio/biyadhoo-island-resort</t>
  </si>
  <si>
    <t xml:space="preserve">Biyadhoo Island Resort atollo di  Male Sud - MondoMaldive</t>
  </si>
  <si>
    <t xml:space="preserve">output/pages/149_biyaadhoo-island-resort/diving__mondomaldive.it__it-fotografie-villaggio-biyadhoo-island-resort.md</t>
  </si>
  <si>
    <t xml:space="preserve">https://mondomaldive.it/it/villaggio/thudufushi-diamonds-island-resort/recensione/6563</t>
  </si>
  <si>
    <t xml:space="preserve">Recensione di Alfredo I. in data 10/11/2019 per Thudufushi Diamonds - MondoMaldive</t>
  </si>
  <si>
    <t xml:space="preserve">output/pages/135_diamonds-thudufushi-beach-and-water-villas/diving__mondomaldive.it__it-villaggio-thudufushi-diamonds-island-resort-recensione-65.md</t>
  </si>
  <si>
    <t xml:space="preserve">https://mondomaldive.it/it/villaggio/meeru-island-resort/racconti</t>
  </si>
  <si>
    <t xml:space="preserve">Racconti Villaggi isole Maldive - Elenco: Meeru Island Resort - MondoMaldive</t>
  </si>
  <si>
    <t xml:space="preserve">output/pages/078_meeru-maldives-resort-island/diving__mondomaldive.it__it-villaggio-meeru-island-resort-racconti.md</t>
  </si>
  <si>
    <t xml:space="preserve">https://mondomaldive.it/it/villaggio/thudufushi-diamonds-island-resort/recensione/6017</t>
  </si>
  <si>
    <t xml:space="preserve">Recensione di MONALEX in data 29/12/2017 per Thudufushi Diamonds - MondoMaldive</t>
  </si>
  <si>
    <t xml:space="preserve">output/pages/135_diamonds-thudufushi-beach-and-water-villas/diving__mondomaldive.it__it-villaggio-thudufushi-diamonds-island-resort-recensione-60.md</t>
  </si>
  <si>
    <t xml:space="preserve">https://mondomaldive.it/it/villaggio/thulhagiri-island-resort/recensione/5428</t>
  </si>
  <si>
    <t xml:space="preserve">Recensione di MiMina in data 20/11/2014 per Thulhagiri Island Resort - MondoMaldive</t>
  </si>
  <si>
    <t xml:space="preserve">output/pages/012_thulhagiri-island-resort-spa/diving__mondomaldive.it__it-villaggio-thulhagiri-island-resort-recensione-5428.md</t>
  </si>
  <si>
    <t xml:space="preserve">https://mondomaldive.it/it/villaggio/cheval-blanc-randheli/recensioni</t>
  </si>
  <si>
    <t xml:space="preserve">Schede di Valutazione e Recensioni  - Elenco: Cheval Blanc Randheli - MondoMaldive</t>
  </si>
  <si>
    <t xml:space="preserve">output/pages/065_cheval-blanc-randheli/diving__mondomaldive.it__it-villaggio-cheval-blanc-randheli-recensioni.md</t>
  </si>
  <si>
    <t xml:space="preserve">https://mondomaldive.it/it/villaggio/athuruga-diamonds-island-resort/recensione/4871</t>
  </si>
  <si>
    <t xml:space="preserve">Recensione di marcer76 in data 10/05/2012 per Athuruga Diamonds - MondoMaldive</t>
  </si>
  <si>
    <t xml:space="preserve">output/pages/178_diamonds-athuruga-beach-water-villas/diving__mondomaldive.it__it-villaggio-athuruga-diamonds-island-resort-recensione-4871.md</t>
  </si>
  <si>
    <t xml:space="preserve">https://mondomaldive.it/it/villaggio/reethi-faru-resort/recensioni</t>
  </si>
  <si>
    <t xml:space="preserve">Schede di Valutazione e Recensioni  - Elenco: Reethi Faru Resort - MondoMaldive</t>
  </si>
  <si>
    <t xml:space="preserve">output/pages/094_reethi-faru-resort/diving__mondomaldive.it__it-villaggio-reethi-faru-resort-recensioni.md</t>
  </si>
  <si>
    <t xml:space="preserve">https://mondomaldive.it/it/villaggio/hard-rock-hotel-maldives/recensioni</t>
  </si>
  <si>
    <t xml:space="preserve">Schede di Valutazione e Recensioni  - Elenco: Hard Rock Hotel Maldives - MondoMaldive</t>
  </si>
  <si>
    <t xml:space="preserve">output/pages/044_hard-rock-hotel-maldives/diving__mondomaldive.it__it-villaggio-hard-rock-hotel-maldives-recensioni.md</t>
  </si>
  <si>
    <t xml:space="preserve">https://mondomaldive.it/it/villaggio/coco-bodu-hithi/recensione/5074</t>
  </si>
  <si>
    <t xml:space="preserve">Recensione di Maria Luisa B. in data 18/02/2013 per Coco Bodu Hithi - MondoMaldive</t>
  </si>
  <si>
    <t xml:space="preserve">output/pages/150_coco-bodu-hithi/diving__mondomaldive.it__it-villaggio-coco-bodu-hithi-recensione-5074.md</t>
  </si>
  <si>
    <t xml:space="preserve">https://mondomaldive.it/it/villaggio/thudufushi-diamonds-island-resort/recensione/4844</t>
  </si>
  <si>
    <t xml:space="preserve">Recensione di Popa&amp;Popo in data 23/04/2012 per Thudufushi Diamonds - MondoMaldive</t>
  </si>
  <si>
    <t xml:space="preserve">output/pages/135_diamonds-thudufushi-beach-and-water-villas/diving__mondomaldive.it__it-villaggio-thudufushi-diamonds-island-resort-recensione-48.md</t>
  </si>
  <si>
    <t xml:space="preserve">https://maldivestraveller.mv/en/holidays/maldives-tours/day-visit-to-club-med-kani</t>
  </si>
  <si>
    <t xml:space="preserve">Club Med Kani Day Pass Maldives | Transfers, Drinks &amp; Lunch</t>
  </si>
  <si>
    <t xml:space="preserve">output/pages/100_club-med-kanifinolhu/diving__maldivestraveller.mv__en-holidays-maldives-tours-day-visit-to-club-med-kani.md</t>
  </si>
  <si>
    <t xml:space="preserve">https://maldivestraveller.mv/de/holidays/maldives-tours/day-visit-to-adaaran-club-rannalhi</t>
  </si>
  <si>
    <t xml:space="preserve">Tagesausflug zum Adaaran Club Rannalhi - Maldives Traveller</t>
  </si>
  <si>
    <t xml:space="preserve">output/pages/069_adaaran-club-rannalhi/diving__maldivestraveller.mv__de-holidays-maldives-tours-day-visit-to-adaaran-club-rannalh.md</t>
  </si>
  <si>
    <t xml:space="preserve">https://maldivestraveller.mv/it/holidays/maldives-tours/day-visit-to-adaaran-hudhuran-fushi</t>
  </si>
  <si>
    <t xml:space="preserve">Escursione in giornata alle Adaaran Select Hudhuran Fushi - MT</t>
  </si>
  <si>
    <t xml:space="preserve">output/pages/003_adaaran-select-hudhuranfushi/diving__maldivestraveller.mv__it-holidays-maldives-tours-day-visit-to-adaaran-hudhuran-fus.md</t>
  </si>
  <si>
    <t xml:space="preserve">https://maldivestraveller.mv/jp/holidays/maldives-tours/day-visit-to-adaaran-hudhuran-fushi</t>
  </si>
  <si>
    <r>
      <rPr>
        <sz val="11"/>
        <color theme="1"/>
        <rFont val="WenQuanYi Zen Hei"/>
        <family val="2"/>
      </rPr>
      <t xml:space="preserve">アダーラン セレクト フドゥランフシ日帰りツアー </t>
    </r>
    <r>
      <rPr>
        <sz val="11"/>
        <color theme="1"/>
        <rFont val="Calibri"/>
        <family val="2"/>
        <charset val="1"/>
      </rPr>
      <t xml:space="preserve">- </t>
    </r>
    <r>
      <rPr>
        <sz val="11"/>
        <color theme="1"/>
        <rFont val="WenQuanYi Zen Hei"/>
        <family val="2"/>
      </rPr>
      <t xml:space="preserve">モルディブトラベラー</t>
    </r>
  </si>
  <si>
    <t xml:space="preserve">output/pages/003_adaaran-select-hudhuranfushi/diving__maldivestraveller.mv__jp-holidays-maldives-tours-day-visit-to-adaaran-hudhuran-fus.md</t>
  </si>
  <si>
    <t xml:space="preserve">https://maldivestraveller.mv/it/holidays/maldives-tours/day-visit-to-centara-ras-fushi</t>
  </si>
  <si>
    <t xml:space="preserve">Escursione in giornata alle Centara Ras Fushi - MT</t>
  </si>
  <si>
    <t xml:space="preserve">output/pages/026_centara-ras-fushi-resort-spa/diving__maldivestraveller.mv__it-holidays-maldives-tours-day-visit-to-centara-ras-fushi.md</t>
  </si>
  <si>
    <t xml:space="preserve">https://maldivestraveller.mv/jp/holidays/maldives-tours/day-tour-to-taj-exotica-resort</t>
  </si>
  <si>
    <r>
      <rPr>
        <sz val="11"/>
        <color theme="1"/>
        <rFont val="WenQuanYi Zen Hei"/>
        <family val="2"/>
      </rPr>
      <t xml:space="preserve">タージ エキゾチカ リゾートへの日帰りツアー </t>
    </r>
    <r>
      <rPr>
        <sz val="11"/>
        <color theme="1"/>
        <rFont val="Calibri"/>
        <family val="2"/>
        <charset val="1"/>
      </rPr>
      <t xml:space="preserve">- </t>
    </r>
    <r>
      <rPr>
        <sz val="11"/>
        <color theme="1"/>
        <rFont val="WenQuanYi Zen Hei"/>
        <family val="2"/>
      </rPr>
      <t xml:space="preserve">モルディブトラベラー</t>
    </r>
  </si>
  <si>
    <t xml:space="preserve">output/pages/154_taj-exotica-resort-spa-maldives/diving__maldivestraveller.mv__jp-holidays-maldives-tours-day-tour-to-taj-exotica-resort.md</t>
  </si>
  <si>
    <t xml:space="preserve">https://maldivestraveller.mv/de/holidays/maldives-tours/day-visit-to-adaaran-hudhuran-fushi</t>
  </si>
  <si>
    <t xml:space="preserve">Tagesausflug zum Adaaran Select Hudhuran Fushi - MT</t>
  </si>
  <si>
    <t xml:space="preserve">output/pages/003_adaaran-select-hudhuranfushi/diving__maldivestraveller.mv__de-holidays-maldives-tours-day-visit-to-adaaran-hudhuran-fus.md</t>
  </si>
  <si>
    <t xml:space="preserve">https://maldivestraveller.mv/it/holidays/maldives-tours/day-visit-to-club-med-kani</t>
  </si>
  <si>
    <t xml:space="preserve">Escursione in giornata alle Club Med Kani - Maldives Traveller</t>
  </si>
  <si>
    <t xml:space="preserve">output/pages/100_club-med-kanifinolhu/diving__maldivestraveller.mv__it-holidays-maldives-tours-day-visit-to-club-med-kani.md</t>
  </si>
  <si>
    <t xml:space="preserve">https://maldivestraveller.mv/jp/holidays/maldives-tours/day-visit-to-adaaran-club-rannalhi</t>
  </si>
  <si>
    <r>
      <rPr>
        <sz val="11"/>
        <color theme="1"/>
        <rFont val="WenQuanYi Zen Hei"/>
        <family val="2"/>
      </rPr>
      <t xml:space="preserve">アダーラン クラブ ランナリ日帰りツアー </t>
    </r>
    <r>
      <rPr>
        <sz val="11"/>
        <color theme="1"/>
        <rFont val="Calibri"/>
        <family val="2"/>
        <charset val="1"/>
      </rPr>
      <t xml:space="preserve">- </t>
    </r>
    <r>
      <rPr>
        <sz val="11"/>
        <color theme="1"/>
        <rFont val="WenQuanYi Zen Hei"/>
        <family val="2"/>
      </rPr>
      <t xml:space="preserve">モルディブトラベラー</t>
    </r>
  </si>
  <si>
    <t xml:space="preserve">output/pages/069_adaaran-club-rannalhi/diving__maldivestraveller.mv__jp-holidays-maldives-tours-day-visit-to-adaaran-club-rannalh.md</t>
  </si>
  <si>
    <t xml:space="preserve">https://maldivestraveller.mv/it/holidays/maldives-tours/day-visit-to-adaaran-club-rannalhi</t>
  </si>
  <si>
    <t xml:space="preserve">Escursione in giornata alle Adaaran Club Rannalhi - MT</t>
  </si>
  <si>
    <t xml:space="preserve">output/pages/069_adaaran-club-rannalhi/diving__maldivestraveller.mv__it-holidays-maldives-tours-day-visit-to-adaaran-club-rannalh.md</t>
  </si>
  <si>
    <t xml:space="preserve">https://www.simplymaldivesholidays.co.uk/resort/the-standard-huruvalhi-maldives/</t>
  </si>
  <si>
    <t xml:space="preserve">The Standard, Huruvalhi Maldives | Simply Maldives Holidays</t>
  </si>
  <si>
    <t xml:space="preserve">output/pages/140_the-standard-huruvalhi-maldives/diving__simplymaldivesholidays.co.uk__resort-the-standard-huruvalhi-maldives.md</t>
  </si>
  <si>
    <t xml:space="preserve">https://www.simplymaldivesholidays.co.uk/resort/four-seasons-kuda-huraa/</t>
  </si>
  <si>
    <t xml:space="preserve">Four Seasons Kuda Huraa | Simply Maldives Holidays</t>
  </si>
  <si>
    <t xml:space="preserve">output/pages/056_four-seasons-resort-maldives-at-kuda-huraa/diving__simplymaldivesholidays.co.uk__resort-four-seasons-kuda-huraa.md</t>
  </si>
  <si>
    <t xml:space="preserve">https://www.simplymaldivesholidays.co.uk/resort/jw-marriott-maldives/</t>
  </si>
  <si>
    <t xml:space="preserve">JW Marriott Maldives | Simply Maldives Holidays</t>
  </si>
  <si>
    <t xml:space="preserve">output/pages/018_jw-marriott-maldives-resort-spa/diving__simplymaldivesholidays.co.uk__resort-jw-marriott-maldives.md</t>
  </si>
  <si>
    <t xml:space="preserve">https://maldivestraveller.mv/de/holidays/maldives-tours/day-tour-to-taj-exotica-resort</t>
  </si>
  <si>
    <t xml:space="preserve">Tagesausflug zum Taj Exotica Resort - Maldives Traveller</t>
  </si>
  <si>
    <t xml:space="preserve">output/pages/154_taj-exotica-resort-spa-maldives/diving__maldivestraveller.mv__de-holidays-maldives-tours-day-tour-to-taj-exotica-resort.md</t>
  </si>
  <si>
    <t xml:space="preserve">https://www.simplymaldivesholidays.co.uk/resort/taj-coral-reef-resort-and-spa-maldives/</t>
  </si>
  <si>
    <t xml:space="preserve">Taj Coral Reef Resort and Spa Maldives | Simply Maldives Holidays</t>
  </si>
  <si>
    <t xml:space="preserve">output/pages/153_taj-coral-reef-resort-and-spa/spa__simplymaldivesholidays.co.uk__resort-taj-coral-reef-resort-and-spa-maldives.md</t>
  </si>
  <si>
    <t xml:space="preserve">https://www.simplymaldivesholidays.co.uk/resort/patina-maldives-fari-islands/</t>
  </si>
  <si>
    <t xml:space="preserve">Patina Maldives Fari Islands | Simply Maldives Holidays</t>
  </si>
  <si>
    <t xml:space="preserve">output/pages/158_patina-maldives-fari-islands/diving__simplymaldivesholidays.co.uk__resort-patina-maldives-fari-islands.md</t>
  </si>
  <si>
    <t xml:space="preserve">https://www.mymaldives.com/resort-guide/coco-palm-dhuni-kolhu/</t>
  </si>
  <si>
    <t xml:space="preserve">Coco Palm Dhuni Kolhu - Maldives Resort</t>
  </si>
  <si>
    <t xml:space="preserve">output/pages/151_coco-palm-dhunikolhu/diving__mymaldives.com__resort-guide-coco-palm-dhuni-kolhu.md</t>
  </si>
  <si>
    <t xml:space="preserve">https://www.simplymaldivesholidays.co.uk/resort/finolhu-baa-atoll-maldives/</t>
  </si>
  <si>
    <t xml:space="preserve">Finolhu Baa Atoll Maldives | Simply Maldives Holidays</t>
  </si>
  <si>
    <t xml:space="preserve">output/pages/136_finolhu-baa-atoll-maldives/diving__simplymaldivesholidays.co.uk__resort-finolhu-baa-atoll-maldives.md</t>
  </si>
  <si>
    <t xml:space="preserve">https://www.mymaldives.com/blog/kihavah-maldives-underwater-dining/</t>
  </si>
  <si>
    <t xml:space="preserve">Kihavah Maldives Underwater Dining - My Maldives</t>
  </si>
  <si>
    <t xml:space="preserve">output/pages/106_anantara-kihavah-villas/dining__mymaldives.com__blog-kihavah-maldives-underwater-dining.md</t>
  </si>
  <si>
    <t xml:space="preserve">https://www.simplymaldivesholidays.co.uk/resort/anantara-dhigu-resort-and-spa-maldives/</t>
  </si>
  <si>
    <t xml:space="preserve">Anantara Dhigu Resort and Spa Maldives | Simply Maldives Holidays</t>
  </si>
  <si>
    <t xml:space="preserve">output/pages/145_anantara-resort-and-spa-maldives/spa__simplymaldivesholidays.co.uk__resort-anantara-dhigu-resort-and-spa-maldives.md</t>
  </si>
  <si>
    <t xml:space="preserve">https://www.simplymaldivesholidays.co.uk/resort/ritz-carlton-maldives-fari-islands/</t>
  </si>
  <si>
    <t xml:space="preserve">Ritz Carlton Maldives Fari Islands | Simply Maldives Holidays</t>
  </si>
  <si>
    <t xml:space="preserve">output/pages/037_the-ritz-carlton-maldives-fari-islands/diving__simplymaldivesholidays.co.uk__resort-ritz-carlton-maldives-fari-islands.md</t>
  </si>
  <si>
    <t xml:space="preserve">https://www.mymaldives.com/blog/kurumba-maldives-announces-40-activities-to-celebrate-its-40th-years-anniversary/</t>
  </si>
  <si>
    <t xml:space="preserve">Kurumba Maldives Announces 40 activities to celebrate its 40th year’s anniversary. - My Maldives</t>
  </si>
  <si>
    <t xml:space="preserve">output/pages/173_kurumba-maldives/wedding__mymaldives.com__blog-kurumba-maldives-announces-40-activities-to-celebrate-i.md</t>
  </si>
  <si>
    <t xml:space="preserve">https://www.simplymaldivesholidays.co.uk/resort/como-maalifushi/</t>
  </si>
  <si>
    <t xml:space="preserve">COMO Maalifushi | Simply Maldives Holidays</t>
  </si>
  <si>
    <t xml:space="preserve">output/pages/066_como-maalifushi/diving__simplymaldivesholidays.co.uk__resort-como-maalifushi.md</t>
  </si>
  <si>
    <t xml:space="preserve">https://www.mymaldives.com/resort-guide/jw-marriott-maldives-resort-spa/</t>
  </si>
  <si>
    <t xml:space="preserve">JW Marriott Maldives Resort and Spa - Vagaru Island</t>
  </si>
  <si>
    <t xml:space="preserve">output/pages/018_jw-marriott-maldives-resort-spa/spa__mymaldives.com__resort-guide-jw-marriott-maldives-resort-spa.md</t>
  </si>
  <si>
    <t xml:space="preserve">https://www.mymaldives.com/resort-guide/lux-maldives/</t>
  </si>
  <si>
    <t xml:space="preserve">LUX* Maldives - Maldives Resort</t>
  </si>
  <si>
    <t xml:space="preserve">output/pages/180_lux-south-ari-atoll-maldives/diving__mymaldives.com__resort-guide-lux-maldives.md</t>
  </si>
  <si>
    <t xml:space="preserve">https://www.mymaldives.com/blog/baros-maldives-re-opens-on-october-2020-with-a-brand-new-residence/</t>
  </si>
  <si>
    <t xml:space="preserve">Baros Maldives re-opens on October 2020, with a brand new residence - My Maldives</t>
  </si>
  <si>
    <t xml:space="preserve">output/pages/164_baros-maldives/dining__mymaldives.com__blog-baros-maldives-re-opens-on-october-2020-with-a-brand-ne.md</t>
  </si>
  <si>
    <t xml:space="preserve">https://www.simplymaldivesholidays.co.uk/resort/cora-cora-maldives/</t>
  </si>
  <si>
    <t xml:space="preserve">Cora Cora Maldives | Simply Maldives Holidays</t>
  </si>
  <si>
    <t xml:space="preserve">output/pages/062_cora-cora-maldives/diving__simplymaldivesholidays.co.uk__resort-cora-cora-maldives.md</t>
  </si>
  <si>
    <t xml:space="preserve">https://maldivestraveller.mv/jp/holidays/maldives-tours/day-visit-to-embudu-village</t>
  </si>
  <si>
    <r>
      <rPr>
        <sz val="11"/>
        <color theme="1"/>
        <rFont val="WenQuanYi Zen Hei"/>
        <family val="2"/>
      </rPr>
      <t xml:space="preserve">エンブドゥ ヴィレッジリ日帰りツアー </t>
    </r>
    <r>
      <rPr>
        <sz val="11"/>
        <color theme="1"/>
        <rFont val="Calibri"/>
        <family val="2"/>
        <charset val="1"/>
      </rPr>
      <t xml:space="preserve">- </t>
    </r>
    <r>
      <rPr>
        <sz val="11"/>
        <color theme="1"/>
        <rFont val="WenQuanYi Zen Hei"/>
        <family val="2"/>
      </rPr>
      <t xml:space="preserve">モルディブトラベラー</t>
    </r>
  </si>
  <si>
    <t xml:space="preserve">output/pages/072_embudhu-village/diving__maldivestraveller.mv__jp-holidays-maldives-tours-day-visit-to-embudu-village.md</t>
  </si>
  <si>
    <t xml:space="preserve">https://www.mymaldives.com/resort-guide/amilla-maldives-resort-and-residences/</t>
  </si>
  <si>
    <t xml:space="preserve">Amilla Maldives Resort and Residences - Finolhas Island</t>
  </si>
  <si>
    <t xml:space="preserve">output/pages/009_amilla-fushi/diving__mymaldives.com__resort-guide-amilla-maldives-resort-and-residences.md</t>
  </si>
  <si>
    <t xml:space="preserve">https://www.simplymaldivesholidays.co.uk/resort/filitheyo-island-resort/</t>
  </si>
  <si>
    <t xml:space="preserve">Filitheyo Island Resort  - Exclusive Simply Maldives Offers</t>
  </si>
  <si>
    <t xml:space="preserve">output/pages/002_filitheyo-island-resort/diving__simplymaldivesholidays.co.uk__resort-filitheyo-island-resort.md</t>
  </si>
  <si>
    <t xml:space="preserve">https://www.mymaldives.com/blog/the-story-of-raajje-milaidhoo-resort/</t>
  </si>
  <si>
    <t xml:space="preserve">"The Story of Raajje" by Milaidhoo Resort - My Maldives</t>
  </si>
  <si>
    <t xml:space="preserve">output/pages/167_milaidhoo-island-maldives/diving__mymaldives.com__blog-the-story-of-raajje-milaidhoo-resort.md</t>
  </si>
  <si>
    <t xml:space="preserve">https://www.simplymaldivesholidays.co.uk/resort/cheval-blanc-randheli-maldives/</t>
  </si>
  <si>
    <t xml:space="preserve">Cheval Blanc Randheli Maldives | Simply Maldives Holidays</t>
  </si>
  <si>
    <t xml:space="preserve">output/pages/065_cheval-blanc-randheli/diving__simplymaldivesholidays.co.uk__resort-cheval-blanc-randheli-maldives.md</t>
  </si>
  <si>
    <t xml:space="preserve">https://maldivestraveller.mv/it/holidays/maldives-tours/day-visit-to-embudu-village</t>
  </si>
  <si>
    <t xml:space="preserve">Escursione in giornata alle Embudu Village | Maldives Traveller</t>
  </si>
  <si>
    <t xml:space="preserve">output/pages/072_embudhu-village/diving__maldivestraveller.mv__it-holidays-maldives-tours-day-visit-to-embudu-village.md</t>
  </si>
  <si>
    <t xml:space="preserve">https://www.fushifaru.com/news/fushifaru-maldives-invites-guests-to-rediscover-barefoot-luxury/</t>
  </si>
  <si>
    <t xml:space="preserve">Fushifaru Maldives Invites Guests to Rediscover Barefoot Luxury - Fushifaru Maldives Resort</t>
  </si>
  <si>
    <t xml:space="preserve">output/pages/057_fushifaru-maldives/dining__fushifaru.com__news-fushifaru-maldives-invites-guests-to-rediscover-barefoo.md</t>
  </si>
  <si>
    <t xml:space="preserve">https://www.mymaldives.com/blog/kuda-rah-to-be-developed-into-a-five-star-resort/</t>
  </si>
  <si>
    <t xml:space="preserve">Kuda Rah to be developed into a five-star resort - My Maldives</t>
  </si>
  <si>
    <t xml:space="preserve">output/pages/092_amaya-kuda-rah-maldives/diving__mymaldives.com__blog-kuda-rah-to-be-developed-into-a-five-star-resort.md</t>
  </si>
  <si>
    <t xml:space="preserve">https://www.simplymaldivesholidays.co.uk/resort/six-senses-kanuhura/</t>
  </si>
  <si>
    <t xml:space="preserve">Six Senses Kanuhura | Simply Maldives Holidays</t>
  </si>
  <si>
    <t xml:space="preserve">output/pages/090_six-senses-kanuhura/diving__simplymaldivesholidays.co.uk__resort-six-senses-kanuhura.md</t>
  </si>
  <si>
    <t xml:space="preserve">https://www.mymaldives.com/resort-guide/angsana-resort-spa-maldives-velavaru/</t>
  </si>
  <si>
    <t xml:space="preserve">Angsana Resort &amp; Spa Maldives Velavaru - Maldives Resort</t>
  </si>
  <si>
    <t xml:space="preserve">output/pages/097_angsana-resort-spa-maldives-velavaru/spa__mymaldives.com__resort-guide-angsana-resort-spa-maldives-velavaru.md</t>
  </si>
  <si>
    <t xml:space="preserve">https://www.fushifaru.com/offer/early-bird-2027/</t>
  </si>
  <si>
    <t xml:space="preserve">Early Bird 2027 - Fushifaru Maldives Resort</t>
  </si>
  <si>
    <t xml:space="preserve">output/pages/057_fushifaru-maldives/diving__fushifaru.com__offer-early-bird-2027.md</t>
  </si>
  <si>
    <t xml:space="preserve">https://www.mymaldives.com/resort-guide/w-maldives/</t>
  </si>
  <si>
    <t xml:space="preserve">W Maldives - My Maldives</t>
  </si>
  <si>
    <t xml:space="preserve">output/pages/102_w-maldives/diving__mymaldives.com__resort-guide-w-maldives.md</t>
  </si>
  <si>
    <t xml:space="preserve">https://www.simplymaldivesholidays.co.uk/resort/kuredu-island-resort/</t>
  </si>
  <si>
    <t xml:space="preserve">Kuredu Island Resort All Inclusive | Simply Maldives Holidays</t>
  </si>
  <si>
    <t xml:space="preserve">output/pages/081_kuredu-island-resort/diving__simplymaldivesholidays.co.uk__resort-kuredu-island-resort.md</t>
  </si>
  <si>
    <t xml:space="preserve">https://www.simplymaldivesholidays.co.uk/resort/amilla-fushi/</t>
  </si>
  <si>
    <t xml:space="preserve">Amilla Maldives | Simply Maldives Holidays</t>
  </si>
  <si>
    <t xml:space="preserve">output/pages/009_amilla-fushi/diving__simplymaldivesholidays.co.uk__resort-amilla-fushi.md</t>
  </si>
  <si>
    <t xml:space="preserve">https://www.mymaldives.com/resort-guide/taj-coral-reef-resort/</t>
  </si>
  <si>
    <t xml:space="preserve">Vivanta by Taj-Coral Reef, Maldives - Maldives Resort</t>
  </si>
  <si>
    <t xml:space="preserve">output/pages/153_taj-coral-reef-resort-and-spa/diving__mymaldives.com__resort-guide-taj-coral-reef-resort.md</t>
  </si>
  <si>
    <t xml:space="preserve">https://maldivestraveller.mv/de/holidays/maldives-tours/day-visit-to-adaaran-prestige-vadoo</t>
  </si>
  <si>
    <t xml:space="preserve">Adaaran Prestige Vadoo Tagespass mit Transfer | Malediven</t>
  </si>
  <si>
    <t xml:space="preserve">output/pages/163_adaaran-prestige-vadoo/spa__maldivestraveller.mv__de-holidays-maldives-tours-day-visit-to-adaaran-prestige-vad.md</t>
  </si>
  <si>
    <t xml:space="preserve">https://www.simplymaldivesholidays.co.uk/resort/huvafen-fushi-spa-resort/</t>
  </si>
  <si>
    <t xml:space="preserve">Huvafen Fushi | Simply Maldives Holidays</t>
  </si>
  <si>
    <t xml:space="preserve">output/pages/111_huvafenfushi-maldives/spa__simplymaldivesholidays.co.uk__resort-huvafen-fushi-spa-resort.md</t>
  </si>
  <si>
    <t xml:space="preserve">https://www.simplymaldivesholidays.co.uk/resort/sirru-fen-fushi-private-lagoon-resort/</t>
  </si>
  <si>
    <t xml:space="preserve">Sirru Fen Fushi, Private Lagoon Resort | Simply Maldives Holidays</t>
  </si>
  <si>
    <t xml:space="preserve">output/pages/058_sirru-fen-fushi/diving__simplymaldivesholidays.co.uk__resort-sirru-fen-fushi-private-lagoon-resort.md</t>
  </si>
  <si>
    <t xml:space="preserve">https://www.mymaldives.com/blog/new-resort-brand-coming-to-maldives-with-atmosphere-kanifushi/</t>
  </si>
  <si>
    <t xml:space="preserve">New Resort Brand coming to Maldives; with Atmosphere Kanifushi - My Maldives</t>
  </si>
  <si>
    <t xml:space="preserve">output/pages/077_atmosphere-kanifushi-maldives/diving__mymaldives.com__blog-new-resort-brand-coming-to-maldives-with-atmosphere-kan.md</t>
  </si>
  <si>
    <t xml:space="preserve">https://www.fushifaru.com/privacy-policy/</t>
  </si>
  <si>
    <t xml:space="preserve">Privacy Policy - Fushifaru Maldives Resort</t>
  </si>
  <si>
    <t xml:space="preserve">output/pages/057_fushifaru-maldives/diving__fushifaru.com__privacy-policy.md</t>
  </si>
  <si>
    <t xml:space="preserve">https://www.mymaldives.com/resort-guide/dhawa-ihuru/</t>
  </si>
  <si>
    <t xml:space="preserve">Dhawa Ihuru - My Maldives</t>
  </si>
  <si>
    <t xml:space="preserve">output/pages/096_dhawa-ihuru/diving__mymaldives.com__resort-guide-dhawa-ihuru.md</t>
  </si>
  <si>
    <t xml:space="preserve">https://maldivestraveller.mv/it/holidays/maldives-tours/marina-crossroads-day-visit</t>
  </si>
  <si>
    <t xml:space="preserve">Visita di un giorno a The Marina at Crossroads - Maldives Traveller</t>
  </si>
  <si>
    <t xml:space="preserve">output/pages/162_the-marina-at-crossroads-maldives/diving__maldivestraveller.mv__it-holidays-maldives-tours-marina-crossroads-day-visit.md</t>
  </si>
  <si>
    <t xml:space="preserve">https://www.simplymaldivesholidays.co.uk/resort/embudu-village/</t>
  </si>
  <si>
    <t xml:space="preserve">Embudu Village | Simply Maldives Holidays</t>
  </si>
  <si>
    <t xml:space="preserve">output/pages/072_embudhu-village/diving__simplymaldivesholidays.co.uk__resort-embudu-village.md</t>
  </si>
  <si>
    <t xml:space="preserve">https://www.mymaldives.com/blog/earth-day-at-kurumba-maldives-2019/</t>
  </si>
  <si>
    <t xml:space="preserve">Earth Day at Kurumba Maldives 2019 - My Maldives</t>
  </si>
  <si>
    <t xml:space="preserve">output/pages/173_kurumba-maldives/diving__mymaldives.com__blog-earth-day-at-kurumba-maldives-2019.md</t>
  </si>
  <si>
    <t xml:space="preserve">https://www.simplymaldivesholidays.co.uk/resort/oneonly-at-reethi-rah-island/</t>
  </si>
  <si>
    <t xml:space="preserve">One &amp; Only at Reethi Rah | Simply Maldives Holidays</t>
  </si>
  <si>
    <t xml:space="preserve">output/pages/128_one-only-reethi-rah-maldives/diving__simplymaldivesholidays.co.uk__resort-oneonly-at-reethi-rah-island.md</t>
  </si>
  <si>
    <t xml:space="preserve">https://maldivestraveller.mv/de/holidays/maldives-tours/day-visit-to-club-med-kani</t>
  </si>
  <si>
    <t xml:space="preserve">Tagesausflug zum Club Med Kani - Maldives Traveller</t>
  </si>
  <si>
    <t xml:space="preserve">output/pages/100_club-med-kanifinolhu/diving__maldivestraveller.mv__de-holidays-maldives-tours-day-visit-to-club-med-kani.md</t>
  </si>
  <si>
    <t xml:space="preserve">https://www.fushifaru.com/spa/relaxation-area/</t>
  </si>
  <si>
    <t xml:space="preserve">Relaxation Area &amp; Plunge Pool - Fushifaru Maldives Resort</t>
  </si>
  <si>
    <t xml:space="preserve">output/pages/057_fushifaru-maldives/spa__fushifaru.com__spa-relaxation-area.md</t>
  </si>
  <si>
    <t xml:space="preserve">https://www.mymaldives.com/blog/destination-dining-travel-conrad-maldives-rangali-island/</t>
  </si>
  <si>
    <t xml:space="preserve">Destination Dining To Travel For - Conrad Maldives Rangali Island - My Maldives</t>
  </si>
  <si>
    <t xml:space="preserve">output/pages/099_conrad-maldives-rangali-island/dining__mymaldives.com__blog-destination-dining-travel-conrad-maldives-rangali-islan.md</t>
  </si>
  <si>
    <t xml:space="preserve">https://www.simplymaldivesholidays.co.uk/resort/cinnamon-dhonveli/</t>
  </si>
  <si>
    <t xml:space="preserve">Cinnamon Dhonveli | Simply Maldives Holidays</t>
  </si>
  <si>
    <t xml:space="preserve">output/pages/159_cinnamon-dhonveli-maldives/diving__simplymaldivesholidays.co.uk__resort-cinnamon-dhonveli.md</t>
  </si>
  <si>
    <t xml:space="preserve">https://www.fushifaru.com/wonderful-wildlife-at-fushifaru-maldives/</t>
  </si>
  <si>
    <t xml:space="preserve">Wonderful Wildlife at Fushifaru Maldives - Fushifaru Maldives Resort</t>
  </si>
  <si>
    <t xml:space="preserve">output/pages/057_fushifaru-maldives/diving__fushifaru.com__wonderful-wildlife-at-fushifaru-maldives.md</t>
  </si>
  <si>
    <t xml:space="preserve">https://www.mymaldives.com/resort-guide/gangehi-island-resort/</t>
  </si>
  <si>
    <t xml:space="preserve">Gangehi Island Resort and Spa</t>
  </si>
  <si>
    <t xml:space="preserve">output/pages/114_gangehi-island-resort/spa__mymaldives.com__resort-guide-gangehi-island-resort.md</t>
  </si>
  <si>
    <t xml:space="preserve">https://maldivestraveller.mv/en/holidays/maldives-tours/marina-crossroads-day-visit</t>
  </si>
  <si>
    <t xml:space="preserve">Day Visit to Crossroads with Beach Facility Access - MTH</t>
  </si>
  <si>
    <t xml:space="preserve">output/pages/162_the-marina-at-crossroads-maldives/diving__maldivestraveller.mv__en-holidays-maldives-tours-marina-crossroads-day-visit.md</t>
  </si>
  <si>
    <t xml:space="preserve">https://www.simplymaldivesholidays.co.uk/resort/ozen-bolifushi/</t>
  </si>
  <si>
    <t xml:space="preserve">OZEN Reserve Bolifushi Maldives | Simply Maldives Holidays</t>
  </si>
  <si>
    <t xml:space="preserve">output/pages/005_bolifushi-island-resort/diving__simplymaldivesholidays.co.uk__resort-ozen-bolifushi.md</t>
  </si>
  <si>
    <t xml:space="preserve">https://www.fushifaru.com/barefoot-luxury-at-fushifaru-maldives/</t>
  </si>
  <si>
    <t xml:space="preserve">What Is Barefoot Luxury? Discover the Art of Island Living at Fushifaru Maldives - Fushifaru Maldives Resort</t>
  </si>
  <si>
    <t xml:space="preserve">output/pages/057_fushifaru-maldives/dining__fushifaru.com__barefoot-luxury-at-fushifaru-maldives.md</t>
  </si>
  <si>
    <t xml:space="preserve">https://www.fushifaru.com/weddings-celebrations/</t>
  </si>
  <si>
    <t xml:space="preserve">Weddings and Proposals in the Maldives - Fushifaru Resort</t>
  </si>
  <si>
    <t xml:space="preserve">output/pages/057_fushifaru-maldives/wedding__fushifaru.com__weddings-celebrations.md</t>
  </si>
  <si>
    <t xml:space="preserve">https://www.simplymaldivesholidays.co.uk/resort/meeru-resort/</t>
  </si>
  <si>
    <t xml:space="preserve">Meeru Island Resort | Simply Maldives Holidays</t>
  </si>
  <si>
    <t xml:space="preserve">output/pages/078_meeru-maldives-resort-island/diving__simplymaldivesholidays.co.uk__resort-meeru-resort.md</t>
  </si>
  <si>
    <t xml:space="preserve">https://www.mymaldives.com/resort-guide/kurumba-maldives/</t>
  </si>
  <si>
    <t xml:space="preserve">Kurumba Maldives - Maldives Resort</t>
  </si>
  <si>
    <t xml:space="preserve">output/pages/173_kurumba-maldives/diving__mymaldives.com__resort-guide-kurumba-maldives.md</t>
  </si>
  <si>
    <t xml:space="preserve">https://www.fushifaru.com/a-foodies-guide-to-fushifaru/</t>
  </si>
  <si>
    <t xml:space="preserve">A Foodie's Guide To Fushifaru - Fushifaru Maldives Resort</t>
  </si>
  <si>
    <t xml:space="preserve">output/pages/057_fushifaru-maldives/dining__fushifaru.com__a-foodies-guide-to-fushifaru.md</t>
  </si>
  <si>
    <t xml:space="preserve">https://www.simplymaldivesholidays.co.uk/resort/park-hyatt-maldives-hadahaa/</t>
  </si>
  <si>
    <t xml:space="preserve">Park Hyatt Maldives Hadahaa | Simply Maldives Holidays</t>
  </si>
  <si>
    <t xml:space="preserve">output/pages/047_park-hyatt-maldives-hadahaa/diving__simplymaldivesholidays.co.uk__resort-park-hyatt-maldives-hadahaa.md</t>
  </si>
  <si>
    <t xml:space="preserve">https://maldivestraveller.mv/en/holidays/maldives-tours/overnight-at-paradise-island</t>
  </si>
  <si>
    <t xml:space="preserve">Overnight Stay Experience in Maldives - Maldives Traveller</t>
  </si>
  <si>
    <t xml:space="preserve">output/pages/175_villa-nautica-paradise-island/diving__maldivestraveller.mv__en-holidays-maldives-tours-overnight-at-paradise-island.md</t>
  </si>
  <si>
    <t xml:space="preserve">https://www.mymaldives.com/blog/hyatt-introduces-park-hyatt-maldives-hadahaa/</t>
  </si>
  <si>
    <t xml:space="preserve">Hyatt Introduces Park Hyatt Maldives Hadahaa - My Maldives</t>
  </si>
  <si>
    <t xml:space="preserve">output/pages/047_park-hyatt-maldives-hadahaa/diving__mymaldives.com__blog-hyatt-introduces-park-hyatt-maldives-hadahaa.md</t>
  </si>
  <si>
    <t xml:space="preserve">https://www.fushifaru.com/spa/steam-sauna/</t>
  </si>
  <si>
    <t xml:space="preserve">Steam &amp; Sauna - Fushifaru Maldives Resort</t>
  </si>
  <si>
    <t xml:space="preserve">output/pages/057_fushifaru-maldives/spa__fushifaru.com__spa-steam-sauna.md</t>
  </si>
  <si>
    <t xml:space="preserve">https://maldivestraveller.mv/jp/holidays/maldives-tours/day-visit-to-adaaran-prestige-vadoo</t>
  </si>
  <si>
    <r>
      <rPr>
        <sz val="11"/>
        <color theme="1"/>
        <rFont val="WenQuanYi Zen Hei"/>
        <family val="2"/>
      </rPr>
      <t xml:space="preserve">アダーラン プレステージ ヴァドウ日帰りツアー </t>
    </r>
    <r>
      <rPr>
        <sz val="11"/>
        <color theme="1"/>
        <rFont val="Calibri"/>
        <family val="2"/>
        <charset val="1"/>
      </rPr>
      <t xml:space="preserve">- </t>
    </r>
    <r>
      <rPr>
        <sz val="11"/>
        <color theme="1"/>
        <rFont val="WenQuanYi Zen Hei"/>
        <family val="2"/>
      </rPr>
      <t xml:space="preserve">モルディブトラベラー</t>
    </r>
  </si>
  <si>
    <t xml:space="preserve">output/pages/163_adaaran-prestige-vadoo/diving__maldivestraveller.mv__jp-holidays-maldives-tours-day-visit-to-adaaran-prestige-vad.md</t>
  </si>
  <si>
    <t xml:space="preserve">https://www.mymaldives.com/resort-guide/vilamendhoo-island-resort/</t>
  </si>
  <si>
    <t xml:space="preserve">Vilamendhoo Island Resort &amp; Spa - My Maldives</t>
  </si>
  <si>
    <t xml:space="preserve">output/pages/174_vilamendhoo-island-resort/spa__mymaldives.com__resort-guide-vilamendhoo-island-resort.md</t>
  </si>
  <si>
    <t xml:space="preserve">https://www.fushifaru.com/a-day-in-the-life-at-fushifaru-maldives/</t>
  </si>
  <si>
    <t xml:space="preserve">A Day in the Life at Fushifaru Maldives - Fushifaru Maldives Resort</t>
  </si>
  <si>
    <t xml:space="preserve">output/pages/057_fushifaru-maldives/diving__fushifaru.com__a-day-in-the-life-at-fushifaru-maldives.md</t>
  </si>
  <si>
    <t xml:space="preserve">https://www.fushifaru.com/a-wedding-worthy-of-dreams-at-fushifaru/</t>
  </si>
  <si>
    <t xml:space="preserve">A Wedding Worthy of Dreams at Fushifaru - Fushifaru Maldives Resort</t>
  </si>
  <si>
    <t xml:space="preserve">output/pages/057_fushifaru-maldives/wedding__fushifaru.com__a-wedding-worthy-of-dreams-at-fushifaru.md</t>
  </si>
  <si>
    <t xml:space="preserve">https://www.simplymaldivesholidays.co.uk/resort/w-maldives/</t>
  </si>
  <si>
    <t xml:space="preserve">W Maldives | Simply Maldives Holidays</t>
  </si>
  <si>
    <t xml:space="preserve">output/pages/102_w-maldives/diving__simplymaldivesholidays.co.uk__resort-w-maldives.md</t>
  </si>
  <si>
    <t xml:space="preserve">https://www.mymaldives.com/resort-guide/one-and-only-reethi-rah/</t>
  </si>
  <si>
    <t xml:space="preserve">One&amp;Only Maldives at Reethi Rah</t>
  </si>
  <si>
    <t xml:space="preserve">output/pages/128_one-only-reethi-rah-maldives/diving__mymaldives.com__resort-guide-one-and-only-reethi-rah.md</t>
  </si>
  <si>
    <t xml:space="preserve">https://www.mymaldives.com/blog/hilton-maldives-iru-fushi-resort-spa-introduces-a-new-range-of-asian-flavors/</t>
  </si>
  <si>
    <t xml:space="preserve">Hilton Maldives Iru Fushi Resort &amp; Spa Introduces a New Range of Asian Flavors - My Maldives</t>
  </si>
  <si>
    <t xml:space="preserve">output/pages/148_sun-siyam-iru-fushi-maldives/spa__mymaldives.com__blog-hilton-maldives-iru-fushi-resort-spa-introduces-a-new-r.md</t>
  </si>
  <si>
    <t xml:space="preserve">https://maldivestraveller.mv/jp/holidays/maldives-tours/day-visit-to-club-med-kani</t>
  </si>
  <si>
    <r>
      <rPr>
        <sz val="11"/>
        <color theme="1"/>
        <rFont val="WenQuanYi Zen Hei"/>
        <family val="2"/>
      </rPr>
      <t xml:space="preserve">クラブメッド カニ 日帰りツアー </t>
    </r>
    <r>
      <rPr>
        <sz val="11"/>
        <color theme="1"/>
        <rFont val="Calibri"/>
        <family val="2"/>
        <charset val="1"/>
      </rPr>
      <t xml:space="preserve">- </t>
    </r>
    <r>
      <rPr>
        <sz val="11"/>
        <color theme="1"/>
        <rFont val="WenQuanYi Zen Hei"/>
        <family val="2"/>
      </rPr>
      <t xml:space="preserve">モルディブトラベラー</t>
    </r>
  </si>
  <si>
    <t xml:space="preserve">output/pages/100_club-med-kanifinolhu/diving__maldivestraveller.mv__jp-holidays-maldives-tours-day-visit-to-club-med-kani.md</t>
  </si>
  <si>
    <t xml:space="preserve">https://www.fushifaru.com/a-culinary-revamp-with-chef-jan-cleusters/</t>
  </si>
  <si>
    <t xml:space="preserve">A Culinary Revamp with Chef Jan Cleusters - Fushifaru Maldives Resort</t>
  </si>
  <si>
    <t xml:space="preserve">output/pages/057_fushifaru-maldives/dining__fushifaru.com__a-culinary-revamp-with-chef-jan-cleusters.md</t>
  </si>
  <si>
    <t xml:space="preserve">https://www.simplymaldivesholidays.co.uk/resort/gili-lankanfushi/</t>
  </si>
  <si>
    <t xml:space="preserve">Gili Lankanfushi | Simply Maldives Holidays</t>
  </si>
  <si>
    <t xml:space="preserve">output/pages/125_gili-lankanfushi/diving__simplymaldivesholidays.co.uk__resort-gili-lankanfushi.md</t>
  </si>
  <si>
    <t xml:space="preserve">https://maldivestraveller.mv/jp/holidays/maldives-tours/day-visit-to-centara-ras-fushi</t>
  </si>
  <si>
    <r>
      <rPr>
        <sz val="11"/>
        <color theme="1"/>
        <rFont val="WenQuanYi Zen Hei"/>
        <family val="2"/>
      </rPr>
      <t xml:space="preserve">センターラ ラスフシ リゾート 日帰りツアー </t>
    </r>
    <r>
      <rPr>
        <sz val="11"/>
        <color theme="1"/>
        <rFont val="Calibri"/>
        <family val="2"/>
        <charset val="1"/>
      </rPr>
      <t xml:space="preserve">- </t>
    </r>
    <r>
      <rPr>
        <sz val="11"/>
        <color theme="1"/>
        <rFont val="WenQuanYi Zen Hei"/>
        <family val="2"/>
      </rPr>
      <t xml:space="preserve">モルディブトラベラー</t>
    </r>
  </si>
  <si>
    <t xml:space="preserve">output/pages/026_centara-ras-fushi-resort-spa/diving__maldivestraveller.mv__jp-holidays-maldives-tours-day-visit-to-centara-ras-fushi.md</t>
  </si>
  <si>
    <t xml:space="preserve">https://www.fushifaru.com/wine-dine/</t>
  </si>
  <si>
    <t xml:space="preserve">Best Restaurants in the Maldives - Dining at Fushifaru Maldives Resort</t>
  </si>
  <si>
    <t xml:space="preserve">output/pages/057_fushifaru-maldives/dining__fushifaru.com__wine-dine.md</t>
  </si>
  <si>
    <t xml:space="preserve">https://www.mymaldives.com/resort-guide/constance-moofushi-resort/</t>
  </si>
  <si>
    <t xml:space="preserve">Constance Moofushi Resort - Maldives</t>
  </si>
  <si>
    <t xml:space="preserve">output/pages/109_constance-moofushi-resort/diving__mymaldives.com__resort-guide-constance-moofushi-resort.md</t>
  </si>
  <si>
    <t xml:space="preserve">https://www.mymaldives.com/blog/hilton-maldives-resort-and-spa-to-re-brand-as-conrad-maldives-rangali-island/</t>
  </si>
  <si>
    <t xml:space="preserve">Hilton Maldives Resort and Spa to Re-brand as Conrad Maldives Rangali Island - My Maldives</t>
  </si>
  <si>
    <t xml:space="preserve">output/pages/099_conrad-maldives-rangali-island/spa__mymaldives.com__blog-hilton-maldives-resort-and-spa-to-re-brand-as-conrad-ma.md</t>
  </si>
  <si>
    <t xml:space="preserve">https://www.simplymaldivesholidays.co.uk/resort/nova-maldives/</t>
  </si>
  <si>
    <t xml:space="preserve">Nova Maldives | Simply Maldives Holidays</t>
  </si>
  <si>
    <t xml:space="preserve">output/pages/116_nova-maldives/diving__simplymaldivesholidays.co.uk__resort-nova-maldives.md</t>
  </si>
  <si>
    <t xml:space="preserve">https://www.fushifaru.com/getting-here/</t>
  </si>
  <si>
    <t xml:space="preserve">Getting Here - Fushifaru Maldives Resort</t>
  </si>
  <si>
    <t xml:space="preserve">output/pages/057_fushifaru-maldives/diving__fushifaru.com__getting-here.md</t>
  </si>
  <si>
    <t xml:space="preserve">https://www.mymaldives.com/resort-guide/laamu-atoll/</t>
  </si>
  <si>
    <t xml:space="preserve">Laamu Atoll - My Maldives</t>
  </si>
  <si>
    <t xml:space="preserve">output/pages/001_six-senses-laamu/diving__mymaldives.com__resort-guide-laamu-atoll.md</t>
  </si>
  <si>
    <t xml:space="preserve">https://www.mymaldives.com/resort-guide/meeru-island-resort/</t>
  </si>
  <si>
    <t xml:space="preserve">Meeru Island Resort - Maldives Resort</t>
  </si>
  <si>
    <t xml:space="preserve">output/pages/078_meeru-maldives-resort-island/diving__mymaldives.com__resort-guide-meeru-island-resort.md</t>
  </si>
  <si>
    <t xml:space="preserve">https://www.simplymaldivesholidays.co.uk/resort/raaya-by-atmosphere/</t>
  </si>
  <si>
    <t xml:space="preserve">RAAYA by Atmosphere | Simply Maldives Holidays</t>
  </si>
  <si>
    <t xml:space="preserve">output/pages/080_raaya-by-atmosphere/diving__simplymaldivesholidays.co.uk__resort-raaya-by-atmosphere.md</t>
  </si>
  <si>
    <t xml:space="preserve">https://www.mymaldives.com/resort-guide/thulhagiri-island-resort/</t>
  </si>
  <si>
    <t xml:space="preserve">Thulhagiri Island Resort, Maldives</t>
  </si>
  <si>
    <t xml:space="preserve">output/pages/012_thulhagiri-island-resort-spa/diving__mymaldives.com__resort-guide-thulhagiri-island-resort.md</t>
  </si>
  <si>
    <t xml:space="preserve">https://www.simplymaldivesholidays.co.uk/resort/villa-nautica/</t>
  </si>
  <si>
    <t xml:space="preserve">Villa Nautica | Simply Maldives Holidays</t>
  </si>
  <si>
    <t xml:space="preserve">output/pages/175_villa-nautica-paradise-island/diving__simplymaldivesholidays.co.uk__resort-villa-nautica.md</t>
  </si>
  <si>
    <t xml:space="preserve">https://www.mymaldives.com/resort-guide/paradise-island-resort-and-spa/</t>
  </si>
  <si>
    <t xml:space="preserve">Paradise Island Resort &amp; Spa, Lankanfinolhu, Maldives</t>
  </si>
  <si>
    <t xml:space="preserve">output/pages/175_villa-nautica-paradise-island/spa__mymaldives.com__resort-guide-paradise-island-resort-and-spa.md</t>
  </si>
  <si>
    <t xml:space="preserve">https://www.mymaldives.com/resort-guide/island-hideaway-at-dhonakulhi-maldives/</t>
  </si>
  <si>
    <t xml:space="preserve">Island Hideaway at Dhonakulhi Maldives</t>
  </si>
  <si>
    <t xml:space="preserve">output/pages/076_hideaway-beach-resort-and-spa-at-dhonakulhi-island/diving__mymaldives.com__resort-guide-island-hideaway-at-dhonakulhi-maldives.md</t>
  </si>
  <si>
    <t xml:space="preserve">https://www.simplymaldivesholidays.co.uk/resort/malahini-kuda-bandos/</t>
  </si>
  <si>
    <t xml:space="preserve">Malahini Kuda Bandos | Simply Maldives Holidays</t>
  </si>
  <si>
    <t xml:space="preserve">output/pages/095_malahini-kuda-bandos/diving__simplymaldivesholidays.co.uk__resort-malahini-kuda-bandos.md</t>
  </si>
  <si>
    <t xml:space="preserve">https://maldivestraveller.mv/de/holidays/maldives-tours/day-visit-to-centara-ras-fushi</t>
  </si>
  <si>
    <t xml:space="preserve">Tagesausflug zum Centara Ras Fushi - Maldives Traveller</t>
  </si>
  <si>
    <t xml:space="preserve">output/pages/026_centara-ras-fushi-resort-spa/diving__maldivestraveller.mv__de-holidays-maldives-tours-day-visit-to-centara-ras-fushi.md</t>
  </si>
  <si>
    <t xml:space="preserve">https://www.mymaldives.com/resort-guide/dhiggiri-tourist-resort/</t>
  </si>
  <si>
    <t xml:space="preserve">Dhiggiri Tourist Resort - Maldives</t>
  </si>
  <si>
    <t xml:space="preserve">output/pages/042_dhiggiri-tourist-resort/diving__mymaldives.com__resort-guide-dhiggiri-tourist-resort.md</t>
  </si>
  <si>
    <t xml:space="preserve">https://www.maldivesholidayoffers.com/accomodation/resorts/lily-beach-resort-and-spa/</t>
  </si>
  <si>
    <t xml:space="preserve">Lily Beach Resort &amp; Spa at Huvahendhoo - Maldives All Inclusive Resort</t>
  </si>
  <si>
    <t xml:space="preserve">output/pages/091_lily-beach-resort/spa__maldivesholidayoffers.com__accomodation-resorts-lily-beach-resort-and-spa.md</t>
  </si>
  <si>
    <t xml:space="preserve">https://www.simplymaldivesholidays.co.uk/resort/nh-maldives-kuda-rah/</t>
  </si>
  <si>
    <t xml:space="preserve">NH Maldives Kuda Rah | Simply Maldives Holidays</t>
  </si>
  <si>
    <t xml:space="preserve">output/pages/092_amaya-kuda-rah-maldives/diving__simplymaldivesholidays.co.uk__resort-nh-maldives-kuda-rah.md</t>
  </si>
  <si>
    <t xml:space="preserve">https://www.mymaldives.com/blog/huvafen-fushi-maldives-listed-in-conde-nast-traveller-2007-gold-list-for-best-service/</t>
  </si>
  <si>
    <t xml:space="preserve">Huvafen Fushi Maldives listed in Condé Nast Traveller 2007 Gold List for Best Service - My Maldives</t>
  </si>
  <si>
    <t xml:space="preserve">output/pages/111_huvafenfushi-maldives/diving__mymaldives.com__blog-huvafen-fushi-maldives-listed-in-conde-nast-traveller-2.md</t>
  </si>
  <si>
    <t xml:space="preserve">https://www.mymaldives.com/resort-guide/four-seasons-resort-maldives-kuda-huraa/</t>
  </si>
  <si>
    <t xml:space="preserve">Four Seasons Resort Maldives at Kuda Huraa - Maldives Resort</t>
  </si>
  <si>
    <t xml:space="preserve">output/pages/056_four-seasons-resort-maldives-at-kuda-huraa/diving__mymaldives.com__resort-guide-four-seasons-resort-maldives-kuda-huraa.md</t>
  </si>
  <si>
    <t xml:space="preserve">https://www.simplymaldivesholidays.co.uk/resort/sun-siyam-olhuveli-maldives/</t>
  </si>
  <si>
    <t xml:space="preserve">Sun Siyam Olhuveli | Simply Maldives Holidays</t>
  </si>
  <si>
    <t xml:space="preserve">output/pages/050_sun-siyam-olhuveli-maldives/diving__simplymaldivesholidays.co.uk__resort-sun-siyam-olhuveli-maldives.md</t>
  </si>
  <si>
    <t xml:space="preserve">https://www.mymaldives.com/resort-guide/cinnamon-dhonveli/</t>
  </si>
  <si>
    <t xml:space="preserve">Chaaya Island Dhonveli Resort - Maldives Resort</t>
  </si>
  <si>
    <t xml:space="preserve">output/pages/159_cinnamon-dhonveli-maldives/diving__mymaldives.com__resort-guide-cinnamon-dhonveli.md</t>
  </si>
  <si>
    <t xml:space="preserve">https://maldivestraveller.mv/en/holidays/maldives-tours/day-visit-to-adaaran-prestige-vadoo</t>
  </si>
  <si>
    <t xml:space="preserve">All-inclusive Day Pass to Adaaran Prestige Vadoo with Transfers</t>
  </si>
  <si>
    <t xml:space="preserve">output/pages/163_adaaran-prestige-vadoo/diving__maldivestraveller.mv__en-holidays-maldives-tours-day-visit-to-adaaran-prestige-vad.md</t>
  </si>
  <si>
    <t xml:space="preserve">https://www.simplymaldivesholidays.co.uk/offer/lux-maldives-offer/</t>
  </si>
  <si>
    <t xml:space="preserve">LUX Maldives Offer | Simply Maldives Holidays</t>
  </si>
  <si>
    <t xml:space="preserve">output/pages/180_lux-south-ari-atoll-maldives/diving__simplymaldivesholidays.co.uk__offer-lux-maldives-offer.md</t>
  </si>
  <si>
    <t xml:space="preserve">https://www.mymaldives.com/resort-guide/huvafen-fushi-by-per-aquum/</t>
  </si>
  <si>
    <t xml:space="preserve">Huvafen Fushi by Per AQUUM, Nakatchafushi - Maldives Resort</t>
  </si>
  <si>
    <t xml:space="preserve">output/pages/111_huvafenfushi-maldives/diving__mymaldives.com__resort-guide-huvafen-fushi-by-per-aquum.md</t>
  </si>
  <si>
    <t xml:space="preserve">https://maldivestraveller.mv/de/holidays/maldives-tours/day-visit-to-embudu-village</t>
  </si>
  <si>
    <t xml:space="preserve">Tagesausflug zum Embudu Village - Maldives Traveller</t>
  </si>
  <si>
    <t xml:space="preserve">output/pages/072_embudhu-village/diving__maldivestraveller.mv__de-holidays-maldives-tours-day-visit-to-embudu-village.md</t>
  </si>
  <si>
    <t xml:space="preserve">https://www.simplymaldivesholidays.co.uk/resort/centara-grand-lagoon-maldives/</t>
  </si>
  <si>
    <t xml:space="preserve">Centara Grand Lagoon Maldives | Simply Maldives Holidays</t>
  </si>
  <si>
    <t xml:space="preserve">output/pages/085_centara-mirage-lagoon-maldives-centara-grand-lagoo/diving__simplymaldivesholidays.co.uk__resort-centara-grand-lagoon-maldives.md</t>
  </si>
  <si>
    <t xml:space="preserve">https://www.maldivesholidayoffers.com/blogs/blog-detail/alena-lavdovskaya-milaidhoo-return/</t>
  </si>
  <si>
    <t xml:space="preserve">Maldives Holiday Offers - An Artistic Reunion: Alena Lavdovskaya’s Creative Journey Returns To Milaidhoo</t>
  </si>
  <si>
    <t xml:space="preserve">output/pages/167_milaidhoo-island-maldives/dining__maldivesholidayoffers.com__blogs-blog-detail-alena-lavdovskaya-milaidhoo-return.md</t>
  </si>
  <si>
    <t xml:space="preserve">https://www.simplymaldivesholidays.co.uk/resort/hurawalhi/</t>
  </si>
  <si>
    <t xml:space="preserve">Hurawalhi Island Resort | Simply Maldives Holidays</t>
  </si>
  <si>
    <t xml:space="preserve">output/pages/030_hurawalhi-island-resort/diving__simplymaldivesholidays.co.uk__resort-hurawalhi.md</t>
  </si>
  <si>
    <t xml:space="preserve">https://www.simplymaldivesholidays.co.uk/resort/the-residence-maldives-at-dhigurah/</t>
  </si>
  <si>
    <t xml:space="preserve">The Residence Maldives at Dhigurah | Simply Maldives Holidays</t>
  </si>
  <si>
    <t xml:space="preserve">output/pages/020_the-residence-maldives-at-dhigurah/diving__simplymaldivesholidays.co.uk__resort-the-residence-maldives-at-dhigurah.md</t>
  </si>
  <si>
    <t xml:space="preserve">https://maldivestraveller.mv/jp/holidays/maldives-tours/marina-crossroads-day-visit</t>
  </si>
  <si>
    <r>
      <rPr>
        <sz val="11"/>
        <color theme="1"/>
        <rFont val="WenQuanYi Zen Hei"/>
        <family val="2"/>
      </rPr>
      <t xml:space="preserve">ザ マリーナ アット クロスロードの日帰りツアー </t>
    </r>
    <r>
      <rPr>
        <sz val="11"/>
        <color theme="1"/>
        <rFont val="Calibri"/>
        <family val="2"/>
        <charset val="1"/>
      </rPr>
      <t xml:space="preserve">- </t>
    </r>
    <r>
      <rPr>
        <sz val="11"/>
        <color theme="1"/>
        <rFont val="WenQuanYi Zen Hei"/>
        <family val="2"/>
      </rPr>
      <t xml:space="preserve">モルディブトラベラー</t>
    </r>
  </si>
  <si>
    <t xml:space="preserve">output/pages/162_the-marina-at-crossroads-maldives/diving__maldivestraveller.mv__jp-holidays-maldives-tours-marina-crossroads-day-visit.md</t>
  </si>
  <si>
    <t xml:space="preserve">https://www.maldivesholidayoffers.com/accomodation/resorts/anantara-dhigu/</t>
  </si>
  <si>
    <t xml:space="preserve">Anantara Dhigu Maldives Resort  -  Best Family Resort</t>
  </si>
  <si>
    <t xml:space="preserve">output/pages/145_anantara-resort-and-spa-maldives/diving__maldivesholidayoffers.com__accomodation-resorts-anantara-dhigu.md</t>
  </si>
  <si>
    <t xml:space="preserve">https://www.mymaldives.com/resort-guide/olhuveli-beach-spa-resort/</t>
  </si>
  <si>
    <t xml:space="preserve">Olhuveli Beach and Spa Resort - Maldives Resort</t>
  </si>
  <si>
    <t xml:space="preserve">output/pages/050_sun-siyam-olhuveli-maldives/spa__mymaldives.com__resort-guide-olhuveli-beach-spa-resort.md</t>
  </si>
  <si>
    <t xml:space="preserve">https://www.simplymaldivesholidays.co.uk/resort/siyam-world/</t>
  </si>
  <si>
    <t xml:space="preserve">Siyam World | Simply Maldives Holidays</t>
  </si>
  <si>
    <t xml:space="preserve">output/pages/179_siyam-world-maldives/diving__simplymaldivesholidays.co.uk__resort-siyam-world.md</t>
  </si>
  <si>
    <t xml:space="preserve">https://www.mymaldives.com/resort-guide/ozen-life-maadhoo/</t>
  </si>
  <si>
    <t xml:space="preserve">OZEN LIFE Maadhoo - Maldives Resort</t>
  </si>
  <si>
    <t xml:space="preserve">output/pages/041_ozen-by-atmosphere-at-maadhoo/diving__mymaldives.com__resort-guide-ozen-life-maadhoo.md</t>
  </si>
  <si>
    <t xml:space="preserve">https://www.maldivesholidayoffers.com/holidays/gili-lankanfushi-maldives/</t>
  </si>
  <si>
    <t xml:space="preserve">4 Nights Villa Suite in Gili Lankanfushi Maldives</t>
  </si>
  <si>
    <t xml:space="preserve">output/pages/125_gili-lankanfushi/diving__maldivesholidayoffers.com__holidays-gili-lankanfushi-maldives.md</t>
  </si>
  <si>
    <t xml:space="preserve">https://www.mymaldives.com/resort-guide/mirihi-island-resort/</t>
  </si>
  <si>
    <t xml:space="preserve">Mirihi Island Resort, Maldives</t>
  </si>
  <si>
    <t xml:space="preserve">output/pages/172_mirihi-island-resort/diving__mymaldives.com__resort-guide-mirihi-island-resort.md</t>
  </si>
  <si>
    <t xml:space="preserve">https://www.simplymaldivesholidays.co.uk/resort/jumeirah-maldives/</t>
  </si>
  <si>
    <t xml:space="preserve">Jumeirah Maldives | Simply Maldives Holidays</t>
  </si>
  <si>
    <t xml:space="preserve">output/pages/059_jumeirah-maldives-olhahali-island/diving__simplymaldivesholidays.co.uk__resort-jumeirah-maldives.md</t>
  </si>
  <si>
    <t xml:space="preserve">https://www.mymaldives.com/resort-guide/conrad-maldives-rangali-island/</t>
  </si>
  <si>
    <t xml:space="preserve">Conrad Maldives Rangali Island - Maldives Resort</t>
  </si>
  <si>
    <t xml:space="preserve">output/pages/099_conrad-maldives-rangali-island/diving__mymaldives.com__resort-guide-conrad-maldives-rangali-island.md</t>
  </si>
  <si>
    <t xml:space="preserve">https://www.mymaldives.com/resort-guide/holiday-inn-resort-kandooma-maldives/</t>
  </si>
  <si>
    <t xml:space="preserve">Holiday Inn Resort Kandooma Maldives - Maldives Resort</t>
  </si>
  <si>
    <t xml:space="preserve">output/pages/088_holiday-inn-resort-kandooma-maldives/diving__mymaldives.com__resort-guide-holiday-inn-resort-kandooma-maldives.md</t>
  </si>
  <si>
    <t xml:space="preserve">https://www.maldivesholidayoffers.com/holidays/villa-nautica-maldives-all-inclusive-package/</t>
  </si>
  <si>
    <t xml:space="preserve">25% Savings - Maldives Holiday - Villa Nautica</t>
  </si>
  <si>
    <t xml:space="preserve">output/pages/175_villa-nautica-paradise-island/diving__maldivesholidayoffers.com__holidays-villa-nautica-maldives-all-inclusive-package.md</t>
  </si>
  <si>
    <t xml:space="preserve">https://www.mymaldives.com/resort-guide/anantara-dhigu-resort-spa-maldives/</t>
  </si>
  <si>
    <t xml:space="preserve">Anantara Dhigu Resort and Spa Maldives - Dhigufinolhu Island</t>
  </si>
  <si>
    <t xml:space="preserve">output/pages/145_anantara-resort-and-spa-maldives/spa__mymaldives.com__resort-guide-anantara-dhigu-resort-spa-maldives.md</t>
  </si>
  <si>
    <t xml:space="preserve">https://www.simplymaldivesholidays.co.uk/resort/anantara-kihavah-villas/</t>
  </si>
  <si>
    <t xml:space="preserve">Anantara Kihavah Villas Maldives | Simply Maldives Holidays</t>
  </si>
  <si>
    <t xml:space="preserve">output/pages/106_anantara-kihavah-villas/diving__simplymaldivesholidays.co.uk__resort-anantara-kihavah-villas.md</t>
  </si>
  <si>
    <t xml:space="preserve">https://www.maldivesholidayoffers.com/accomodation/villas/villa-nautica-maldives-/</t>
  </si>
  <si>
    <t xml:space="preserve">Maldives Holiday Offers - Villas</t>
  </si>
  <si>
    <t xml:space="preserve">output/pages/175_villa-nautica-paradise-island/diving__maldivesholidayoffers.com__accomodation-villas-villa-nautica-maldives.md</t>
  </si>
  <si>
    <t xml:space="preserve">https://www.mymaldives.com/resort-guide/alimatha-aquatic-resort/</t>
  </si>
  <si>
    <t xml:space="preserve">Alimatha Aquatic Resort - Alimatha Island</t>
  </si>
  <si>
    <t xml:space="preserve">output/pages/084_alimatha-aquatic-resort/diving__mymaldives.com__resort-guide-alimatha-aquatic-resort.md</t>
  </si>
  <si>
    <t xml:space="preserve">https://www.simplymaldivesholidays.co.uk/resort/adaaran-select-meedhupparu/</t>
  </si>
  <si>
    <t xml:space="preserve">Adaaran Select Meedhupparu Resort - Exclusive Offers with Simply Maldives</t>
  </si>
  <si>
    <t xml:space="preserve">output/pages/034_adaaran-select-meedhupparu/diving__simplymaldivesholidays.co.uk__resort-adaaran-select-meedhupparu.md</t>
  </si>
  <si>
    <t xml:space="preserve">https://www.mymaldives.com/resort-guide/milaidhoo-island-maldives/</t>
  </si>
  <si>
    <t xml:space="preserve">Milaidhoo Island Maldives - My Maldives</t>
  </si>
  <si>
    <t xml:space="preserve">output/pages/167_milaidhoo-island-maldives/diving__mymaldives.com__resort-guide-milaidhoo-island-maldives.md</t>
  </si>
  <si>
    <t xml:space="preserve">https://www.maldivesholidayoffers.com/blogs/blog-detail/amilla-maldives-top-family-resort-2025/</t>
  </si>
  <si>
    <t xml:space="preserve">Amilla Maldives Named Top Family Resort by T+L in 2025</t>
  </si>
  <si>
    <t xml:space="preserve">output/pages/009_amilla-fushi/diving__maldivesholidayoffers.com__blogs-blog-detail-amilla-maldives-top-family-resort-2025.md</t>
  </si>
  <si>
    <t xml:space="preserve">https://www.maldivesholidayoffers.com/accomodation/resorts/baros-maldives/</t>
  </si>
  <si>
    <t xml:space="preserve">Baros Maldives - Maldives Luxury Resorts</t>
  </si>
  <si>
    <t xml:space="preserve">output/pages/164_baros-maldives/dining__maldivesholidayoffers.com__accomodation-resorts-baros-maldives.md</t>
  </si>
  <si>
    <t xml:space="preserve">https://www.mymaldives.com/resort-guide/park-hyatt-maldives-hadahaa/</t>
  </si>
  <si>
    <t xml:space="preserve">Park Hyatt Maldives Hadahaa, Maldives Resort</t>
  </si>
  <si>
    <t xml:space="preserve">output/pages/047_park-hyatt-maldives-hadahaa/diving__mymaldives.com__resort-guide-park-hyatt-maldives-hadahaa.md</t>
  </si>
  <si>
    <t xml:space="preserve">https://maldivestraveller.mv/en/holidays/maldives-tours/day-visit-to-adaaran-hudhuran-fushi</t>
  </si>
  <si>
    <t xml:space="preserve">Day Visit to Adaaran Select Hudhuran Fushi, day tour - MTH</t>
  </si>
  <si>
    <t xml:space="preserve">output/pages/003_adaaran-select-hudhuranfushi/diving__maldivestraveller.mv__en-holidays-maldives-tours-day-visit-to-adaaran-hudhuran-fus.md</t>
  </si>
  <si>
    <t xml:space="preserve">https://www.simplymaldivesholidays.co.uk/resort/niva-dhigali/</t>
  </si>
  <si>
    <t xml:space="preserve">Niva Dhigali | Simply Maldives Holidays</t>
  </si>
  <si>
    <t xml:space="preserve">output/pages/033_dhigali-maldives/diving__simplymaldivesholidays.co.uk__resort-niva-dhigali.md</t>
  </si>
  <si>
    <t xml:space="preserve">https://maldivestraveller.mv/it/holidays/maldives-tours/day-tour-to-taj-exotica-resort</t>
  </si>
  <si>
    <t xml:space="preserve">Escursione in giornata alle Taj Exotica Resort - Maldives Traveller</t>
  </si>
  <si>
    <t xml:space="preserve">output/pages/154_taj-exotica-resort-spa-maldives/diving__maldivestraveller.mv__it-holidays-maldives-tours-day-tour-to-taj-exotica-resort.md</t>
  </si>
  <si>
    <t xml:space="preserve">https://www.maldivesholidayoffers.com/holidays/07-night-stay-in-sunset-beach-villa-on-atmosphere-kanifushi-maldives/</t>
  </si>
  <si>
    <t xml:space="preserve">Atmosphere Kanifushi Maldives – Up to 40% Off Deals</t>
  </si>
  <si>
    <t xml:space="preserve">output/pages/077_atmosphere-kanifushi-maldives/diving__maldivesholidayoffers.com__holidays-07-night-stay-in-sunset-beach-villa-on-atmosphere-k.md</t>
  </si>
  <si>
    <t xml:space="preserve">https://www.mymaldives.com/resort-guide/chaaya-lagoon-hakuraa-huraa/</t>
  </si>
  <si>
    <t xml:space="preserve">Chaaya Lagoon Hakuraa Huraa - Maldives Resort</t>
  </si>
  <si>
    <t xml:space="preserve">output/pages/053_cinnamon-hakuraa-huraa-maldives/diving__mymaldives.com__resort-guide-chaaya-lagoon-hakuraa-huraa.md</t>
  </si>
  <si>
    <t xml:space="preserve">https://www.simplymaldivesholidays.co.uk/resort/joy-island-maldives/</t>
  </si>
  <si>
    <t xml:space="preserve">Joy Island | Simply Maldives Holidays</t>
  </si>
  <si>
    <t xml:space="preserve">output/pages/070_joy-island/diving__simplymaldivesholidays.co.uk__resort-joy-island-maldives.md</t>
  </si>
  <si>
    <t xml:space="preserve">https://www.simplymaldivesholidays.co.uk/resort/adaaran-select-hudhuranfushi/</t>
  </si>
  <si>
    <t xml:space="preserve">Adaaran Select Hudhuranfushi Island Resort - Exclusive Simply Maldives Offers</t>
  </si>
  <si>
    <t xml:space="preserve">output/pages/003_adaaran-select-hudhuranfushi/diving__simplymaldivesholidays.co.uk__resort-adaaran-select-hudhuranfushi.md</t>
  </si>
  <si>
    <t xml:space="preserve">https://www.maldivesholidayoffers.com/accomodation/resorts/constance-moofushi/</t>
  </si>
  <si>
    <t xml:space="preserve">Constance Moofushi - All Inclusive Maldives Resort</t>
  </si>
  <si>
    <t xml:space="preserve">output/pages/109_constance-moofushi-resort/diving__maldivesholidayoffers.com__accomodation-resorts-constance-moofushi.md</t>
  </si>
  <si>
    <t xml:space="preserve">https://www.mymaldives.com/resort-guide/baros-maldives/</t>
  </si>
  <si>
    <t xml:space="preserve">Baros Maldives - Maldives Resort</t>
  </si>
  <si>
    <t xml:space="preserve">output/pages/164_baros-maldives/dining__mymaldives.com__resort-guide-baros-maldives.md</t>
  </si>
  <si>
    <t xml:space="preserve">https://www.maldivesholidayoffers.com/accomodation/resorts/conrad-rangali-maldives-island-hotel/</t>
  </si>
  <si>
    <t xml:space="preserve">Conrad Rangali Maldives Island Hotel</t>
  </si>
  <si>
    <t xml:space="preserve">output/pages/099_conrad-maldives-rangali-island/diving__maldivesholidayoffers.com__accomodation-resorts-conrad-rangali-maldives-island-hotel.md</t>
  </si>
  <si>
    <t xml:space="preserve">https://www.mymaldives.com/resort-guide/embudu-village/</t>
  </si>
  <si>
    <t xml:space="preserve">Embudu Village - Maldives Resort</t>
  </si>
  <si>
    <t xml:space="preserve">output/pages/072_embudhu-village/diving__mymaldives.com__resort-guide-embudu-village.md</t>
  </si>
  <si>
    <t xml:space="preserve">https://www.maldivesholidayoffers.com/accomodation/resorts/dhigali-maldives/</t>
  </si>
  <si>
    <t xml:space="preserve">output/pages/033_dhigali-maldives/diving__maldivesholidayoffers.com__accomodation-resorts-dhigali-maldives.md</t>
  </si>
  <si>
    <t xml:space="preserve">https://www.simplymaldivesholidays.co.uk/resort/radisson-blu-resort-maldives/</t>
  </si>
  <si>
    <t xml:space="preserve">Radisson Blu Resort Maldives | Simply Maldives Holidays</t>
  </si>
  <si>
    <t xml:space="preserve">output/pages/064_radisson-blu-resort-maldives/diving__simplymaldivesholidays.co.uk__resort-radisson-blu-resort-maldives.md</t>
  </si>
  <si>
    <t xml:space="preserve">https://www.mymaldives.com/resort-guide/diamonds-athuruga-beach-water-villas/</t>
  </si>
  <si>
    <t xml:space="preserve">Diamonds Athuruga Beach &amp; Water Villas - Maldives Resort</t>
  </si>
  <si>
    <t xml:space="preserve">output/pages/178_diamonds-athuruga-beach-water-villas/diving__mymaldives.com__resort-guide-diamonds-athuruga-beach-water-villas.md</t>
  </si>
  <si>
    <t xml:space="preserve">https://www.mymaldives.com/resort-guide/sun-island-resort-aspa/</t>
  </si>
  <si>
    <t xml:space="preserve">Villa Park Maldives - Sun Island Resort, A Tropical Escape</t>
  </si>
  <si>
    <t xml:space="preserve">output/pages/176_villa-park-sun-island/spa__mymaldives.com__resort-guide-sun-island-resort-aspa.md</t>
  </si>
  <si>
    <t xml:space="preserve">https://www.maldivesholidayoffers.com/accomodation/resorts/kuramathi-madives/</t>
  </si>
  <si>
    <t xml:space="preserve">Kuramathi Madives | Maldives Resorts | Rasdhoo Atoll</t>
  </si>
  <si>
    <t xml:space="preserve">output/pages/166_kuramathi-maldives/diving__maldivesholidayoffers.com__accomodation-resorts-kuramathi-madives.md</t>
  </si>
  <si>
    <t xml:space="preserve">https://www.mymaldives.com/resort-guide/vakarufalhi-island-resort/</t>
  </si>
  <si>
    <t xml:space="preserve">Vakarufalhi Island Resort - Maldives Resort</t>
  </si>
  <si>
    <t xml:space="preserve">output/pages/116_nova-maldives/diving__mymaldives.com__resort-guide-vakarufalhi-island-resort.md</t>
  </si>
  <si>
    <t xml:space="preserve">https://www.simplymaldivesholidays.co.uk/resort/joali/</t>
  </si>
  <si>
    <t xml:space="preserve">JOALI Maldives | Simply Maldives Holidays</t>
  </si>
  <si>
    <t xml:space="preserve">output/pages/007_joali-muravandhoo/diving__simplymaldivesholidays.co.uk__resort-joali.md</t>
  </si>
  <si>
    <t xml:space="preserve">https://www.mymaldives.com/resort-guide/angaga-island-resort-spa/</t>
  </si>
  <si>
    <t xml:space="preserve">Angaga Island Resort and Spa - Maldives Resort</t>
  </si>
  <si>
    <t xml:space="preserve">output/pages/011_angaga-island-resort-and-spa/spa__mymaldives.com__resort-guide-angaga-island-resort-spa.md</t>
  </si>
  <si>
    <t xml:space="preserve">https://www.maldivesholidayoffers.com/blogs/blog-detail/unique-dining-experience-at-lake-view-and-sea-view-restaurants-in-dreamland-maldives/</t>
  </si>
  <si>
    <t xml:space="preserve">Unique Dining Experience at Lake View and Sea View Restaurants in Dreamland Maldives</t>
  </si>
  <si>
    <t xml:space="preserve">output/pages/010_dreamland-the-unique-sea-lake-resort-spa/dining__maldivesholidayoffers.com__blogs-blog-detail-unique-dining-experience-at-lake-view-and-.md</t>
  </si>
  <si>
    <t xml:space="preserve">https://www.mymaldives.com/blog/w-maldives-named-leading-hotel-suite-at-the-20th-world-travel-awards/</t>
  </si>
  <si>
    <t xml:space="preserve">W Maldives named “Leading Hotel Suite” at the 20th World Travel Awards - My Maldives</t>
  </si>
  <si>
    <t xml:space="preserve">output/pages/102_w-maldives/diving__mymaldives.com__blog-w-maldives-named-leading-hotel-suite-at-the-20th-world-.md</t>
  </si>
  <si>
    <t xml:space="preserve">https://www.mymaldives.com/resort-guide/helengeli-island-resort/</t>
  </si>
  <si>
    <t xml:space="preserve">Helengeli Island Resort - Maldives</t>
  </si>
  <si>
    <t xml:space="preserve">output/pages/133_oblu-by-atmosphere-at-helengeli/diving__mymaldives.com__resort-guide-helengeli-island-resort.md</t>
  </si>
  <si>
    <t xml:space="preserve">https://www.mymaldives.com/resort-guide/veligandu-island-resort/</t>
  </si>
  <si>
    <t xml:space="preserve">Veligandu Island Resort &amp; Spa, Maldives</t>
  </si>
  <si>
    <t xml:space="preserve">output/pages/038_veligandu-maldives-resort-island/spa__mymaldives.com__resort-guide-veligandu-island-resort.md</t>
  </si>
  <si>
    <t xml:space="preserve">https://maldivestraveller.mv/en/holidays/maldives-tours/day-visit-to-embudu-village</t>
  </si>
  <si>
    <t xml:space="preserve">Day Tour to Embudu Village - Maldives Traveller</t>
  </si>
  <si>
    <t xml:space="preserve">output/pages/072_embudhu-village/diving__maldivestraveller.mv__en-holidays-maldives-tours-day-visit-to-embudu-village.md</t>
  </si>
  <si>
    <t xml:space="preserve">https://www.simplymaldivesholidays.co.uk/resort/furaveri-2/</t>
  </si>
  <si>
    <t xml:space="preserve">Furaveri Maldives | Simply Maldives Holidays</t>
  </si>
  <si>
    <t xml:space="preserve">output/pages/110_furaveri-island-resort-spa/diving__simplymaldivesholidays.co.uk__resort-furaveri-2.md</t>
  </si>
  <si>
    <t xml:space="preserve">https://www.maldivesholidayoffers.com/blogs/blog-detail/madifushi-newest-luxury-private-island-in-the-maldives-to-visit-2023/</t>
  </si>
  <si>
    <t xml:space="preserve">Madifushi Newest Luxury Private Island in the Maldives To Visit 2023</t>
  </si>
  <si>
    <t xml:space="preserve">output/pages/098_madifushi-private-island/diving__maldivesholidayoffers.com__blogs-blog-detail-madifushi-newest-luxury-private-island-in-.md</t>
  </si>
  <si>
    <t xml:space="preserve">https://www.maldivesholidayoffers.com/blogs/blog-detail/treat-yourself-the-top-spa-packages-at-duny-thai-spa--angaga-island-resorts/</t>
  </si>
  <si>
    <t xml:space="preserve">Treat Yourself: The Top Spa Packages at Duny Thai Spa, Angaga Island Resorts</t>
  </si>
  <si>
    <t xml:space="preserve">output/pages/011_angaga-island-resort-and-spa/dining__maldivesholidayoffers.com__blogs-blog-detail-treat-yourself-the-top-spa-packages-at-dun.md</t>
  </si>
  <si>
    <t xml:space="preserve">https://www.maldivesholidayoffers.com/blogs/blog-detail/summer-island-maldives-3d-reef-makes-its-way-to-the-guinness-list-of-world-records/</t>
  </si>
  <si>
    <t xml:space="preserve">Summer Island Maldives’ 3D reef</t>
  </si>
  <si>
    <t xml:space="preserve">output/pages/073_summer-island-maldives/diving__maldivesholidayoffers.com__blogs-blog-detail-summer-island-maldives-3d-reef-makes-its-w.md</t>
  </si>
  <si>
    <t xml:space="preserve">https://www.simplymaldivesholidays.co.uk/resort/oblu-select-at-sangeli/</t>
  </si>
  <si>
    <t xml:space="preserve">Oblu Select at Sangeli | Simply Maldives Holidays</t>
  </si>
  <si>
    <t xml:space="preserve">output/pages/115_oblu-select-by-atmosphere-at-sangeli/diving__simplymaldivesholidays.co.uk__resort-oblu-select-at-sangeli.md</t>
  </si>
  <si>
    <t xml:space="preserve">https://www.simplymaldivesholidays.co.uk/resort/komandoo/</t>
  </si>
  <si>
    <t xml:space="preserve">Komandoo | Simply Maldives Holidays</t>
  </si>
  <si>
    <t xml:space="preserve">output/pages/079_komandoo-island-resort/diving__simplymaldivesholidays.co.uk__resort-komandoo.md</t>
  </si>
  <si>
    <t xml:space="preserve">https://www.maldivesholidayoffers.com/holidays/winter-package-kandima-maldives/</t>
  </si>
  <si>
    <t xml:space="preserve">Winter package Kandima Maldives - 55% Off</t>
  </si>
  <si>
    <t xml:space="preserve">output/pages/075_kandima-maldives/diving__maldivesholidayoffers.com__holidays-winter-package-kandima-maldives.md</t>
  </si>
  <si>
    <t xml:space="preserve">https://www.mymaldives.com/resort-guide/adaaran-select-meedhupparu/</t>
  </si>
  <si>
    <t xml:space="preserve">Adaaran Select Meedhupparu - Meedhupparu Island</t>
  </si>
  <si>
    <t xml:space="preserve">output/pages/034_adaaran-select-meedhupparu/overview__mymaldives.com__resort-guide-adaaran-select-meedhupparu.md</t>
  </si>
  <si>
    <t xml:space="preserve">https://maldivestraveller.mv/en/holidays/maldives-tours/day-visit-to-centara-ras-fushi</t>
  </si>
  <si>
    <t xml:space="preserve">Centara Ras Fushi Day Pass with Transfers | Maldives</t>
  </si>
  <si>
    <t xml:space="preserve">output/pages/026_centara-ras-fushi-resort-spa/diving__maldivestraveller.mv__en-holidays-maldives-tours-day-visit-to-centara-ras-fushi.md</t>
  </si>
  <si>
    <t xml:space="preserve">https://www.mymaldives.com/resort-guide/anantara-kihavah-villas/</t>
  </si>
  <si>
    <t xml:space="preserve">Anantara Kihavah Villas - Kihavah Huravelhi Island, Maldives</t>
  </si>
  <si>
    <t xml:space="preserve">output/pages/106_anantara-kihavah-villas/diving__mymaldives.com__resort-guide-anantara-kihavah-villas.md</t>
  </si>
  <si>
    <t xml:space="preserve">https://www.maldivesholidayoffers.com/holidays/04-night-stay-in-superior-villa-on-full-board-bandos-honeymoon/</t>
  </si>
  <si>
    <t xml:space="preserve">04 Night Superior Villa on Full Board -  Bandos Resort Maldives</t>
  </si>
  <si>
    <t xml:space="preserve">output/pages/120_bandos-maldives/wedding__maldivesholidayoffers.com__holidays-04-night-stay-in-superior-villa-on-full-board-bando.md</t>
  </si>
  <si>
    <t xml:space="preserve">https://www.mymaldives.com/blog/naladhu/</t>
  </si>
  <si>
    <t xml:space="preserve">Naladhu Maldives - My Maldives</t>
  </si>
  <si>
    <t xml:space="preserve">output/pages/146_anantara-veli-and-naladhu/diving__mymaldives.com__blog-naladhu.md</t>
  </si>
  <si>
    <t xml:space="preserve">https://www.mymaldives.com/resort-guide/makunudu-island/</t>
  </si>
  <si>
    <t xml:space="preserve">Makunudu Island Resort, Maldives</t>
  </si>
  <si>
    <t xml:space="preserve">output/pages/152_makunudu-island/diving__mymaldives.com__resort-guide-makunudu-island.md</t>
  </si>
  <si>
    <t xml:space="preserve">https://www.maldivesholidayoffers.com/accomodation/resorts/dusit-thani-maldives-/</t>
  </si>
  <si>
    <t xml:space="preserve">Dusit Thani | Maldives Holiday Offers</t>
  </si>
  <si>
    <t xml:space="preserve">output/pages/048_dusit-thani-maldives/diving__maldivesholidayoffers.com__accomodation-resorts-dusit-thani-maldives.md</t>
  </si>
  <si>
    <t xml:space="preserve">https://www.maldivesholidayoffers.com/accomodation/resorts/adaaran-prestige-vadoo/</t>
  </si>
  <si>
    <t xml:space="preserve">Adaaran Prestige Vadoo  Maldives - Adult Only Resort</t>
  </si>
  <si>
    <t xml:space="preserve">output/pages/163_adaaran-prestige-vadoo/diving__maldivesholidayoffers.com__accomodation-resorts-adaaran-prestige-vadoo.md</t>
  </si>
  <si>
    <t xml:space="preserve">https://maldivestraveller.mv/jp/holidays/maldives-tours/overnight-at-paradise-island</t>
  </si>
  <si>
    <r>
      <rPr>
        <sz val="11"/>
        <color theme="1"/>
        <rFont val="WenQuanYi Zen Hei"/>
        <family val="2"/>
      </rPr>
      <t xml:space="preserve">モルディブでの宿泊体験 </t>
    </r>
    <r>
      <rPr>
        <sz val="11"/>
        <color theme="1"/>
        <rFont val="Calibri"/>
        <family val="2"/>
        <charset val="1"/>
      </rPr>
      <t xml:space="preserve">- </t>
    </r>
    <r>
      <rPr>
        <sz val="11"/>
        <color theme="1"/>
        <rFont val="WenQuanYi Zen Hei"/>
        <family val="2"/>
      </rPr>
      <t xml:space="preserve">モルディブトラベラー</t>
    </r>
  </si>
  <si>
    <t xml:space="preserve">output/pages/175_villa-nautica-paradise-island/diving__maldivestraveller.mv__jp-holidays-maldives-tours-overnight-at-paradise-island.md</t>
  </si>
  <si>
    <t xml:space="preserve">https://www.simplymaldivesholidays.co.uk/resort/velaa-private-island/</t>
  </si>
  <si>
    <t xml:space="preserve">Velaa Private Island | Simply Maldives Holidays</t>
  </si>
  <si>
    <t xml:space="preserve">output/pages/171_velaa-private-island-maldives/diving__simplymaldivesholidays.co.uk__resort-velaa-private-island.md</t>
  </si>
  <si>
    <t xml:space="preserve">https://www.maldivesholidayoffers.com/accomodation/resorts/anantara-veli/</t>
  </si>
  <si>
    <t xml:space="preserve">Anantara Veli Maldives Resort - Maldives Over Water Villas</t>
  </si>
  <si>
    <t xml:space="preserve">output/pages/146_anantara-veli-and-naladhu/diving__maldivesholidayoffers.com__accomodation-resorts-anantara-veli.md</t>
  </si>
  <si>
    <t xml:space="preserve">https://www.maldivesholidayoffers.com/accomodation/resorts/gili-lankanfushi-maldives/</t>
  </si>
  <si>
    <t xml:space="preserve">Gili Lankanfushi Maldives</t>
  </si>
  <si>
    <t xml:space="preserve">output/pages/125_gili-lankanfushi/diving__maldivesholidayoffers.com__accomodation-resorts-gili-lankanfushi-maldives.md</t>
  </si>
  <si>
    <t xml:space="preserve">https://www.simplymaldivesholidays.co.uk/resort/the-sun-siyam-iru-fushi/</t>
  </si>
  <si>
    <t xml:space="preserve">The Sun Siyam Iru Fushi | Simply Maldives Holidays</t>
  </si>
  <si>
    <t xml:space="preserve">output/pages/148_sun-siyam-iru-fushi-maldives/diving__simplymaldivesholidays.co.uk__resort-the-sun-siyam-iru-fushi.md</t>
  </si>
  <si>
    <t xml:space="preserve">https://www.mymaldives.com/resort-guide/cocoa-island/</t>
  </si>
  <si>
    <t xml:space="preserve">Cocoa Island - Maldives Resort</t>
  </si>
  <si>
    <t xml:space="preserve">output/pages/121_cocoa-island/diving__mymaldives.com__resort-guide-cocoa-island.md</t>
  </si>
  <si>
    <t xml:space="preserve">https://www.simplymaldivesholidays.co.uk/resort/naladhu-private-island-maldives/</t>
  </si>
  <si>
    <t xml:space="preserve">Naladhu Private Island Maldives | Simply Maldives Holidays</t>
  </si>
  <si>
    <t xml:space="preserve">output/pages/146_anantara-veli-and-naladhu/diving__simplymaldivesholidays.co.uk__resort-naladhu-private-island-maldives.md</t>
  </si>
  <si>
    <t xml:space="preserve">https://www.mymaldives.com/blog/kurumba-maldives-announces-majaa-kids-club/</t>
  </si>
  <si>
    <t xml:space="preserve">Kurumba Maldives announces Majaa Kids Club - My Maldives</t>
  </si>
  <si>
    <t xml:space="preserve">output/pages/173_kurumba-maldives/diving__mymaldives.com__blog-kurumba-maldives-announces-majaa-kids-club.md</t>
  </si>
  <si>
    <t xml:space="preserve">https://maldivestraveller.mv/it/holidays/maldives-tours/overnight-at-paradise-island</t>
  </si>
  <si>
    <t xml:space="preserve">Escursione in giornata alle Paradise Island Resort | Maldives Traveller</t>
  </si>
  <si>
    <t xml:space="preserve">output/pages/175_villa-nautica-paradise-island/diving__maldivestraveller.mv__it-holidays-maldives-tours-overnight-at-paradise-island.md</t>
  </si>
  <si>
    <t xml:space="preserve">https://www.mymaldives.com/resort-guide/maafushivaru/</t>
  </si>
  <si>
    <t xml:space="preserve">Maafushivaru Maldives Resort</t>
  </si>
  <si>
    <t xml:space="preserve">output/pages/119_outrigger-maldives-maafushivaru-resort/diving__mymaldives.com__resort-guide-maafushivaru.md</t>
  </si>
  <si>
    <t xml:space="preserve">https://www.simplymaldivesholidays.co.uk/resort/nh-collection-maldives-havodda-resort/</t>
  </si>
  <si>
    <t xml:space="preserve">NH Collection Maldives Havodda Resort | Simply Maldives Holidays</t>
  </si>
  <si>
    <t xml:space="preserve">output/pages/039_nh-collection-maldives-havodda-resort/diving__simplymaldivesholidays.co.uk__resort-nh-collection-maldives-havodda-resort.md</t>
  </si>
  <si>
    <t xml:space="preserve">https://www.mymaldives.com/blog/hideaway-beach-maldives-opens-fresh-water-bottling-plant/</t>
  </si>
  <si>
    <t xml:space="preserve">Hideaway Beach Maldives opens fresh water bottling plant - My Maldives</t>
  </si>
  <si>
    <t xml:space="preserve">output/pages/076_hideaway-beach-resort-and-spa-at-dhonakulhi-island/diving__mymaldives.com__blog-hideaway-beach-maldives-opens-fresh-water-bottling-plan.md</t>
  </si>
  <si>
    <t xml:space="preserve">https://www.maldivesholidayoffers.com/blogs/blog-detail/the-st-regis-maldives-to-host-celebrated-chef-jolly-for-exclusive-culinary-experience/</t>
  </si>
  <si>
    <t xml:space="preserve">St. Regis Maldives Hosts Chef Jolly for Exclusive Dining Event</t>
  </si>
  <si>
    <t xml:space="preserve">output/pages/134_the-st-regis-vommuli-resort-maldives/wedding__maldivesholidayoffers.com__blogs-blog-detail-the-st-regis-maldives-to-host-celebrated-c.md</t>
  </si>
  <si>
    <t xml:space="preserve">https://www.simplymaldivesholidays.co.uk/resort/v-villas-maldives-at-mirihi/</t>
  </si>
  <si>
    <t xml:space="preserve">V Villas Maldives at Mirihi | Simply Maldives Holidays</t>
  </si>
  <si>
    <t xml:space="preserve">output/pages/172_mirihi-island-resort/diving__simplymaldivesholidays.co.uk__resort-v-villas-maldives-at-mirihi.md</t>
  </si>
  <si>
    <t xml:space="preserve">https://www.mymaldives.com/resort-guide/filitheyo-island-resort/</t>
  </si>
  <si>
    <t xml:space="preserve">Filitheyo Island Resort - Maldives</t>
  </si>
  <si>
    <t xml:space="preserve">output/pages/002_filitheyo-island-resort/diving__mymaldives.com__resort-guide-filitheyo-island-resort.md</t>
  </si>
  <si>
    <t xml:space="preserve">https://www.maldivesholidayoffers.com/blogs/blog-detail/cocoa-island-maldives-greatest-water-villa-resort/</t>
  </si>
  <si>
    <t xml:space="preserve">Cocoa Island by COMO Maldives' greatest water villa resort</t>
  </si>
  <si>
    <t xml:space="preserve">output/pages/121_cocoa-island/dining__maldivesholidayoffers.com__blogs-blog-detail-cocoa-island-maldives-greatest-water-villa.md</t>
  </si>
  <si>
    <t xml:space="preserve">https://www.maldivesholidayoffers.com/blogs/blog-detail/the-best-st-regis-maldives-family-holiday-moments/</t>
  </si>
  <si>
    <t xml:space="preserve">The Best St. Regis Maldives Family Holiday Moments</t>
  </si>
  <si>
    <t xml:space="preserve">output/pages/134_the-st-regis-vommuli-resort-maldives/diving__maldivesholidayoffers.com__blogs-blog-detail-the-best-st-regis-maldives-family-holiday-.md</t>
  </si>
  <si>
    <t xml:space="preserve">https://www.mymaldives.com/resort-guide/eriyadu-island-resort/</t>
  </si>
  <si>
    <t xml:space="preserve">Eriyadu Island Resort - Maldives Resort</t>
  </si>
  <si>
    <t xml:space="preserve">output/pages/052_eri-maldives/diving__mymaldives.com__resort-guide-eriyadu-island-resort.md</t>
  </si>
  <si>
    <t xml:space="preserve">https://www.mymaldives.com/resort-guide/kudarah-island-resort/</t>
  </si>
  <si>
    <t xml:space="preserve">Kudarah Island Resort, Maldives</t>
  </si>
  <si>
    <t xml:space="preserve">output/pages/092_amaya-kuda-rah-maldives/diving__mymaldives.com__resort-guide-kudarah-island-resort.md</t>
  </si>
  <si>
    <t xml:space="preserve">https://www.maldivesholidayoffers.com/blogs/blog-detail/why-choose-villa-nautica-maldives-/</t>
  </si>
  <si>
    <t xml:space="preserve">Why Choose Villa Nautica Maldives?</t>
  </si>
  <si>
    <t xml:space="preserve">output/pages/175_villa-nautica-paradise-island/diving__maldivesholidayoffers.com__blogs-blog-detail-why-choose-villa-nautica-maldives.md</t>
  </si>
  <si>
    <t xml:space="preserve">https://www.simplymaldivesholidays.co.uk/resort/banyan-tree-vabbinfaru/</t>
  </si>
  <si>
    <t xml:space="preserve">Banyan Tree Maldives Vabbinfaru - Simply Maldives Call Now</t>
  </si>
  <si>
    <t xml:space="preserve">output/pages/169_banyan-tree-maldives-vabbinfaru/diving__simplymaldivesholidays.co.uk__resort-banyan-tree-vabbinfaru.md</t>
  </si>
  <si>
    <t xml:space="preserve">https://www.mymaldives.com/resort-guide/four-seasons-resort-maldives-at-landaa-giraavaru/</t>
  </si>
  <si>
    <t xml:space="preserve">Four Seasons Resort Maldives at Landaa Giraavaru - Maldives Resort</t>
  </si>
  <si>
    <t xml:space="preserve">output/pages/087_four-seasons-resort-maldives-at-landaa-giraavaru/diving__mymaldives.com__resort-guide-four-seasons-resort-maldives-at-landaa-giraavar.md</t>
  </si>
  <si>
    <t xml:space="preserve">https://www.maldives.com/resorts/coco-bodu-hithi</t>
  </si>
  <si>
    <t xml:space="preserve">Coco Bodu Hithi | Boutique Luxury Resort in Maldives | Deals for 2025</t>
  </si>
  <si>
    <t xml:space="preserve">output/pages/150_coco-bodu-hithi/diving__maldives.com__resorts-coco-bodu-hithi.md</t>
  </si>
  <si>
    <t xml:space="preserve">https://www.maldivesholidayoffers.com/accomodation/resorts/villa-nautica-maldives-/</t>
  </si>
  <si>
    <t xml:space="preserve">Villa Nautica Maldives  -  5 Star Maldives  Luxury Resort</t>
  </si>
  <si>
    <t xml:space="preserve">output/pages/175_villa-nautica-paradise-island/diving__maldivesholidayoffers.com__accomodation-resorts-villa-nautica-maldives.md</t>
  </si>
  <si>
    <t xml:space="preserve">https://www.mymaldives.com/resort-guide/adaaran-club-rannalhi/</t>
  </si>
  <si>
    <t xml:space="preserve">Adaaran Club Rannalhi - Rannalhi Island</t>
  </si>
  <si>
    <t xml:space="preserve">output/pages/069_adaaran-club-rannalhi/overview__mymaldives.com__resort-guide-adaaran-club-rannalhi.md</t>
  </si>
  <si>
    <t xml:space="preserve">https://www.maldivesholidayoffers.com/blogs/blog-detail/treat-your-valentine-with-the-best-vegan-cuisine-in-maldives-at-oblu-select-sangeli/</t>
  </si>
  <si>
    <t xml:space="preserve">Treat Your Valentine With the Best Vegan Cuisine in Maldives at Oblu Select Sangeli</t>
  </si>
  <si>
    <t xml:space="preserve">output/pages/115_oblu-select-by-atmosphere-at-sangeli/dining__maldivesholidayoffers.com__blogs-blog-detail-treat-your-valentine-with-the-best-vegan-c.md</t>
  </si>
  <si>
    <t xml:space="preserve">https://www.maldives.com/resorts/coco-palm-dhuni-kolhu</t>
  </si>
  <si>
    <t xml:space="preserve">Coco Palm Dhuni Kolhu | Luxury Resort in Baa Atoll, Maldives</t>
  </si>
  <si>
    <t xml:space="preserve">output/pages/151_coco-palm-dhunikolhu/diving__maldives.com__resorts-coco-palm-dhuni-kolhu.md</t>
  </si>
  <si>
    <t xml:space="preserve">https://www.maldivesholidayoffers.com/blogs/blog-detail/why-devarana-spa-at-dusit-thani-maldives-is-wellness-bliss/</t>
  </si>
  <si>
    <t xml:space="preserve">Why Devarana Spa at Dusit Thani Maldives is Wellness Bliss</t>
  </si>
  <si>
    <t xml:space="preserve">output/pages/048_dusit-thani-maldives/spa__maldivesholidayoffers.com__blogs-blog-detail-why-devarana-spa-at-dusit-thani-maldives-i.md</t>
  </si>
  <si>
    <t xml:space="preserve">https://www.maldives.com/resorts/reethi-beach-resort-maldives</t>
  </si>
  <si>
    <t xml:space="preserve">Reethi Beach Resort | 4-Star Island Retreat in Baa Atoll</t>
  </si>
  <si>
    <t xml:space="preserve">output/pages/060_reethi-beach-resort/dining__maldives.com__resorts-reethi-beach-resort-maldives.md</t>
  </si>
  <si>
    <t xml:space="preserve">https://www.maldivesholidayoffers.com/accomodation/resorts/bandos-maldives/</t>
  </si>
  <si>
    <t xml:space="preserve">Bandos Island Resort Maldives - All Inclusive Packages</t>
  </si>
  <si>
    <t xml:space="preserve">output/pages/120_bandos-maldives/diving__maldivesholidayoffers.com__accomodation-resorts-bandos-maldives.md</t>
  </si>
  <si>
    <t xml:space="preserve">https://www.maldives.com/resorts/nh-maldives-kuda-rah-resort</t>
  </si>
  <si>
    <t xml:space="preserve">NH Maldives Kuda Rah Resort | Luxurious Island Retreat</t>
  </si>
  <si>
    <t xml:space="preserve">output/pages/092_amaya-kuda-rah-maldives/dining__maldives.com__resorts-nh-maldives-kuda-rah-resort.md</t>
  </si>
  <si>
    <t xml:space="preserve">https://www.simplymaldivesholidays.co.uk/resort/ellaidhoo-by-cinnamon/</t>
  </si>
  <si>
    <t xml:space="preserve">Ellaidhoo Maldives by Cinnamon | Simply Maldives Holidays</t>
  </si>
  <si>
    <t xml:space="preserve">output/pages/161_ellaidhoo-maldives-by-cinnamon/diving__simplymaldivesholidays.co.uk__resort-ellaidhoo-by-cinnamon.md</t>
  </si>
  <si>
    <t xml:space="preserve">https://www.maldivesholidayoffers.com/accomodation/resorts/grand-park-kodhipparu/</t>
  </si>
  <si>
    <t xml:space="preserve">Grand Park Kodhipparu, Maldives with 15% off on Transfers</t>
  </si>
  <si>
    <t xml:space="preserve">output/pages/027_grand-park-kodhipparu-maldives/diving__maldivesholidayoffers.com__accomodation-resorts-grand-park-kodhipparu.md</t>
  </si>
  <si>
    <t xml:space="preserve">https://www.maldivesholidayoffers.com/accomodation/resorts/atmosphere-kanifushi-maldives/</t>
  </si>
  <si>
    <t xml:space="preserve">Atmosphere Kanifushi | Maldives All Inclusive Resort</t>
  </si>
  <si>
    <t xml:space="preserve">output/pages/077_atmosphere-kanifushi-maldives/diving__maldivesholidayoffers.com__accomodation-resorts-atmosphere-kanifushi-maldives.md</t>
  </si>
  <si>
    <t xml:space="preserve">https://www.maldives.com/offers/coco-palm-dhuni-kolhu-all-inclusive-deal</t>
  </si>
  <si>
    <t xml:space="preserve">Coco Palm Dhuni Kolhu | Budget 2026 | 40% off | All-Inclusive</t>
  </si>
  <si>
    <t xml:space="preserve">output/pages/151_coco-palm-dhunikolhu/offers__maldives.com__offers-coco-palm-dhuni-kolhu-all-inclusive-deal.md</t>
  </si>
  <si>
    <t xml:space="preserve">https://www.mymaldives.com/resort-guide/the-beach-house-at-iruveli-maldives/</t>
  </si>
  <si>
    <t xml:space="preserve">The Beach House at Iruveli Maldives - Maldives Resort</t>
  </si>
  <si>
    <t xml:space="preserve">output/pages/118_sun-siyam-iru-veli-maldives/diving__mymaldives.com__resort-guide-the-beach-house-at-iruveli-maldives.md</t>
  </si>
  <si>
    <t xml:space="preserve">https://www.maldives.com/offers/anantara-kihavah-winter-family-deal</t>
  </si>
  <si>
    <t xml:space="preserve">Anantara Kihavah Maldives Villas | 15% Off | Winter 2026 | Family Deal | Full Board</t>
  </si>
  <si>
    <t xml:space="preserve">output/pages/106_anantara-kihavah-villas/diving__maldives.com__offers-anantara-kihavah-winter-family-deal.md</t>
  </si>
  <si>
    <t xml:space="preserve">https://www.maldives.com/resorts/conrad-maldives-rangali-island</t>
  </si>
  <si>
    <t xml:space="preserve">Conrad Maldives Rangali Island 2026 Deals | Maldives.com</t>
  </si>
  <si>
    <t xml:space="preserve">output/pages/099_conrad-maldives-rangali-island/diving__maldives.com__resorts-conrad-maldives-rangali-island.md</t>
  </si>
  <si>
    <t xml:space="preserve">https://www.mymaldives.com/resort-guide/nika-island-resort/</t>
  </si>
  <si>
    <t xml:space="preserve">Nika Island Resort, Maldives</t>
  </si>
  <si>
    <t xml:space="preserve">output/pages/112_nika-island-resort-and-spa/diving__mymaldives.com__resort-guide-nika-island-resort.md</t>
  </si>
  <si>
    <t xml:space="preserve">https://www.simplymaldivesholidays.co.uk/resort/atmosphere-kanifushi/</t>
  </si>
  <si>
    <t xml:space="preserve">Atmosphere Kanifushi Resort Maldives | Simply Maldives Holidays</t>
  </si>
  <si>
    <t xml:space="preserve">output/pages/077_atmosphere-kanifushi-maldives/diving__simplymaldivesholidays.co.uk__resort-atmosphere-kanifushi.md</t>
  </si>
  <si>
    <t xml:space="preserve">https://www.maldives.com/resorts/barcelo-whale-lagoon-maldives</t>
  </si>
  <si>
    <t xml:space="preserve">Barceló Whale Lagoon Maldives | Luxury Resort in South Ari Atoll</t>
  </si>
  <si>
    <t xml:space="preserve">output/pages/022_barcelo-whale-lagoon-maldives/dining__maldives.com__resorts-barcelo-whale-lagoon-maldives.md</t>
  </si>
  <si>
    <t xml:space="preserve">https://www.simplymaldivesholidays.co.uk/offer/emerald-faarufushi-offer/</t>
  </si>
  <si>
    <t xml:space="preserve">Emerald Faarufushi Offer | Simply Maldives Holidays</t>
  </si>
  <si>
    <t xml:space="preserve">output/pages/054_emerald-faarufushi-resort-spa/diving__simplymaldivesholidays.co.uk__offer-emerald-faarufushi-offer.md</t>
  </si>
  <si>
    <t xml:space="preserve">https://www.mymaldives.com/resort-guide/adaaran-select-vadoo/</t>
  </si>
  <si>
    <t xml:space="preserve">Adaaran Select Vadoo - Vadoo Island</t>
  </si>
  <si>
    <t xml:space="preserve">output/pages/163_adaaran-prestige-vadoo/overview__mymaldives.com__resort-guide-adaaran-select-vadoo.md</t>
  </si>
  <si>
    <t xml:space="preserve">https://www.maldives.com/resorts/cinnamon-dhonveli-maldives</t>
  </si>
  <si>
    <t xml:space="preserve">Cinnamon Dhonveli Maldives | Tropical Resort in North Malé Atoll</t>
  </si>
  <si>
    <t xml:space="preserve">output/pages/159_cinnamon-dhonveli-maldives/diving__maldives.com__resorts-cinnamon-dhonveli-maldives.md</t>
  </si>
  <si>
    <t xml:space="preserve">https://www.simplymaldivesholidays.co.uk/resort/the-nautilus-maldives/</t>
  </si>
  <si>
    <t xml:space="preserve">The Nautilus Maldives | Simply Maldives Holidays</t>
  </si>
  <si>
    <t xml:space="preserve">output/pages/157_the-nautilus-maldives/diving__simplymaldivesholidays.co.uk__resort-the-nautilus-maldives.md</t>
  </si>
  <si>
    <t xml:space="preserve">https://www.mymaldives.com/resort-guide/herathera-island-resort/</t>
  </si>
  <si>
    <t xml:space="preserve">Herathera Island Resort - Maldives</t>
  </si>
  <si>
    <t xml:space="preserve">output/pages/024_canareef-resort-maldives/diving__mymaldives.com__resort-guide-herathera-island-resort.md</t>
  </si>
  <si>
    <t xml:space="preserve">https://www.simplymaldivesholidays.co.uk/resort/avani-fares-maldives/</t>
  </si>
  <si>
    <t xml:space="preserve">Avani+ Fares Maldives | Simply Maldives Holidays</t>
  </si>
  <si>
    <t xml:space="preserve">output/pages/122_avani-fares-maldives/diving__simplymaldivesholidays.co.uk__resort-avani-fares-maldives.md</t>
  </si>
  <si>
    <t xml:space="preserve">https://maldivestraveller.mv/it/holidays/maldives-tours/day-visit-to-adaaran-prestige-vadoo</t>
  </si>
  <si>
    <t xml:space="preserve">Escursione in giornata alle Adaaran Prestige Vadoo - MT</t>
  </si>
  <si>
    <t xml:space="preserve">output/pages/163_adaaran-prestige-vadoo/diving__maldivestraveller.mv__it-holidays-maldives-tours-day-visit-to-adaaran-prestige-vad.md</t>
  </si>
  <si>
    <t xml:space="preserve">https://www.simplymaldivesholidays.co.uk/resort/pullman-maldives-resort/</t>
  </si>
  <si>
    <t xml:space="preserve">Pullman Maldives Resort | Simply Maldives Holidays</t>
  </si>
  <si>
    <t xml:space="preserve">output/pages/123_pullman-maldives-maamutaa-resort/diving__simplymaldivesholidays.co.uk__resort-pullman-maldives-resort.md</t>
  </si>
  <si>
    <t xml:space="preserve">https://www.maldives.com/offers/kuda-villingili-all-inclusive-deal-beach-villa</t>
  </si>
  <si>
    <t xml:space="preserve">Kuda Villingili | All Inclusive Deal | 30% Off | Beach Villa with Pool</t>
  </si>
  <si>
    <t xml:space="preserve">output/pages/105_kuda-villingili-resort-maldives/villas__maldives.com__offers-kuda-villingili-all-inclusive-deal-beach-villa.md</t>
  </si>
  <si>
    <t xml:space="preserve">https://maldivestraveller.mv/en/holidays/maldives-tours/day-visit-to-adaaran-club-rannalhi</t>
  </si>
  <si>
    <t xml:space="preserve">All Inclusive Day Tour to Adaaran Club Rannalhi - MTH</t>
  </si>
  <si>
    <t xml:space="preserve">output/pages/069_adaaran-club-rannalhi/diving__maldivestraveller.mv__en-holidays-maldives-tours-day-visit-to-adaaran-club-rannalh.md</t>
  </si>
  <si>
    <t xml:space="preserve">https://www.maldivestourism.net/blog/peter-evans-in-maldives-cooking-at-six-senses-laamu/</t>
  </si>
  <si>
    <t xml:space="preserve">Peter Evans in Maldives, cooking at Six Senses Laamu - Maldives Tourism</t>
  </si>
  <si>
    <t xml:space="preserve">output/pages/001_six-senses-laamu/diving__maldivestourism.net__blog-peter-evans-in-maldives-cooking-at-six-senses-laamu.md</t>
  </si>
  <si>
    <t xml:space="preserve">https://www.maldives.com/resorts/centara-ras-fushi-resort</t>
  </si>
  <si>
    <t xml:space="preserve">Centara Ras Fushi Resort &amp; Spa Maldives | Adults-Only Luxury Retreat</t>
  </si>
  <si>
    <t xml:space="preserve">output/pages/026_centara-ras-fushi-resort-spa/dining__maldives.com__resorts-centara-ras-fushi-resort.md</t>
  </si>
  <si>
    <t xml:space="preserve">https://www.maldivestourism.net/resorts/four-seasons-resort-maldives-at-kuda-huraa/</t>
  </si>
  <si>
    <t xml:space="preserve">Four Seasons Resort Maldives at Kuda Huraa - Maldives Tourism</t>
  </si>
  <si>
    <t xml:space="preserve">output/pages/056_four-seasons-resort-maldives-at-kuda-huraa/diving__maldivestourism.net__resorts-four-seasons-resort-maldives-at-kuda-huraa.md</t>
  </si>
  <si>
    <t xml:space="preserve">https://www.maldives.com/resorts/kagi-maldives-resort-and-spa</t>
  </si>
  <si>
    <t xml:space="preserve">Kagi Maldives Resort &amp; Spa 2026 Deals | Maldives.com</t>
  </si>
  <si>
    <t xml:space="preserve">output/pages/071_kagi-maldives-resort-and-spa/spa__maldives.com__resorts-kagi-maldives-resort-and-spa.md</t>
  </si>
  <si>
    <t xml:space="preserve">https://www.simplymaldivesholidays.co.uk/resort/the-residence-maldives-falhumaafushi/</t>
  </si>
  <si>
    <t xml:space="preserve">The Residence Maldives Falhumaafushi | Simply Maldives Holidays</t>
  </si>
  <si>
    <t xml:space="preserve">output/pages/019_the-residence-maldives/diving__simplymaldivesholidays.co.uk__resort-the-residence-maldives-falhumaafushi.md</t>
  </si>
  <si>
    <t xml:space="preserve">https://www.simplymaldivesholidays.co.uk/resort/riu-atoll/</t>
  </si>
  <si>
    <t xml:space="preserve">Riu Atoll | Simply Maldives Holidays</t>
  </si>
  <si>
    <t xml:space="preserve">output/pages/129_riu-atoll-and-riu-palace-maldivas/diving__simplymaldivesholidays.co.uk__resort-riu-atoll.md</t>
  </si>
  <si>
    <t xml:space="preserve">https://www.simplymaldivesholidays.co.uk/resort/conrad-maldives-rangali-island/</t>
  </si>
  <si>
    <t xml:space="preserve">Conrad Maldives Rangali Island | Simply Maldives Holidays</t>
  </si>
  <si>
    <t xml:space="preserve">output/pages/099_conrad-maldives-rangali-island/diving__simplymaldivesholidays.co.uk__resort-conrad-maldives-rangali-island.md</t>
  </si>
  <si>
    <t xml:space="preserve">https://maldivestraveller.mv/de/holidays/maldives-tours/overnight-at-paradise-island</t>
  </si>
  <si>
    <t xml:space="preserve">Übernachtungserlebnis auf den Malediven - Maldives Traveller</t>
  </si>
  <si>
    <t xml:space="preserve">output/pages/175_villa-nautica-paradise-island/diving__maldivestraveller.mv__de-holidays-maldives-tours-overnight-at-paradise-island.md</t>
  </si>
  <si>
    <t xml:space="preserve">https://www.maldives.com/offers/siyam-world-maldives-festive-deal</t>
  </si>
  <si>
    <t xml:space="preserve">Siyam World Maldives | Festive Deals | 25% Off | All Inclusive</t>
  </si>
  <si>
    <t xml:space="preserve">output/pages/179_siyam-world-maldives/diving__maldives.com__offers-siyam-world-maldives-festive-deal.md</t>
  </si>
  <si>
    <t xml:space="preserve">https://www.maldivestourism.net/resorts/paradise-island-resort-and-spa/</t>
  </si>
  <si>
    <t xml:space="preserve">Paradise Island Resort and Spa - Maldives Tourism</t>
  </si>
  <si>
    <t xml:space="preserve">output/pages/175_villa-nautica-paradise-island/spa__maldivestourism.net__resorts-paradise-island-resort-and-spa.md</t>
  </si>
  <si>
    <t xml:space="preserve">https://www.maldives.com/resorts/sirru-fen-fushi-private-lagoon-resort</t>
  </si>
  <si>
    <t xml:space="preserve">Sirru Fen Fushi Private Lagoon Resort 2026 Deals | Maldives.com</t>
  </si>
  <si>
    <t xml:space="preserve">output/pages/058_sirru-fen-fushi/diving__maldives.com__resorts-sirru-fen-fushi-private-lagoon-resort.md</t>
  </si>
  <si>
    <t xml:space="preserve">https://www.simplymaldivesholidays.co.uk/resort/diamonds-athuruga/</t>
  </si>
  <si>
    <t xml:space="preserve">Diamonds Athuruga | Simply Maldives Holidays</t>
  </si>
  <si>
    <t xml:space="preserve">output/pages/178_diamonds-athuruga-beach-water-villas/diving__simplymaldivesholidays.co.uk__resort-diamonds-athuruga.md</t>
  </si>
  <si>
    <t xml:space="preserve">https://www.maldives.com/resorts/cinnamon-velifushi-maldives</t>
  </si>
  <si>
    <t xml:space="preserve">Cinnamon Velifushi Maldives | Premium Resort in Vaavu Atoll</t>
  </si>
  <si>
    <t xml:space="preserve">output/pages/160_cinnamon-velifushi-maldives/diving__maldives.com__resorts-cinnamon-velifushi-maldives.md</t>
  </si>
  <si>
    <t xml:space="preserve">https://www.simplymaldivesholidays.co.uk/resort/soneva-jani/</t>
  </si>
  <si>
    <t xml:space="preserve">Soneva Jani | Simply Maldives Holidays</t>
  </si>
  <si>
    <t xml:space="preserve">output/pages/143_soneva-jani/diving__simplymaldivesholidays.co.uk__resort-soneva-jani.md</t>
  </si>
  <si>
    <t xml:space="preserve">https://www.simplymaldivesholidays.co.uk/resort/makunudu-island-resort/</t>
  </si>
  <si>
    <t xml:space="preserve">Makunudu Island Resort | Simply Maldives Holidays</t>
  </si>
  <si>
    <t xml:space="preserve">output/pages/152_makunudu-island/diving__simplymaldivesholidays.co.uk__resort-makunudu-island-resort.md</t>
  </si>
  <si>
    <t xml:space="preserve">https://www.maldivestourism.net/resorts/velassaru-maldives/</t>
  </si>
  <si>
    <t xml:space="preserve">Velassaru Maldives - Maldives Tourism</t>
  </si>
  <si>
    <t xml:space="preserve">output/pages/165_velassaru-maldives/diving__maldivestourism.net__resorts-velassaru-maldives.md</t>
  </si>
  <si>
    <t xml:space="preserve">https://www.maldives.com/offers/ifuru-island-maldives-all-inclusive</t>
  </si>
  <si>
    <t xml:space="preserve">Ifuru Island Maldives | Flash Sale | 55% off | Premium All Inclusive</t>
  </si>
  <si>
    <t xml:space="preserve">output/pages/082_ifuru-island-maldives/diving__maldives.com__offers-ifuru-island-maldives-all-inclusive.md</t>
  </si>
  <si>
    <t xml:space="preserve">https://www.simplymaldivesholidays.co.uk/resort/intercontinental-maldives-maamunagau-resort/</t>
  </si>
  <si>
    <t xml:space="preserve">InterContinental Maldives Maamunagau Resort | Simply Maldives Holidays</t>
  </si>
  <si>
    <t xml:space="preserve">output/pages/089_inter-continental-maldives-maamunagau/diving__simplymaldivesholidays.co.uk__resort-intercontinental-maldives-maamunagau-resort.md</t>
  </si>
  <si>
    <t xml:space="preserve">https://www.maldivestourism.net/resorts/the-residence-maldives-falhumaafushi/</t>
  </si>
  <si>
    <t xml:space="preserve">The Residence Maldives Falhumaafushi - Maldives Tourism</t>
  </si>
  <si>
    <t xml:space="preserve">output/pages/019_the-residence-maldives/diving__maldivestourism.net__resorts-the-residence-maldives-falhumaafushi.md</t>
  </si>
  <si>
    <t xml:space="preserve">https://maldivestraveller.mv/de/holidays/maldives-tours/marina-crossroads-day-visit</t>
  </si>
  <si>
    <t xml:space="preserve">Tagesausflug zum The Marina Crossroads - Maldives Traveller</t>
  </si>
  <si>
    <t xml:space="preserve">output/pages/162_the-marina-at-crossroads-maldives/diving__maldivestraveller.mv__de-holidays-maldives-tours-marina-crossroads-day-visit.md</t>
  </si>
  <si>
    <t xml:space="preserve">https://www.maldives.com/resorts/alila-kothaifaru-maldives</t>
  </si>
  <si>
    <t xml:space="preserve">Alila Kothaifaru Maldives 2026 Deals | Maldives.com</t>
  </si>
  <si>
    <t xml:space="preserve">output/pages/015_alila-kothaifaru-maldives/diving__maldives.com__resorts-alila-kothaifaru-maldives.md</t>
  </si>
  <si>
    <t xml:space="preserve">https://visitmaldives.com/en/experience/private-sandbank-dining-at-cinnamon-hakuraa-huraa-maldives</t>
  </si>
  <si>
    <t xml:space="preserve">Visit Maldives -     Experiences
     &gt; Private sandbank dining at Cinnamon Hakuraa Huraa Maldives</t>
  </si>
  <si>
    <t xml:space="preserve">output/pages/053_cinnamon-hakuraa-huraa-maldives/dining__visitmaldives.com__en-experience-private-sandbank-dining-at-cinnamon-hakuraa-hu.md</t>
  </si>
  <si>
    <t xml:space="preserve">https://www.simplymaldivesholidays.co.uk/offer/baglioni/</t>
  </si>
  <si>
    <t xml:space="preserve">Baglioni | Simply Maldives Holidays</t>
  </si>
  <si>
    <t xml:space="preserve">output/pages/014_baglioni-resort-maldives/diving__simplymaldivesholidays.co.uk__offer-baglioni.md</t>
  </si>
  <si>
    <t xml:space="preserve">https://maldivestraveller.mv/en/holidays/maldives-tours/day-tour-to-taj-exotica-resort</t>
  </si>
  <si>
    <t xml:space="preserve">Day Tour to Taj Exotica Resort with Infinity luxury - MTH</t>
  </si>
  <si>
    <t xml:space="preserve">output/pages/154_taj-exotica-resort-spa-maldives/diving__maldivestraveller.mv__en-holidays-maldives-tours-day-tour-to-taj-exotica-resort.md</t>
  </si>
  <si>
    <t xml:space="preserve">https://www.maldives.com/resorts/grand-park-kodhipparu-maldives</t>
  </si>
  <si>
    <t xml:space="preserve">Grand Park Kodhipparu Maldives | Luxury Resort in North Malé Atoll</t>
  </si>
  <si>
    <t xml:space="preserve">output/pages/027_grand-park-kodhipparu-maldives/diving__maldives.com__resorts-grand-park-kodhipparu-maldives.md</t>
  </si>
  <si>
    <t xml:space="preserve">https://www.maldives.com/resorts/oblu-select-lobigili</t>
  </si>
  <si>
    <t xml:space="preserve">OBLU SELECT Lobigili 2026 Deals | Maldives.com</t>
  </si>
  <si>
    <t xml:space="preserve">output/pages/115_oblu-select-by-atmosphere-at-sangeli/diving__maldives.com__resorts-oblu-select-lobigili.md</t>
  </si>
  <si>
    <t xml:space="preserve">https://www.maldives.com/resorts/naladhu-private-island-maldives</t>
  </si>
  <si>
    <t xml:space="preserve">Naladhu Private Island Maldives | Exclusive Luxury Retreat</t>
  </si>
  <si>
    <t xml:space="preserve">output/pages/146_anantara-veli-and-naladhu/dining__maldives.com__resorts-naladhu-private-island-maldives.md</t>
  </si>
  <si>
    <t xml:space="preserve">https://www.maldivestourism.net/blog/nova-maldives-is-making-a-difference-on-world-ocean-day/</t>
  </si>
  <si>
    <t xml:space="preserve">Nova Maldives is making a difference on World Ocean Day - Maldives Tourism</t>
  </si>
  <si>
    <t xml:space="preserve">output/pages/116_nova-maldives/diving__maldivestourism.net__blog-nova-maldives-is-making-a-difference-on-world-ocean-day.md</t>
  </si>
  <si>
    <t xml:space="preserve">https://www.maldivestourism.net/resorts/kurumba-maldives/</t>
  </si>
  <si>
    <t xml:space="preserve">Kurumba Maldives - Maldives Tourism</t>
  </si>
  <si>
    <t xml:space="preserve">output/pages/173_kurumba-maldives/diving__maldivestourism.net__resorts-kurumba-maldives.md</t>
  </si>
  <si>
    <t xml:space="preserve">https://www.maldives.com/resorts/hard-rock-hotel-maldives</t>
  </si>
  <si>
    <t xml:space="preserve">Hard Rock Hotel Maldives | Vibrant Resort in Emboodhoo Lagoon</t>
  </si>
  <si>
    <t xml:space="preserve">output/pages/044_hard-rock-hotel-maldives/diving__maldives.com__resorts-hard-rock-hotel-maldives.md</t>
  </si>
  <si>
    <t xml:space="preserve">https://www.maldivestourism.net/blog/stay-free-night-at-angsana-ihuru-maldives/</t>
  </si>
  <si>
    <t xml:space="preserve">Stay Free Night at Angsana Ihuru Maldives - Maldives Tourism</t>
  </si>
  <si>
    <t xml:space="preserve">output/pages/096_dhawa-ihuru/diving__maldivestourism.net__blog-stay-free-night-at-angsana-ihuru-maldives.md</t>
  </si>
  <si>
    <t xml:space="preserve">https://www.maldives.com/resorts/innahura-maldives-resort</t>
  </si>
  <si>
    <t xml:space="preserve">Innahura Maldives Resort | Affordable 4-Star Resort in Lhaviyani Atoll</t>
  </si>
  <si>
    <t xml:space="preserve">output/pages/031_innahura-maldives-resort/diving__maldives.com__resorts-innahura-maldives-resort.md</t>
  </si>
  <si>
    <t xml:space="preserve">https://www.maldives.com/resorts/you-and-me-maldives</t>
  </si>
  <si>
    <t xml:space="preserve">You &amp; Me by Cocoon | Adults-Only Luxury Resort in Raa Atoll</t>
  </si>
  <si>
    <t xml:space="preserve">output/pages/168_you-me-maldives/diving__maldives.com__resorts-you-and-me-maldives.md</t>
  </si>
  <si>
    <t xml:space="preserve">https://www.maldives.com/offers/adaaran-prestige-vadoo-adults-only-summer-deal</t>
  </si>
  <si>
    <t xml:space="preserve">transfers</t>
  </si>
  <si>
    <t xml:space="preserve">Adaaran Prestige Vadoo Adults Only Deal | Summer | 25% off | Speedboat Transfers</t>
  </si>
  <si>
    <t xml:space="preserve">output/pages/163_adaaran-prestige-vadoo/transfers__maldives.com__offers-adaaran-prestige-vadoo-adults-only-summer-deal.md</t>
  </si>
  <si>
    <t xml:space="preserve">https://www.maldivestourism.net/blog/festive-season-at-baros-maldives/</t>
  </si>
  <si>
    <t xml:space="preserve">Festive Season at Baros Maldives - Maldives Tourism</t>
  </si>
  <si>
    <t xml:space="preserve">output/pages/164_baros-maldives/dining__maldivestourism.net__blog-festive-season-at-baros-maldives.md</t>
  </si>
  <si>
    <t xml:space="preserve">https://www.maldivestourism.net/resorts/filitheyo-island-resort/</t>
  </si>
  <si>
    <t xml:space="preserve">Filitheyo Island Resort - Maldives Tourism</t>
  </si>
  <si>
    <t xml:space="preserve">output/pages/002_filitheyo-island-resort/diving__maldivestourism.net__resorts-filitheyo-island-resort.md</t>
  </si>
  <si>
    <t xml:space="preserve">https://www.maldives.com/resorts/niva-kuramathi-maldives</t>
  </si>
  <si>
    <t xml:space="preserve">NIVA Kuramathi Maldives Deals &amp; Packages 2026 | Maldives.com</t>
  </si>
  <si>
    <t xml:space="preserve">output/pages/166_kuramathi-maldives/diving__maldives.com__resorts-niva-kuramathi-maldives.md</t>
  </si>
  <si>
    <t xml:space="preserve">https://www.maldivestourism.net/resorts/bandos-island-resort-and-spa/</t>
  </si>
  <si>
    <t xml:space="preserve">Bandos Island Resort and Spa - Maldives Tourism</t>
  </si>
  <si>
    <t xml:space="preserve">output/pages/120_bandos-maldives/spa__maldivestourism.net__resorts-bandos-island-resort-and-spa.md</t>
  </si>
  <si>
    <t xml:space="preserve">https://www.maldivestourism.net/resorts/oneonly-reethi-rah/</t>
  </si>
  <si>
    <t xml:space="preserve">One&amp;Only Reethi Rah - Maldives Tourism</t>
  </si>
  <si>
    <t xml:space="preserve">output/pages/128_one-only-reethi-rah-maldives/diving__maldivestourism.net__resorts-oneonly-reethi-rah.md</t>
  </si>
  <si>
    <t xml:space="preserve">https://www.maldivestourism.net/resorts/constance-halaveli-resort-maldives/</t>
  </si>
  <si>
    <t xml:space="preserve">Constance Halaveli Resort Maldives - Maldives Tourism</t>
  </si>
  <si>
    <t xml:space="preserve">output/pages/155_constance-halaveli-resort/diving__maldivestourism.net__resorts-constance-halaveli-resort-maldives.md</t>
  </si>
  <si>
    <t xml:space="preserve">https://maldivestraveller.mv/en/reviews/maldives-tours/marina-crossroads-day-visit/1283</t>
  </si>
  <si>
    <t xml:space="preserve">Great trip Maldives Traveller</t>
  </si>
  <si>
    <t xml:space="preserve">output/pages/162_the-marina-at-crossroads-maldives/dining__maldivestraveller.mv__en-reviews-maldives-tours-marina-crossroads-day-visit-1283.md</t>
  </si>
  <si>
    <t xml:space="preserve">https://www.maldivestourism.net/resorts/adaaran-club-rannalhi/</t>
  </si>
  <si>
    <t xml:space="preserve">Adaaran Club Rannalhi - Maldives Tourism</t>
  </si>
  <si>
    <t xml:space="preserve">output/pages/069_adaaran-club-rannalhi/diving__maldivestourism.net__resorts-adaaran-club-rannalhi.md</t>
  </si>
  <si>
    <t xml:space="preserve">https://www.maldives.com/resorts/cora-cora-maldives</t>
  </si>
  <si>
    <t xml:space="preserve">Cora Cora Maldives | All-Inclusive Resort | Upto 40% Savings</t>
  </si>
  <si>
    <t xml:space="preserve">output/pages/062_cora-cora-maldives/diving__maldives.com__resorts-cora-cora-maldives.md</t>
  </si>
  <si>
    <t xml:space="preserve">https://www.maldivestourism.net/resorts/alimatha-aquatic-resort/</t>
  </si>
  <si>
    <t xml:space="preserve">Alimatha Aquatic Resort - Maldives Tourism</t>
  </si>
  <si>
    <t xml:space="preserve">output/pages/084_alimatha-aquatic-resort/diving__maldivestourism.net__resorts-alimatha-aquatic-resort.md</t>
  </si>
  <si>
    <t xml:space="preserve">https://www.maldivestourism.net/photos/baros-maldives/</t>
  </si>
  <si>
    <t xml:space="preserve">Baros Maldives Photos - Maldives Tourism</t>
  </si>
  <si>
    <t xml:space="preserve">output/pages/164_baros-maldives/dining__maldivestourism.net__photos-baros-maldives.md</t>
  </si>
  <si>
    <t xml:space="preserve">https://www.maldivestourism.net/blog/president-inaugurates-hilton-maldives-irufushi-resort-and-spa/</t>
  </si>
  <si>
    <t xml:space="preserve">President inaugurates Hilton Maldives Irufushi Resort and Spa - Maldives Tourism</t>
  </si>
  <si>
    <t xml:space="preserve">output/pages/148_sun-siyam-iru-fushi-maldives/spa__maldivestourism.net__blog-president-inaugurates-hilton-maldives-irufushi-resort-a.md</t>
  </si>
  <si>
    <t xml:space="preserve">https://www.maldives.com/resorts/jawakara-islands-maldives</t>
  </si>
  <si>
    <t xml:space="preserve">Jawakara Islands Maldives | Luxury Family Resort in Lhaviyani Atoll</t>
  </si>
  <si>
    <t xml:space="preserve">output/pages/029_dheruhfinolhu-by-jawakara-islands-maldives/diving__maldives.com__resorts-jawakara-islands-maldives.md</t>
  </si>
  <si>
    <t xml:space="preserve">https://www.maldivestourism.net/resorts/herathera-island/</t>
  </si>
  <si>
    <t xml:space="preserve">Herathera Island - Maldives Tourism</t>
  </si>
  <si>
    <t xml:space="preserve">output/pages/024_canareef-resort-maldives/diving__maldivestourism.net__resorts-herathera-island.md</t>
  </si>
  <si>
    <t xml:space="preserve">https://www.maldivestourism.net/resorts/veligandu-island-resort/</t>
  </si>
  <si>
    <t xml:space="preserve">Veligandu Island Resort - Maldives Tourism</t>
  </si>
  <si>
    <t xml:space="preserve">output/pages/038_veligandu-maldives-resort-island/diving__maldivestourism.net__resorts-veligandu-island-resort.md</t>
  </si>
  <si>
    <t xml:space="preserve">https://www.maldivestourism.net/blog/conrad-maldives-triumphs-at-world-travel-awards-2015/</t>
  </si>
  <si>
    <t xml:space="preserve">Conrad Maldives Triumphs At World Travel Awards 2015 - Maldives Tourism</t>
  </si>
  <si>
    <t xml:space="preserve">output/pages/099_conrad-maldives-rangali-island/diving__maldivestourism.net__blog-conrad-maldives-triumphs-at-world-travel-awards-2015.md</t>
  </si>
  <si>
    <t xml:space="preserve">https://www.maldives.com/resorts/varu-by-atmosphere</t>
  </si>
  <si>
    <t xml:space="preserve">VARU by Atmosphere | 5-Star All-Inclusive Resort in Malé Atoll</t>
  </si>
  <si>
    <t xml:space="preserve">output/pages/138_varu-island-resort/overview__maldives.com__resorts-varu-by-atmosphere.md</t>
  </si>
  <si>
    <t xml:space="preserve">https://www.maldives.com/offers/constance-moofushi-summer-deal</t>
  </si>
  <si>
    <t xml:space="preserve">Constance Moofushi | Summer Deal | 35% Off | All Inclusive</t>
  </si>
  <si>
    <t xml:space="preserve">output/pages/109_constance-moofushi-resort/offers__maldives.com__offers-constance-moofushi-summer-deal.md</t>
  </si>
  <si>
    <t xml:space="preserve">https://visitmaldives.com/en/experience/a-taste-of-the-maldives-inside-kaags-progressive-maldivian-cookbook-at-varu-by-atmosphere</t>
  </si>
  <si>
    <t xml:space="preserve">Visit Maldives -     Experiences
     &gt; A Taste of the Maldives: Inside Kaagé’s Progressive Maldivian Cookbook at VARU </t>
  </si>
  <si>
    <t xml:space="preserve">output/pages/138_varu-island-resort/diving__visitmaldives.com__en-experience-a-taste-of-the-maldives-inside-kaags-progressi.md</t>
  </si>
  <si>
    <t xml:space="preserve">https://www.maldives.com/resorts/velaa-private-island-maldives</t>
  </si>
  <si>
    <t xml:space="preserve">Velaa Private Island | Ultra-Luxury Resort in Noonu Atoll</t>
  </si>
  <si>
    <t xml:space="preserve">output/pages/171_velaa-private-island-maldives/diving__maldives.com__resorts-velaa-private-island-maldives.md</t>
  </si>
  <si>
    <t xml:space="preserve">https://www.maldives.com/resorts/cinnamon-hakuraa-huraa-maldives</t>
  </si>
  <si>
    <t xml:space="preserve">Cinnamon Hakuraa Huraa Maldives | Luxury Resort in Meemu Atoll</t>
  </si>
  <si>
    <t xml:space="preserve">output/pages/053_cinnamon-hakuraa-huraa-maldives/diving__maldives.com__resorts-cinnamon-hakuraa-huraa-maldives.md</t>
  </si>
  <si>
    <t xml:space="preserve">https://www.maldivestourism.net/resorts/baros-island-resort/</t>
  </si>
  <si>
    <t xml:space="preserve">Baros Island Resort - Maldives Tourism</t>
  </si>
  <si>
    <t xml:space="preserve">output/pages/164_baros-maldives/dining__maldivestourism.net__resorts-baros-island-resort.md</t>
  </si>
  <si>
    <t xml:space="preserve">https://www.maldives.com/resorts/hurawalhi-island-resort</t>
  </si>
  <si>
    <t xml:space="preserve">Hurawalhi Island Resort | Adults-Only Luxury in Lhaviyani Atoll, Maldives</t>
  </si>
  <si>
    <t xml:space="preserve">output/pages/030_hurawalhi-island-resort/diving__maldives.com__resorts-hurawalhi-island-resort.md</t>
  </si>
  <si>
    <t xml:space="preserve">https://www.maldivestourism.net/resorts/zitahli-resorts-kuda-funafaru/</t>
  </si>
  <si>
    <t xml:space="preserve">Zitahli Resorts Kuda-Funafaru - Maldives Tourism</t>
  </si>
  <si>
    <t xml:space="preserve">output/pages/132_noku-maldives/diving__maldivestourism.net__resorts-zitahli-resorts-kuda-funafaru.md</t>
  </si>
  <si>
    <t xml:space="preserve">https://www.maldives.com/offers/kurumba-maldives-romantic-getaway</t>
  </si>
  <si>
    <t xml:space="preserve">NIVA Kurumba Maldives | Romatic Getaway | 20% Off |  Full Board All-Inclusive</t>
  </si>
  <si>
    <t xml:space="preserve">output/pages/173_kurumba-maldives/diving__maldives.com__offers-kurumba-maldives-romantic-getaway.md</t>
  </si>
  <si>
    <t xml:space="preserve">https://visitmaldives.com/en/experience/interview-with-visiting-chef-tipa-at-banyan-tree-vabbinfaru-bringing-the-heritage-of-southern-thailand-to-saffron-maldives</t>
  </si>
  <si>
    <t xml:space="preserve">Visit Maldives -     Experiences
     &gt; Interview with visiting Chef Tipa at Banyan Tree Vabbinfaru: Bringing the herit</t>
  </si>
  <si>
    <t xml:space="preserve">output/pages/169_banyan-tree-maldives-vabbinfaru/diving__visitmaldives.com__en-experience-interview-with-visiting-chef-tipa-at-banyan-tr.md</t>
  </si>
  <si>
    <t xml:space="preserve">https://www.maldives.com/resorts/sun-siyam-vilu-reef</t>
  </si>
  <si>
    <t xml:space="preserve">Sun Siyam Vilu Reef Deals &amp; Packages 2026 | Maldives.com</t>
  </si>
  <si>
    <t xml:space="preserve">output/pages/147_sun-siyam-vilu-reef-maldives/diving__maldives.com__resorts-sun-siyam-vilu-reef.md</t>
  </si>
  <si>
    <t xml:space="preserve">https://www.maldivestourism.net/resorts/bathala-island-resort/</t>
  </si>
  <si>
    <t xml:space="preserve">Bathala Island Resort - Maldives Tourism</t>
  </si>
  <si>
    <t xml:space="preserve">output/pages/013_sandies-bathala/diving__maldivestourism.net__resorts-bathala-island-resort.md</t>
  </si>
  <si>
    <t xml:space="preserve">https://www.maldives.com/resorts/one-and-only-reethi-rah</t>
  </si>
  <si>
    <t xml:space="preserve">One&amp;Only Reethi Rah | Luxury All-Villa Resort in Maldives</t>
  </si>
  <si>
    <t xml:space="preserve">output/pages/128_one-only-reethi-rah-maldives/diving__maldives.com__resorts-one-and-only-reethi-rah.md</t>
  </si>
  <si>
    <t xml:space="preserve">https://www.maldives.com/resorts/niva-kurumba-maldives</t>
  </si>
  <si>
    <t xml:space="preserve">NIVA Kurumba Maldives Deals &amp; Packages 2026 | Maldives.com</t>
  </si>
  <si>
    <t xml:space="preserve">output/pages/173_kurumba-maldives/diving__maldives.com__resorts-niva-kurumba-maldives.md</t>
  </si>
  <si>
    <t xml:space="preserve">https://www.maldives.com/resorts/royal-island-resort-and-spa</t>
  </si>
  <si>
    <t xml:space="preserve">Royal Island Resort &amp; Spa | 5-Star Beachfront Resort in Baa Atoll</t>
  </si>
  <si>
    <t xml:space="preserve">output/pages/177_royal-island-resort-and-spa/spa__maldives.com__resorts-royal-island-resort-and-spa.md</t>
  </si>
  <si>
    <t xml:space="preserve">https://www.maldivestourism.net/resorts/cocoa-island/</t>
  </si>
  <si>
    <t xml:space="preserve">Cocoa Island - Maldives Tourism</t>
  </si>
  <si>
    <t xml:space="preserve">output/pages/121_cocoa-island/diving__maldivestourism.net__resorts-cocoa-island.md</t>
  </si>
  <si>
    <t xml:space="preserve">https://www.maldivestourism.net/resorts/six-senses-laamu/</t>
  </si>
  <si>
    <t xml:space="preserve">Six Senses Laamu - Maldives Resort</t>
  </si>
  <si>
    <t xml:space="preserve">output/pages/001_six-senses-laamu/diving__maldivestourism.net__resorts-six-senses-laamu.md</t>
  </si>
  <si>
    <t xml:space="preserve">https://www.maldives.com/resorts/diamonds-thudufushi-maldives</t>
  </si>
  <si>
    <t xml:space="preserve">Diamonds Thudufushi Deals &amp; Packages 2026 | Maldives.com</t>
  </si>
  <si>
    <t xml:space="preserve">output/pages/135_diamonds-thudufushi-beach-and-water-villas/diving__maldives.com__resorts-diamonds-thudufushi-maldives.md</t>
  </si>
  <si>
    <t xml:space="preserve">https://www.maldivestourism.net/resorts/hudhuran-fushi/</t>
  </si>
  <si>
    <t xml:space="preserve">Hudhuran Fushi - Maldives Tourism</t>
  </si>
  <si>
    <t xml:space="preserve">output/pages/003_adaaran-select-hudhuranfushi/diving__maldivestourism.net__resorts-hudhuran-fushi.md</t>
  </si>
  <si>
    <t xml:space="preserve">https://www.maldivestourism.net/resorts/vilu-reef-beach-and-spa-resort/</t>
  </si>
  <si>
    <t xml:space="preserve">Vilu Reef Beach and Spa Resort - Maldives Tourism</t>
  </si>
  <si>
    <t xml:space="preserve">output/pages/147_sun-siyam-vilu-reef-maldives/spa__maldivestourism.net__resorts-vilu-reef-beach-and-spa-resort.md</t>
  </si>
  <si>
    <t xml:space="preserve">https://www.maldivestourism.net/resorts/irufushi-beach-spa-resort/</t>
  </si>
  <si>
    <t xml:space="preserve">Irufushi Beach and Spa Resort - Maldives Tourism</t>
  </si>
  <si>
    <t xml:space="preserve">output/pages/148_sun-siyam-iru-fushi-maldives/spa__maldivestourism.net__resorts-irufushi-beach-spa-resort.md</t>
  </si>
  <si>
    <t xml:space="preserve">https://www.maldives.com/offers/niyama-maldives-all-inclusive-deal</t>
  </si>
  <si>
    <t xml:space="preserve">Private Island | All Inclusive Deal | 40% off | Deluxe Beach Villa</t>
  </si>
  <si>
    <t xml:space="preserve">output/pages/117_niyama-maldives/diving__maldives.com__offers-niyama-maldives-all-inclusive-deal.md</t>
  </si>
  <si>
    <t xml:space="preserve">https://www.maldivestourism.net/resorts/royal-island-resort/</t>
  </si>
  <si>
    <t xml:space="preserve">Royal Island Resort - Maldives Tourism</t>
  </si>
  <si>
    <t xml:space="preserve">output/pages/177_royal-island-resort-and-spa/diving__maldivestourism.net__resorts-royal-island-resort.md</t>
  </si>
  <si>
    <t xml:space="preserve">https://www.maldives.com/resorts/nooe-maldives-kunaavashi</t>
  </si>
  <si>
    <t xml:space="preserve">NOOE Maldives Kunaavashi | Luxury Island Resort in Vaavu Atoll</t>
  </si>
  <si>
    <t xml:space="preserve">output/pages/023_nooe-maldives-kunavashi/diving__maldives.com__resorts-nooe-maldives-kunaavashi.md</t>
  </si>
  <si>
    <t xml:space="preserve">https://www.maldivestourism.net/resorts/taj-coral-reef-resort/</t>
  </si>
  <si>
    <t xml:space="preserve">Taj Coral Reef Resort - Maldives Tourism</t>
  </si>
  <si>
    <t xml:space="preserve">output/pages/153_taj-coral-reef-resort-and-spa/diving__maldivestourism.net__resorts-taj-coral-reef-resort.md</t>
  </si>
  <si>
    <t xml:space="preserve">https://www.maldivestourism.net/resorts/angsana-ihuru/</t>
  </si>
  <si>
    <t xml:space="preserve">Angsana Ihuru - Maldives Tourism</t>
  </si>
  <si>
    <t xml:space="preserve">output/pages/096_dhawa-ihuru/diving__maldivestourism.net__resorts-angsana-ihuru.md</t>
  </si>
  <si>
    <t xml:space="preserve">https://www.maldivestourism.net/resorts/angsana-velavaru/</t>
  </si>
  <si>
    <t xml:space="preserve">Angsana Velavaru - Maldives Tourism</t>
  </si>
  <si>
    <t xml:space="preserve">output/pages/097_angsana-resort-spa-maldives-velavaru/diving__maldivestourism.net__resorts-angsana-velavaru.md</t>
  </si>
  <si>
    <t xml:space="preserve">https://www.maldivestourism.net/blog/ayada-maldives-resort-officially-opened/</t>
  </si>
  <si>
    <t xml:space="preserve">Ayada Maldives Resort Officially Opened - Maldives Tourism</t>
  </si>
  <si>
    <t xml:space="preserve">output/pages/004_ayada-maldives/diving__maldivestourism.net__blog-ayada-maldives-resort-officially-opened.md</t>
  </si>
  <si>
    <t xml:space="preserve">https://www.maldivestourism.net/blog/taj-coral-reef-maldives-relaunched-as-vivanta-by-taj/</t>
  </si>
  <si>
    <t xml:space="preserve">Taj Coral Reef in Maldives to be relaunched as 'Vivanta by Taj' by August 2009 - Maldives Tourism</t>
  </si>
  <si>
    <t xml:space="preserve">output/pages/153_taj-coral-reef-resort-and-spa/diving__maldivestourism.net__blog-taj-coral-reef-maldives-relaunched-as-vivanta-by-taj.md</t>
  </si>
  <si>
    <t xml:space="preserve">https://www.maldivestourism.net/blog/veligandu-island-resort-reopens/</t>
  </si>
  <si>
    <t xml:space="preserve">Veligandu Island Resort Reopens - Maldives Tourism</t>
  </si>
  <si>
    <t xml:space="preserve">output/pages/038_veligandu-maldives-resort-island/diving__maldivestourism.net__blog-veligandu-island-resort-reopens.md</t>
  </si>
  <si>
    <t xml:space="preserve">https://www.maldives.com/offers/seaside-finolhu-all-inclusive-festive-couples</t>
  </si>
  <si>
    <t xml:space="preserve">Seaside Finolhu | Festive Couples Deals | 40% Discount | Premium All Inclusive</t>
  </si>
  <si>
    <t xml:space="preserve">output/pages/136_finolhu-baa-atoll-maldives/offers__maldives.com__offers-seaside-finolhu-all-inclusive-festive-couples.md</t>
  </si>
  <si>
    <t xml:space="preserve">https://www.maldivestourism.net/resorts/meeru-island-resort/</t>
  </si>
  <si>
    <t xml:space="preserve">Meeru Island Resort - Maldives Tourism</t>
  </si>
  <si>
    <t xml:space="preserve">output/pages/078_meeru-maldives-resort-island/diving__maldivestourism.net__resorts-meeru-island-resort.md</t>
  </si>
  <si>
    <t xml:space="preserve">https://www.maldivestourism.net/resorts/medhufushi-island-resort/</t>
  </si>
  <si>
    <t xml:space="preserve">Medhufushi Island Resort - Maldives Tourism</t>
  </si>
  <si>
    <t xml:space="preserve">output/pages/104_medhufushi-island-resort/diving__maldivestourism.net__resorts-medhufushi-island-resort.md</t>
  </si>
  <si>
    <t xml:space="preserve">https://www.maldivestourism.net/resorts/vilamendhoo-island-resort/</t>
  </si>
  <si>
    <t xml:space="preserve">Vilamendhoo Island Resort - Maldives Tourism</t>
  </si>
  <si>
    <t xml:space="preserve">output/pages/174_vilamendhoo-island-resort/diving__maldivestourism.net__resorts-vilamendhoo-island-resort.md</t>
  </si>
  <si>
    <t xml:space="preserve">https://www.maldivestourism.net/blog/shark-safari-snorkel-at-four-seasons-resort-maldives-at-kuda-huraa/</t>
  </si>
  <si>
    <t xml:space="preserve">Shark Safari Snorkel at Four Seasons Resort Maldives at Kuda Huraa - Maldives Tourism</t>
  </si>
  <si>
    <t xml:space="preserve">output/pages/056_four-seasons-resort-maldives-at-kuda-huraa/diving__maldivestourism.net__blog-shark-safari-snorkel-at-four-seasons-resort-maldives-at.md</t>
  </si>
  <si>
    <t xml:space="preserve">https://visitmaldives.com/en/news/the-age-of-legends-takes-over-siyam-world-maldives-this-festive-season</t>
  </si>
  <si>
    <t xml:space="preserve">Visit Maldives -     News
     &gt; The Age of Legends takes over Siyam World Maldives this festive season</t>
  </si>
  <si>
    <t xml:space="preserve">output/pages/179_siyam-world-maldives/diving__visitmaldives.com__en-news-the-age-of-legends-takes-over-siyam-world-maldives-t.md</t>
  </si>
  <si>
    <t xml:space="preserve">https://visitmaldives.com/en/resorts/adaaran-select-meedhupparu</t>
  </si>
  <si>
    <t xml:space="preserve">Visit Maldives - Resorts &gt; Adaaran Select Meedhupparu</t>
  </si>
  <si>
    <t xml:space="preserve">output/pages/034_adaaran-select-meedhupparu/diving__visitmaldives.com__en-resorts-adaaran-select-meedhupparu.md</t>
  </si>
  <si>
    <t xml:space="preserve">https://visitmaldives.com/en/resorts/alimatha-resort</t>
  </si>
  <si>
    <t xml:space="preserve">Visit Maldives - Resorts &gt; Alimatha Aquatic Resort</t>
  </si>
  <si>
    <t xml:space="preserve">output/pages/084_alimatha-aquatic-resort/diving__visitmaldives.com__en-resorts-alimatha-resort.md</t>
  </si>
  <si>
    <t xml:space="preserve">https://visitmaldives.com/en/resorts/alila-kothaifaru-maldives</t>
  </si>
  <si>
    <t xml:space="preserve">Visit Maldives - Resorts &gt; Alila Kothaifaru Maldives</t>
  </si>
  <si>
    <t xml:space="preserve">output/pages/015_alila-kothaifaru-maldives/diving__visitmaldives.com__en-resorts-alila-kothaifaru-maldives.md</t>
  </si>
  <si>
    <t xml:space="preserve">https://visitmaldives.com/en/resorts/amilla-maldives</t>
  </si>
  <si>
    <t xml:space="preserve">Visit Maldives - Resorts &gt; Amilla Maldives</t>
  </si>
  <si>
    <t xml:space="preserve">output/pages/009_amilla-fushi/diving__visitmaldives.com__en-resorts-amilla-maldives.md</t>
  </si>
  <si>
    <t xml:space="preserve">https://www.turquoiseholidays.co.uk/destinations/indian-ocean/maldives/huvafen-fushi/</t>
  </si>
  <si>
    <t xml:space="preserve">Huvafen Fushi Hotel &amp; Resort | Maldives | Turquoise Holidays</t>
  </si>
  <si>
    <t xml:space="preserve">output/pages/111_huvafenfushi-maldives/diving__turquoiseholidays.co.uk__destinations-indian-ocean-maldives-huvafen-fushi.md</t>
  </si>
  <si>
    <t xml:space="preserve">https://www.equatorvillage.com/</t>
  </si>
  <si>
    <t xml:space="preserve">Affordable Maldives Resorts | Equator Village Maldives Official Site</t>
  </si>
  <si>
    <t xml:space="preserve">output/pages/061_equator-village/diving__equatorvillage.com__home.md</t>
  </si>
  <si>
    <t xml:space="preserve">https://www.equatorvillage.com/experiences</t>
  </si>
  <si>
    <t xml:space="preserve">Activities to do in Maldives | Equator Village Maldives</t>
  </si>
  <si>
    <t xml:space="preserve">output/pages/061_equator-village/diving__equatorvillage.com__experiences.md</t>
  </si>
  <si>
    <t xml:space="preserve">https://www.equatorvillage.com/privacy-policy</t>
  </si>
  <si>
    <t xml:space="preserve">Privacy Policy | Data Privacy and Security at Equator Village</t>
  </si>
  <si>
    <t xml:space="preserve">output/pages/061_equator-village/villas__equatorvillage.com__privacy-policy.md</t>
  </si>
  <si>
    <t xml:space="preserve">https://www.equatorvillage.com/about-us</t>
  </si>
  <si>
    <t xml:space="preserve">Boutique Resort Maldives | About Equator Village Gan</t>
  </si>
  <si>
    <t xml:space="preserve">output/pages/061_equator-village/diving__equatorvillage.com__about-us.md</t>
  </si>
  <si>
    <t xml:space="preserve">https://www.equatorvillage.com/offers/book-early-save-big</t>
  </si>
  <si>
    <t xml:space="preserve">Book early, Save big</t>
  </si>
  <si>
    <t xml:space="preserve">output/pages/061_equator-village/offers__equatorvillage.com__offers-book-early-save-big.md</t>
  </si>
  <si>
    <t xml:space="preserve">https://www.chevalblanc.com/en/maison/randheli/</t>
  </si>
  <si>
    <t xml:space="preserve">Cheval Blanc Randheli | Luxury hotel in the Maldives</t>
  </si>
  <si>
    <t xml:space="preserve">output/pages/065_cheval-blanc-randheli/diving__chevalblanc.com__en-maison-randheli.md</t>
  </si>
  <si>
    <t xml:space="preserve">https://www.chevalblanc.com/en/maison/randheli/restaurants-and-bars/the-white/</t>
  </si>
  <si>
    <t xml:space="preserve">output/pages/065_cheval-blanc-randheli/dining__chevalblanc.com__en-maison-randheli-restaurants-and-bars-the-white.md</t>
  </si>
  <si>
    <t xml:space="preserve">https://www.equatorvillage.com/dive</t>
  </si>
  <si>
    <t xml:space="preserve">Dive Resorts Maldives | Equator Village Maldives Diving</t>
  </si>
  <si>
    <t xml:space="preserve">output/pages/061_equator-village/diving__equatorvillage.com__dive.md</t>
  </si>
  <si>
    <t xml:space="preserve">https://www.chevalblanc.com/en/maison/randheli/rooms-and-suites/garden-water-villa-2-bedroom/</t>
  </si>
  <si>
    <t xml:space="preserve">output/pages/065_cheval-blanc-randheli/villas__chevalblanc.com__en-maison-randheli-rooms-and-suites-garden-water-villa-2-bed.md</t>
  </si>
  <si>
    <t xml:space="preserve">https://www.equatorvillage.com/dive/dive-courses</t>
  </si>
  <si>
    <t xml:space="preserve">Maldives Scuba Diving Course | Equator Village Maldives</t>
  </si>
  <si>
    <t xml:space="preserve">output/pages/061_equator-village/diving__equatorvillage.com__dive-dive-courses.md</t>
  </si>
  <si>
    <t xml:space="preserve">https://www.chevalblanc.com/en/maison/randheli/experiences/art-and-design-randheli/</t>
  </si>
  <si>
    <t xml:space="preserve">Art &amp; Design | Cheval Blanc Randheli – Bold Creativity in the Maldives</t>
  </si>
  <si>
    <t xml:space="preserve">output/pages/065_cheval-blanc-randheli/dining__chevalblanc.com__en-maison-randheli-experiences-art-and-design-randheli.md</t>
  </si>
  <si>
    <t xml:space="preserve">https://www.chevalblanc.com/en/maison/randheli/rooms-and-suites/garden-water-villa-1-bedroom/</t>
  </si>
  <si>
    <t xml:space="preserve">output/pages/065_cheval-blanc-randheli/villas__chevalblanc.com__en-maison-randheli-rooms-and-suites-garden-water-villa-1-bed.md</t>
  </si>
  <si>
    <t xml:space="preserve">https://www.chevalblanc.com/en/maison/randheli/experiences/</t>
  </si>
  <si>
    <t xml:space="preserve">Experiences │ Cheval Blanc Maldives Hotel</t>
  </si>
  <si>
    <t xml:space="preserve">output/pages/065_cheval-blanc-randheli/diving__chevalblanc.com__en-maison-randheli-experiences.md</t>
  </si>
  <si>
    <t xml:space="preserve">https://www.equatorvillage.com/faq</t>
  </si>
  <si>
    <t xml:space="preserve">FAQs | Equator Village Maldives</t>
  </si>
  <si>
    <t xml:space="preserve">output/pages/061_equator-village/diving__equatorvillage.com__faq.md</t>
  </si>
  <si>
    <t xml:space="preserve">https://www.chevalblanc.com/en/maison/randheli/rooms-and-suites/lagoon-villa/</t>
  </si>
  <si>
    <t xml:space="preserve">One‑Bedroom Lagoon Villa Maldives – Turquoise Views | Cheval Blanc Randheli</t>
  </si>
  <si>
    <t xml:space="preserve">output/pages/065_cheval-blanc-randheli/diving__chevalblanc.com__en-maison-randheli-rooms-and-suites-lagoon-villa.md</t>
  </si>
  <si>
    <t xml:space="preserve">https://www.equatorvillage.com/sitemap</t>
  </si>
  <si>
    <t xml:space="preserve">Sitemap</t>
  </si>
  <si>
    <t xml:space="preserve">output/pages/061_equator-village/other__equatorvillage.com__sitemap.md</t>
  </si>
  <si>
    <t xml:space="preserve">https://coracoraresorts.com/</t>
  </si>
  <si>
    <t xml:space="preserve">Maldives Resort | It's Freedom Time | Cora Cora Maldives</t>
  </si>
  <si>
    <t xml:space="preserve">output/pages/062_cora-cora-maldives/diving__coracoraresorts.com__home.md</t>
  </si>
  <si>
    <t xml:space="preserve">https://www.chevalblanc.com/en/maison/randheli/wellness/hair-spa-leonor-greyl/</t>
  </si>
  <si>
    <t xml:space="preserve">output/pages/065_cheval-blanc-randheli/spa__chevalblanc.com__en-maison-randheli-wellness-hair-spa-leonor-greyl.md</t>
  </si>
  <si>
    <t xml:space="preserve">https://www.equatorvillage.com/gdpr-compliance</t>
  </si>
  <si>
    <t xml:space="preserve">GDPR Compliance | Equator Village</t>
  </si>
  <si>
    <t xml:space="preserve">output/pages/061_equator-village/villas__equatorvillage.com__gdpr-compliance.md</t>
  </si>
  <si>
    <t xml:space="preserve">https://www.chevalblanc.com/en/maison/randheli/rooms-and-suites/lagoon-garden-villa/</t>
  </si>
  <si>
    <t xml:space="preserve">output/pages/065_cheval-blanc-randheli/villas__chevalblanc.com__en-maison-randheli-rooms-and-suites-lagoon-garden-villa.md</t>
  </si>
  <si>
    <t xml:space="preserve">https://www.equatorvillage.com/wine-dine/veragan-bar</t>
  </si>
  <si>
    <t xml:space="preserve">Maldives Resort Bar | Equator Village Maldives Veragan Bar</t>
  </si>
  <si>
    <t xml:space="preserve">output/pages/061_equator-village/dining__equatorvillage.com__wine-dine-veragan-bar.md</t>
  </si>
  <si>
    <t xml:space="preserve">https://www.chevalblanc.com/en/maison/randheli/experiences/well-being-randheli/</t>
  </si>
  <si>
    <t xml:space="preserve">output/pages/065_cheval-blanc-randheli/excursions__chevalblanc.com__en-maison-randheli-experiences-well-being-randheli.md</t>
  </si>
  <si>
    <t xml:space="preserve">https://www.equatorvillage.com/wine-dine/vaivaru-restaurant</t>
  </si>
  <si>
    <t xml:space="preserve">Maldives Resort Restaurant | Equator Vaivaru Restaurant</t>
  </si>
  <si>
    <t xml:space="preserve">output/pages/061_equator-village/dining__equatorvillage.com__wine-dine-vaivaru-restaurant.md</t>
  </si>
  <si>
    <t xml:space="preserve">https://www.chevalblanc.com/en/maison/randheli/rooms-and-suites/island-villa-1-bedroom/</t>
  </si>
  <si>
    <t xml:space="preserve">One‑Bedroom Island Villa – Luxury Maldives Villa | Cheval Blanc Randheli</t>
  </si>
  <si>
    <t xml:space="preserve">output/pages/065_cheval-blanc-randheli/diving__chevalblanc.com__en-maison-randheli-rooms-and-suites-island-villa-1-bedroom.md</t>
  </si>
  <si>
    <t xml:space="preserve">https://www.maldives.com/resorts/gili-lankanfushi-maldives</t>
  </si>
  <si>
    <t xml:space="preserve">Gili Lankanfushi Maldives | Luxury Overwater Villas in North Malé Atoll</t>
  </si>
  <si>
    <t xml:space="preserve">output/pages/125_gili-lankanfushi/diving__maldives.com__resorts-gili-lankanfushi-maldives.md</t>
  </si>
  <si>
    <t xml:space="preserve">https://www.equatorvillage.com/dive/dive-spots</t>
  </si>
  <si>
    <t xml:space="preserve">Best Diving Spots in Maldives | Equator Village Maldives</t>
  </si>
  <si>
    <t xml:space="preserve">output/pages/061_equator-village/diving__equatorvillage.com__dive-dive-spots.md</t>
  </si>
  <si>
    <t xml:space="preserve">https://coracoraresorts.com/ko/villas/%eb%9d%bc%ea%b5%b0-%eb%b9%8c%eb%9d%bc/</t>
  </si>
  <si>
    <r>
      <rPr>
        <sz val="11"/>
        <color theme="1"/>
        <rFont val="WenQuanYi Zen Hei"/>
        <family val="2"/>
      </rPr>
      <t xml:space="preserve">몰디브 라군 빌라 </t>
    </r>
    <r>
      <rPr>
        <sz val="11"/>
        <color theme="1"/>
        <rFont val="Calibri"/>
        <family val="2"/>
        <charset val="1"/>
      </rPr>
      <t xml:space="preserve">| </t>
    </r>
    <r>
      <rPr>
        <sz val="11"/>
        <color theme="1"/>
        <rFont val="WenQuanYi Zen Hei"/>
        <family val="2"/>
      </rPr>
      <t xml:space="preserve">라군 빌라 </t>
    </r>
    <r>
      <rPr>
        <sz val="11"/>
        <color theme="1"/>
        <rFont val="Calibri"/>
        <family val="2"/>
        <charset val="1"/>
      </rPr>
      <t xml:space="preserve">| </t>
    </r>
    <r>
      <rPr>
        <sz val="11"/>
        <color theme="1"/>
        <rFont val="WenQuanYi Zen Hei"/>
        <family val="2"/>
      </rPr>
      <t xml:space="preserve">코라 코라 몰디브</t>
    </r>
  </si>
  <si>
    <t xml:space="preserve">output/pages/062_cora-cora-maldives/villas__coracoraresorts.com__ko-villas-eb-9d-bc-ea-b5-b0-eb-b9-8c-eb-9d-bc.md</t>
  </si>
  <si>
    <t xml:space="preserve">https://www.chevalblanc.com/en/maison/randheli/wellness/cheval-blanc-spa-randheli/</t>
  </si>
  <si>
    <t xml:space="preserve">output/pages/065_cheval-blanc-randheli/spa__chevalblanc.com__en-maison-randheli-wellness-cheval-blanc-spa-randheli.md</t>
  </si>
  <si>
    <t xml:space="preserve">https://www.chevalblanc.com/en/maison/randheli/restaurants-and-bars/table-de-partage-randheli/</t>
  </si>
  <si>
    <t xml:space="preserve">output/pages/065_cheval-blanc-randheli/dining__chevalblanc.com__en-maison-randheli-restaurants-and-bars-table-de-partage-ran.md</t>
  </si>
  <si>
    <t xml:space="preserve">https://www.equatorvillage.com/experiences/spa-wellness</t>
  </si>
  <si>
    <t xml:space="preserve">Maldives Budget Resort Spa | Spa &amp; Wellness at Equator Village</t>
  </si>
  <si>
    <t xml:space="preserve">output/pages/061_equator-village/spa__equatorvillage.com__experiences-spa-wellness.md</t>
  </si>
  <si>
    <t xml:space="preserve">https://www.comohotels.com/maldives/como-maalifushi</t>
  </si>
  <si>
    <t xml:space="preserve">Luxury 5 Star Resort in the Maldives | COMO Maalifushi</t>
  </si>
  <si>
    <t xml:space="preserve">output/pages/066_como-maalifushi/diving__comohotels.com__maldives-como-maalifushi.md</t>
  </si>
  <si>
    <t xml:space="preserve">https://www.chevalblanc.com/en/maison/randheli/rooms-and-suites/private-island/</t>
  </si>
  <si>
    <t xml:space="preserve">output/pages/065_cheval-blanc-randheli/villas__chevalblanc.com__en-maison-randheli-rooms-and-suites-private-island.md</t>
  </si>
  <si>
    <t xml:space="preserve">https://www.equatorvillage.com/offers/a-stay-worth-the-wait</t>
  </si>
  <si>
    <t xml:space="preserve">A Stay Worth The Wait</t>
  </si>
  <si>
    <t xml:space="preserve">output/pages/061_equator-village/villas__equatorvillage.com__offers-a-stay-worth-the-wait.md</t>
  </si>
  <si>
    <t xml:space="preserve">https://www.chevalblanc.com/en/maison/randheli/experiences/families-randheli/</t>
  </si>
  <si>
    <t xml:space="preserve">output/pages/065_cheval-blanc-randheli/excursions__chevalblanc.com__en-maison-randheli-experiences-families-randheli.md</t>
  </si>
  <si>
    <t xml:space="preserve">https://coracoraresorts.com/devops-skills-suite-from-ci-cd-to-devsecops/</t>
  </si>
  <si>
    <t xml:space="preserve">DevOps Skills Suite: From CI/CD to DevSecOps - Cora Cora Maldives</t>
  </si>
  <si>
    <t xml:space="preserve">output/pages/062_cora-cora-maldives/diving__coracoraresorts.com__devops-skills-suite-from-ci-cd-to-devsecops.md</t>
  </si>
  <si>
    <t xml:space="preserve">https://www.equatorvillage.com/experiences/sites-of-addu</t>
  </si>
  <si>
    <t xml:space="preserve">Maldives Local Life | Sites of Addu at Equator Village</t>
  </si>
  <si>
    <t xml:space="preserve">output/pages/061_equator-village/diving__equatorvillage.com__experiences-sites-of-addu.md</t>
  </si>
  <si>
    <t xml:space="preserve">https://www.equatorvillage.com/offers</t>
  </si>
  <si>
    <t xml:space="preserve">Resort Deals Maldives | Special Offers at Equator Village</t>
  </si>
  <si>
    <t xml:space="preserve">output/pages/061_equator-village/diving__equatorvillage.com__offers.md</t>
  </si>
  <si>
    <t xml:space="preserve">https://www.letsgo2.com/suites-and-villas/maldives/constance-moofushi/</t>
  </si>
  <si>
    <t xml:space="preserve">output/pages/109_constance-moofushi-resort/diving__letsgo2.com__suites-and-villas-maldives-constance-moofushi.md</t>
  </si>
  <si>
    <t xml:space="preserve">https://www.chevalblanc.com/en/maison/randheli/rooms-and-suites/</t>
  </si>
  <si>
    <t xml:space="preserve">Villas &amp; Bungalows | Cheval Blanc Randheli – Luxury Villas in the Maldives</t>
  </si>
  <si>
    <t xml:space="preserve">output/pages/065_cheval-blanc-randheli/diving__chevalblanc.com__en-maison-randheli-rooms-and-suites.md</t>
  </si>
  <si>
    <t xml:space="preserve">https://www.equatorvillage.com/experiences/culinary-tours</t>
  </si>
  <si>
    <t xml:space="preserve">Culinary Courses in Maldives | Equator Village Culinary Tours</t>
  </si>
  <si>
    <t xml:space="preserve">output/pages/061_equator-village/dining__equatorvillage.com__experiences-culinary-tours.md</t>
  </si>
  <si>
    <t xml:space="preserve">https://www.chevalblanc.com/en/maison/randheli/rooms-and-suites/horizon-villa/</t>
  </si>
  <si>
    <t xml:space="preserve">output/pages/065_cheval-blanc-randheli/villas__chevalblanc.com__en-maison-randheli-rooms-and-suites-horizon-villa.md</t>
  </si>
  <si>
    <t xml:space="preserve">https://www.equatorvillage.com/wine-dine</t>
  </si>
  <si>
    <t xml:space="preserve">Maldives Local Food | Wine &amp; Dine at Equator Village</t>
  </si>
  <si>
    <t xml:space="preserve">output/pages/061_equator-village/dining__equatorvillage.com__wine-dine.md</t>
  </si>
  <si>
    <t xml:space="preserve">https://www.chevalblanc.com/en/maison/randheli/restaurants-and-bars/le-diptyque/</t>
  </si>
  <si>
    <t xml:space="preserve">output/pages/065_cheval-blanc-randheli/dining__chevalblanc.com__en-maison-randheli-restaurants-and-bars-le-diptyque.md</t>
  </si>
  <si>
    <t xml:space="preserve">https://www.letsgo2.com/hotels/maldives/constance-halaveli-resort/</t>
  </si>
  <si>
    <t xml:space="preserve">output/pages/155_constance-halaveli-resort/diving__letsgo2.com__hotels-maldives-constance-halaveli-resort.md</t>
  </si>
  <si>
    <t xml:space="preserve">https://www.equatorvillage.com/stay</t>
  </si>
  <si>
    <t xml:space="preserve">Best Budget Resorts in Maldives | Accommodation at Equator</t>
  </si>
  <si>
    <t xml:space="preserve">output/pages/061_equator-village/diving__equatorvillage.com__stay.md</t>
  </si>
  <si>
    <t xml:space="preserve">https://www.chevalblanc.com/en/maison/randheli/restaurants-and-bars/deelani/</t>
  </si>
  <si>
    <t xml:space="preserve">output/pages/065_cheval-blanc-randheli/dining__chevalblanc.com__en-maison-randheli-restaurants-and-bars-deelani.md</t>
  </si>
  <si>
    <t xml:space="preserve">https://coracoraresorts.com/finding-and-understanding-escort-services-in-pattaya/</t>
  </si>
  <si>
    <t xml:space="preserve">Finding and Understanding Escort Services in Pattaya - Cora Cora Maldives</t>
  </si>
  <si>
    <t xml:space="preserve">output/pages/062_cora-cora-maldives/diving__coracoraresorts.com__finding-and-understanding-escort-services-in-pattaya.md</t>
  </si>
  <si>
    <t xml:space="preserve">https://www.chevalblanc.com/en/maison/randheli/restaurants-and-bars/</t>
  </si>
  <si>
    <t xml:space="preserve">Restaurants &amp; Bars | Cheval Blanc Randheli – Noonu Atoll Culinary Escape</t>
  </si>
  <si>
    <t xml:space="preserve">output/pages/065_cheval-blanc-randheli/dining__chevalblanc.com__en-maison-randheli-restaurants-and-bars.md</t>
  </si>
  <si>
    <t xml:space="preserve">https://www.comohotels.com/maldives/como-maalifushi/experiences/festive</t>
  </si>
  <si>
    <t xml:space="preserve">Festive Experiences 2026 | COMO Maalifushi</t>
  </si>
  <si>
    <t xml:space="preserve">output/pages/066_como-maalifushi/diving__comohotels.com__maldives-como-maalifushi-experiences-festive.md</t>
  </si>
  <si>
    <t xml:space="preserve">https://www.equatorvillage.com/experiences/snorkeling</t>
  </si>
  <si>
    <t xml:space="preserve">Maldives Resort for Snorkeling | Equator Village Maldives</t>
  </si>
  <si>
    <t xml:space="preserve">output/pages/061_equator-village/diving__equatorvillage.com__experiences-snorkeling.md</t>
  </si>
  <si>
    <t xml:space="preserve">https://www.maldives.com/offers/nh-collection-maldives-havodda-resort-festive-deal</t>
  </si>
  <si>
    <t xml:space="preserve">NH Collection Maldives Havodda Resort | Festive Deals | 50% Off | FREE Half Board</t>
  </si>
  <si>
    <t xml:space="preserve">output/pages/039_nh-collection-maldives-havodda-resort/diving__maldives.com__offers-nh-collection-maldives-havodda-resort-festive-deal.md</t>
  </si>
  <si>
    <t xml:space="preserve">https://www.chevalblanc.com/en/maison/randheli/restaurants-and-bars/spa-bar/</t>
  </si>
  <si>
    <t xml:space="preserve">output/pages/065_cheval-blanc-randheli/dining__chevalblanc.com__en-maison-randheli-restaurants-and-bars-spa-bar.md</t>
  </si>
  <si>
    <t xml:space="preserve">domain</t>
  </si>
  <si>
    <t xml:space="preserve">method</t>
  </si>
  <si>
    <t xml:space="preserve">pdf_found</t>
  </si>
  <si>
    <t xml:space="preserve">pdf_matched</t>
  </si>
  <si>
    <t xml:space="preserve">stored_docs</t>
  </si>
  <si>
    <t xml:space="preserve">date</t>
  </si>
  <si>
    <t xml:space="preserve">sitemap+pages</t>
  </si>
  <si>
    <t xml:space="preserve">crawl</t>
  </si>
  <si>
    <t xml:space="preserve">pages=70 js=False dam=11</t>
  </si>
  <si>
    <t xml:space="preserve">pages=40 js=False dam=8</t>
  </si>
  <si>
    <t xml:space="preserve">pages=70 js=False dam=0</t>
  </si>
  <si>
    <t xml:space="preserve">pages=1 js=False dam=0</t>
  </si>
  <si>
    <t xml:space="preserve">wp-media-api+crawl</t>
  </si>
  <si>
    <t xml:space="preserve">pages=150 js=False dam=0</t>
  </si>
  <si>
    <t xml:space="preserve">pages=70 js=False dam=2</t>
  </si>
  <si>
    <t xml:space="preserve">pages=70 js=False dam=483</t>
  </si>
  <si>
    <t xml:space="preserve">pages=53 js=False dam=0</t>
  </si>
  <si>
    <t xml:space="preserve">pages=70 js=True dam=0</t>
  </si>
  <si>
    <t xml:space="preserve">pages=54 js=True dam=0</t>
  </si>
  <si>
    <t xml:space="preserve">pages=70 js=False dam=45</t>
  </si>
  <si>
    <t xml:space="preserve">pages=41 js=False dam=0</t>
  </si>
  <si>
    <t xml:space="preserve">pages=24 js=False dam=0</t>
  </si>
  <si>
    <t xml:space="preserve">pages=40 js=False dam=0</t>
  </si>
  <si>
    <t xml:space="preserve">pages=70 js=False dam=1</t>
  </si>
  <si>
    <t xml:space="preserve">pages=10 js=False dam=0</t>
  </si>
  <si>
    <t xml:space="preserve">pages=33 js=True dam=0</t>
  </si>
  <si>
    <t xml:space="preserve">pages=70 js=False dam=14</t>
  </si>
  <si>
    <t xml:space="preserve">pages=42 js=False dam=0</t>
  </si>
  <si>
    <t xml:space="preserve">pages=50 js=True dam=899</t>
  </si>
  <si>
    <t xml:space="preserve">pages=38 js=False dam=1</t>
  </si>
  <si>
    <t xml:space="preserve">pages=61 js=False dam=0</t>
  </si>
  <si>
    <t xml:space="preserve">sixsenses.com</t>
  </si>
  <si>
    <t xml:space="preserve">ozenreservebolifushi.com</t>
  </si>
  <si>
    <t xml:space="preserve">filitheyo.com</t>
  </si>
  <si>
    <t xml:space="preserve">resort name not found on page</t>
  </si>
  <si>
    <t xml:space="preserve">joali.com</t>
  </si>
  <si>
    <t xml:space="preserve">joalibeing.com</t>
  </si>
  <si>
    <t xml:space="preserve">dreamlandmaldives.com</t>
  </si>
  <si>
    <t xml:space="preserve">hilton.com</t>
  </si>
  <si>
    <t xml:space="preserve">sandies-bathala.com</t>
  </si>
  <si>
    <t xml:space="preserve">alilahotels.com</t>
  </si>
  <si>
    <t xml:space="preserve">hyatt.com</t>
  </si>
  <si>
    <t xml:space="preserve">baglionihotels.com</t>
  </si>
  <si>
    <t xml:space="preserve">marriott.com</t>
  </si>
  <si>
    <t xml:space="preserve">rihivelimaldives.com</t>
  </si>
  <si>
    <t xml:space="preserve">rihiveli-maldives.com</t>
  </si>
  <si>
    <t xml:space="preserve">nooemaldives.com</t>
  </si>
  <si>
    <t xml:space="preserve">halcyonmaldives.com</t>
  </si>
  <si>
    <t xml:space="preserve">melia.com</t>
  </si>
  <si>
    <t xml:space="preserve">raffles.com</t>
  </si>
  <si>
    <t xml:space="preserve">parkhotelgroup.com</t>
  </si>
  <si>
    <t xml:space="preserve">barcelo.com</t>
  </si>
  <si>
    <t xml:space="preserve">kudadoo.com</t>
  </si>
  <si>
    <t xml:space="preserve">pages=1 js=True dam=2</t>
  </si>
  <si>
    <t xml:space="preserve">hurawalhi.com</t>
  </si>
  <si>
    <t xml:space="preserve">innahura.com</t>
  </si>
  <si>
    <t xml:space="preserve">coastlinemaldives.com</t>
  </si>
  <si>
    <t xml:space="preserve">coastlineresidences.com</t>
  </si>
  <si>
    <t xml:space="preserve">ritzcarlton.com</t>
  </si>
  <si>
    <t xml:space="preserve">nh-collection.com</t>
  </si>
  <si>
    <t xml:space="preserve">nh-hotels.com</t>
  </si>
  <si>
    <t xml:space="preserve">jawakaraislands.com</t>
  </si>
  <si>
    <t xml:space="preserve">pages=1 js=True dam=0</t>
  </si>
  <si>
    <t xml:space="preserve">dhiggiri.com</t>
  </si>
  <si>
    <t xml:space="preserve">so-maldives.com</t>
  </si>
  <si>
    <t xml:space="preserve">ozenlifemaadhoo.com</t>
  </si>
  <si>
    <t xml:space="preserve">dusit.com</t>
  </si>
  <si>
    <t xml:space="preserve">cinnamonhotels.com</t>
  </si>
  <si>
    <t xml:space="preserve">pages=1 js=False dam=267</t>
  </si>
  <si>
    <t xml:space="preserve">fourseasons.com</t>
  </si>
  <si>
    <t xml:space="preserve">fihalhohi.com</t>
  </si>
  <si>
    <t xml:space="preserve">fihalhohi.net</t>
  </si>
  <si>
    <t xml:space="preserve">fairmont-maldives.com</t>
  </si>
  <si>
    <t xml:space="preserve">jumeirah.com</t>
  </si>
  <si>
    <t xml:space="preserve">pages=1 js=False dam=1</t>
  </si>
  <si>
    <t xml:space="preserve">pulse.dash.app/portals/kandima-maldives-official-library</t>
  </si>
  <si>
    <t xml:space="preserve">dash-api</t>
  </si>
  <si>
    <t xml:space="preserve">Kandima Maldives Official Library</t>
  </si>
  <si>
    <t xml:space="preserve">pulse.dash.app/portals/nova-maldives-official-library</t>
  </si>
  <si>
    <t xml:space="preserve">Nova Maldives Official Library</t>
  </si>
  <si>
    <t xml:space="preserve">pulse.dash.app/portals/pulse-hotels-and-resorts</t>
  </si>
  <si>
    <t xml:space="preserve">Pulse Hotels &amp; Resorts - Brand Assets</t>
  </si>
  <si>
    <t xml:space="preserve">villaresorts.dash.app/portals/villa-resorts</t>
  </si>
  <si>
    <t xml:space="preserve">Villa Resorts</t>
  </si>
  <si>
    <t xml:space="preserve">villaresorts.dash.app/portals/villa-nautica</t>
  </si>
  <si>
    <t xml:space="preserve">Villa Nautica</t>
  </si>
  <si>
    <t xml:space="preserve">villaresorts.dash.app/portals/villa-park</t>
  </si>
  <si>
    <t xml:space="preserve">Villa Park</t>
  </si>
  <si>
    <t xml:space="preserve">villaresorts.dash.app/portals/royal-island</t>
  </si>
  <si>
    <t xml:space="preserve">Royal Island</t>
  </si>
  <si>
    <t xml:space="preserve">fushifaru.com</t>
  </si>
  <si>
    <t xml:space="preserve">pages=34 js=False dam=0</t>
  </si>
  <si>
    <t xml:space="preserve">fairmont.com</t>
  </si>
  <si>
    <t xml:space="preserve">soneva.dash.app/portals/media-library</t>
  </si>
  <si>
    <t xml:space="preserve">login-required</t>
  </si>
  <si>
    <t xml:space="preserve">Media Library</t>
  </si>
  <si>
    <t xml:space="preserve">soneva.dash.app/portals/brand-assets</t>
  </si>
  <si>
    <t xml:space="preserve">Brand Assets </t>
  </si>
  <si>
    <t xml:space="preserve">reethibeach.com</t>
  </si>
  <si>
    <t xml:space="preserve">erimaldives.com</t>
  </si>
  <si>
    <t xml:space="preserve">pages=70 js=False dam=13</t>
  </si>
  <si>
    <t xml:space="preserve">tourism.gov.mv</t>
  </si>
  <si>
    <t xml:space="preserve">register</t>
  </si>
  <si>
    <t xml:space="preserve">no-list</t>
  </si>
  <si>
    <t xml:space="preserve">0 agency domains</t>
  </si>
  <si>
    <t xml:space="preserve">kellyan.co.jp</t>
  </si>
  <si>
    <t xml:space="preserve">pages=12 js=False dam=0</t>
  </si>
  <si>
    <t xml:space="preserve">innermaldives.com</t>
  </si>
  <si>
    <t xml:space="preserve">pages=12 js=False dam=62</t>
  </si>
  <si>
    <t xml:space="preserve">voyagesmaldives.com</t>
  </si>
  <si>
    <t xml:space="preserve">pages=27 js=False dam=1</t>
  </si>
  <si>
    <t xml:space="preserve">unihotel.org</t>
  </si>
  <si>
    <t xml:space="preserve">hummingbird.travel</t>
  </si>
  <si>
    <t xml:space="preserve">pages=150 js=False dam=2</t>
  </si>
  <si>
    <t xml:space="preserve">travelconnectionmaldives.com</t>
  </si>
  <si>
    <t xml:space="preserve">suntravelsmaldives.com</t>
  </si>
  <si>
    <t xml:space="preserve">pages=139 js=False dam=0</t>
  </si>
  <si>
    <t xml:space="preserve">mondomaldive.it</t>
  </si>
  <si>
    <t xml:space="preserve">resortlife.mv</t>
  </si>
  <si>
    <t xml:space="preserve">islandsmaldives.com</t>
  </si>
  <si>
    <t xml:space="preserve">pages=2 js=False dam=0</t>
  </si>
  <si>
    <t xml:space="preserve">maldivesdmc.com</t>
  </si>
  <si>
    <t xml:space="preserve">ablemaldives.com</t>
  </si>
  <si>
    <t xml:space="preserve">maldives-travel.com</t>
  </si>
  <si>
    <t xml:space="preserve">maldivestravelspot.com</t>
  </si>
  <si>
    <t xml:space="preserve">capitaltravel.com</t>
  </si>
  <si>
    <t xml:space="preserve">maldivesbookings.com</t>
  </si>
  <si>
    <t xml:space="preserve">lilyhotels.com</t>
  </si>
  <si>
    <t xml:space="preserve">pages=4 js=False dam=0</t>
  </si>
  <si>
    <t xml:space="preserve">maldivesholidayoffers.com</t>
  </si>
  <si>
    <t xml:space="preserve">pages=72 js=False dam=2</t>
  </si>
  <si>
    <t xml:space="preserve">mymaldives.com</t>
  </si>
  <si>
    <t xml:space="preserve">pages=150 js=False dam=1</t>
  </si>
  <si>
    <t xml:space="preserve">simplymaldives.co.uk</t>
  </si>
  <si>
    <t xml:space="preserve">atollsmaldives.com</t>
  </si>
  <si>
    <t xml:space="preserve">ocean-maldives.com</t>
  </si>
  <si>
    <t xml:space="preserve">maldivesresorts.com</t>
  </si>
  <si>
    <t xml:space="preserve">maldivestraveller.mv</t>
  </si>
  <si>
    <t xml:space="preserve">maldiveslovers.com</t>
  </si>
  <si>
    <t xml:space="preserve">allmaldives.com</t>
  </si>
  <si>
    <t xml:space="preserve">maldivesfinest.com</t>
  </si>
  <si>
    <t xml:space="preserve">maldivesmagazine.com</t>
  </si>
  <si>
    <t xml:space="preserve">islandhoppers.com.mv</t>
  </si>
  <si>
    <t xml:space="preserve">triptomaldives.com</t>
  </si>
  <si>
    <t xml:space="preserve">maldivestourism.net</t>
  </si>
  <si>
    <t xml:space="preserve">visitmaldives.com</t>
  </si>
  <si>
    <t xml:space="preserve">pages=150 js=False dam=787</t>
  </si>
  <si>
    <t xml:space="preserve">radissonhotels.com</t>
  </si>
  <si>
    <t xml:space="preserve">note</t>
  </si>
  <si>
    <t xml:space="preserve">snippet</t>
  </si>
  <si>
    <t xml:space="preserve">NalaMaldivesFactsheet011125311026Ver030426</t>
  </si>
  <si>
    <t xml:space="preserve">Nala Maldives (Crown &amp; Champa, not in list)</t>
  </si>
  <si>
    <t xml:space="preserve">https://sales.crownandchamparesorts.com/wp-content/uploads/2026/03/Nala-MaldivesMap110125103126Rev022026.pdf</t>
  </si>
  <si>
    <t xml:space="preserve">Nala MaldivesMap110125103126Rev022026</t>
  </si>
  <si>
    <t xml:space="preserve">https://sales.crownandchamparesorts.com/wp-content/uploads/2025/07/NalaMaldivesFactSheet011125103126Rev042425.pdf</t>
  </si>
  <si>
    <t xml:space="preserve">NalaMaldivesFactSheet011125103126Rev042425</t>
  </si>
  <si>
    <t xml:space="preserve">https://www.neoscapesmaldives.com/resort/</t>
  </si>
  <si>
    <t xml:space="preserve">Our Resorts</t>
  </si>
  <si>
    <t xml:space="preserve">Neoscapes resort not in list</t>
  </si>
  <si>
    <t xml:space="preserve">https://www.neoscapesmaldives.com/resort/dusitd2-feydhoo-maldives/</t>
  </si>
  <si>
    <t xml:space="preserve">dusitD2 Feydhoo Maldives</t>
  </si>
  <si>
    <t xml:space="preserve">https://www.neoscapesmaldives.com/resort/kihaa-maldives/</t>
  </si>
  <si>
    <t xml:space="preserve">Kihaa Maldives</t>
  </si>
  <si>
    <t xml:space="preserve">https://www.neoscapesmaldives.com/resort/oblu-xperience-ailafushi/</t>
  </si>
  <si>
    <t xml:space="preserve">OBLU XPERIENCE Ailafushi</t>
  </si>
  <si>
    <t xml:space="preserve">https://www.neoscapesmaldives.com/resort/rah-gili-maldives</t>
  </si>
  <si>
    <t xml:space="preserve">Rah Gili Maldives</t>
  </si>
  <si>
    <t xml:space="preserve">https://sales.crownandchamparesorts.com/wp-content/uploads/2025/12/BaaniSpaWellnessMenu_English_110125103126Ver150625.pdf</t>
  </si>
  <si>
    <t xml:space="preserve">BaaniSpa-A3-EN-WellnessMenu2023Revised</t>
  </si>
  <si>
    <t xml:space="preserve">THE BAANI JOURNEY RELEASE stress. RESTORE balance. REGAIN momentum. THE ISLAND WAY Your Path to Well-Being Baani (“The Ocean Swell” in Dhivehi) reminds us of the rhythm of life. Like the rhythm of the</t>
  </si>
  <si>
    <t xml:space="preserve"> </t>
  </si>
  <si>
    <t xml:space="preserve">https://sales.crownandchamparesorts.com/wp-content/uploads/2025/08/MIR_A4-16032025.pdf</t>
  </si>
  <si>
    <t xml:space="preserve">MIR_A4 - 11022025.pdf</t>
  </si>
  <si>
    <t xml:space="preserve">Veli-IslandMap_14062025 compressed</t>
  </si>
  <si>
    <t xml:space="preserve"> Suns etJ ett </t>
  </si>
  <si>
    <t xml:space="preserve">https://sales.crownandchamparesorts.com/wp-content/uploads/2023/10/BaaniSpa-A3-EN-WellnessMenu2023Revised.pdf</t>
  </si>
  <si>
    <t xml:space="preserve">https://sales.crownandchamparesorts.com/wp-content/uploads/2020/10/MaldivesCivilAviationAuthorityGuidelineCircular142020-Issue-03Revised101620.pdf</t>
  </si>
  <si>
    <t xml:space="preserve"> MALDIVES CIVIL AVIATION AUTHORITY Republic of Maldives AIR TRANSPORT CIRCULAR AT | 412020 - lssue 03 PRECAUTIONARY MEASURES AGAINST NOVEL CORONAV</t>
  </si>
  <si>
    <t xml:space="preserve">https://sales.crownandchamparesorts.com/wp-content/uploads/2020/10/CCRSafeHolidayExperienceInParadiseRevised101620.pdf</t>
  </si>
  <si>
    <t xml:space="preserve"> A safe holiday experience in paradise PAUSE | BREATHE | MALDIVES Sunny Greetings from CCR We begin with a heartfelt thank you to our community for supporting us in these uncertain times, and a commit</t>
  </si>
  <si>
    <t xml:space="preserve">https://sales.crownandchamparesorts.com/wp-content/uploads/2020/10/AlliedInsurancePolicyCOVID19Revised101620.pdf</t>
  </si>
  <si>
    <t xml:space="preserve"> Travelling to Maldives? Frequently asked questions: Your safety is our first priority. While Maldives is ready to welcome tourists with open arms but from a distance, we want to ensure that all the r</t>
  </si>
  <si>
    <t xml:space="preserve">https://sales.crownandchamparesorts.com/wp-content/uploads/2020/07/TMANewNormalGuestExperiencHandbook.pdf</t>
  </si>
  <si>
    <t xml:space="preserve">TMA New Normal Guest Experience Handbook 1 Contents Passengers connecting from an International flight to a TMA flight 5 Check-in at TMA check-in counters Passengers arriving from Male’/Hulumale’ At T</t>
  </si>
  <si>
    <t xml:space="preserve">https://sales.crownandchamparesorts.com/wp-content/uploads/2020/07/Maldives-Travel-Information.pdf</t>
  </si>
  <si>
    <t xml:space="preserve">Maldives Travel Information</t>
  </si>
  <si>
    <t xml:space="preserve"> Government of Maldives DOCUMENT VALID THROUGH AUGUST 2020 Maldives: Travel Information PLANNING YOUR TRIP The Maldives is opening its border and lifting t</t>
  </si>
  <si>
    <t xml:space="preserve">https://sales.crownandchamparesorts.com/wp-content/uploads/2020/07/Public-health-interventions-to-reduce-the-risk-of-transmission-of-COVID-19-in-the-tourism-sector-030720.pdf</t>
  </si>
  <si>
    <t xml:space="preserve"> Contents 1. Introduction .................................................................................................................................... 4 2. Objectives .........................</t>
  </si>
  <si>
    <t xml:space="preserve">Microsoft Word - new SOP - VELI.docx</t>
  </si>
  <si>
    <t xml:space="preserve"> COVID-19 Operating Procedures Ocean Dive &amp; Sports Centre Index GENERAL Operations overview Disinfecting Staff tracker Guest tracker Boats and vessels SNORKEL GEAR RENTAL General handling Receivin</t>
  </si>
  <si>
    <t xml:space="preserve">https://sales.crownandchamparesorts.com/wp-content/uploads/2020/07/DuniyeSpa-Guidelines-Covid19_SpaServices_June2020-ver5.pdf</t>
  </si>
  <si>
    <t xml:space="preserve">DuniyeSpa-Guidelines-Covid19_SpaServices_June2020-ver5</t>
  </si>
  <si>
    <t xml:space="preserve">Overview Recommended Spa Operations Guidelines PostCovid-19 June 2020 Version 5, updated July 5th 2020 COVID-19 Recommended SPA GUIDELINES CONTENTS SECTION 1. INTRODUCTION ............................</t>
  </si>
  <si>
    <t xml:space="preserve">https://sales.crownandchamparesorts.com/wp-content/uploads/2020/07/CCR-A-Safe-Holiday-Experience-in-Paradise-VER071620.pdf</t>
  </si>
  <si>
    <t xml:space="preserve">https://sales.crownandchamparesorts.com/wp-content/uploads/2020/07/MinistryofTourismGuideline.pdf</t>
  </si>
  <si>
    <t xml:space="preserve"> ©Copyright 2020 The material contained in this guideline is subject to copyright protection unless otherwise indicated. The copyright protected </t>
  </si>
  <si>
    <t xml:space="preserve">https://sales.crownandchamparesorts.com/wp-content/uploads/2020/07/MaldivesCivilAviationAuthorityGuideline.pdf</t>
  </si>
  <si>
    <t xml:space="preserve"> Maldives Civil Aviation Authority Republic of Maldives COVID-19 CAA Guidance Material Air Travel through the COVID-19 Public Health Crisis Issue 1.0, 14 June 2020 </t>
  </si>
  <si>
    <t xml:space="preserve">https://sales.crownandchamparesorts.com/wp-content/uploads/2018/03/Colour-code.pdf</t>
  </si>
  <si>
    <t xml:space="preserve">Presentation1</t>
  </si>
  <si>
    <t xml:space="preserve">https://www.neoscapesmaldives.com/wp-content/uploads/Map-Kihaa-Maldives.pdf</t>
  </si>
  <si>
    <t xml:space="preserve"> BACK TO CONTENTS </t>
  </si>
  <si>
    <t xml:space="preserve">https://www.neoscapesmaldives.com/wp-content/uploads/Factsheet-Kihaa-Maldives-rdc.pdf</t>
  </si>
  <si>
    <t xml:space="preserve">FA C T S H E E T Jew e Oce s Hanifaru Bay Kihaa Maldives Your private coral island located in Baa Atoll, home of Hanifaru Bay - the famed marine protected biosphere reserve by UNESCO, featuring impecc</t>
  </si>
  <si>
    <t xml:space="preserve">https://www.neoscapesmaldives.com/wp-content/uploads/OBLU-Xperience-Ailafushi-Island-Map-DEC-2022.pdf</t>
  </si>
  <si>
    <t xml:space="preserve">OBLU Xperience Ailafushi - Island Map - DEC 2022</t>
  </si>
  <si>
    <t xml:space="preserve"> Ailafushi A Arrival Pavillion Ocean View Room B [ Ocean View Family 2 Bedroom D D C Beach Villa D Water Villa E Element X Restaurant (All-Day Dining Restaurant) F X360 Bar G Dive Jetty H La Promenade</t>
  </si>
  <si>
    <t xml:space="preserve">https://www.neoscapesmaldives.com/wp-content/uploads/OBLU-Xperience-Ailafushi-E-Brochure-May-2023.pdf</t>
  </si>
  <si>
    <t xml:space="preserve">Chilled Free-Spirited Vibes BIG- HEARTED Island Soul COLOURS OF OBLU is a dynamic collection of Indian Ocean Hotels and Resorts by Atmosphere Core. We present a curated selection of experiences that b</t>
  </si>
  <si>
    <t xml:space="preserve">https://www.neoscapesmaldives.com/wp-content/uploads/RAH-GILI-MALDIVES-Resort-Presentation_2026.pdf</t>
  </si>
  <si>
    <t xml:space="preserve">1 | RAH GILI MALDIVES A secret place where time stands still. 2 | RAH GILI MALDIVES RAH GILI MALDIVES Perched on the edge of the atoll, RAH GILI MALDIVES sits beside an exclusive dolphin sanctuary. On</t>
  </si>
  <si>
    <t xml:space="preserve">https://www.neoscapesmaldives.com/wp-content/uploads/RAH-GILI-MALDIVES-Resort-Map.pdf</t>
  </si>
  <si>
    <t xml:space="preserve">RAH GILI MALDIVES North </t>
  </si>
  <si>
    <t xml:space="preserve">https://www.tui.com/fileadmin/pdf/TUI_Top_Quality_2018_Gewinner.pdf</t>
  </si>
  <si>
    <t xml:space="preserve">PowerPoint-Präsentation</t>
  </si>
  <si>
    <t xml:space="preserve"> TUI TOP QUALITY 2018: DIE GEWINNER Afrika Deutschland  Neptune Pwani Beach Resort Spa – ZNZ30005  BEST WESTERN Berghotel Rehlegg - BYD39065  Dorint Dresden - DRS10017 Ägypten </t>
  </si>
  <si>
    <t xml:space="preserve">https://d1vp8nomjxwyf1.cloudfront.net/wp-content/uploads/sites/212/2023/03/17095101/Sandies-Baobab-Beach.pdf</t>
  </si>
  <si>
    <t xml:space="preserve"> SANDIES BAOBAB BEACH Get ready to relax and unwind on the most famous beach in Zanzibar, welcome to... Nungwi. </t>
  </si>
  <si>
    <t xml:space="preserve">https://d1vp8nomjxwyf1.cloudfront.net/wp-content/uploads/sites/212/2023/03/17095019/Diamonds-Malindi-Conference-Center.pdf</t>
  </si>
  <si>
    <t xml:space="preserve"> Built to be the perfect venue for your conference, meeting, banqueting or incentive requirements, Diamonds Conference Center pays the tribute to be the perfect host in Kenya. PLANHOTEL HOSPITALITY GR</t>
  </si>
  <si>
    <t xml:space="preserve">https://d1vp8nomjxwyf1.cloudfront.net/wp-content/uploads/sites/212/2017/07/30143804/Diamonds-Resorts_Gastronomie-e-Turisme_Dec-2018.pdf</t>
  </si>
  <si>
    <t xml:space="preserve"> Decembre 2018 Vins Heiko Nieder Cuisinier suisse de l’AnnÉe Menu L’Hôtelier César Ritz (1850-1918) </t>
  </si>
  <si>
    <t xml:space="preserve">https://d1vp8nomjxwyf1.cloudfront.net/wp-content/uploads/sites/212/2017/07/28075759/MODULO-RID-.pdf</t>
  </si>
  <si>
    <t xml:space="preserve">IM00MOCC000012B:IM00MOCC000012B</t>
  </si>
  <si>
    <t xml:space="preserve"> R.I.D. - AUTORIZZAZIONE PERMANENTE DI ADDEBITO IN C/C Azienda creditrice Banca del debitore FASTBOOKING </t>
  </si>
  <si>
    <t xml:space="preserve">https://d1vp8nomjxwyf1.cloudfront.net/wp-content/uploads/sites/212/2017/07/28075756/Mvua-Spa-brochure-star-of-the-east.pdf</t>
  </si>
  <si>
    <t xml:space="preserve"> MVUA IS AN AFRICAN WORD AND TRANSLATED FROM SWAHILI MEANS “RAIN” In Africa, rain gives life and life depends on it….. Rain is the gift that brings simple wealth to the earth and all those on it. Rain</t>
  </si>
  <si>
    <t xml:space="preserve">https://d1vp8nomjxwyf1.cloudfront.net/wp-content/uploads/sites/113/2017/04/30063302/Travelife-Gold-Certificate-Diamonds-Mapenzi-Beach-Club.pdf</t>
  </si>
  <si>
    <t xml:space="preserve">Following an independent audit against the Travelife Standard* Diamonds Mapenzi Beach Club PO Box 100, Mahonda, Zanzibar, Tanzania has achieved Travelife Gold Certification They have shown Travelife e</t>
  </si>
  <si>
    <t xml:space="preserve">https://d1vp8nomjxwyf1.cloudfront.net/wp-content/uploads/sites/212/2017/08/02081755/Sandies-Tropical-Village_2017_Groups-Mannual.pdf</t>
  </si>
  <si>
    <t xml:space="preserve">TROP 2016</t>
  </si>
  <si>
    <t xml:space="preserve">meetings and incentives 2017 Managed by PlanHotel Hospitality Group Sandies Tropical Village offers an exclusive launch pad to the wonders of Kenya. Paper-white buildings with palm-thatched roofs watc</t>
  </si>
  <si>
    <t xml:space="preserve">https://heritancehotels.eme-devops.com/2026/06/MICE-ASHM_.pdf</t>
  </si>
  <si>
    <t xml:space="preserve">MICE - ASHM</t>
  </si>
  <si>
    <t xml:space="preserve"> YOUR PRODUCTIVE SPACE MEETING &amp; EVENTS SRI LANKA DISCOVER AITKEN SPENCE HOTELS WHERE EVE RY STAY T E L LS A STO RY Food &amp; Indoor &amp; outdoor</t>
  </si>
  <si>
    <t xml:space="preserve">https://heritancehotels.eme-devops.com/2026/06/Heritance-Tea-Factory-Fact-Sheet.pdf</t>
  </si>
  <si>
    <t xml:space="preserve">HTF Fact Sheet L</t>
  </si>
  <si>
    <t xml:space="preserve">FACT SHEET The historical Hethersett Estate is home to Heritance Tea Factory, a magniﬁcent resort converted from a 19th century tea factory representing the local warmth and up-country charm. Immerse </t>
  </si>
  <si>
    <t xml:space="preserve">https://heritancehotels.eme-devops.com/2025/09/HETHERSETT-HIGH-TEA-2025-2026.pdf</t>
  </si>
  <si>
    <t xml:space="preserve">HETHERSETT HIGH TEA</t>
  </si>
  <si>
    <t xml:space="preserve"> HETHERSETT HIGH TEA Indulge In A High Tea Experience At Over 2000 Meters, Where Local Delicacies And Curated Teas Meet Breathtaking Views Of Misty Peaks And Rolling Hills - A True Feast For The Sense</t>
  </si>
  <si>
    <t xml:space="preserve">https://heritancehotels.eme-devops.com/2025/07/HTF-Fact-Sheet-L.pdf</t>
  </si>
  <si>
    <t xml:space="preserve">FACT SHEET The historical Hethersett Estate is home to Heritance Tea Factory, a magnificent resort converted from a 19th century tea factory representing the local warmth and up-country charm. Immerse</t>
  </si>
  <si>
    <t xml:space="preserve">https://heritancehotels.eme-devops.com/2025/06/ala-cart-menu-2023-2025.pdf</t>
  </si>
  <si>
    <t xml:space="preserve"> KENMARE À LA CARTE MENU Dine where history meets culinary excellence in our main restaurant, once the tea-shifting room of the historic Heritance Tea Factory. Savor exquisite dishes in a setting that</t>
  </si>
  <si>
    <t xml:space="preserve">https://heritancehotels.eme-devops.com/2025/06/THE-TEA-INFUSED-SET-MENU-BY-JAMES-TAYLER.odt.pdf</t>
  </si>
  <si>
    <t xml:space="preserve"> THE TEA-INFUSED SET MENU BY JAMES TAYLER Dine where history meets culinary excellence in our main restaurant, once the tea-shifting room 12.30 p.m to 2.30 p.m of the historic Heritance Tea Factory. D</t>
  </si>
  <si>
    <t xml:space="preserve">https://heritancehotels.eme-devops.com/2025/06/tea-bar-Beverage-Menu-HTF.pdf</t>
  </si>
  <si>
    <t xml:space="preserve">Beverage Menu - HTF</t>
  </si>
  <si>
    <t xml:space="preserve"> GOATFELL TEA BAR MENU Served From 10.00 a.m - 02.00 a.m TEA COCKTAILS Tea Factory Queen 2,500 (Tea signature) Dark Rum, Coconut Liqueur Passion Fruit Juice, BOPF Tea, Wild Berry Syrup Tea Cream F</t>
  </si>
  <si>
    <t xml:space="preserve">https://heritancehotels.eme-devops.com/2025/06/Beverage-Menu-HTF.pdf</t>
  </si>
  <si>
    <t xml:space="preserve"> BEVERAGE MENU Served From 10.00 a.m - 02.00 a.m APERITIF 50ML Martini - Rosso 950 Martini - Bianco 950 Martini - Dry </t>
  </si>
  <si>
    <t xml:space="preserve">https://heritancehotels.eme-devops.com/2025/02/ala-cart-menu-24-25.pdf</t>
  </si>
  <si>
    <t xml:space="preserve">https://heritancehotels.eme-devops.com/2025/02/All-Inclusive-Cocktails.pdf</t>
  </si>
  <si>
    <t xml:space="preserve">/ ALL INCLUSIVE / /COCKTAILS/ /WHISKY/ OLD FASHIONED MANHATTAN BLACK JACK /GIN/ NEGRONI MARTINI BRONX SINGAPORE SLING TOM COLLINS GIN FIZZ PINK GIN /VODKA/ VODKATINI KAMIKAZE FRENCH MARTINI SEX ON THE</t>
  </si>
  <si>
    <t xml:space="preserve">https://heritancehotels.eme-devops.com/2025/02/Fact-Sheet-Heritance-Negombo-2022.pdf</t>
  </si>
  <si>
    <t xml:space="preserve">HN Fact Sheet L</t>
  </si>
  <si>
    <t xml:space="preserve">FACT SHEET Welcome to Heritance Negombo – where inventiveness and imagination are at work around every smile. The ﬁve-star hotel, ideal for families and businesses alike sprawls across 6.5 acres of be</t>
  </si>
  <si>
    <t xml:space="preserve">https://heritancehotels.eme-devops.com/2025/02/Fact-Sheet-Heritance-Ayurveda.pdf</t>
  </si>
  <si>
    <t xml:space="preserve">HAMG Fact Sheet L</t>
  </si>
  <si>
    <t xml:space="preserve">FACT SHEET Aitken Spence Hotels’ ﬁrst resort ﬁrst and yet another Geoffrey Bawa’s designs, Heritance Ayurveda is a wellness resort dedicated to calm the mind, body and soul using generational Ayurvedi</t>
  </si>
  <si>
    <t xml:space="preserve">https://heritancehotels.eme-devops.com/2025/02/Fact-Sheet-Heritance-Ahungalla-2022.pdf</t>
  </si>
  <si>
    <t xml:space="preserve">FACT SHEET Escape into an oasis of wonder; a remarkable ﬁve-star beach resort located in a serene coastal town in Sri Lanka, where style and substance take precedence in delivering an incredible holid</t>
  </si>
  <si>
    <t xml:space="preserve">https://heritancehotels.eme-devops.com/2025/01/HN-Sustainability-Report-2022-1.pdf</t>
  </si>
  <si>
    <t xml:space="preserve"> Sustainability Report Property: Heritance Negombo Duration: April 2019 to March 2020 &amp; April 2020 to March 2021 (Two Years) Content 1) Message from Executive Director / GM, Heritance Negombo 2) We ar</t>
  </si>
  <si>
    <t xml:space="preserve">https://heritancehotels.eme-devops.com/2025/01/HN-Sustainability-Report-2022.pdf</t>
  </si>
  <si>
    <t xml:space="preserve">https://heritancehotels.eme-devops.com/2025/01/HK-Sustainability-Report-2023-24.pdf</t>
  </si>
  <si>
    <t xml:space="preserve">A legacy of 30 years Sustainability Report 2023|2024 Heritance Kandalama 1|Page Contents An Overview of Heritance Kandalama ............................................................................</t>
  </si>
  <si>
    <t xml:space="preserve">https://heritancehotels.eme-devops.com/2025/01/Heritance-Hotels-Child-Protection-Policy-V3.pdf</t>
  </si>
  <si>
    <t xml:space="preserve">Child Protection Policy Children are our future and the next generation of travellers. At Heritance Hotels and Resorts, we take great care to ensure the safety of children and uphold their rights to t</t>
  </si>
  <si>
    <t xml:space="preserve">https://www.saiihotels.com/wp-content/uploads/2026/09/Kids-Club-Price-List-Sep-Dec-2026.pdf</t>
  </si>
  <si>
    <t xml:space="preserve">ISO 15930 - Electronic document file format for prepress digital data exchange (PDF/X)</t>
  </si>
  <si>
    <t xml:space="preserve"> MAFEUNG &amp; MAFAI JUNIOR BEACH CLUB AND CAMP PRICE LIST ACTIVITIES THB ART PAINTING: </t>
  </si>
  <si>
    <t xml:space="preserve">https://www.saiihotels.com/wp-content/uploads/2026/09/SAii-Kids-Activity-Sep-Dec-2026.pdf</t>
  </si>
  <si>
    <t xml:space="preserve"> DAILY K ID S ACT I V I T I ES P ROG RAM ACTIVITIES SCHEDULE Monday Tuesday Wednesday </t>
  </si>
  <si>
    <t xml:space="preserve">https://www.saiihotels.com/wp-content/uploads/2026/07/SunRay_A4-Food-Dinner_04.pdf</t>
  </si>
  <si>
    <t xml:space="preserve">SunRay_A4-Food-Dinner_04</t>
  </si>
  <si>
    <t xml:space="preserve">Dinner i z e r s &amp; A p p e t a d s Sal Black Angus Beef Carpaccio 490 Thinly sliced Black Angus beef with rocket leaves, parmesan cheese, and lemon vinaigrette Burrata Salad </t>
  </si>
  <si>
    <t xml:space="preserve">https://www.saiihotels.com/wp-content/uploads/2026/04/SAii-Kids-Activity_May-Aug-2026.pdf</t>
  </si>
  <si>
    <t xml:space="preserve">https://www.saiihotels.com/wp-content/uploads/2026/02/Kids-Club-Price-List_Feb-Apr-2026.pdf</t>
  </si>
  <si>
    <t xml:space="preserve">https://www.saiihotels.com/wp-content/uploads/2026/01/SAii-Kids-Activity_Feb-Apr-2026.pdf</t>
  </si>
  <si>
    <t xml:space="preserve">https://www.saiihotels.com/wp-content/uploads/2025/10/TerraMar_Menu_ENG-23-Sep-25.pdf</t>
  </si>
  <si>
    <t xml:space="preserve">LIGHT BITES SURF &amp; TURF TERRA &amp; MAR VEGETABLES SAMOSAS 340 MALA CHICKEN SKEWERS </t>
  </si>
  <si>
    <t xml:space="preserve">https://www.saiihotels.com/wp-content/uploads/2025/10/SAii-Laguna-Phuket-Trade-Factsheet.pdf</t>
  </si>
  <si>
    <t xml:space="preserve">PHUKET BLISS Play or unwind, your way Nestled between a tropical lagoon and pristine Bangtao Beach, You Stay Includes SAii Laguna Phuket, part of Laguna Phuket – Asia’s premier integrated • Private ba</t>
  </si>
  <si>
    <t xml:space="preserve">https://www.saiihotels.com/wp-content/uploads/2025/10/SAii-Koh-Samui-Villas_Trade-Factsheet.pdf</t>
  </si>
  <si>
    <t xml:space="preserve">Koh Samui Private Escape Hide Away, Your Way Step into a world designed exclusively for adults, where every moment is General crafted for connection and serenity. </t>
  </si>
  <si>
    <t xml:space="preserve">https://www.saiihotels.com/wp-content/uploads/2025/08/SAii-Koh-Samui-Villas-10-Reasons-Why.pdf</t>
  </si>
  <si>
    <t xml:space="preserve">01 10 Reasons to choose SAii KOH SAMUI VILLAS 02 03 An Exclusive Get away to a secluded </t>
  </si>
  <si>
    <t xml:space="preserve">https://www.saiihotels.com/wp-content/uploads/2025/08/SAii-Koh-Samui-Villas-Online-Resources.pdf</t>
  </si>
  <si>
    <t xml:space="preserve">DISCOVER SAii ONLINE STEP INTO SAii KOH SAMUI VILLAS WITH A RANGE OF RESOURCES TO ORIENTATE AND INSPIRE YOU. FIND ALL THE DETAILS YOU NEED VIA THE LINKS BELOW FACTSHEET PHOTOGRAPHY Get all the stats a</t>
  </si>
  <si>
    <t xml:space="preserve">https://www.saiihotels.com/wp-content/uploads/2025/08/SAii-Laguna-Phuket-10-Reasons-Why.pdf</t>
  </si>
  <si>
    <t xml:space="preserve">01 10 Reasons to choose SAii LAGUNA PHUKET 02 Unwind in our fully renovated </t>
  </si>
  <si>
    <t xml:space="preserve">https://so-hotels.com/wp-content/uploads/sites/19/2026/08/so_paris_eco-practices_FR_1108.pdf</t>
  </si>
  <si>
    <t xml:space="preserve">Eco-Gestes-FR-In-Room-Directory.pptx</t>
  </si>
  <si>
    <t xml:space="preserve"> WE’RE IN THIS TOGETHER Rejoignez-nous dans la réalisation de nos objectifs environnementaux ! Privilégiez la marche, les transports en commun ou le vélo/trottinette lorsque possible, notre équipe est</t>
  </si>
  <si>
    <t xml:space="preserve">https://so-hotels.com/wp-content/uploads/sites/19/2026/08/so_paris_eco-practices_FR.pdf</t>
  </si>
  <si>
    <t xml:space="preserve">https://so-hotels.com/wp-content/uploads/sites/19/2026/08/so_paris_environmental-charter_FR.pdf</t>
  </si>
  <si>
    <t xml:space="preserve">Charte-Env-FR-In-Room-Directory.pptx</t>
  </si>
  <si>
    <t xml:space="preserve">POSITIVE PLANET Nous souhaitons avoir un impact positif sur la planète en réévaluant nos actions, et nous mettons en place des initiatives pour réduire notre empreinte carbone ainsi que nos déchets pl</t>
  </si>
  <si>
    <t xml:space="preserve">https://so-hotels.com/wp-content/uploads/sites/19/2026/08/so_paris_environmental-charter_EN.pdf</t>
  </si>
  <si>
    <t xml:space="preserve">Positive EN.pptx</t>
  </si>
  <si>
    <t xml:space="preserve">POSITIVE PLANET We want to have a positive impact on the planet by reviewing our actions and we are taking steps to reduce our carbon, plastic and food waste. As a proud holder of the Clef Verte label</t>
  </si>
  <si>
    <t xml:space="preserve">https://so-hotels.com/wp-content/uploads/sites/19/2026/07/so_paris_bonnie_in-room-dining-menu_220726.pdf</t>
  </si>
  <si>
    <t xml:space="preserve"> IN-ROOM DINING POUR COMMANDER, CONTACTEZ IN-ROOM DINING READY TO ORDER, JUST DIAL IN-ROOM DINING PICNIC POUR COMMANDER, CONTACTEZ IN-ROOM DINING  </t>
  </si>
  <si>
    <t xml:space="preserve">https://so-hotels.com/wp-content/uploads/sites/19/2026/07/dubai-offer-brunch_bed-tandcs.pdf</t>
  </si>
  <si>
    <t xml:space="preserve">Terms &amp; Conditions Brunch &amp; Bed - Stay for AED 1 Offer SO/ Uptown Dubai 1. Offer Overview This promotion entitles eligible guests to an exclusive one (1) night stay in a Collection Room at SO/ Uptown </t>
  </si>
  <si>
    <t xml:space="preserve">https://so-hotels.com/wp-content/uploads/sites/19/2026/06/so_paris_meeting-brochure_EN.pdf</t>
  </si>
  <si>
    <t xml:space="preserve">MEETINGS &amp; EVENTS</t>
  </si>
  <si>
    <t xml:space="preserve"> ABOUT US The SO/ Collection has come to Paris More than just a hotel, the new location for the first time. The new flagship of the is a journey along the water and a hub Ennismore group’s hotel colle</t>
  </si>
  <si>
    <t xml:space="preserve">https://so-hotels.com/wp-content/uploads/sites/19/2026/05/so_paris_meeting-brochure_EN.pdf</t>
  </si>
  <si>
    <t xml:space="preserve">https://so-hotels.com/wp-content/uploads/sites/19/2026/05/so_paris_meeting-brochure_FR.pdf</t>
  </si>
  <si>
    <t xml:space="preserve"> A PROPOS La collection SO/ s’invite pour la Aucun doute, SO/ Paris est le QG des première fois à Paris. Nouveau flagship Parisiens et des voyageurs en quête de la marque hôtelière du groupe d’un nouv</t>
  </si>
  <si>
    <t xml:space="preserve">https://so-hotels.com/wp-content/uploads/sites/19/2026/05/so_paris_press-release_veuve-cliquot_FR.pdf</t>
  </si>
  <si>
    <t xml:space="preserve">SO/ PARIS X VEUVE CLICQUOT : UNE EXPÉRIENCE PIQUE-NIQUE D’EXCEPTION AU CŒUR DE LA CAPITALE </t>
  </si>
  <si>
    <t xml:space="preserve">https://so-hotels.com/wp-content/uploads/sites/19/2026/05/so_paris_press-release_veuve-cliquot_EN.pdf</t>
  </si>
  <si>
    <t xml:space="preserve">SO/ PARIS RAISES A GLASS TO SUMMER WITH PICNIC BY VEUVE CLICQUOT </t>
  </si>
  <si>
    <t xml:space="preserve">https://so-hotels.com/wp-content/uploads/sites/19/2026/05/so_sotogrande_press-release_angelita-madrid_ES.pdf</t>
  </si>
  <si>
    <t xml:space="preserve"> CUANDO LA ALTA COCTELERÍA SE ENCUENTRA CON EL LUJO ANDALUZ: ASÍ ES SO/SOTOGRANDE X ANGELITA MADRID La colaboración lleva el espíritu creativo de la coctelería madrileña a IXO Tapas &amp; Bar con una prop</t>
  </si>
  <si>
    <t xml:space="preserve">https://so-hotels.com/wp-content/uploads/sites/19/2026/02/so_paris_press-release_lavazza_EN.pdf</t>
  </si>
  <si>
    <t xml:space="preserve"> SO/ PARIS X LAVAZZA 1895: COFFEE AS A DAY-TO-NIGHT RITUAL IN PARIS Paris, February 2026 - At SO/ Paris, coffee is now approached as a full lifestyle experience rather than a single moment of the day.</t>
  </si>
  <si>
    <t xml:space="preserve">https://so-hotels.com/wp-content/uploads/sites/19/2026/01/so_paris_bonnie_in-room-dining-menu_0126.pdf</t>
  </si>
  <si>
    <t xml:space="preserve"> IN-ROOM DINING POUR COMMANDER, CONTACTEZ IN-ROOM DINING READY TO ORDER, JUST DIAL IN-ROOM DINING FORMULE POUR COMMANDER, CONTACTEZ IN-ROOM DINING  READY TO ORDER, JUST DIAL IN-ROOM DINING </t>
  </si>
  <si>
    <t xml:space="preserve">https://so-hotels.com/wp-content/uploads/sites/19/2026/01/so_dubai_offers-ramadan-terms-conditions.pdf</t>
  </si>
  <si>
    <t xml:space="preserve">T&amp;Cs Ramadan</t>
  </si>
  <si>
    <t xml:space="preserve">https://so-hotels.com/wp-content/uploads/sites/19/2026/01/so_dubai_offers-ramadan-broschure.pdf</t>
  </si>
  <si>
    <t xml:space="preserve">SO-Ramadan-Brochure</t>
  </si>
  <si>
    <t xml:space="preserve">https://so-hotels.com/wp-content/uploads/sites/19/2026/01/so_bangkok_press-release_iris-wild-iris_TH.pdf</t>
  </si>
  <si>
    <t xml:space="preserve">‘โซ แบงคอก’ (SO/ Bangkok) ฉี กกฎดินเนอร ์แบบเดิมๆ เนรมิตร “Iris &amp; Wild Iris” (ไอริส แอดน์ ไวด ์ ไอริส) รู ฟท็อป แห่งใหม่ใจกลางกรุงเทพฯ ่ ดชิค สถานทีสุ แหล่งนัดพบปะสังสรรค ์แห่งใหม่ทถ่ ี่ ายทอดเสน่ ห ์</t>
  </si>
  <si>
    <t xml:space="preserve">https://so-hotels.com/wp-content/uploads/sites/19/2025/12/SO-Uptown-Dubai_Factsheet_04.11.2024.pdf</t>
  </si>
  <si>
    <t xml:space="preserve">UPTOWN DUBAI</t>
  </si>
  <si>
    <t xml:space="preserve"> UPTOWN DUBAI You couldn’t ask for a more iconic address. SO/ Uptown Dubai occupies 10 floors of the 72 story ‘Diamond’ Uptown Tower with a breathtaking – and totally singular – vantage point of Dubai</t>
  </si>
  <si>
    <t xml:space="preserve">https://so-hotels.com/wp-content/uploads/sites/19/2026/01/SO_Paris_CODAGE_Spa_Menu.pdf</t>
  </si>
  <si>
    <t xml:space="preserve">M E N U DU S PA Spa Menu LA FORM ULE PARFAIT E POUR VOT RE PEAU ET VOT RE B IEN-ÊT RE. The perfect formula for your skin and well-being. VOTRE PE A U , VOTRE SOLUT ION, L’E X PÉ RI E N C E D E SOI N V</t>
  </si>
  <si>
    <t xml:space="preserve">https://so-hotels.com/wp-content/uploads/sites/19/2026/01/SO-Vival-Kit-July-20-2026.pdf</t>
  </si>
  <si>
    <t xml:space="preserve">SO Vival Kit - July 20 - 2026</t>
  </si>
  <si>
    <t xml:space="preserve">SO/ VIVAL KIT JULY 2026 SO/ HUA HIN GAMES 2026 rd 3 YEAR HOUSE OF PLAY “Play together, Win in style” AOM, SASIKARN AOM, THANUTKHAN BAM, GALAYANEE </t>
  </si>
  <si>
    <t xml:space="preserve">https://so-hotels.com/wp-content/uploads/sites/19/2026/09/so_uptown-dubai_brasserie_menu_0926.pdf</t>
  </si>
  <si>
    <t xml:space="preserve">Brasserie-A-La-Carte</t>
  </si>
  <si>
    <t xml:space="preserve">https://d7h9v39iheghu.cloudfront.net/previews/7837a234-9635-4da8-b132-476aacd9b4c1/f609fb37-8531-4fd6-b80f-b013ff19f79f/f609fb37-8531-4fd6-b80f-b013ff19f79f?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</si>
  <si>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Solis Menu Jan 2026</t>
  </si>
  <si>
    <t xml:space="preserve">Signature Cocktails Liqueurs &amp; Digestifs Gin Tequila $14 Nova Treasure $14 Dark &amp; Storm </t>
  </si>
  <si>
    <t xml:space="preserve">https://d7h9v39iheghu.cloudfront.net/previews/7837a234-9635-4da8-b132-476aacd9b4c1/86ae5a55-1d3b-42c5-8dbe-1ae17d728efe/86ae5a55-1d3b-42c5-8dbe-1ae17d728efe?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</si>
  <si>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Wink Food Menu updated Feb 2024</t>
  </si>
  <si>
    <t xml:space="preserve"> LIGHT SNACKS CHICKEN SATAY (N) 16.00 peanut sauce, cucumber salad PRAWN &amp; AVOCADO CROSTINI 18.00 (S, G) on garlic toast with arugula FAST MEALS SERVED WITH FRIES, SALAD OR POTATO WEDGES ANGUS BEEF BU</t>
  </si>
  <si>
    <t xml:space="preserve">https://d7h9v39iheghu.cloudfront.net/previews/7837a234-9635-4da8-b132-476aacd9b4c1/9583a315-b7b3-4bba-966c-307734f32625/9583a315-b7b3-4bba-966c-307734f32625?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</si>
  <si>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TNM Architectural brochure - 2025</t>
  </si>
  <si>
    <t xml:space="preserve">Architecture and Design A Celebration of Freedom Nestled within the pristine beauty of Baa Atoll, a UNESCO Biosphere Reserve, in the heart of the Indian Ocean, The Nautilus encompasses 242x249 metres </t>
  </si>
  <si>
    <t xml:space="preserve">https://d7h9v39iheghu.cloudfront.net/previews/7837a234-9635-4da8-b132-476aacd9b4c1/41a8577e-2f18-4e8e-b297-114d146ff89d/41a8577e-2f18-4e8e-b297-114d146ff89d?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</si>
  <si>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PR Newsflash - March 2024</t>
  </si>
  <si>
    <t xml:space="preserve"> April Communication Highlights the Art Of Bohemia – Craftsmanship &amp; heritage A celebration of the individual spirit, The Nautilus offers liberation. Freedom unconditional. Space to share, to meet, to</t>
  </si>
  <si>
    <t xml:space="preserve">https://d7h9v39iheghu.cloudfront.net/previews/7837a234-9635-4da8-b132-476aacd9b4c1/0335c4ba-83d9-4466-847e-a0267c900ee1/0335c4ba-83d9-4466-847e-a0267c900ee1?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</si>
  <si>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Kids Menu TNM</t>
  </si>
  <si>
    <r>
      <rPr>
        <sz val="11"/>
        <color theme="1"/>
        <rFont val="Calibri"/>
        <family val="2"/>
        <charset val="1"/>
      </rPr>
      <t xml:space="preserve">Young Wonderers menu Cold</t>
    </r>
    <r>
      <rPr>
        <sz val="11"/>
        <color theme="1"/>
        <rFont val="WenQuanYi Zen Hei"/>
        <family val="2"/>
      </rPr>
      <t xml:space="preserve">前菜 </t>
    </r>
    <r>
      <rPr>
        <sz val="11"/>
        <color theme="1"/>
        <rFont val="Calibri"/>
        <family val="2"/>
        <charset val="1"/>
      </rPr>
      <t xml:space="preserve">Crudités </t>
    </r>
    <r>
      <rPr>
        <sz val="11"/>
        <color theme="1"/>
        <rFont val="WenQuanYi Zen Hei"/>
        <family val="2"/>
      </rPr>
      <t xml:space="preserve">生菜 </t>
    </r>
    <r>
      <rPr>
        <sz val="11"/>
        <color theme="1"/>
        <rFont val="Calibri"/>
        <family val="2"/>
        <charset val="1"/>
      </rPr>
      <t xml:space="preserve">Hummus or moutabel – with cheese breadsticks </t>
    </r>
    <r>
      <rPr>
        <sz val="11"/>
        <color theme="1"/>
        <rFont val="WenQuanYi Zen Hei"/>
        <family val="2"/>
      </rPr>
      <t xml:space="preserve">鹰嘴豆泥或穆塔贝尔—配奶酪面包棒 </t>
    </r>
    <r>
      <rPr>
        <sz val="11"/>
        <color theme="1"/>
        <rFont val="Calibri"/>
        <family val="2"/>
        <charset val="1"/>
      </rPr>
      <t xml:space="preserve">Mini Caesar salad </t>
    </r>
    <r>
      <rPr>
        <sz val="11"/>
        <color theme="1"/>
        <rFont val="WenQuanYi Zen Hei"/>
        <family val="2"/>
      </rPr>
      <t xml:space="preserve">迷你凯撒沙拉 </t>
    </r>
    <r>
      <rPr>
        <sz val="11"/>
        <color theme="1"/>
        <rFont val="Calibri"/>
        <family val="2"/>
        <charset val="1"/>
      </rPr>
      <t xml:space="preserve">Mini Greek salad – with light feta </t>
    </r>
    <r>
      <rPr>
        <sz val="11"/>
        <color theme="1"/>
        <rFont val="WenQuanYi Zen Hei"/>
        <family val="2"/>
      </rPr>
      <t xml:space="preserve">迷你希腊沙拉—配清淡的羊乳酪 </t>
    </r>
    <r>
      <rPr>
        <sz val="11"/>
        <color theme="1"/>
        <rFont val="Calibri"/>
        <family val="2"/>
        <charset val="1"/>
      </rPr>
      <t xml:space="preserve">Chicken Panzanella </t>
    </r>
    <r>
      <rPr>
        <sz val="11"/>
        <color theme="1"/>
        <rFont val="WenQuanYi Zen Hei"/>
        <family val="2"/>
      </rPr>
      <t xml:space="preserve">鸡肉卷饼</t>
    </r>
  </si>
  <si>
    <t xml:space="preserve">https://d7h9v39iheghu.cloudfront.net/previews/7837a234-9635-4da8-b132-476aacd9b4c1/33b17d3a-bf8a-45b0-8891-ade1a5886852/33b17d3a-bf8a-45b0-8891-ade1a5886852?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</si>
  <si>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CN FAMILY STYLE Hotpot</t>
  </si>
  <si>
    <r>
      <rPr>
        <sz val="11"/>
        <color theme="1"/>
        <rFont val="Calibri"/>
        <family val="2"/>
        <charset val="1"/>
      </rPr>
      <t xml:space="preserve"> FAMILY STYLE MIX LAND AND SEAFOOD </t>
    </r>
    <r>
      <rPr>
        <sz val="11"/>
        <color theme="1"/>
        <rFont val="WenQuanYi Zen Hei"/>
        <family val="2"/>
      </rPr>
      <t xml:space="preserve">家庭火锅：海陆搭配 </t>
    </r>
    <r>
      <rPr>
        <sz val="11"/>
        <color theme="1"/>
        <rFont val="Calibri"/>
        <family val="2"/>
        <charset val="1"/>
      </rPr>
      <t xml:space="preserve">beef tenderloin, lamb loin, chicken breast, pork belly, prawns 16/20, squid, fish, scallops U10, black mussels, clams, soft shell crab </t>
    </r>
    <r>
      <rPr>
        <sz val="11"/>
        <color theme="1"/>
        <rFont val="WenQuanYi Zen Hei"/>
        <family val="2"/>
      </rPr>
      <t xml:space="preserve">牛里脊肉、羊里脊肉、鸡胸肉、五花肉、对虾</t>
    </r>
  </si>
  <si>
    <t xml:space="preserve">https://d7h9v39iheghu.cloudfront.net/previews/7837a234-9635-4da8-b132-476aacd9b4c1/2df3a730-e617-48a6-be77-84f0d135f0c9/2df3a730-e617-48a6-be77-84f0d135f0c9?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</si>
  <si>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CN ZEYTOUN REFIRB MAY 2022_A3</t>
  </si>
  <si>
    <r>
      <rPr>
        <sz val="11"/>
        <color theme="1"/>
        <rFont val="Calibri"/>
        <family val="2"/>
        <charset val="1"/>
      </rPr>
      <t xml:space="preserve"> BEGINNINGS SIGNATURES </t>
    </r>
    <r>
      <rPr>
        <sz val="11"/>
        <color theme="1"/>
        <rFont val="WenQuanYi Zen Hei"/>
        <family val="2"/>
      </rPr>
      <t xml:space="preserve">五 香 大 虾 </t>
    </r>
    <r>
      <rPr>
        <sz val="11"/>
        <color theme="1"/>
        <rFont val="Calibri"/>
        <family val="2"/>
        <charset val="1"/>
      </rPr>
      <t xml:space="preserve">S P I C E D P R AW N S 55 </t>
    </r>
    <r>
      <rPr>
        <sz val="11"/>
        <color theme="1"/>
        <rFont val="WenQuanYi Zen Hei"/>
        <family val="2"/>
      </rPr>
      <t xml:space="preserve">慢炖羊腿</t>
    </r>
    <r>
      <rPr>
        <sz val="11"/>
        <color theme="1"/>
        <rFont val="Calibri"/>
        <family val="2"/>
        <charset val="1"/>
      </rPr>
      <t xml:space="preserve">LAMB BAHARAT 78 </t>
    </r>
    <r>
      <rPr>
        <sz val="11"/>
        <color theme="1"/>
        <rFont val="WenQuanYi Zen Hei"/>
        <family val="2"/>
      </rPr>
      <t xml:space="preserve">虎虾配红辣椒、石榴、</t>
    </r>
  </si>
  <si>
    <t xml:space="preserve">https://d7h9v39iheghu.cloudfront.net/previews/7837a234-9635-4da8-b132-476aacd9b4c1/4d0ddd79-d789-420a-a5d8-30745ceec122/4d0ddd79-d789-420a-a5d8-30745ceec122?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</si>
  <si>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CN - Thyme all day Menu with Ananda _JAN_2022</t>
  </si>
  <si>
    <r>
      <rPr>
        <sz val="11"/>
        <color theme="1"/>
        <rFont val="Calibri"/>
        <family val="2"/>
        <charset val="1"/>
      </rPr>
      <t xml:space="preserve"> to begin</t>
    </r>
    <r>
      <rPr>
        <sz val="11"/>
        <color theme="1"/>
        <rFont val="WenQuanYi Zen Hei"/>
        <family val="2"/>
      </rPr>
      <t xml:space="preserve">前菜 </t>
    </r>
    <r>
      <rPr>
        <sz val="11"/>
        <color theme="1"/>
        <rFont val="Calibri"/>
        <family val="2"/>
        <charset val="1"/>
      </rPr>
      <t xml:space="preserve">hawaiian tuna “poke” bowl </t>
    </r>
    <r>
      <rPr>
        <sz val="11"/>
        <color theme="1"/>
        <rFont val="WenQuanYi Zen Hei"/>
        <family val="2"/>
      </rPr>
      <t xml:space="preserve">夏威夷金枪鱼碗 </t>
    </r>
    <r>
      <rPr>
        <sz val="11"/>
        <color theme="1"/>
        <rFont val="Calibri"/>
        <family val="2"/>
        <charset val="1"/>
      </rPr>
      <t xml:space="preserve">50 “A </t>
    </r>
    <r>
      <rPr>
        <sz val="11"/>
        <color theme="1"/>
        <rFont val="WenQuanYi Zen Hei"/>
        <family val="2"/>
      </rPr>
      <t xml:space="preserve">级”金枪鱼生鱼片配日本米饭、毛豆、黄瓜、牛油果、 胡萝卜、萝卜、芝麻海藻沙拉、香菜、花生和智利 </t>
    </r>
    <r>
      <rPr>
        <sz val="11"/>
        <color theme="1"/>
        <rFont val="Calibri"/>
        <family val="2"/>
        <charset val="1"/>
      </rPr>
      <t xml:space="preserve">- </t>
    </r>
    <r>
      <rPr>
        <sz val="11"/>
        <color theme="1"/>
        <rFont val="WenQuanYi Zen Hei"/>
        <family val="2"/>
      </rPr>
      <t xml:space="preserve">芒果酱 </t>
    </r>
    <r>
      <rPr>
        <sz val="11"/>
        <color theme="1"/>
        <rFont val="Calibri"/>
        <family val="2"/>
        <charset val="1"/>
      </rPr>
      <t xml:space="preserve">quinoa salad </t>
    </r>
    <r>
      <rPr>
        <sz val="11"/>
        <color theme="1"/>
        <rFont val="WenQuanYi Zen Hei"/>
        <family val="2"/>
      </rPr>
      <t xml:space="preserve">藜麦沙拉 </t>
    </r>
  </si>
  <si>
    <t xml:space="preserve">https://d7h9v39iheghu.cloudfront.net/previews/7837a234-9635-4da8-b132-476aacd9b4c1/54a0ca83-b0e9-44ed-b729-c40ca843483f/54a0ca83-b0e9-44ed-b729-c40ca843483f?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</si>
  <si>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CHINESE TNM - AquaNautica Price List</t>
  </si>
  <si>
    <r>
      <rPr>
        <sz val="11"/>
        <color theme="1"/>
        <rFont val="Calibri"/>
        <family val="2"/>
        <charset val="1"/>
      </rPr>
      <t xml:space="preserve">AquaNautica </t>
    </r>
    <r>
      <rPr>
        <sz val="11"/>
        <color theme="1"/>
        <rFont val="WenQuanYi Zen Hei"/>
        <family val="2"/>
      </rPr>
      <t xml:space="preserve">想象一下在深海寻宝，在温柔的大海巨人旁边漂流，或者在马尔代夫从事令人振奋的水上运动。 联合国教科文组织生物圈保护区芭环礁就在您的门外——这是一个拥有令人难以置信的海洋生物 的万花筒仙境。 惊叹于泻湖边缘的珊瑚礁，或潜入世界著名的哈尼法鲁湾，在鲸鲨和旋转的蝠鲼中游泳。 探索芭 环礁的方式无穷无尽，您的探索之旅从抵达的那一刻就开始了。 </t>
    </r>
  </si>
  <si>
    <t xml:space="preserve">https://d7h9v39iheghu.cloudfront.net/previews/7837a234-9635-4da8-b132-476aacd9b4c1/7560c5aa-92cd-45f3-aa11-d94080bebf90/7560c5aa-92cd-45f3-aa11-d94080bebf90?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</si>
  <si>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CN OCASO_ALC_Menu_DEC 14</t>
  </si>
  <si>
    <r>
      <rPr>
        <sz val="11"/>
        <color theme="1"/>
        <rFont val="Calibri"/>
        <family val="2"/>
        <charset val="1"/>
      </rPr>
      <t xml:space="preserve"> COLD STARTERS </t>
    </r>
    <r>
      <rPr>
        <sz val="11"/>
        <color theme="1"/>
        <rFont val="WenQuanYi Zen Hei"/>
        <family val="2"/>
      </rPr>
      <t xml:space="preserve">凉菜 </t>
    </r>
    <r>
      <rPr>
        <sz val="11"/>
        <color theme="1"/>
        <rFont val="Calibri"/>
        <family val="2"/>
        <charset val="1"/>
      </rPr>
      <t xml:space="preserve">SUSHI BOATS</t>
    </r>
    <r>
      <rPr>
        <sz val="11"/>
        <color theme="1"/>
        <rFont val="WenQuanYi Zen Hei"/>
        <family val="2"/>
      </rPr>
      <t xml:space="preserve">寿司船 </t>
    </r>
    <r>
      <rPr>
        <sz val="11"/>
        <color theme="1"/>
        <rFont val="Calibri"/>
        <family val="2"/>
        <charset val="1"/>
      </rPr>
      <t xml:space="preserve">CEVICHE &amp; TIRADITO (chef’s choic </t>
    </r>
    <r>
      <rPr>
        <sz val="11"/>
        <color theme="1"/>
        <rFont val="WenQuanYi Zen Hei"/>
        <family val="2"/>
      </rPr>
      <t xml:space="preserve">大厨精选 </t>
    </r>
    <r>
      <rPr>
        <sz val="11"/>
        <color theme="1"/>
        <rFont val="Calibri"/>
        <family val="2"/>
        <charset val="1"/>
      </rPr>
      <t xml:space="preserve">) scallop &amp; hamachi</t>
    </r>
    <r>
      <rPr>
        <sz val="11"/>
        <color theme="1"/>
        <rFont val="WenQuanYi Zen Hei"/>
        <family val="2"/>
      </rPr>
      <t xml:space="preserve">扇贝油菜 </t>
    </r>
    <r>
      <rPr>
        <sz val="11"/>
        <color theme="1"/>
        <rFont val="Calibri"/>
        <family val="2"/>
        <charset val="1"/>
      </rPr>
      <t xml:space="preserve">53 six fresh oysters </t>
    </r>
    <r>
      <rPr>
        <sz val="11"/>
        <color theme="1"/>
        <rFont val="WenQuanYi Zen Hei"/>
        <family val="2"/>
      </rPr>
      <t xml:space="preserve">新鲜生蚝</t>
    </r>
  </si>
  <si>
    <t xml:space="preserve">https://d7h9v39iheghu.cloudfront.net/previews/7837a234-9635-4da8-b132-476aacd9b4c1/7d19ff8a-41b5-4d31-9a3a-93d63f792bb1/7d19ff8a-41b5-4d31-9a3a-93d63f792bb1?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</si>
  <si>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CN Thyme Breakfast Menu_Apil 2022</t>
  </si>
  <si>
    <r>
      <rPr>
        <sz val="11"/>
        <color theme="1"/>
        <rFont val="Calibri"/>
        <family val="2"/>
        <charset val="1"/>
      </rPr>
      <t xml:space="preserve"> to begin with</t>
    </r>
    <r>
      <rPr>
        <sz val="11"/>
        <color theme="1"/>
        <rFont val="WenQuanYi Zen Hei"/>
        <family val="2"/>
      </rPr>
      <t xml:space="preserve">前菜 </t>
    </r>
    <r>
      <rPr>
        <sz val="11"/>
        <color theme="1"/>
        <rFont val="Calibri"/>
        <family val="2"/>
        <charset val="1"/>
      </rPr>
      <t xml:space="preserve">eggs </t>
    </r>
    <r>
      <rPr>
        <sz val="11"/>
        <color theme="1"/>
        <rFont val="WenQuanYi Zen Hei"/>
        <family val="2"/>
      </rPr>
      <t xml:space="preserve">精选蛋 </t>
    </r>
    <r>
      <rPr>
        <sz val="11"/>
        <color theme="1"/>
        <rFont val="Calibri"/>
        <family val="2"/>
        <charset val="1"/>
      </rPr>
      <t xml:space="preserve">eggs benedict </t>
    </r>
    <r>
      <rPr>
        <sz val="11"/>
        <color theme="1"/>
        <rFont val="WenQuanYi Zen Hei"/>
        <family val="2"/>
      </rPr>
      <t xml:space="preserve">水波蛋配英式松饼 </t>
    </r>
    <r>
      <rPr>
        <sz val="11"/>
        <color theme="1"/>
        <rFont val="Calibri"/>
        <family val="2"/>
        <charset val="1"/>
      </rPr>
      <t xml:space="preserve">poached eggs with hand-whipped hollandaise on toasted house-made english muffins with breakfast greens and heirloom cherry tomatoes </t>
    </r>
    <r>
      <rPr>
        <sz val="11"/>
        <color theme="1"/>
        <rFont val="WenQuanYi Zen Hei"/>
        <family val="2"/>
      </rPr>
      <t xml:space="preserve">水波蛋配手工特制荷兰、现做英式松饼配早</t>
    </r>
  </si>
  <si>
    <t xml:space="preserve">https://d7h9v39iheghu.cloudfront.net/previews/7837a234-9635-4da8-b132-476aacd9b4c1/83ee3063-060c-4dd2-8f72-0ab7d05ea3b6/83ee3063-060c-4dd2-8f72-0ab7d05ea3b6?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</si>
  <si>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CN - Nautilus TDA Menu</t>
  </si>
  <si>
    <r>
      <rPr>
        <sz val="11"/>
        <color theme="1"/>
        <rFont val="Calibri"/>
        <family val="2"/>
        <charset val="1"/>
      </rPr>
      <t xml:space="preserve">DERMA DROP TDA Face/Body/hair </t>
    </r>
    <r>
      <rPr>
        <sz val="11"/>
        <color theme="1"/>
        <rFont val="WenQuanYi Zen Hei"/>
        <family val="2"/>
      </rPr>
      <t xml:space="preserve">真皮层护理面部</t>
    </r>
    <r>
      <rPr>
        <sz val="11"/>
        <color theme="1"/>
        <rFont val="Calibri"/>
        <family val="2"/>
        <charset val="1"/>
      </rPr>
      <t xml:space="preserve">/</t>
    </r>
    <r>
      <rPr>
        <sz val="11"/>
        <color theme="1"/>
        <rFont val="WenQuanYi Zen Hei"/>
        <family val="2"/>
      </rPr>
      <t xml:space="preserve">身体</t>
    </r>
    <r>
      <rPr>
        <sz val="11"/>
        <color theme="1"/>
        <rFont val="Calibri"/>
        <family val="2"/>
        <charset val="1"/>
      </rPr>
      <t xml:space="preserve">/</t>
    </r>
    <r>
      <rPr>
        <sz val="11"/>
        <color theme="1"/>
        <rFont val="WenQuanYi Zen Hei"/>
        <family val="2"/>
      </rPr>
      <t xml:space="preserve">秀发 让肌肤由内而外焕发光彩。 </t>
    </r>
    <r>
      <rPr>
        <sz val="11"/>
        <color theme="1"/>
        <rFont val="Calibri"/>
        <family val="2"/>
        <charset val="1"/>
      </rPr>
      <t xml:space="preserve">TDA </t>
    </r>
    <r>
      <rPr>
        <sz val="11"/>
        <color theme="1"/>
        <rFont val="WenQuanYi Zen Hei"/>
        <family val="2"/>
      </rPr>
      <t xml:space="preserve">为您提供从面部护理、头发到各种身体护理的无创整体理疗 概念。 其独特的活性成分再生疗法，最大程度地深层护理皮肤。 </t>
    </r>
    <r>
      <rPr>
        <sz val="11"/>
        <color theme="1"/>
        <rFont val="Calibri"/>
        <family val="2"/>
        <charset val="1"/>
      </rPr>
      <t xml:space="preserve">FACIAL</t>
    </r>
    <r>
      <rPr>
        <sz val="11"/>
        <color theme="1"/>
        <rFont val="WenQuanYi Zen Hei"/>
        <family val="2"/>
      </rPr>
      <t xml:space="preserve">面部护理 </t>
    </r>
    <r>
      <rPr>
        <sz val="11"/>
        <color theme="1"/>
        <rFont val="Calibri"/>
        <family val="2"/>
        <charset val="1"/>
      </rPr>
      <t xml:space="preserve">60</t>
    </r>
    <r>
      <rPr>
        <sz val="11"/>
        <color theme="1"/>
        <rFont val="WenQuanYi Zen Hei"/>
        <family val="2"/>
      </rPr>
      <t xml:space="preserve">分钟 </t>
    </r>
    <r>
      <rPr>
        <sz val="11"/>
        <color theme="1"/>
        <rFont val="Calibri"/>
        <family val="2"/>
        <charset val="1"/>
      </rPr>
      <t xml:space="preserve">$300++ HYAL N5 TDA </t>
    </r>
    <r>
      <rPr>
        <sz val="11"/>
        <color theme="1"/>
        <rFont val="WenQuanYi Zen Hei"/>
        <family val="2"/>
      </rPr>
      <t xml:space="preserve">让肌肤呼吸 活性成分包括低分子量和中分子量透明质酸，可平衡皮肤水分， 使皮肤恢复活力并刺激细胞</t>
    </r>
  </si>
  <si>
    <t xml:space="preserve">https://d7h9v39iheghu.cloudfront.net/previews/7837a234-9635-4da8-b132-476aacd9b4c1/9afc775c-1b98-40f1-a251-c6799c2be94b/9afc775c-1b98-40f1-a251-c6799c2be94b?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</si>
  <si>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CN IHD Breakfast Menu_Jan_2022</t>
  </si>
  <si>
    <r>
      <rPr>
        <sz val="11"/>
        <color theme="1"/>
        <rFont val="Calibri"/>
        <family val="2"/>
        <charset val="1"/>
      </rPr>
      <t xml:space="preserve"> Breakfast</t>
    </r>
    <r>
      <rPr>
        <sz val="11"/>
        <color theme="1"/>
        <rFont val="WenQuanYi Zen Hei"/>
        <family val="2"/>
      </rPr>
      <t xml:space="preserve">早餐 </t>
    </r>
    <r>
      <rPr>
        <sz val="11"/>
        <color theme="1"/>
        <rFont val="Calibri"/>
        <family val="2"/>
        <charset val="1"/>
      </rPr>
      <t xml:space="preserve">a la carte</t>
    </r>
    <r>
      <rPr>
        <sz val="11"/>
        <color theme="1"/>
        <rFont val="WenQuanYi Zen Hei"/>
        <family val="2"/>
      </rPr>
      <t xml:space="preserve">单点 “</t>
    </r>
    <r>
      <rPr>
        <sz val="11"/>
        <color theme="1"/>
        <rFont val="Calibri"/>
        <family val="2"/>
        <charset val="1"/>
      </rPr>
      <t xml:space="preserve">When you wake up in the morning, Pooh," said Piglet at last, "what's the first thing you say to yourself?" "What's for breakfast?" said Pooh. "What do you say, Piglet?" </t>
    </r>
  </si>
  <si>
    <t xml:space="preserve">https://d7h9v39iheghu.cloudfront.net/previews/7837a234-9635-4da8-b132-476aacd9b4c1/a5312e0d-f515-4d66-a75e-0b7011815c82/a5312e0d-f515-4d66-a75e-0b7011815c82?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</si>
  <si>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CN - Destination Dining Menu</t>
  </si>
  <si>
    <r>
      <rPr>
        <sz val="11"/>
        <color theme="1"/>
        <rFont val="Calibri"/>
        <family val="2"/>
        <charset val="1"/>
      </rPr>
      <t xml:space="preserve"> Destination Dining Champagne breakfast sunrise in private beach </t>
    </r>
    <r>
      <rPr>
        <sz val="11"/>
        <color theme="1"/>
        <rFont val="WenQuanYi Zen Hei"/>
        <family val="2"/>
      </rPr>
      <t xml:space="preserve">私人沙滩上的香槟早餐 鱼子酱配小薄饼 传统风味 糕点面包篮配果酱、黄油 混合芝士盘 精选烟熏、腌制鲑鱼、鲭鱼、鳟鱼、鳗鱼、黑线鳕 配坚果、酸辣酱等调味品 </t>
    </r>
  </si>
  <si>
    <t xml:space="preserve">https://d7h9v39iheghu.cloudfront.net/previews/7837a234-9635-4da8-b132-476aacd9b4c1/b78321bc-60a8-4f46-8fdf-3856b2f6c459/b78321bc-60a8-4f46-8fdf-3856b2f6c459?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</si>
  <si>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CN OCASO TEPPANYAKI_JAN_2022</t>
  </si>
  <si>
    <r>
      <rPr>
        <sz val="11"/>
        <color theme="1"/>
        <rFont val="Calibri"/>
        <family val="2"/>
        <charset val="1"/>
      </rPr>
      <t xml:space="preserve"> PRIVATE TEPPANYAKI EXPERIENCE </t>
    </r>
    <r>
      <rPr>
        <sz val="11"/>
        <color theme="1"/>
        <rFont val="WenQuanYi Zen Hei"/>
        <family val="2"/>
      </rPr>
      <t xml:space="preserve">私人定制日式铁板烧套餐 </t>
    </r>
    <r>
      <rPr>
        <sz val="11"/>
        <color theme="1"/>
        <rFont val="Calibri"/>
        <family val="2"/>
        <charset val="1"/>
      </rPr>
      <t xml:space="preserve">SEAFOOD SET MEAT SET </t>
    </r>
    <r>
      <rPr>
        <sz val="11"/>
        <color theme="1"/>
        <rFont val="WenQuanYi Zen Hei"/>
        <family val="2"/>
      </rPr>
      <t xml:space="preserve">金枪鱼生鲜塔塔配牛油果 烤鸭胸沙拉 小份蔬菜和辣蒜泥蛋黄酱 味噌汤配鸡肉、裙带菜、豆腐和葱 扇贝豆腐香菇味噌汤 黑猪猪排配蔬菜 </t>
    </r>
  </si>
  <si>
    <t xml:space="preserve">https://d7h9v39iheghu.cloudfront.net/previews/7837a234-9635-4da8-b132-476aacd9b4c1/bc990d44-c493-4a18-aade-398834bea961/bc990d44-c493-4a18-aade-398834bea961?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</si>
  <si>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CN Kids Menu Zeytoun</t>
  </si>
  <si>
    <r>
      <rPr>
        <sz val="11"/>
        <color theme="1"/>
        <rFont val="Calibri"/>
        <family val="2"/>
        <charset val="1"/>
      </rPr>
      <t xml:space="preserve">Cold</t>
    </r>
    <r>
      <rPr>
        <sz val="11"/>
        <color theme="1"/>
        <rFont val="WenQuanYi Zen Hei"/>
        <family val="2"/>
      </rPr>
      <t xml:space="preserve">前菜 </t>
    </r>
    <r>
      <rPr>
        <sz val="11"/>
        <color theme="1"/>
        <rFont val="Calibri"/>
        <family val="2"/>
        <charset val="1"/>
      </rPr>
      <t xml:space="preserve">Young Vegetable Sticks</t>
    </r>
    <r>
      <rPr>
        <sz val="11"/>
        <color theme="1"/>
        <rFont val="WenQuanYi Zen Hei"/>
        <family val="2"/>
      </rPr>
      <t xml:space="preserve">蔬菜条 </t>
    </r>
    <r>
      <rPr>
        <sz val="11"/>
        <color theme="1"/>
        <rFont val="Calibri"/>
        <family val="2"/>
        <charset val="1"/>
      </rPr>
      <t xml:space="preserve">Carrot, cucumber, celery, cherry tomato</t>
    </r>
    <r>
      <rPr>
        <sz val="11"/>
        <color theme="1"/>
        <rFont val="WenQuanYi Zen Hei"/>
        <family val="2"/>
      </rPr>
      <t xml:space="preserve">胡萝卜，黄瓜，芹菜，圣女果 </t>
    </r>
    <r>
      <rPr>
        <sz val="11"/>
        <color theme="1"/>
        <rFont val="Calibri"/>
        <family val="2"/>
        <charset val="1"/>
      </rPr>
      <t xml:space="preserve">Wonderers Chopped Vegetables Salad</t>
    </r>
    <r>
      <rPr>
        <sz val="11"/>
        <color theme="1"/>
        <rFont val="WenQuanYi Zen Hei"/>
        <family val="2"/>
      </rPr>
      <t xml:space="preserve">蔬菜沙拉 </t>
    </r>
    <r>
      <rPr>
        <sz val="11"/>
        <color theme="1"/>
        <rFont val="Calibri"/>
        <family val="2"/>
        <charset val="1"/>
      </rPr>
      <t xml:space="preserve">menu</t>
    </r>
  </si>
  <si>
    <t xml:space="preserve">https://d7h9v39iheghu.cloudfront.net/previews/7837a234-9635-4da8-b132-476aacd9b4c1/c248462c-142d-4e15-ac4b-9684695eaf11/c248462c-142d-4e15-ac4b-9684695eaf11?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</si>
  <si>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Chinese YACHTS-FACTSHEET-1.pdf</t>
  </si>
  <si>
    <r>
      <rPr>
        <sz val="11"/>
        <color theme="1"/>
        <rFont val="Calibri"/>
        <family val="2"/>
        <charset val="1"/>
      </rPr>
      <t xml:space="preserve">Cruise à la mode the nautilus' yachts </t>
    </r>
    <r>
      <rPr>
        <sz val="11"/>
        <color theme="1"/>
        <rFont val="WenQuanYi Zen Hei"/>
        <family val="2"/>
      </rPr>
      <t xml:space="preserve">鹦鹉螺号邮轮 </t>
    </r>
    <r>
      <rPr>
        <sz val="11"/>
        <color theme="1"/>
        <rFont val="Calibri"/>
        <family val="2"/>
        <charset val="1"/>
      </rPr>
      <t xml:space="preserve">NAUTILUS ONE (Princess 54) </t>
    </r>
    <r>
      <rPr>
        <sz val="11"/>
        <color theme="1"/>
        <rFont val="WenQuanYi Zen Hei"/>
        <family val="2"/>
      </rPr>
      <t xml:space="preserve">鹦鹉螺一号（公主号 ） </t>
    </r>
    <r>
      <rPr>
        <sz val="11"/>
        <color theme="1"/>
        <rFont val="Calibri"/>
        <family val="2"/>
        <charset val="1"/>
      </rPr>
      <t xml:space="preserve">54 Nautilus One </t>
    </r>
    <r>
      <rPr>
        <sz val="11"/>
        <color theme="1"/>
        <rFont val="WenQuanYi Zen Hei"/>
        <family val="2"/>
      </rPr>
      <t xml:space="preserve">美丽的鹦鹉螺一号，也被称为 公主号</t>
    </r>
    <r>
      <rPr>
        <sz val="11"/>
        <color theme="1"/>
        <rFont val="Calibri"/>
        <family val="2"/>
        <charset val="1"/>
      </rPr>
      <t xml:space="preserve">54</t>
    </r>
    <r>
      <rPr>
        <sz val="11"/>
        <color theme="1"/>
        <rFont val="WenQuanYi Zen Hei"/>
        <family val="2"/>
      </rPr>
      <t xml:space="preserve">，是那些想要乘坐一艘配备最豪华和高规格配件和家具的非凡船只，来探索印度洋的人的完美选择。 鹦鹉螺一号 为客人提供两间宽敞的客舱，包括 </t>
    </r>
    <r>
      <rPr>
        <sz val="11"/>
        <color theme="1"/>
        <rFont val="Calibri"/>
        <family val="2"/>
        <charset val="1"/>
      </rPr>
      <t xml:space="preserve">Penhaligon </t>
    </r>
    <r>
      <rPr>
        <sz val="11"/>
        <color theme="1"/>
        <rFont val="WenQuanYi Zen Hei"/>
        <family val="2"/>
      </rPr>
      <t xml:space="preserve">的便利</t>
    </r>
  </si>
  <si>
    <t xml:space="preserve">https://d7h9v39iheghu.cloudfront.net/previews/7837a234-9635-4da8-b132-476aacd9b4c1/6f1fa52a-8f48-453e-8038-290c97e31fc3/6f1fa52a-8f48-453e-8038-290c97e31fc3?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t>
  </si>
  <si>
    <t xml:space="preserve">The Nautilus Solasta Spa Price List.pdf</t>
  </si>
  <si>
    <r>
      <rPr>
        <sz val="11"/>
        <color theme="1"/>
        <rFont val="Calibri"/>
        <family val="2"/>
        <charset val="1"/>
      </rPr>
      <t xml:space="preserve">Spa Price List Spa Journeys </t>
    </r>
    <r>
      <rPr>
        <sz val="11"/>
        <color theme="1"/>
        <rFont val="WenQuanYi Zen Hei"/>
        <family val="2"/>
      </rPr>
      <t xml:space="preserve">水疗之旅 </t>
    </r>
    <r>
      <rPr>
        <sz val="11"/>
        <color theme="1"/>
        <rFont val="Calibri"/>
        <family val="2"/>
        <charset val="1"/>
      </rPr>
      <t xml:space="preserve">Elan </t>
    </r>
    <r>
      <rPr>
        <sz val="11"/>
        <color theme="1"/>
        <rFont val="WenQuanYi Zen Hei"/>
        <family val="2"/>
      </rPr>
      <t xml:space="preserve">伊兰 </t>
    </r>
    <r>
      <rPr>
        <sz val="11"/>
        <color theme="1"/>
        <rFont val="Calibri"/>
        <family val="2"/>
        <charset val="1"/>
      </rPr>
      <t xml:space="preserve">3 </t>
    </r>
    <r>
      <rPr>
        <sz val="11"/>
        <color theme="1"/>
        <rFont val="WenQuanYi Zen Hei"/>
        <family val="2"/>
      </rPr>
      <t xml:space="preserve">小时 </t>
    </r>
    <r>
      <rPr>
        <sz val="11"/>
        <color theme="1"/>
        <rFont val="Calibri"/>
        <family val="2"/>
        <charset val="1"/>
      </rPr>
      <t xml:space="preserve">$550 Your Song </t>
    </r>
    <r>
      <rPr>
        <sz val="11"/>
        <color theme="1"/>
        <rFont val="WenQuanYi Zen Hei"/>
        <family val="2"/>
      </rPr>
      <t xml:space="preserve">您的歌 </t>
    </r>
    <r>
      <rPr>
        <sz val="11"/>
        <color theme="1"/>
        <rFont val="Calibri"/>
        <family val="2"/>
        <charset val="1"/>
      </rPr>
      <t xml:space="preserve">3 </t>
    </r>
    <r>
      <rPr>
        <sz val="11"/>
        <color theme="1"/>
        <rFont val="WenQuanYi Zen Hei"/>
        <family val="2"/>
      </rPr>
      <t xml:space="preserve">小时 </t>
    </r>
    <r>
      <rPr>
        <sz val="11"/>
        <color theme="1"/>
        <rFont val="Calibri"/>
        <family val="2"/>
        <charset val="1"/>
      </rPr>
      <t xml:space="preserve">$550 Quiet Calm </t>
    </r>
    <r>
      <rPr>
        <sz val="11"/>
        <color theme="1"/>
        <rFont val="WenQuanYi Zen Hei"/>
        <family val="2"/>
      </rPr>
      <t xml:space="preserve">平静 </t>
    </r>
    <r>
      <rPr>
        <sz val="11"/>
        <color theme="1"/>
        <rFont val="Calibri"/>
        <family val="2"/>
        <charset val="1"/>
      </rPr>
      <t xml:space="preserve">3 </t>
    </r>
    <r>
      <rPr>
        <sz val="11"/>
        <color theme="1"/>
        <rFont val="WenQuanYi Zen Hei"/>
        <family val="2"/>
      </rPr>
      <t xml:space="preserve">小时 </t>
    </r>
  </si>
  <si>
    <t xml:space="preserve">https://d7h9v39iheghu.cloudfront.net/previews/42de57ca-7efe-4d5a-8d86-d9172148eacf/e9e682fa-40a7-4429-bad8-c3a907d9c2c5/e9e682fa-40a7-4429-bad8-c3a907d9c2c5?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</si>
  <si>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r>
      <rPr>
        <sz val="11"/>
        <color theme="1"/>
        <rFont val="WenQuanYi Zen Hei"/>
        <family val="2"/>
      </rPr>
      <t xml:space="preserve"> 薇乐度假酒店 纯正马尔代夫风范 薇乐度假村在马尔代夫群岛上拥有并运 营一系列屡获殊荣的度假村。自</t>
    </r>
    <r>
      <rPr>
        <sz val="11"/>
        <color theme="1"/>
        <rFont val="Calibri"/>
        <family val="2"/>
        <charset val="1"/>
      </rPr>
      <t xml:space="preserve">1986</t>
    </r>
    <r>
      <rPr>
        <sz val="11"/>
        <color theme="1"/>
        <rFont val="WenQuanYi Zen Hei"/>
        <family val="2"/>
      </rPr>
      <t xml:space="preserve">年 以来，我们集团已在该目的地一些最美 丽的岛屿上开发并成功运营了五家度假 村，客房总量超过</t>
    </r>
    <r>
      <rPr>
        <sz val="11"/>
        <color theme="1"/>
        <rFont val="Calibri"/>
        <family val="2"/>
        <charset val="1"/>
      </rPr>
      <t xml:space="preserve">1100</t>
    </r>
    <r>
      <rPr>
        <sz val="11"/>
        <color theme="1"/>
        <rFont val="WenQuanYi Zen Hei"/>
        <family val="2"/>
      </rPr>
      <t xml:space="preserve">间。 作为一家家族拥有、纯正本地的运营 商，我</t>
    </r>
  </si>
  <si>
    <t xml:space="preserve">https://d7h9v39iheghu.cloudfront.net/previews/42de57ca-7efe-4d5a-8d86-d9172148eacf/36c80fec-66a8-4cf3-b964-0c9dd82a8b8d/36c80fec-66a8-4cf3-b964-0c9dd82a8b8d?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</si>
  <si>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 VILLA HAVEN Resort RESORT OVERVIEW + 73 sea-facing private pool villas Experience + + </t>
  </si>
  <si>
    <t xml:space="preserve">https://d7h9v39iheghu.cloudfront.net/previews/42de57ca-7efe-4d5a-8d86-d9172148eacf/ca70ee86-6b4a-4980-b30c-f3c01a37b3b8/28d36460-450c-4a05-aa85-94f6a34c01d2?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</si>
  <si>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Villa Haven - Map August 2024</t>
  </si>
  <si>
    <t xml:space="preserve"> N </t>
  </si>
  <si>
    <t xml:space="preserve">https://d7h9v39iheghu.cloudfront.net/previews/42de57ca-7efe-4d5a-8d86-d9172148eacf/c2bedf23-b5f7-45f5-a5b7-1e03c50a525e/c2bedf23-b5f7-45f5-a5b7-1e03c50a525e?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</si>
  <si>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Villa Haven - Style Guide</t>
  </si>
  <si>
    <t xml:space="preserve"> COLOUR PALETTE #332E2E #545C57 #C7C2BD #9E4231 #999E99 #E3E0DE #F1F0EE #EDEDE8 #F0E3E0 DISPLAY TYPEFACE ST CROCE For the Villa Haven ch</t>
  </si>
  <si>
    <t xml:space="preserve">https://d7h9v39iheghu.cloudfront.net/previews/42de57ca-7efe-4d5a-8d86-d9172148eacf/ccc55b48-3b25-40fb-af75-8b33bcc21476/8dbd855a-de44-47a4-ba29-690e574c8e3b?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</si>
  <si>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 A RESORT CONCEPT B GUEST EXPERIENCE C PROPERT Y INFORMATION Section A positions Villa Haven as a breath Section B shows how the Resort Concept Section C outlines the resort offering: of fr</t>
  </si>
  <si>
    <t xml:space="preserve">https://d7h9v39iheghu.cloudfront.net/previews/42de57ca-7efe-4d5a-8d86-d9172148eacf/69719a41-ec9b-4911-9475-db2396903f21/b0b4902e-9ef1-482b-b2ed-f8cca0ad572a?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</si>
  <si>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https://d7h9v39iheghu.cloudfront.net/previews/42de57ca-7efe-4d5a-8d86-d9172148eacf/9208677c-454c-41ae-b9d5-a2d9fc59b60e/4bac2abf-6273-4843-b021-f2a67031795f?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</si>
  <si>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 22APR25 Villa Haven, Dhiffushi, Maldives | haven@villaresorts.com | villaresorts.com Portia </t>
  </si>
  <si>
    <t xml:space="preserve">https://d7h9v39iheghu.cloudfront.net/previews/42de57ca-7efe-4d5a-8d86-d9172148eacf/e3b845b1-cb67-41d9-9db9-4244614f2140/c176469e-7509-480d-93a1-6a235fe2b95e?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</si>
  <si>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Excursions Menu - Villa Royal</t>
  </si>
  <si>
    <t xml:space="preserve">EXCURSIONS MENU Unraveling the Wonders of Baa Atoll Our island tours, excursions and activities have been designed to help you make the most of your vacation in the Maldives ROYAL SHARK VENTURE Swim w</t>
  </si>
  <si>
    <t xml:space="preserve">https://d7h9v39iheghu.cloudfront.net/previews/42de57ca-7efe-4d5a-8d86-d9172148eacf/190f8b36-323d-4b13-be92-567a51da0912/5a7ba303-7259-405c-b7ae-db1478e1d48d?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</si>
  <si>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PowerPoint Presentation</t>
  </si>
  <si>
    <t xml:space="preserve">https://d7h9v39iheghu.cloudfront.net/previews/42de57ca-7efe-4d5a-8d86-d9172148eacf/243e0a4d-b08f-4217-87b3-53af0f699227/7211e351-527c-4277-a99e-e243b8fc1338?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</si>
  <si>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https://d7h9v39iheghu.cloudfront.net/previews/42de57ca-7efe-4d5a-8d86-d9172148eacf/1b1e1d17-3510-4b3e-8c8b-f820dfea7e45/96d9e8ac-c882-40a9-a7a0-98804bb3aac5?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</si>
  <si>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30MAR26 Villa Resorts Altogether Maldivian Villa Resorts owns and operates a collection of award-winning resorts in the Maldives archipelago. Since 1986, our company has developed and</t>
  </si>
  <si>
    <t xml:space="preserve">https://d7h9v39iheghu.cloudfront.net/previews/42de57ca-7efe-4d5a-8d86-d9172148eacf/e2324603-90f9-4e87-9eb6-f23931b2475a/e2324603-90f9-4e87-9eb6-f23931b2475a?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t>
  </si>
  <si>
    <t xml:space="preserve"> COLOUR PALETTE #0078FF #8C0050 #FFC70A #FFFFFF HONOURING THE NATURAL DISPLAY TYPEFACE ALBERTUS PRO For the Villa Resorts parent brand, Albertus should be used for setting large- scale co</t>
  </si>
  <si>
    <t xml:space="preserve">https://unihotel.org/media/upload/rate_codes_files/daiving-tailand%20-%20%D0%91%D1%8E%D1%80%D0%BE%20%D0%BF%D0%BE%20%D1%82%D1%83%D1%80%D0%B8%D0%B7%D0%BC%D1%83%20%D0%A2%D0%B0%D0%B8%D0%BB%D0%B0%D0%BD%D0%B4%D0%B0.pdf</t>
  </si>
  <si>
    <t xml:space="preserve">Дайвинг в Таиланде</t>
  </si>
  <si>
    <t xml:space="preserve">Дайвинг в Таиланде Таиланд может предложить любителям дайвинга более сотни мест для погружения, новички даже могут потеряться в таком разнообразии. Важным ориентиром может стать время года: там, где х</t>
  </si>
  <si>
    <t xml:space="preserve">https://hummingbird.travel/images/maps/turks-and-caicos-map.pdf</t>
  </si>
  <si>
    <t xml:space="preserve">Caribbean Map Update CRV2 (Digital).pdf (Presentation (4:3))</t>
  </si>
  <si>
    <t xml:space="preserve">Caribbean COMO Parrot Cay Turks &amp; </t>
  </si>
  <si>
    <t xml:space="preserve">https://unihotel.org/media/upload/rate_codes_files/tipsonthailand%20en%20-%20%D0%91%D1%8E%D1%80%D0%BE%20%D0%BF%D0%BE%20%D1%82%D1%83%D1%80%D0%B8%D0%B7%D0%BC%D1%83%20%D0%A2%D0%B0%D0%B8%D0%BB%D0%B0%D0%BD%D0%B4%D0%B0_O0jRcaM.pdf</t>
  </si>
  <si>
    <t xml:space="preserve">Information by : Tourist Information Division (Tel. 0 2250 5500 ext. 2141-5) Designed &amp; Printed by : Tourist Information Division, Marketing Services Department. The contents of this publication are s</t>
  </si>
  <si>
    <t xml:space="preserve">https://hummingbird.travel/images/maps/Mauritius%20Map_Digital.pdf</t>
  </si>
  <si>
    <t xml:space="preserve">Mauritius Map_Digital</t>
  </si>
  <si>
    <t xml:space="preserve"> Mauritius offers a blend of natural beauty combining rich biodiversity, volcanic landscape and cultural heritage. With plenty of stunning beaches and adventure opportunities, this is a perfect destin</t>
  </si>
  <si>
    <t xml:space="preserve">https://unihotel.org/media/upload/rate_codes_files/wedding%20thailand%20rus%20-%20%D0%91%D1%8E%D1%80%D0%BE%20%D0%BF%D0%BE%20%D1%82%D1%83%D1%80%D0%B8%D0%B7%D0%BC%D1%83%20%D0%A2%D0%B0%D0%B8%D0%BB%D0%B0%D0%BD%D0%B4%D0%B0.pdf</t>
  </si>
  <si>
    <t xml:space="preserve">wedding2.indd</t>
  </si>
  <si>
    <t xml:space="preserve">Туристическое Управление Таиланда (Московский офис) Россия, 101000, Москва Ваша свадьба в Таиланде Б. Спасоглинищевский переулок, 9/1 стр. 16, офис IV Тел. 7 (495) 623 2505 Факс 7 (495) 623 2773 Сайт:</t>
  </si>
  <si>
    <t xml:space="preserve">https://unihotel.org/media/upload/rate_codes_files/Bali_info%20-%20Navigator%20Indonesia_CQNS6CZ.pdf</t>
  </si>
  <si>
    <t xml:space="preserve">Help Wikitravel grow by contributing to an article</t>
  </si>
  <si>
    <t xml:space="preserve"> TRAVEL INFORMATION ON BALI Bali, the famed Island of the Gods, with its varied landscape of hills and mountains, rugged coastlines and sandy beaches, lush rice terraces and barren volcanic hillsides </t>
  </si>
  <si>
    <t xml:space="preserve">https://hummingbird.travel/images/maps/barbados-map.pdf</t>
  </si>
  <si>
    <t xml:space="preserve">Caribbean Animal Flower Cave SAINT LUCY Cove Bay </t>
  </si>
  <si>
    <t xml:space="preserve">https://unihotel.org/media/upload/rate_codes_files/Travel_Bali_07%20-%20Navigator%20Indonesia.pdf</t>
  </si>
  <si>
    <t xml:space="preserve">Bali - Tulamben :: X-Ray Magazine :: Issue 7 - 2005</t>
  </si>
  <si>
    <t xml:space="preserve"> GUNILD SYMES Dark grey Tulamben </t>
  </si>
  <si>
    <t xml:space="preserve">https://hummingbird.travel/images/maps/dominican-republic-map.pdf</t>
  </si>
  <si>
    <t xml:space="preserve">Caribbean Sosua Beach Dominican Republic Am</t>
  </si>
  <si>
    <t xml:space="preserve">https://unihotel.org/media/upload/rate_codes_files/Visa%20requirements%20-%20Navigator%20Indonesia_HH1OS66.pdf</t>
  </si>
  <si>
    <t xml:space="preserve">The text contained herein was provided by the Government of Indonesia for information purposes</t>
  </si>
  <si>
    <t xml:space="preserve">The text contained herein is provided by the Government of Indonesia for information purposes. Related information on visa requirements may also be found on the website of the Embassy of Indonesia in </t>
  </si>
  <si>
    <t xml:space="preserve">https://unihotel.org/media/upload/rate_codes_files/Bali_info%20-%20Navigator%20Indonesia.pdf</t>
  </si>
  <si>
    <t xml:space="preserve">https://unihotel.org/media/upload/rate_codes_files/Bali_info%20-%20Navigator%20Indonesia_29ZzOxa.pdf</t>
  </si>
  <si>
    <t xml:space="preserve">https://unihotel.org/media/upload/rate_codes_files/Santiburi%20Spa%20Menu%202016%20-%20Santiburi%20Beach%20Resort%20%26%20Spa%20%20-%20130617132019.pdf</t>
  </si>
  <si>
    <t xml:space="preserve">https://unihotel.org/media/upload/rate_codes_files/Shopping%20v%20Kuala%20Lumpure%20-%20ASIAN%20OVERLAND%20SERVICES%20TOURS%20%26%20%20TRAV_KvA3KRx.pdf</t>
  </si>
  <si>
    <t xml:space="preserve">Шоппинг в Куала- Лумпуре (Малайзия), шоппинг маршруты по магазинам, рынкам, торговым центрам Что ты знаешь о Малайзии? Здесь строят страну будущего, стараясь сочетать три древнейшие культуры – китайск</t>
  </si>
  <si>
    <t xml:space="preserve">https://unihotel.org/media/upload/rate_codes_files/shopping%20in%20kuala-lumpur%20-%20ASIAN%20OVERLAND%20SERVICES%20TOURS%20%26%20%20TRAV_OkDQcgs.pdf</t>
  </si>
  <si>
    <t xml:space="preserve">https://unihotel.org/media/upload/rate_codes_files/Diving%20in%20Malaysia%20-%20ASIAN%20OVERLAND%20SERVICES%20TOURS%20%26%20%20TRAVEL%20SDN.%20BHD.%20.pdf</t>
  </si>
  <si>
    <t xml:space="preserve"> Diving in Malaysia Malaysia's Indo-Pacific wonderland blooms with postcard landscapes: waving coconut palms, powdery beaches and undulating rainforests. While many visitors come to stretch out on a h</t>
  </si>
  <si>
    <t xml:space="preserve">https://unihotel.org/media/upload/rate_codes_files/Pamyatka%20otdyihayuschim%20Malajziya%20-%20ASIAN%20OVERLAND%20SERVICES%20TOUR_lxvjFTO.pdf</t>
  </si>
  <si>
    <t xml:space="preserve">Памятка для туристов по Малайзии</t>
  </si>
  <si>
    <t xml:space="preserve"> Памятка для туристов по Малайзии Географическое положение: Малайзия – государство в Юго-Восточной Азии, страна экваториального пояса. Малайзия делится на два значительно удаленных друг от друга геогр</t>
  </si>
  <si>
    <t xml:space="preserve">https://awesomegetawaymaldives.com/wp-content/uploads/2026/03/Stone-Hotels.pdf</t>
  </si>
  <si>
    <t xml:space="preserve">shm-factsheet-vol3web-shm</t>
  </si>
  <si>
    <t xml:space="preserve"> An authentic Maldivian island holiday experience that celebrates the beauty and vibrance of the island life, where nature’s grandeur and island lifestyle i</t>
  </si>
  <si>
    <t xml:space="preserve">https://awesomegetawaymaldives.com/wp-content/uploads/2026/03/Ari-Queen.pdf</t>
  </si>
  <si>
    <t xml:space="preserve">ARI QUEEN The Ari Queen is a 35-meter luxury dive safari boat designed for ul�mate comfort and unforgetable underwater adventures in the pris�ne waters of Ari Atoll. Built speciﬁcally for diving enthu</t>
  </si>
  <si>
    <t xml:space="preserve">https://awesomegetawaymaldives.com/wp-content/uploads/2026/03/Fact-Sheet-Stone-Hotels.pdf</t>
  </si>
  <si>
    <t xml:space="preserve">https://awesomegetawaymaldives.com/wp-content/uploads/2026/03/ARI-QUEEN-FACTSHEET.pdf</t>
  </si>
  <si>
    <t xml:space="preserve">https://hummingbird.travel/images/maps/Seychelles_Map_Digital_.pdf</t>
  </si>
  <si>
    <t xml:space="preserve">Seychelles_Map_Digital</t>
  </si>
  <si>
    <t xml:space="preserve"> Seychelles can sometimes be logistically challenging with many different islands, excursions and transfer options. To help you understand the destination better, we have created this visual guide to </t>
  </si>
  <si>
    <t xml:space="preserve">https://letsgomaldives.com/wp-content/uploads/2026/08/Outrigger-Maldives.pdf</t>
  </si>
  <si>
    <t xml:space="preserve">Festive Celebrations DECEMBER 19, 2026 – JANUARY 1 , 2027 Escape to Festive Tranquility There is a quiet magic in celebrating the holidays in the Maldives. Beneath golden sunsets and endless skies, th</t>
  </si>
  <si>
    <t xml:space="preserve">https://letsgomaldives.com/wp-content/uploads/2026/08/Huvafen-Festive-brochure-2026-.pdf</t>
  </si>
  <si>
    <t xml:space="preserve">FESTIVE SEASON 2026 - 2027 A different CONTENTS kind of festive season PRE CHRISTMAS 22 Dec</t>
  </si>
  <si>
    <t xml:space="preserve">https://letsgomaldives.com/wp-content/uploads/2026/08/Haakuraa_Festive-Brochure.pdf</t>
  </si>
  <si>
    <t xml:space="preserve">Haakuraa_Festive Brochure</t>
  </si>
  <si>
    <t xml:space="preserve"> Around the World Embark on a festive journey inspired by cultures, traditions, flavours, and celebrations from across the globe. From vibrant beach parties and international dining experiences to fes</t>
  </si>
  <si>
    <t xml:space="preserve">https://letsgomaldives.com/wp-content/uploads/2026/05/article-picture.pdf</t>
  </si>
  <si>
    <t xml:space="preserve">article picture</t>
  </si>
  <si>
    <t xml:space="preserve"> Resuming Direct Weekly Flight Between RIYADH &amp; MALDIVES Be the first to fly with Flynas with Lets Go Maldives Starting from: 20th June 2026 Number of flights: 3 Weekly flights </t>
  </si>
  <si>
    <t xml:space="preserve">https://letsgomaldives.com/wp-content/uploads/2026/02/Nova-Malives-Easter-Brochure-2026.pdf</t>
  </si>
  <si>
    <t xml:space="preserve">Nova Easter Brochure 2026</t>
  </si>
  <si>
    <t xml:space="preserve"> un S upny side Easter 2026 Easter 2026 This Easter at Nova, everything feels a little brighter, mornings start with sunshine and laughter, and the island comes alive with creativity and connection. J</t>
  </si>
  <si>
    <t xml:space="preserve">https://letsgomaldives.com/wp-content/uploads/2026/02/SAii-Easter-Programme-2026.pdf</t>
  </si>
  <si>
    <t xml:space="preserve">SAii Easter Programme 2026</t>
  </si>
  <si>
    <t xml:space="preserve"> SAii EASTER Special Program 3 - 5 APRIL 2026 FRIDAY, 3 APRIL SUNDAY, 5 APRIL 07:00 Yin Yoga at SAii Beach Club Mr. Tomyam R</t>
  </si>
  <si>
    <t xml:space="preserve">https://letsgomaldives.com/wp-content/uploads/2026/02/SAii-Easter-Programme-2026-1.pdf</t>
  </si>
  <si>
    <t xml:space="preserve">https://letsgomaldives.com/wp-content/uploads/2026/02/SAii-Kids-Easter-Programme-2026-1.pdf</t>
  </si>
  <si>
    <t xml:space="preserve">SAii Kids Easter Programme 2026</t>
  </si>
  <si>
    <t xml:space="preserve"> SAii KIDS Happy Easter Programme 30 MARCH – 5 APRIL 2026 MARCH 30 MONDAY APRIL 3 FRIDAY 10:00-11:00 Easter Chick Toy at Kids Club. C</t>
  </si>
  <si>
    <t xml:space="preserve">https://letsgomaldives.com/wp-content/uploads/2026/02/SAii-Kids-Easter-Programme-2026.pdf</t>
  </si>
  <si>
    <t xml:space="preserve">https://letsgomaldives.com/wp-content/uploads/2026/02/RBRM_Easter_Brochure_2026-1.pdf</t>
  </si>
  <si>
    <t xml:space="preserve">EASTER 2026 Lobster BBQ Dinner* 2 APR Crusoe’s Beach | 7:00 PM - 10:00 PM | US$235.00++ per person Dive into the island experience with a delightful beach-front barbecue under the starlit Maldivian sk</t>
  </si>
  <si>
    <t xml:space="preserve">https://letsgomaldives.com/wp-content/uploads/2017/07/NHAV_Resort_Map_July2023.pdf</t>
  </si>
  <si>
    <t xml:space="preserve">NHAV Resort map_r1</t>
  </si>
  <si>
    <t xml:space="preserve"> 171 170 169 172 </t>
  </si>
  <si>
    <t xml:space="preserve">https://letsgomaldives.com/wp-content/uploads/2024/06/LGM-Logo-big-1.pdf</t>
  </si>
  <si>
    <t xml:space="preserve">LETS GO MALDI VES </t>
  </si>
  <si>
    <t xml:space="preserve">https://letsgomaldives.com/wp-content/uploads/2018/06/Resort-Map-2023_FINAL.pdf</t>
  </si>
  <si>
    <t xml:space="preserve">Resort Map 2023_FINAL</t>
  </si>
  <si>
    <t xml:space="preserve"> 286 </t>
  </si>
  <si>
    <t xml:space="preserve">https://letsgomaldives.com/wp-content/uploads/2024/06/LGM-Logo-big.pdf</t>
  </si>
  <si>
    <t xml:space="preserve">https://letsgomaldives.com/wp-content/uploads/2023/11/23-1182-MAM-Meal-Plan-Flier-Nov-2023-v4.pdf</t>
  </si>
  <si>
    <t xml:space="preserve">MALDIVES Meal Plans Half Board (HB) Meal Plan INCLUDES • Daily Breakfast served at the Cuisine Gallery • Dinner served at the Cuisine Gallery daily 19.00–21.30 DOES NOT INCLUDE • No beverages are incl</t>
  </si>
  <si>
    <t xml:space="preserve">https://letsgomaldives.com/wp-content/uploads/2023/06/Two-Bedroom-Beach-Pool-Villa.pdf</t>
  </si>
  <si>
    <t xml:space="preserve">Two-Bedroom Beach Pool Villa comp</t>
  </si>
  <si>
    <t xml:space="preserve">Two-Bedroom Beach Pool Villa </t>
  </si>
  <si>
    <t xml:space="preserve">https://letsgomaldives.com/wp-content/uploads/2023/06/Two-Bedroom-Overwater-Pool-Villa.pdf</t>
  </si>
  <si>
    <t xml:space="preserve">Two-Bedroom Overwater Pool Villa comp</t>
  </si>
  <si>
    <t xml:space="preserve">Two-Bedroom Overwater Pool Villa </t>
  </si>
  <si>
    <t xml:space="preserve">https://letsgomaldives.com/wp-content/uploads/2023/06/One-Bedroom-Overwater-Suite-with-Pool.pdf</t>
  </si>
  <si>
    <t xml:space="preserve">One-Bedroom Overwater Suite with Pool comp</t>
  </si>
  <si>
    <t xml:space="preserve">One-Bedroom Overwater Suite with Pool </t>
  </si>
  <si>
    <t xml:space="preserve">https://letsgomaldives.com/wp-content/uploads/2023/06/One-Bedroom-Overwater-Pool-Villa.pdf</t>
  </si>
  <si>
    <t xml:space="preserve">One-Bedroom Overwater Pool Villa comp</t>
  </si>
  <si>
    <t xml:space="preserve">One-Bedroom Overwater Pool Villa </t>
  </si>
  <si>
    <t xml:space="preserve">https://letsgomaldives.com/wp-content/uploads/2023/06/One-Bedroom-Beach-Pool-Villa.pdf</t>
  </si>
  <si>
    <t xml:space="preserve">One-Bedroom Beach Pool Villa comp</t>
  </si>
  <si>
    <t xml:space="preserve">One-Bedroom Beach Pool Villa </t>
  </si>
  <si>
    <t xml:space="preserve">https://letsgomaldives.com/wp-content/uploads/2023/02/Carnaval_Program_2023.pdf</t>
  </si>
  <si>
    <t xml:space="preserve">Carnaval Program_2023</t>
  </si>
  <si>
    <t xml:space="preserve">FRIDAY, 24TH FEBRUARY WEDNESDAY, 1ST MARCH 11:00AM TIE DYE PARTY AT THE ELEPHANT &amp; THE BUTTERFLY BEACH 12:30PM BRAZILIAN PICANHA &amp; CAIPIRINHA AT T</t>
  </si>
  <si>
    <t xml:space="preserve">https://hummingbird.travel/images/maps/jamaica-map.pdf</t>
  </si>
  <si>
    <t xml:space="preserve"> Caribbean Jamaica </t>
  </si>
  <si>
    <t xml:space="preserve">https://unihotel.org/media/upload/rate_codes_files/Pamyatka_Mavrikij_pamyatka_-_Satmarket_Tour_Operator_tel_7495778_CWe1U3P.pdf</t>
  </si>
  <si>
    <t xml:space="preserve"> Памятка туриста по Маврикию С 1 июля 2022 года независимо от статуса вакцинации не нужно предъявлять отрицательный ПЦР-тест перед вылетом на Маврикий, не нужно проходить тестирование по прибытии или </t>
  </si>
  <si>
    <t xml:space="preserve">https://hummingbird.travel/images/maps/st-barts-map.pdf</t>
  </si>
  <si>
    <t xml:space="preserve">Caribbean St. Martins Princess Juliana Int‘l Airport St. Barts Cheval Bla</t>
  </si>
  <si>
    <t xml:space="preserve">https://visitmaldives.s3.amazonaws.com/Gw16xrYE/ybitcuhe.pdf</t>
  </si>
  <si>
    <t xml:space="preserve">Media_Campaign_Brochure</t>
  </si>
  <si>
    <t xml:space="preserve">A SAFE HAVEN f av l s Introduction The Maldives is a picture-perfect archipelago, situated Maldives reopened its borders to international tourists. in the middle of the Indian Ocean, and home to 1,190</t>
  </si>
  <si>
    <t xml:space="preserve">https://unihotel.org/media/upload/rate_codes_files/f2f%20-%20Fly2football.pdf</t>
  </si>
  <si>
    <t xml:space="preserve">ПУТЕШЕСТВИЯ В МИР ФУТБОЛА НАДЕЖНЫЙ ОНЛАЙН СЕРВИС ПОКУПКИ БИЛЕТОВ НА ФУТБОЛ И БРОНИРОВАНИЯ ОТЕЛЕЙ Как это работает Выбираете билет на матч Выбираете отель Оплачиваете заказ картой Visa или MasterCard П</t>
  </si>
  <si>
    <t xml:space="preserve">https://hummingbird.travel/images/maps/grenada-map.pdf</t>
  </si>
  <si>
    <t xml:space="preserve">Caribbean Petit Anse Hotel SAINT PATRICK </t>
  </si>
  <si>
    <t xml:space="preserve">https://unihotel.org/media/upload/rate_codes_files/Electronic%20ticket%20receipt%2C%20September%2020%20for%20LAZUNOVA%20RIMMA%20MRS%20-_mMcDk9O.pdf</t>
  </si>
  <si>
    <t xml:space="preserve">TripCase - eTicket Receipt</t>
  </si>
  <si>
    <t xml:space="preserve">eTicket Receipt Prepared For LAZUNOVA/RIMMA MRS RESERVATION CODE KVIEFM ISSUE DATE 30May2015 TICKET NUMBER 8292174427226 ISSUING AIRLINE </t>
  </si>
  <si>
    <t xml:space="preserve">https://hummingbird.travel/images/maps/st-lucia-map.pdf</t>
  </si>
  <si>
    <t xml:space="preserve">Caribbean Pigeon Cap Maison Resort &amp; Spa Island </t>
  </si>
  <si>
    <t xml:space="preserve">https://unihotel.org/media/upload/rate_codes_files/umbrella_files%20-%20UMBRELLA%20CORPS.pdf</t>
  </si>
  <si>
    <t xml:space="preserve"> United Nations Umbrella Organizations There are many organizations, programs, and funds that fall under the United Nations system’s six principal organs. The graphic below shows their structure and c</t>
  </si>
  <si>
    <t xml:space="preserve">https://hummingbird.travel/images/maps/antigua-map.pdf</t>
  </si>
  <si>
    <t xml:space="preserve">Caribbean Blue Waters Resort &amp; Spa Hodges Bay Resort &amp; Spa Sandals Grand Antigua </t>
  </si>
  <si>
    <t xml:space="preserve">https://secretparadise.mv/wp-content/uploads/2026/08/SECRET-PARADISE-IMPACT-REPORT-2025.pdf</t>
  </si>
  <si>
    <t xml:space="preserve">IMPACT REPORT 2025</t>
  </si>
  <si>
    <t xml:space="preserve">IMPACT REPORT 2025 WWW.SECRETPARADISE.MV Secret Paradise ​Maldives has been creating meaningful experiences in the Maldives since 2012. </t>
  </si>
  <si>
    <t xml:space="preserve">https://unihotel.org/media/upload/rate_codes_files/banki%20-%20UMBRELLA%20CORPS.pdf</t>
  </si>
  <si>
    <t xml:space="preserve"> БАНКОВСКАЯ СИСТЕМА РОССИЙСКОЙ ФЕДЕРАЦИИ Милославская Н.Г., Нагибин С.Я., Сенаторов М.Ю., Толстой А.И. Национальный Исследовательский Ядерный Университет «МИФИ» </t>
  </si>
  <si>
    <t xml:space="preserve">https://hummingbird.travel/images/maps/Sri%20Lanka_Map_Digital_.pdf</t>
  </si>
  <si>
    <t xml:space="preserve">Sri Lanka_Map_Digital</t>
  </si>
  <si>
    <t xml:space="preserve"> Sri Lanka is a beautiful island nation with so much to offer: rich in history, culture, diversity in wildlife, beach getaways, cuisine and warm hospitality. We understand the complexity of enquiries </t>
  </si>
  <si>
    <t xml:space="preserve">https://secretparadise.mv/wp-content/uploads/2024/10/13N-Whale-Shark-Educational-Experience.pdf</t>
  </si>
  <si>
    <t xml:space="preserve">13N WHALE SHARK EXPEDITION</t>
  </si>
  <si>
    <t xml:space="preserve"> 13N WHALE SHARK EDUCATIONAL EXPERIENCE TRAVEL ITENERARY What can your students expect? Interactive learning sessions Hands-on activities</t>
  </si>
  <si>
    <t xml:space="preserve">https://secretparadise.mv/wp-content/uploads/2024/10/7N-Fulhadhoo-Educational-Experience.pdf</t>
  </si>
  <si>
    <t xml:space="preserve">13N fulhadhoo educational experience</t>
  </si>
  <si>
    <t xml:space="preserve"> 7N FULHADHOO EDUCATIONAL EXPERIENCE TRAVEL ITENERARY What can your students expect? Interactive learning sessions Hands-on activities &amp; </t>
  </si>
  <si>
    <t xml:space="preserve">https://secretparadise.mv/wp-content/uploads/2024/06/Secret-Paradise-Impact-Report-2023-.pdf</t>
  </si>
  <si>
    <t xml:space="preserve">Secret Paradise</t>
  </si>
  <si>
    <t xml:space="preserve">SECRET PARADISE IMPACT REPORT 2023 Day Tours &amp; Local Island Conservation Experiences Tours Cruises Our style of guided experience offers much more than a conventional Maldives beach holiday and provid</t>
  </si>
  <si>
    <t xml:space="preserve">https://secretparadise.mv/wp-content/uploads/2021/09/Secret-Paradise-Tours-Overview.pdf</t>
  </si>
  <si>
    <t xml:space="preserve">SECRET PARADISE TOURS #letusguideyou WHY CHOOSE SECRET PARADISE? SUSTAINABLE EXPERIENCES Caring for tomorrow, today. We help make our home a little better, one tour at a time. LED BY LOCALS Our Maldiv</t>
  </si>
  <si>
    <t xml:space="preserve">tried</t>
  </si>
  <si>
    <t xml:space="preserve">detail</t>
  </si>
  <si>
    <t xml:space="preserve">resorts</t>
  </si>
  <si>
    <t xml:space="preserve">www.sixsenses.com</t>
  </si>
  <si>
    <t xml:space="preserve">GET home, sitemap, headless render</t>
  </si>
  <si>
    <t xml:space="preserve">www.ozenreservebolifushi.com</t>
  </si>
  <si>
    <t xml:space="preserve">www.dreamlandmaldives.com</t>
  </si>
  <si>
    <t xml:space="preserve">www.marriott.com</t>
  </si>
  <si>
    <t xml:space="preserve">JW Marriott Kaafu Atoll Island Resort, JW Marriott Maldives Resort &amp; Spa, Le Méridien Maldives Resort and Spa</t>
  </si>
  <si>
    <t xml:space="preserve">www.joali.com</t>
  </si>
  <si>
    <t xml:space="preserve">www.joalibeing.com</t>
  </si>
  <si>
    <t xml:space="preserve">www.filitheyo.com</t>
  </si>
  <si>
    <t xml:space="preserve">www.baglionihotels.com</t>
  </si>
  <si>
    <t xml:space="preserve">www.rihiveli-maldives.com</t>
  </si>
  <si>
    <t xml:space="preserve">www.hilton.com</t>
  </si>
  <si>
    <t xml:space="preserve">www.hyatt.com</t>
  </si>
  <si>
    <t xml:space="preserve">Alila Kothaifaru Maldives, Park Hyatt Maldives, Hadahaa</t>
  </si>
  <si>
    <t xml:space="preserve">www.alilahotels.com</t>
  </si>
  <si>
    <t xml:space="preserve">www.nooemaldives.com</t>
  </si>
  <si>
    <t xml:space="preserve">www.halcyonmaldives.com</t>
  </si>
  <si>
    <t xml:space="preserve">www.melia.com</t>
  </si>
  <si>
    <t xml:space="preserve">www.raffles.com</t>
  </si>
  <si>
    <t xml:space="preserve">www.barcelo.com</t>
  </si>
  <si>
    <t xml:space="preserve">www.innahura.com</t>
  </si>
  <si>
    <t xml:space="preserve">www.coastlinemaldives.com</t>
  </si>
  <si>
    <t xml:space="preserve">www.ritzcarlton.com</t>
  </si>
  <si>
    <t xml:space="preserve">www.nh-collection.com</t>
  </si>
  <si>
    <t xml:space="preserve">www.nh-hotels.com</t>
  </si>
  <si>
    <t xml:space="preserve">www.dhiggiri.com</t>
  </si>
  <si>
    <t xml:space="preserve">www.so-maldives.com</t>
  </si>
  <si>
    <t xml:space="preserve">www.ozenlifemaadhoo.com</t>
  </si>
  <si>
    <t xml:space="preserve">www.dusit.com</t>
  </si>
  <si>
    <t xml:space="preserve">www.fourseasons.com</t>
  </si>
  <si>
    <t xml:space="preserve">www.fihalhohi.com</t>
  </si>
  <si>
    <t xml:space="preserve">www.fihalhohi.net</t>
  </si>
  <si>
    <t xml:space="preserve">www.jumeirah.com</t>
  </si>
  <si>
    <t xml:space="preserve">www.fairmont-maldives.com</t>
  </si>
  <si>
    <t xml:space="preserve">www.fushifaru.com</t>
  </si>
  <si>
    <t xml:space="preserve">www.fairmont.com</t>
  </si>
  <si>
    <t xml:space="preserve">www.reethibeach.com</t>
  </si>
  <si>
    <t xml:space="preserve">www.resortlife.mv</t>
  </si>
  <si>
    <t xml:space="preserve">www.ablemaldives.com</t>
  </si>
  <si>
    <t xml:space="preserve">www.maldives-travel.com</t>
  </si>
  <si>
    <t xml:space="preserve">www.maldivestravelspot.com</t>
  </si>
  <si>
    <t xml:space="preserve">www.maldivesbookings.com</t>
  </si>
  <si>
    <t xml:space="preserve">www.atollsmaldives.com</t>
  </si>
  <si>
    <t xml:space="preserve">www.ocean-maldives.com</t>
  </si>
  <si>
    <t xml:space="preserve">www.maldivesresorts.com</t>
  </si>
  <si>
    <t xml:space="preserve">www.allmaldives.com</t>
  </si>
  <si>
    <t xml:space="preserve">www.maldivesfinest.com</t>
  </si>
  <si>
    <t xml:space="preserve">www.maldivesmagazine.com</t>
  </si>
  <si>
    <t xml:space="preserve">www.islandhoppers.com.mv</t>
  </si>
  <si>
    <t xml:space="preserve">www.triptomaldives.com</t>
  </si>
  <si>
    <t xml:space="preserve">www.radissonhotels.com</t>
  </si>
  <si>
    <t xml:space="preserve">GET home + render</t>
  </si>
  <si>
    <t xml:space="preserve">403</t>
  </si>
  <si>
    <t xml:space="preserve">pdf download</t>
  </si>
  <si>
    <t xml:space="preserve">403 challenge</t>
  </si>
  <si>
    <t xml:space="preserve">forsale.godaddy.com</t>
  </si>
  <si>
    <t xml:space="preserve">expireddomains.com</t>
  </si>
  <si>
    <t xml:space="preserve">GET home</t>
  </si>
  <si>
    <t xml:space="preserve">429 challenge</t>
  </si>
  <si>
    <t xml:space="preserve">phase</t>
  </si>
  <si>
    <t xml:space="preserve">docs total</t>
  </si>
  <si>
    <t xml:space="preserve">2026-10-04 22:30</t>
  </si>
  <si>
    <t xml:space="preserve">A</t>
  </si>
  <si>
    <t xml:space="preserve">Crown &amp; Champa + Neoscapes</t>
  </si>
  <si>
    <t xml:space="preserve">297</t>
  </si>
  <si>
    <t xml:space="preserve">2026-10-04 22:33</t>
  </si>
  <si>
    <t xml:space="preserve">301</t>
  </si>
  <si>
    <t xml:space="preserve">2026-10-04 22:47</t>
  </si>
  <si>
    <t xml:space="preserve">B</t>
  </si>
  <si>
    <t xml:space="preserve">official sites 1-20: {'stored': 225, 'duplicate': 69, 'excluded': 5, 'failed': 10, 'unmatched': 1}</t>
  </si>
  <si>
    <t xml:space="preserve">526</t>
  </si>
  <si>
    <t xml:space="preserve">2026-10-04 22:56</t>
  </si>
  <si>
    <t xml:space="preserve">official sites 1-20: {'stored': 77, 'unmatched': 7, 'duplicate': 13}</t>
  </si>
  <si>
    <t xml:space="preserve">603</t>
  </si>
  <si>
    <t xml:space="preserve">2026-10-04 23:02</t>
  </si>
  <si>
    <t xml:space="preserve">F</t>
  </si>
  <si>
    <t xml:space="preserve">fact packs for 182 resorts</t>
  </si>
  <si>
    <t xml:space="preserve">2026-10-04 23:09</t>
  </si>
  <si>
    <t xml:space="preserve">official sites 21-40: {'stored': 346, 'duplicate': 38, 'rejected': 2, 'error FileNotFoundError': 1, 'unmatched': 17, 'failed': 10}</t>
  </si>
  <si>
    <t xml:space="preserve">949</t>
  </si>
  <si>
    <t xml:space="preserve">2026-10-04 23:28</t>
  </si>
  <si>
    <t xml:space="preserve">official sites 41-60: {'stored': 190, 'duplicate': 15, 'failed': 14, 'rejected': 4, 'unmatched': 88}</t>
  </si>
  <si>
    <t xml:space="preserve">1391</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</si>
</sst>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
      <sz val="11"/>
      <color theme="1"/>
      <name val="WenQuanYi Zen Hei"/>
      <family val="2"/>
    </font>
  </fonts>
  <fills count="3">
    <fill>
      <patternFill patternType="none"/>
    </fill>
    <fill>
      <patternFill patternType="gray125"/>
    </fill>
    <fill>
      <patternFill patternType="solid">
        <fgColor rgb="FF1F4E78"/>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8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45"/>
    <col collapsed="false" customWidth="true" hidden="false" outlineLevel="0" max="3" min="3" style="0" width="22"/>
    <col collapsed="false" customWidth="true" hidden="false" outlineLevel="0" max="24" min="4" style="0" width="40"/>
    <col collapsed="false" customWidth="true" hidden="false" outlineLevel="0" max="25" min="25" style="0" width="28"/>
    <col collapsed="false" customWidth="true" hidden="false" outlineLevel="0" max="26" min="26" style="0" width="40"/>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ustomFormat="false" ht="15" hidden="false" customHeight="false" outlineLevel="0" collapsed="false">
      <c r="A2" s="0" t="n">
        <v>1</v>
      </c>
      <c r="B2" s="0" t="s">
        <v>26</v>
      </c>
      <c r="C2" s="0" t="s">
        <v>27</v>
      </c>
      <c r="D2" s="0" t="str">
        <f aca="false">IFERROR(IF(maxifs(Documents!$E$2:$E$1421,Documents!$A$2:$A$1421,$A2,Documents!$C$2:$C$1421,"factsheet")=0,"",maxifs(Documents!$E$2:$E$1421,Documents!$A$2:$A$1421,$A2,Documents!$C$2:$C$1421,"factsheet")),"")</f>
        <v/>
      </c>
      <c r="E2" s="0" t="str">
        <f aca="false">IFERROR(IF(maxifs(Documents!$E$2:$E$1421,Documents!$A$2:$A$1421,$A2,Documents!$C$2:$C$1421,"wedding")=0,"",maxifs(Documents!$E$2:$E$1421,Documents!$A$2:$A$1421,$A2,Documents!$C$2:$C$1421,"wedding")),"")</f>
        <v/>
      </c>
      <c r="F2" s="0" t="str">
        <f aca="false">IFERROR(IF(maxifs(Documents!$E$2:$E$1421,Documents!$A$2:$A$1421,$A2,Documents!$C$2:$C$1421,"events")=0,"",maxifs(Documents!$E$2:$E$1421,Documents!$A$2:$A$1421,$A2,Documents!$C$2:$C$1421,"events")),"")</f>
        <v/>
      </c>
      <c r="G2" s="0" t="str">
        <f aca="false">IFERROR(IF(maxifs(Documents!$E$2:$E$1421,Documents!$A$2:$A$1421,$A2,Documents!$C$2:$C$1421,"map")=0,"",maxifs(Documents!$E$2:$E$1421,Documents!$A$2:$A$1421,$A2,Documents!$C$2:$C$1421,"map")),"")</f>
        <v/>
      </c>
      <c r="H2" s="0" t="str">
        <f aca="false">IFERROR(IF(maxifs(Documents!$E$2:$E$1421,Documents!$A$2:$A$1421,$A2,Documents!$C$2:$C$1421,"dive_map")=0,"",maxifs(Documents!$E$2:$E$1421,Documents!$A$2:$A$1421,$A2,Documents!$C$2:$C$1421,"dive_map")),"")</f>
        <v/>
      </c>
      <c r="I2" s="0" t="str">
        <f aca="false">IFERROR(IF(maxifs(Documents!$E$2:$E$1421,Documents!$A$2:$A$1421,$A2,Documents!$C$2:$C$1421,"spa_menu")=0,"",maxifs(Documents!$E$2:$E$1421,Documents!$A$2:$A$1421,$A2,Documents!$C$2:$C$1421,"spa_menu")),"")</f>
        <v/>
      </c>
      <c r="J2" s="0" t="str">
        <f aca="false">IFERROR(IF(maxifs(Documents!$E$2:$E$1421,Documents!$A$2:$A$1421,$A2,Documents!$C$2:$C$1421,"dining_menu")=0,"",maxifs(Documents!$E$2:$E$1421,Documents!$A$2:$A$1421,$A2,Documents!$C$2:$C$1421,"dining_menu")),"")</f>
        <v/>
      </c>
      <c r="K2" s="0" t="str">
        <f aca="false">IFERROR(IF(maxifs(Documents!$E$2:$E$1421,Documents!$A$2:$A$1421,$A2,Documents!$C$2:$C$1421,"dive_prices")=0,"",maxifs(Documents!$E$2:$E$1421,Documents!$A$2:$A$1421,$A2,Documents!$C$2:$C$1421,"dive_prices")),"")</f>
        <v/>
      </c>
      <c r="L2" s="0" t="str">
        <f aca="false">IFERROR(IF(maxifs(Documents!$E$2:$E$1421,Documents!$A$2:$A$1421,$A2,Documents!$C$2:$C$1421,"excursions")=0,"",maxifs(Documents!$E$2:$E$1421,Documents!$A$2:$A$1421,$A2,Documents!$C$2:$C$1421,"excursions")),"")</f>
        <v/>
      </c>
      <c r="M2" s="0" t="str">
        <f aca="false">IFERROR(IF(maxifs(Documents!$E$2:$E$1421,Documents!$A$2:$A$1421,$A2,Documents!$C$2:$C$1421,"kids")=0,"",maxifs(Documents!$E$2:$E$1421,Documents!$A$2:$A$1421,$A2,Documents!$C$2:$C$1421,"kids")),"")</f>
        <v/>
      </c>
      <c r="N2" s="0" t="str">
        <f aca="false">IFERROR(IF(maxifs(Documents!$E$2:$E$1421,Documents!$A$2:$A$1421,$A2,Documents!$C$2:$C$1421,"villa_plans")=0,"",maxifs(Documents!$E$2:$E$1421,Documents!$A$2:$A$1421,$A2,Documents!$C$2:$C$1421,"villa_plans")),"")</f>
        <v/>
      </c>
      <c r="O2" s="0" t="str">
        <f aca="false">IFERROR(IF(maxifs(Documents!$E$2:$E$1421,Documents!$A$2:$A$1421,$A2,Documents!$C$2:$C$1421,"all_inclusive")=0,"",maxifs(Documents!$E$2:$E$1421,Documents!$A$2:$A$1421,$A2,Documents!$C$2:$C$1421,"all_inclusive")),"")</f>
        <v/>
      </c>
      <c r="P2" s="0" t="str">
        <f aca="false">IFERROR(IF(maxifs(Documents!$E$2:$E$1421,Documents!$A$2:$A$1421,$A2,Documents!$C$2:$C$1421,"sustainability")=0,"",maxifs(Documents!$E$2:$E$1421,Documents!$A$2:$A$1421,$A2,Documents!$C$2:$C$1421,"sustainability")),"")</f>
        <v/>
      </c>
      <c r="Q2" s="0" t="str">
        <f aca="false">IFERROR(IF(maxifs(Documents!$E$2:$E$1421,Documents!$A$2:$A$1421,$A2,Documents!$C$2:$C$1421,"calendar")=0,"",maxifs(Documents!$E$2:$E$1421,Documents!$A$2:$A$1421,$A2,Documents!$C$2:$C$1421,"calendar")),"")</f>
        <v/>
      </c>
      <c r="R2" s="0" t="str">
        <f aca="false">IFERROR(IF(maxifs(Documents!$E$2:$E$1421,Documents!$A$2:$A$1421,$A2,Documents!$C$2:$C$1421,"brochure")=0,"",maxifs(Documents!$E$2:$E$1421,Documents!$A$2:$A$1421,$A2,Documents!$C$2:$C$1421,"brochure")),"")</f>
        <v/>
      </c>
      <c r="S2" s="0" t="str">
        <f aca="false">IFERROR(IF(maxifs(Documents!$E$2:$E$1421,Documents!$A$2:$A$1421,$A2,Documents!$C$2:$C$1421,"press_kit")=0,"",maxifs(Documents!$E$2:$E$1421,Documents!$A$2:$A$1421,$A2,Documents!$C$2:$C$1421,"press_kit")),"")</f>
        <v/>
      </c>
      <c r="T2" s="0" t="str">
        <f aca="false">IFERROR(IF(maxifs(Documents!$E$2:$E$1421,Documents!$A$2:$A$1421,$A2,Documents!$C$2:$C$1421,"other")=0,"",maxifs(Documents!$E$2:$E$1421,Documents!$A$2:$A$1421,$A2,Documents!$C$2:$C$1421,"other")),"")</f>
        <v/>
      </c>
      <c r="U2" s="0" t="str">
        <f aca="false">IFERROR(IF(maxifs(Documents!$E$2:$E$1421,Documents!$A$2:$A$1421,$A2,Documents!$C$2:$C$1421,"obsolete")=0,"",maxifs(Documents!$E$2:$E$1421,Documents!$A$2:$A$1421,$A2,Documents!$C$2:$C$1421,"obsolete")),"")</f>
        <v/>
      </c>
      <c r="V2" s="0" t="n">
        <f aca="false">COUNTIFS(Documents!$A$2:$A$1421,$A2)</f>
        <v>4</v>
      </c>
      <c r="W2" s="0" t="n">
        <f aca="false">COUNTIFS(Documents!$A$2:$A$1421,$A2,Documents!$R$2:$R$1421,"current")</f>
        <v>2</v>
      </c>
      <c r="X2" s="0" t="str">
        <f aca="false">HYPERLINK("https://sales.crownandchamparesorts.com/wp-content/uploads/2026/04/NalaMaldivesFactsheet011125311026Ver030426.pdf","2025_NalaMaldivesFactsheet011125311026Ve")</f>
        <v>2025_NalaMaldivesFactsheet011125311026Ve</v>
      </c>
      <c r="Y2" s="0" t="s">
        <v>28</v>
      </c>
    </row>
    <row r="3" customFormat="false" ht="15" hidden="false" customHeight="false" outlineLevel="0" collapsed="false">
      <c r="A3" s="0" t="n">
        <v>2</v>
      </c>
      <c r="B3" s="0" t="s">
        <v>29</v>
      </c>
      <c r="C3" s="0" t="s">
        <v>30</v>
      </c>
      <c r="D3" s="0" t="str">
        <f aca="false">IFERROR(IF(maxifs(Documents!$E$2:$E$1421,Documents!$A$2:$A$1421,$A3,Documents!$C$2:$C$1421,"factsheet")=0,"",maxifs(Documents!$E$2:$E$1421,Documents!$A$2:$A$1421,$A3,Documents!$C$2:$C$1421,"factsheet")),"")</f>
        <v/>
      </c>
      <c r="E3" s="0" t="str">
        <f aca="false">IFERROR(IF(maxifs(Documents!$E$2:$E$1421,Documents!$A$2:$A$1421,$A3,Documents!$C$2:$C$1421,"wedding")=0,"",maxifs(Documents!$E$2:$E$1421,Documents!$A$2:$A$1421,$A3,Documents!$C$2:$C$1421,"wedding")),"")</f>
        <v/>
      </c>
      <c r="F3" s="0" t="str">
        <f aca="false">IFERROR(IF(maxifs(Documents!$E$2:$E$1421,Documents!$A$2:$A$1421,$A3,Documents!$C$2:$C$1421,"events")=0,"",maxifs(Documents!$E$2:$E$1421,Documents!$A$2:$A$1421,$A3,Documents!$C$2:$C$1421,"events")),"")</f>
        <v/>
      </c>
      <c r="G3" s="0" t="str">
        <f aca="false">IFERROR(IF(maxifs(Documents!$E$2:$E$1421,Documents!$A$2:$A$1421,$A3,Documents!$C$2:$C$1421,"map")=0,"",maxifs(Documents!$E$2:$E$1421,Documents!$A$2:$A$1421,$A3,Documents!$C$2:$C$1421,"map")),"")</f>
        <v/>
      </c>
      <c r="H3" s="0" t="str">
        <f aca="false">IFERROR(IF(maxifs(Documents!$E$2:$E$1421,Documents!$A$2:$A$1421,$A3,Documents!$C$2:$C$1421,"dive_map")=0,"",maxifs(Documents!$E$2:$E$1421,Documents!$A$2:$A$1421,$A3,Documents!$C$2:$C$1421,"dive_map")),"")</f>
        <v/>
      </c>
      <c r="I3" s="0" t="str">
        <f aca="false">IFERROR(IF(maxifs(Documents!$E$2:$E$1421,Documents!$A$2:$A$1421,$A3,Documents!$C$2:$C$1421,"spa_menu")=0,"",maxifs(Documents!$E$2:$E$1421,Documents!$A$2:$A$1421,$A3,Documents!$C$2:$C$1421,"spa_menu")),"")</f>
        <v/>
      </c>
      <c r="J3" s="0" t="str">
        <f aca="false">IFERROR(IF(maxifs(Documents!$E$2:$E$1421,Documents!$A$2:$A$1421,$A3,Documents!$C$2:$C$1421,"dining_menu")=0,"",maxifs(Documents!$E$2:$E$1421,Documents!$A$2:$A$1421,$A3,Documents!$C$2:$C$1421,"dining_menu")),"")</f>
        <v/>
      </c>
      <c r="K3" s="0" t="str">
        <f aca="false">IFERROR(IF(maxifs(Documents!$E$2:$E$1421,Documents!$A$2:$A$1421,$A3,Documents!$C$2:$C$1421,"dive_prices")=0,"",maxifs(Documents!$E$2:$E$1421,Documents!$A$2:$A$1421,$A3,Documents!$C$2:$C$1421,"dive_prices")),"")</f>
        <v/>
      </c>
      <c r="L3" s="0" t="str">
        <f aca="false">IFERROR(IF(maxifs(Documents!$E$2:$E$1421,Documents!$A$2:$A$1421,$A3,Documents!$C$2:$C$1421,"excursions")=0,"",maxifs(Documents!$E$2:$E$1421,Documents!$A$2:$A$1421,$A3,Documents!$C$2:$C$1421,"excursions")),"")</f>
        <v/>
      </c>
      <c r="M3" s="0" t="str">
        <f aca="false">IFERROR(IF(maxifs(Documents!$E$2:$E$1421,Documents!$A$2:$A$1421,$A3,Documents!$C$2:$C$1421,"kids")=0,"",maxifs(Documents!$E$2:$E$1421,Documents!$A$2:$A$1421,$A3,Documents!$C$2:$C$1421,"kids")),"")</f>
        <v/>
      </c>
      <c r="N3" s="0" t="str">
        <f aca="false">IFERROR(IF(maxifs(Documents!$E$2:$E$1421,Documents!$A$2:$A$1421,$A3,Documents!$C$2:$C$1421,"villa_plans")=0,"",maxifs(Documents!$E$2:$E$1421,Documents!$A$2:$A$1421,$A3,Documents!$C$2:$C$1421,"villa_plans")),"")</f>
        <v/>
      </c>
      <c r="O3" s="0" t="str">
        <f aca="false">IFERROR(IF(maxifs(Documents!$E$2:$E$1421,Documents!$A$2:$A$1421,$A3,Documents!$C$2:$C$1421,"all_inclusive")=0,"",maxifs(Documents!$E$2:$E$1421,Documents!$A$2:$A$1421,$A3,Documents!$C$2:$C$1421,"all_inclusive")),"")</f>
        <v/>
      </c>
      <c r="P3" s="0" t="str">
        <f aca="false">IFERROR(IF(maxifs(Documents!$E$2:$E$1421,Documents!$A$2:$A$1421,$A3,Documents!$C$2:$C$1421,"sustainability")=0,"",maxifs(Documents!$E$2:$E$1421,Documents!$A$2:$A$1421,$A3,Documents!$C$2:$C$1421,"sustainability")),"")</f>
        <v/>
      </c>
      <c r="Q3" s="0" t="str">
        <f aca="false">IFERROR(IF(maxifs(Documents!$E$2:$E$1421,Documents!$A$2:$A$1421,$A3,Documents!$C$2:$C$1421,"calendar")=0,"",maxifs(Documents!$E$2:$E$1421,Documents!$A$2:$A$1421,$A3,Documents!$C$2:$C$1421,"calendar")),"")</f>
        <v/>
      </c>
      <c r="R3" s="0" t="str">
        <f aca="false">IFERROR(IF(maxifs(Documents!$E$2:$E$1421,Documents!$A$2:$A$1421,$A3,Documents!$C$2:$C$1421,"brochure")=0,"",maxifs(Documents!$E$2:$E$1421,Documents!$A$2:$A$1421,$A3,Documents!$C$2:$C$1421,"brochure")),"")</f>
        <v/>
      </c>
      <c r="S3" s="0" t="str">
        <f aca="false">IFERROR(IF(maxifs(Documents!$E$2:$E$1421,Documents!$A$2:$A$1421,$A3,Documents!$C$2:$C$1421,"press_kit")=0,"",maxifs(Documents!$E$2:$E$1421,Documents!$A$2:$A$1421,$A3,Documents!$C$2:$C$1421,"press_kit")),"")</f>
        <v/>
      </c>
      <c r="T3" s="0" t="str">
        <f aca="false">IFERROR(IF(maxifs(Documents!$E$2:$E$1421,Documents!$A$2:$A$1421,$A3,Documents!$C$2:$C$1421,"other")=0,"",maxifs(Documents!$E$2:$E$1421,Documents!$A$2:$A$1421,$A3,Documents!$C$2:$C$1421,"other")),"")</f>
        <v/>
      </c>
      <c r="U3" s="0" t="str">
        <f aca="false">IFERROR(IF(maxifs(Documents!$E$2:$E$1421,Documents!$A$2:$A$1421,$A3,Documents!$C$2:$C$1421,"obsolete")=0,"",maxifs(Documents!$E$2:$E$1421,Documents!$A$2:$A$1421,$A3,Documents!$C$2:$C$1421,"obsolete")),"")</f>
        <v/>
      </c>
      <c r="V3" s="0" t="n">
        <f aca="false">COUNTIFS(Documents!$A$2:$A$1421,$A3)</f>
        <v>0</v>
      </c>
      <c r="W3" s="0" t="n">
        <f aca="false">COUNTIFS(Documents!$A$2:$A$1421,$A3,Documents!$R$2:$R$1421,"current")</f>
        <v>0</v>
      </c>
      <c r="Y3" s="0" t="s">
        <v>31</v>
      </c>
    </row>
    <row r="4" customFormat="false" ht="15" hidden="false" customHeight="false" outlineLevel="0" collapsed="false">
      <c r="A4" s="0" t="n">
        <v>3</v>
      </c>
      <c r="B4" s="0" t="s">
        <v>32</v>
      </c>
      <c r="C4" s="0" t="s">
        <v>33</v>
      </c>
      <c r="D4" s="0" t="str">
        <f aca="false">IFERROR(IF(maxifs(Documents!$E$2:$E$1421,Documents!$A$2:$A$1421,$A4,Documents!$C$2:$C$1421,"factsheet")=0,"",maxifs(Documents!$E$2:$E$1421,Documents!$A$2:$A$1421,$A4,Documents!$C$2:$C$1421,"factsheet")),"")</f>
        <v/>
      </c>
      <c r="E4" s="0" t="str">
        <f aca="false">IFERROR(IF(maxifs(Documents!$E$2:$E$1421,Documents!$A$2:$A$1421,$A4,Documents!$C$2:$C$1421,"wedding")=0,"",maxifs(Documents!$E$2:$E$1421,Documents!$A$2:$A$1421,$A4,Documents!$C$2:$C$1421,"wedding")),"")</f>
        <v/>
      </c>
      <c r="F4" s="0" t="str">
        <f aca="false">IFERROR(IF(maxifs(Documents!$E$2:$E$1421,Documents!$A$2:$A$1421,$A4,Documents!$C$2:$C$1421,"events")=0,"",maxifs(Documents!$E$2:$E$1421,Documents!$A$2:$A$1421,$A4,Documents!$C$2:$C$1421,"events")),"")</f>
        <v/>
      </c>
      <c r="G4" s="0" t="str">
        <f aca="false">IFERROR(IF(maxifs(Documents!$E$2:$E$1421,Documents!$A$2:$A$1421,$A4,Documents!$C$2:$C$1421,"map")=0,"",maxifs(Documents!$E$2:$E$1421,Documents!$A$2:$A$1421,$A4,Documents!$C$2:$C$1421,"map")),"")</f>
        <v/>
      </c>
      <c r="H4" s="0" t="str">
        <f aca="false">IFERROR(IF(maxifs(Documents!$E$2:$E$1421,Documents!$A$2:$A$1421,$A4,Documents!$C$2:$C$1421,"dive_map")=0,"",maxifs(Documents!$E$2:$E$1421,Documents!$A$2:$A$1421,$A4,Documents!$C$2:$C$1421,"dive_map")),"")</f>
        <v/>
      </c>
      <c r="I4" s="0" t="str">
        <f aca="false">IFERROR(IF(maxifs(Documents!$E$2:$E$1421,Documents!$A$2:$A$1421,$A4,Documents!$C$2:$C$1421,"spa_menu")=0,"",maxifs(Documents!$E$2:$E$1421,Documents!$A$2:$A$1421,$A4,Documents!$C$2:$C$1421,"spa_menu")),"")</f>
        <v/>
      </c>
      <c r="J4" s="0" t="str">
        <f aca="false">IFERROR(IF(maxifs(Documents!$E$2:$E$1421,Documents!$A$2:$A$1421,$A4,Documents!$C$2:$C$1421,"dining_menu")=0,"",maxifs(Documents!$E$2:$E$1421,Documents!$A$2:$A$1421,$A4,Documents!$C$2:$C$1421,"dining_menu")),"")</f>
        <v/>
      </c>
      <c r="K4" s="0" t="str">
        <f aca="false">IFERROR(IF(maxifs(Documents!$E$2:$E$1421,Documents!$A$2:$A$1421,$A4,Documents!$C$2:$C$1421,"dive_prices")=0,"",maxifs(Documents!$E$2:$E$1421,Documents!$A$2:$A$1421,$A4,Documents!$C$2:$C$1421,"dive_prices")),"")</f>
        <v/>
      </c>
      <c r="L4" s="0" t="str">
        <f aca="false">IFERROR(IF(maxifs(Documents!$E$2:$E$1421,Documents!$A$2:$A$1421,$A4,Documents!$C$2:$C$1421,"excursions")=0,"",maxifs(Documents!$E$2:$E$1421,Documents!$A$2:$A$1421,$A4,Documents!$C$2:$C$1421,"excursions")),"")</f>
        <v/>
      </c>
      <c r="M4" s="0" t="str">
        <f aca="false">IFERROR(IF(maxifs(Documents!$E$2:$E$1421,Documents!$A$2:$A$1421,$A4,Documents!$C$2:$C$1421,"kids")=0,"",maxifs(Documents!$E$2:$E$1421,Documents!$A$2:$A$1421,$A4,Documents!$C$2:$C$1421,"kids")),"")</f>
        <v/>
      </c>
      <c r="N4" s="0" t="str">
        <f aca="false">IFERROR(IF(maxifs(Documents!$E$2:$E$1421,Documents!$A$2:$A$1421,$A4,Documents!$C$2:$C$1421,"villa_plans")=0,"",maxifs(Documents!$E$2:$E$1421,Documents!$A$2:$A$1421,$A4,Documents!$C$2:$C$1421,"villa_plans")),"")</f>
        <v/>
      </c>
      <c r="O4" s="0" t="str">
        <f aca="false">IFERROR(IF(maxifs(Documents!$E$2:$E$1421,Documents!$A$2:$A$1421,$A4,Documents!$C$2:$C$1421,"all_inclusive")=0,"",maxifs(Documents!$E$2:$E$1421,Documents!$A$2:$A$1421,$A4,Documents!$C$2:$C$1421,"all_inclusive")),"")</f>
        <v/>
      </c>
      <c r="P4" s="0" t="str">
        <f aca="false">IFERROR(IF(maxifs(Documents!$E$2:$E$1421,Documents!$A$2:$A$1421,$A4,Documents!$C$2:$C$1421,"sustainability")=0,"",maxifs(Documents!$E$2:$E$1421,Documents!$A$2:$A$1421,$A4,Documents!$C$2:$C$1421,"sustainability")),"")</f>
        <v/>
      </c>
      <c r="Q4" s="0" t="str">
        <f aca="false">IFERROR(IF(maxifs(Documents!$E$2:$E$1421,Documents!$A$2:$A$1421,$A4,Documents!$C$2:$C$1421,"calendar")=0,"",maxifs(Documents!$E$2:$E$1421,Documents!$A$2:$A$1421,$A4,Documents!$C$2:$C$1421,"calendar")),"")</f>
        <v/>
      </c>
      <c r="R4" s="0" t="str">
        <f aca="false">IFERROR(IF(maxifs(Documents!$E$2:$E$1421,Documents!$A$2:$A$1421,$A4,Documents!$C$2:$C$1421,"brochure")=0,"",maxifs(Documents!$E$2:$E$1421,Documents!$A$2:$A$1421,$A4,Documents!$C$2:$C$1421,"brochure")),"")</f>
        <v/>
      </c>
      <c r="S4" s="0" t="str">
        <f aca="false">IFERROR(IF(maxifs(Documents!$E$2:$E$1421,Documents!$A$2:$A$1421,$A4,Documents!$C$2:$C$1421,"press_kit")=0,"",maxifs(Documents!$E$2:$E$1421,Documents!$A$2:$A$1421,$A4,Documents!$C$2:$C$1421,"press_kit")),"")</f>
        <v/>
      </c>
      <c r="T4" s="0" t="str">
        <f aca="false">IFERROR(IF(maxifs(Documents!$E$2:$E$1421,Documents!$A$2:$A$1421,$A4,Documents!$C$2:$C$1421,"other")=0,"",maxifs(Documents!$E$2:$E$1421,Documents!$A$2:$A$1421,$A4,Documents!$C$2:$C$1421,"other")),"")</f>
        <v/>
      </c>
      <c r="U4" s="0" t="str">
        <f aca="false">IFERROR(IF(maxifs(Documents!$E$2:$E$1421,Documents!$A$2:$A$1421,$A4,Documents!$C$2:$C$1421,"obsolete")=0,"",maxifs(Documents!$E$2:$E$1421,Documents!$A$2:$A$1421,$A4,Documents!$C$2:$C$1421,"obsolete")),"")</f>
        <v/>
      </c>
      <c r="V4" s="0" t="n">
        <f aca="false">COUNTIFS(Documents!$A$2:$A$1421,$A4)</f>
        <v>21</v>
      </c>
      <c r="W4" s="0" t="n">
        <f aca="false">COUNTIFS(Documents!$A$2:$A$1421,$A4,Documents!$R$2:$R$1421,"current")</f>
        <v>15</v>
      </c>
      <c r="X4" s="0" t="str">
        <f aca="false">HYPERLINK("https://www.adaaran.com/selecthudhuranfushi/view-download/?id=menu-16","2026_document.pdf")</f>
        <v>2026_document.pdf</v>
      </c>
    </row>
    <row r="5" customFormat="false" ht="15" hidden="false" customHeight="false" outlineLevel="0" collapsed="false">
      <c r="A5" s="0" t="n">
        <v>4</v>
      </c>
      <c r="B5" s="0" t="s">
        <v>34</v>
      </c>
      <c r="C5" s="0" t="s">
        <v>33</v>
      </c>
      <c r="D5" s="0" t="str">
        <f aca="false">IFERROR(IF(maxifs(Documents!$E$2:$E$1421,Documents!$A$2:$A$1421,$A5,Documents!$C$2:$C$1421,"factsheet")=0,"",maxifs(Documents!$E$2:$E$1421,Documents!$A$2:$A$1421,$A5,Documents!$C$2:$C$1421,"factsheet")),"")</f>
        <v/>
      </c>
      <c r="E5" s="0" t="str">
        <f aca="false">IFERROR(IF(maxifs(Documents!$E$2:$E$1421,Documents!$A$2:$A$1421,$A5,Documents!$C$2:$C$1421,"wedding")=0,"",maxifs(Documents!$E$2:$E$1421,Documents!$A$2:$A$1421,$A5,Documents!$C$2:$C$1421,"wedding")),"")</f>
        <v/>
      </c>
      <c r="F5" s="0" t="str">
        <f aca="false">IFERROR(IF(maxifs(Documents!$E$2:$E$1421,Documents!$A$2:$A$1421,$A5,Documents!$C$2:$C$1421,"events")=0,"",maxifs(Documents!$E$2:$E$1421,Documents!$A$2:$A$1421,$A5,Documents!$C$2:$C$1421,"events")),"")</f>
        <v/>
      </c>
      <c r="G5" s="0" t="str">
        <f aca="false">IFERROR(IF(maxifs(Documents!$E$2:$E$1421,Documents!$A$2:$A$1421,$A5,Documents!$C$2:$C$1421,"map")=0,"",maxifs(Documents!$E$2:$E$1421,Documents!$A$2:$A$1421,$A5,Documents!$C$2:$C$1421,"map")),"")</f>
        <v/>
      </c>
      <c r="H5" s="0" t="str">
        <f aca="false">IFERROR(IF(maxifs(Documents!$E$2:$E$1421,Documents!$A$2:$A$1421,$A5,Documents!$C$2:$C$1421,"dive_map")=0,"",maxifs(Documents!$E$2:$E$1421,Documents!$A$2:$A$1421,$A5,Documents!$C$2:$C$1421,"dive_map")),"")</f>
        <v/>
      </c>
      <c r="I5" s="0" t="str">
        <f aca="false">IFERROR(IF(maxifs(Documents!$E$2:$E$1421,Documents!$A$2:$A$1421,$A5,Documents!$C$2:$C$1421,"spa_menu")=0,"",maxifs(Documents!$E$2:$E$1421,Documents!$A$2:$A$1421,$A5,Documents!$C$2:$C$1421,"spa_menu")),"")</f>
        <v/>
      </c>
      <c r="J5" s="0" t="str">
        <f aca="false">IFERROR(IF(maxifs(Documents!$E$2:$E$1421,Documents!$A$2:$A$1421,$A5,Documents!$C$2:$C$1421,"dining_menu")=0,"",maxifs(Documents!$E$2:$E$1421,Documents!$A$2:$A$1421,$A5,Documents!$C$2:$C$1421,"dining_menu")),"")</f>
        <v/>
      </c>
      <c r="K5" s="0" t="str">
        <f aca="false">IFERROR(IF(maxifs(Documents!$E$2:$E$1421,Documents!$A$2:$A$1421,$A5,Documents!$C$2:$C$1421,"dive_prices")=0,"",maxifs(Documents!$E$2:$E$1421,Documents!$A$2:$A$1421,$A5,Documents!$C$2:$C$1421,"dive_prices")),"")</f>
        <v/>
      </c>
      <c r="L5" s="0" t="str">
        <f aca="false">IFERROR(IF(maxifs(Documents!$E$2:$E$1421,Documents!$A$2:$A$1421,$A5,Documents!$C$2:$C$1421,"excursions")=0,"",maxifs(Documents!$E$2:$E$1421,Documents!$A$2:$A$1421,$A5,Documents!$C$2:$C$1421,"excursions")),"")</f>
        <v/>
      </c>
      <c r="M5" s="0" t="str">
        <f aca="false">IFERROR(IF(maxifs(Documents!$E$2:$E$1421,Documents!$A$2:$A$1421,$A5,Documents!$C$2:$C$1421,"kids")=0,"",maxifs(Documents!$E$2:$E$1421,Documents!$A$2:$A$1421,$A5,Documents!$C$2:$C$1421,"kids")),"")</f>
        <v/>
      </c>
      <c r="N5" s="0" t="str">
        <f aca="false">IFERROR(IF(maxifs(Documents!$E$2:$E$1421,Documents!$A$2:$A$1421,$A5,Documents!$C$2:$C$1421,"villa_plans")=0,"",maxifs(Documents!$E$2:$E$1421,Documents!$A$2:$A$1421,$A5,Documents!$C$2:$C$1421,"villa_plans")),"")</f>
        <v/>
      </c>
      <c r="O5" s="0" t="str">
        <f aca="false">IFERROR(IF(maxifs(Documents!$E$2:$E$1421,Documents!$A$2:$A$1421,$A5,Documents!$C$2:$C$1421,"all_inclusive")=0,"",maxifs(Documents!$E$2:$E$1421,Documents!$A$2:$A$1421,$A5,Documents!$C$2:$C$1421,"all_inclusive")),"")</f>
        <v/>
      </c>
      <c r="P5" s="0" t="str">
        <f aca="false">IFERROR(IF(maxifs(Documents!$E$2:$E$1421,Documents!$A$2:$A$1421,$A5,Documents!$C$2:$C$1421,"sustainability")=0,"",maxifs(Documents!$E$2:$E$1421,Documents!$A$2:$A$1421,$A5,Documents!$C$2:$C$1421,"sustainability")),"")</f>
        <v/>
      </c>
      <c r="Q5" s="0" t="str">
        <f aca="false">IFERROR(IF(maxifs(Documents!$E$2:$E$1421,Documents!$A$2:$A$1421,$A5,Documents!$C$2:$C$1421,"calendar")=0,"",maxifs(Documents!$E$2:$E$1421,Documents!$A$2:$A$1421,$A5,Documents!$C$2:$C$1421,"calendar")),"")</f>
        <v/>
      </c>
      <c r="R5" s="0" t="str">
        <f aca="false">IFERROR(IF(maxifs(Documents!$E$2:$E$1421,Documents!$A$2:$A$1421,$A5,Documents!$C$2:$C$1421,"brochure")=0,"",maxifs(Documents!$E$2:$E$1421,Documents!$A$2:$A$1421,$A5,Documents!$C$2:$C$1421,"brochure")),"")</f>
        <v/>
      </c>
      <c r="S5" s="0" t="str">
        <f aca="false">IFERROR(IF(maxifs(Documents!$E$2:$E$1421,Documents!$A$2:$A$1421,$A5,Documents!$C$2:$C$1421,"press_kit")=0,"",maxifs(Documents!$E$2:$E$1421,Documents!$A$2:$A$1421,$A5,Documents!$C$2:$C$1421,"press_kit")),"")</f>
        <v/>
      </c>
      <c r="T5" s="0" t="str">
        <f aca="false">IFERROR(IF(maxifs(Documents!$E$2:$E$1421,Documents!$A$2:$A$1421,$A5,Documents!$C$2:$C$1421,"other")=0,"",maxifs(Documents!$E$2:$E$1421,Documents!$A$2:$A$1421,$A5,Documents!$C$2:$C$1421,"other")),"")</f>
        <v/>
      </c>
      <c r="U5" s="0" t="str">
        <f aca="false">IFERROR(IF(maxifs(Documents!$E$2:$E$1421,Documents!$A$2:$A$1421,$A5,Documents!$C$2:$C$1421,"obsolete")=0,"",maxifs(Documents!$E$2:$E$1421,Documents!$A$2:$A$1421,$A5,Documents!$C$2:$C$1421,"obsolete")),"")</f>
        <v/>
      </c>
      <c r="V5" s="0" t="n">
        <f aca="false">COUNTIFS(Documents!$A$2:$A$1421,$A5)</f>
        <v>30</v>
      </c>
      <c r="W5" s="0" t="n">
        <f aca="false">COUNTIFS(Documents!$A$2:$A$1421,$A5,Documents!$R$2:$R$1421,"current")</f>
        <v>2</v>
      </c>
      <c r="X5" s="0" t="str">
        <f aca="false">HYPERLINK("https://www.neoscapesmaldives.com/wp-content/uploads/Ayada-Maldives-Factsheet.pdf","2024_Ayada-Maldives-Factsheet.pdf")</f>
        <v>2024_Ayada-Maldives-Factsheet.pdf</v>
      </c>
      <c r="Y5" s="0" t="s">
        <v>35</v>
      </c>
    </row>
    <row r="6" customFormat="false" ht="15" hidden="false" customHeight="false" outlineLevel="0" collapsed="false">
      <c r="A6" s="0" t="n">
        <v>5</v>
      </c>
      <c r="B6" s="0" t="s">
        <v>36</v>
      </c>
      <c r="C6" s="0" t="s">
        <v>27</v>
      </c>
      <c r="D6" s="0" t="str">
        <f aca="false">IFERROR(IF(maxifs(Documents!$E$2:$E$1421,Documents!$A$2:$A$1421,$A6,Documents!$C$2:$C$1421,"factsheet")=0,"",maxifs(Documents!$E$2:$E$1421,Documents!$A$2:$A$1421,$A6,Documents!$C$2:$C$1421,"factsheet")),"")</f>
        <v/>
      </c>
      <c r="E6" s="0" t="str">
        <f aca="false">IFERROR(IF(maxifs(Documents!$E$2:$E$1421,Documents!$A$2:$A$1421,$A6,Documents!$C$2:$C$1421,"wedding")=0,"",maxifs(Documents!$E$2:$E$1421,Documents!$A$2:$A$1421,$A6,Documents!$C$2:$C$1421,"wedding")),"")</f>
        <v/>
      </c>
      <c r="F6" s="0" t="str">
        <f aca="false">IFERROR(IF(maxifs(Documents!$E$2:$E$1421,Documents!$A$2:$A$1421,$A6,Documents!$C$2:$C$1421,"events")=0,"",maxifs(Documents!$E$2:$E$1421,Documents!$A$2:$A$1421,$A6,Documents!$C$2:$C$1421,"events")),"")</f>
        <v/>
      </c>
      <c r="G6" s="0" t="str">
        <f aca="false">IFERROR(IF(maxifs(Documents!$E$2:$E$1421,Documents!$A$2:$A$1421,$A6,Documents!$C$2:$C$1421,"map")=0,"",maxifs(Documents!$E$2:$E$1421,Documents!$A$2:$A$1421,$A6,Documents!$C$2:$C$1421,"map")),"")</f>
        <v/>
      </c>
      <c r="H6" s="0" t="str">
        <f aca="false">IFERROR(IF(maxifs(Documents!$E$2:$E$1421,Documents!$A$2:$A$1421,$A6,Documents!$C$2:$C$1421,"dive_map")=0,"",maxifs(Documents!$E$2:$E$1421,Documents!$A$2:$A$1421,$A6,Documents!$C$2:$C$1421,"dive_map")),"")</f>
        <v/>
      </c>
      <c r="I6" s="0" t="str">
        <f aca="false">IFERROR(IF(maxifs(Documents!$E$2:$E$1421,Documents!$A$2:$A$1421,$A6,Documents!$C$2:$C$1421,"spa_menu")=0,"",maxifs(Documents!$E$2:$E$1421,Documents!$A$2:$A$1421,$A6,Documents!$C$2:$C$1421,"spa_menu")),"")</f>
        <v/>
      </c>
      <c r="J6" s="0" t="str">
        <f aca="false">IFERROR(IF(maxifs(Documents!$E$2:$E$1421,Documents!$A$2:$A$1421,$A6,Documents!$C$2:$C$1421,"dining_menu")=0,"",maxifs(Documents!$E$2:$E$1421,Documents!$A$2:$A$1421,$A6,Documents!$C$2:$C$1421,"dining_menu")),"")</f>
        <v/>
      </c>
      <c r="K6" s="0" t="str">
        <f aca="false">IFERROR(IF(maxifs(Documents!$E$2:$E$1421,Documents!$A$2:$A$1421,$A6,Documents!$C$2:$C$1421,"dive_prices")=0,"",maxifs(Documents!$E$2:$E$1421,Documents!$A$2:$A$1421,$A6,Documents!$C$2:$C$1421,"dive_prices")),"")</f>
        <v/>
      </c>
      <c r="L6" s="0" t="str">
        <f aca="false">IFERROR(IF(maxifs(Documents!$E$2:$E$1421,Documents!$A$2:$A$1421,$A6,Documents!$C$2:$C$1421,"excursions")=0,"",maxifs(Documents!$E$2:$E$1421,Documents!$A$2:$A$1421,$A6,Documents!$C$2:$C$1421,"excursions")),"")</f>
        <v/>
      </c>
      <c r="M6" s="0" t="str">
        <f aca="false">IFERROR(IF(maxifs(Documents!$E$2:$E$1421,Documents!$A$2:$A$1421,$A6,Documents!$C$2:$C$1421,"kids")=0,"",maxifs(Documents!$E$2:$E$1421,Documents!$A$2:$A$1421,$A6,Documents!$C$2:$C$1421,"kids")),"")</f>
        <v/>
      </c>
      <c r="N6" s="0" t="str">
        <f aca="false">IFERROR(IF(maxifs(Documents!$E$2:$E$1421,Documents!$A$2:$A$1421,$A6,Documents!$C$2:$C$1421,"villa_plans")=0,"",maxifs(Documents!$E$2:$E$1421,Documents!$A$2:$A$1421,$A6,Documents!$C$2:$C$1421,"villa_plans")),"")</f>
        <v/>
      </c>
      <c r="O6" s="0" t="str">
        <f aca="false">IFERROR(IF(maxifs(Documents!$E$2:$E$1421,Documents!$A$2:$A$1421,$A6,Documents!$C$2:$C$1421,"all_inclusive")=0,"",maxifs(Documents!$E$2:$E$1421,Documents!$A$2:$A$1421,$A6,Documents!$C$2:$C$1421,"all_inclusive")),"")</f>
        <v/>
      </c>
      <c r="P6" s="0" t="str">
        <f aca="false">IFERROR(IF(maxifs(Documents!$E$2:$E$1421,Documents!$A$2:$A$1421,$A6,Documents!$C$2:$C$1421,"sustainability")=0,"",maxifs(Documents!$E$2:$E$1421,Documents!$A$2:$A$1421,$A6,Documents!$C$2:$C$1421,"sustainability")),"")</f>
        <v/>
      </c>
      <c r="Q6" s="0" t="str">
        <f aca="false">IFERROR(IF(maxifs(Documents!$E$2:$E$1421,Documents!$A$2:$A$1421,$A6,Documents!$C$2:$C$1421,"calendar")=0,"",maxifs(Documents!$E$2:$E$1421,Documents!$A$2:$A$1421,$A6,Documents!$C$2:$C$1421,"calendar")),"")</f>
        <v/>
      </c>
      <c r="R6" s="0" t="str">
        <f aca="false">IFERROR(IF(maxifs(Documents!$E$2:$E$1421,Documents!$A$2:$A$1421,$A6,Documents!$C$2:$C$1421,"brochure")=0,"",maxifs(Documents!$E$2:$E$1421,Documents!$A$2:$A$1421,$A6,Documents!$C$2:$C$1421,"brochure")),"")</f>
        <v/>
      </c>
      <c r="S6" s="0" t="str">
        <f aca="false">IFERROR(IF(maxifs(Documents!$E$2:$E$1421,Documents!$A$2:$A$1421,$A6,Documents!$C$2:$C$1421,"press_kit")=0,"",maxifs(Documents!$E$2:$E$1421,Documents!$A$2:$A$1421,$A6,Documents!$C$2:$C$1421,"press_kit")),"")</f>
        <v/>
      </c>
      <c r="T6" s="0" t="str">
        <f aca="false">IFERROR(IF(maxifs(Documents!$E$2:$E$1421,Documents!$A$2:$A$1421,$A6,Documents!$C$2:$C$1421,"other")=0,"",maxifs(Documents!$E$2:$E$1421,Documents!$A$2:$A$1421,$A6,Documents!$C$2:$C$1421,"other")),"")</f>
        <v/>
      </c>
      <c r="U6" s="0" t="str">
        <f aca="false">IFERROR(IF(maxifs(Documents!$E$2:$E$1421,Documents!$A$2:$A$1421,$A6,Documents!$C$2:$C$1421,"obsolete")=0,"",maxifs(Documents!$E$2:$E$1421,Documents!$A$2:$A$1421,$A6,Documents!$C$2:$C$1421,"obsolete")),"")</f>
        <v/>
      </c>
      <c r="V6" s="0" t="n">
        <f aca="false">COUNTIFS(Documents!$A$2:$A$1421,$A6)</f>
        <v>2</v>
      </c>
      <c r="W6" s="0" t="n">
        <f aca="false">COUNTIFS(Documents!$A$2:$A$1421,$A6,Documents!$R$2:$R$1421,"current")</f>
        <v>0</v>
      </c>
      <c r="X6" s="0" t="str">
        <f aca="false">HYPERLINK("https://www.neoscapesmaldives.com/wp-content/uploads/OZEN-RESERVE-BOLIFUSHI-Fact-Sheet.pdf","2023_OZEN-RESERVE-BOLIFUSHI-Fact-Sheet.p")</f>
        <v>2023_OZEN-RESERVE-BOLIFUSHI-Fact-Sheet.p</v>
      </c>
      <c r="Y6" s="0" t="s">
        <v>28</v>
      </c>
      <c r="Z6" s="0" t="s">
        <v>37</v>
      </c>
    </row>
    <row r="7" customFormat="false" ht="15" hidden="false" customHeight="false" outlineLevel="0" collapsed="false">
      <c r="A7" s="0" t="n">
        <v>6</v>
      </c>
      <c r="B7" s="0" t="s">
        <v>38</v>
      </c>
      <c r="C7" s="0" t="s">
        <v>39</v>
      </c>
      <c r="D7" s="0" t="str">
        <f aca="false">IFERROR(IF(maxifs(Documents!$E$2:$E$1421,Documents!$A$2:$A$1421,$A7,Documents!$C$2:$C$1421,"factsheet")=0,"",maxifs(Documents!$E$2:$E$1421,Documents!$A$2:$A$1421,$A7,Documents!$C$2:$C$1421,"factsheet")),"")</f>
        <v/>
      </c>
      <c r="E7" s="0" t="str">
        <f aca="false">IFERROR(IF(maxifs(Documents!$E$2:$E$1421,Documents!$A$2:$A$1421,$A7,Documents!$C$2:$C$1421,"wedding")=0,"",maxifs(Documents!$E$2:$E$1421,Documents!$A$2:$A$1421,$A7,Documents!$C$2:$C$1421,"wedding")),"")</f>
        <v/>
      </c>
      <c r="F7" s="0" t="str">
        <f aca="false">IFERROR(IF(maxifs(Documents!$E$2:$E$1421,Documents!$A$2:$A$1421,$A7,Documents!$C$2:$C$1421,"events")=0,"",maxifs(Documents!$E$2:$E$1421,Documents!$A$2:$A$1421,$A7,Documents!$C$2:$C$1421,"events")),"")</f>
        <v/>
      </c>
      <c r="G7" s="0" t="str">
        <f aca="false">IFERROR(IF(maxifs(Documents!$E$2:$E$1421,Documents!$A$2:$A$1421,$A7,Documents!$C$2:$C$1421,"map")=0,"",maxifs(Documents!$E$2:$E$1421,Documents!$A$2:$A$1421,$A7,Documents!$C$2:$C$1421,"map")),"")</f>
        <v/>
      </c>
      <c r="H7" s="0" t="str">
        <f aca="false">IFERROR(IF(maxifs(Documents!$E$2:$E$1421,Documents!$A$2:$A$1421,$A7,Documents!$C$2:$C$1421,"dive_map")=0,"",maxifs(Documents!$E$2:$E$1421,Documents!$A$2:$A$1421,$A7,Documents!$C$2:$C$1421,"dive_map")),"")</f>
        <v/>
      </c>
      <c r="I7" s="0" t="str">
        <f aca="false">IFERROR(IF(maxifs(Documents!$E$2:$E$1421,Documents!$A$2:$A$1421,$A7,Documents!$C$2:$C$1421,"spa_menu")=0,"",maxifs(Documents!$E$2:$E$1421,Documents!$A$2:$A$1421,$A7,Documents!$C$2:$C$1421,"spa_menu")),"")</f>
        <v/>
      </c>
      <c r="J7" s="0" t="str">
        <f aca="false">IFERROR(IF(maxifs(Documents!$E$2:$E$1421,Documents!$A$2:$A$1421,$A7,Documents!$C$2:$C$1421,"dining_menu")=0,"",maxifs(Documents!$E$2:$E$1421,Documents!$A$2:$A$1421,$A7,Documents!$C$2:$C$1421,"dining_menu")),"")</f>
        <v/>
      </c>
      <c r="K7" s="0" t="str">
        <f aca="false">IFERROR(IF(maxifs(Documents!$E$2:$E$1421,Documents!$A$2:$A$1421,$A7,Documents!$C$2:$C$1421,"dive_prices")=0,"",maxifs(Documents!$E$2:$E$1421,Documents!$A$2:$A$1421,$A7,Documents!$C$2:$C$1421,"dive_prices")),"")</f>
        <v/>
      </c>
      <c r="L7" s="0" t="str">
        <f aca="false">IFERROR(IF(maxifs(Documents!$E$2:$E$1421,Documents!$A$2:$A$1421,$A7,Documents!$C$2:$C$1421,"excursions")=0,"",maxifs(Documents!$E$2:$E$1421,Documents!$A$2:$A$1421,$A7,Documents!$C$2:$C$1421,"excursions")),"")</f>
        <v/>
      </c>
      <c r="M7" s="0" t="str">
        <f aca="false">IFERROR(IF(maxifs(Documents!$E$2:$E$1421,Documents!$A$2:$A$1421,$A7,Documents!$C$2:$C$1421,"kids")=0,"",maxifs(Documents!$E$2:$E$1421,Documents!$A$2:$A$1421,$A7,Documents!$C$2:$C$1421,"kids")),"")</f>
        <v/>
      </c>
      <c r="N7" s="0" t="str">
        <f aca="false">IFERROR(IF(maxifs(Documents!$E$2:$E$1421,Documents!$A$2:$A$1421,$A7,Documents!$C$2:$C$1421,"villa_plans")=0,"",maxifs(Documents!$E$2:$E$1421,Documents!$A$2:$A$1421,$A7,Documents!$C$2:$C$1421,"villa_plans")),"")</f>
        <v/>
      </c>
      <c r="O7" s="0" t="str">
        <f aca="false">IFERROR(IF(maxifs(Documents!$E$2:$E$1421,Documents!$A$2:$A$1421,$A7,Documents!$C$2:$C$1421,"all_inclusive")=0,"",maxifs(Documents!$E$2:$E$1421,Documents!$A$2:$A$1421,$A7,Documents!$C$2:$C$1421,"all_inclusive")),"")</f>
        <v/>
      </c>
      <c r="P7" s="0" t="str">
        <f aca="false">IFERROR(IF(maxifs(Documents!$E$2:$E$1421,Documents!$A$2:$A$1421,$A7,Documents!$C$2:$C$1421,"sustainability")=0,"",maxifs(Documents!$E$2:$E$1421,Documents!$A$2:$A$1421,$A7,Documents!$C$2:$C$1421,"sustainability")),"")</f>
        <v/>
      </c>
      <c r="Q7" s="0" t="str">
        <f aca="false">IFERROR(IF(maxifs(Documents!$E$2:$E$1421,Documents!$A$2:$A$1421,$A7,Documents!$C$2:$C$1421,"calendar")=0,"",maxifs(Documents!$E$2:$E$1421,Documents!$A$2:$A$1421,$A7,Documents!$C$2:$C$1421,"calendar")),"")</f>
        <v/>
      </c>
      <c r="R7" s="0" t="str">
        <f aca="false">IFERROR(IF(maxifs(Documents!$E$2:$E$1421,Documents!$A$2:$A$1421,$A7,Documents!$C$2:$C$1421,"brochure")=0,"",maxifs(Documents!$E$2:$E$1421,Documents!$A$2:$A$1421,$A7,Documents!$C$2:$C$1421,"brochure")),"")</f>
        <v/>
      </c>
      <c r="S7" s="0" t="str">
        <f aca="false">IFERROR(IF(maxifs(Documents!$E$2:$E$1421,Documents!$A$2:$A$1421,$A7,Documents!$C$2:$C$1421,"press_kit")=0,"",maxifs(Documents!$E$2:$E$1421,Documents!$A$2:$A$1421,$A7,Documents!$C$2:$C$1421,"press_kit")),"")</f>
        <v/>
      </c>
      <c r="T7" s="0" t="str">
        <f aca="false">IFERROR(IF(maxifs(Documents!$E$2:$E$1421,Documents!$A$2:$A$1421,$A7,Documents!$C$2:$C$1421,"other")=0,"",maxifs(Documents!$E$2:$E$1421,Documents!$A$2:$A$1421,$A7,Documents!$C$2:$C$1421,"other")),"")</f>
        <v/>
      </c>
      <c r="U7" s="0" t="str">
        <f aca="false">IFERROR(IF(maxifs(Documents!$E$2:$E$1421,Documents!$A$2:$A$1421,$A7,Documents!$C$2:$C$1421,"obsolete")=0,"",maxifs(Documents!$E$2:$E$1421,Documents!$A$2:$A$1421,$A7,Documents!$C$2:$C$1421,"obsolete")),"")</f>
        <v/>
      </c>
      <c r="V7" s="0" t="n">
        <f aca="false">COUNTIFS(Documents!$A$2:$A$1421,$A7)</f>
        <v>2</v>
      </c>
      <c r="W7" s="0" t="n">
        <f aca="false">COUNTIFS(Documents!$A$2:$A$1421,$A7,Documents!$R$2:$R$1421,"current")</f>
        <v>1</v>
      </c>
      <c r="X7" s="0" t="str">
        <f aca="false">HYPERLINK("https://www.neoscapesmaldives.com/wp-content/uploads/JoaliBeing_Factsheet_V13.pdf","2025_JoaliBeing_Factsheet_V13.pdf")</f>
        <v>2025_JoaliBeing_Factsheet_V13.pdf</v>
      </c>
      <c r="Y7" s="0" t="s">
        <v>28</v>
      </c>
    </row>
    <row r="8" customFormat="false" ht="15" hidden="false" customHeight="false" outlineLevel="0" collapsed="false">
      <c r="A8" s="0" t="n">
        <v>7</v>
      </c>
      <c r="B8" s="0" t="s">
        <v>40</v>
      </c>
      <c r="C8" s="0" t="s">
        <v>39</v>
      </c>
      <c r="D8" s="0" t="str">
        <f aca="false">IFERROR(IF(maxifs(Documents!$E$2:$E$1421,Documents!$A$2:$A$1421,$A8,Documents!$C$2:$C$1421,"factsheet")=0,"",maxifs(Documents!$E$2:$E$1421,Documents!$A$2:$A$1421,$A8,Documents!$C$2:$C$1421,"factsheet")),"")</f>
        <v/>
      </c>
      <c r="E8" s="0" t="str">
        <f aca="false">IFERROR(IF(maxifs(Documents!$E$2:$E$1421,Documents!$A$2:$A$1421,$A8,Documents!$C$2:$C$1421,"wedding")=0,"",maxifs(Documents!$E$2:$E$1421,Documents!$A$2:$A$1421,$A8,Documents!$C$2:$C$1421,"wedding")),"")</f>
        <v/>
      </c>
      <c r="F8" s="0" t="str">
        <f aca="false">IFERROR(IF(maxifs(Documents!$E$2:$E$1421,Documents!$A$2:$A$1421,$A8,Documents!$C$2:$C$1421,"events")=0,"",maxifs(Documents!$E$2:$E$1421,Documents!$A$2:$A$1421,$A8,Documents!$C$2:$C$1421,"events")),"")</f>
        <v/>
      </c>
      <c r="G8" s="0" t="str">
        <f aca="false">IFERROR(IF(maxifs(Documents!$E$2:$E$1421,Documents!$A$2:$A$1421,$A8,Documents!$C$2:$C$1421,"map")=0,"",maxifs(Documents!$E$2:$E$1421,Documents!$A$2:$A$1421,$A8,Documents!$C$2:$C$1421,"map")),"")</f>
        <v/>
      </c>
      <c r="H8" s="0" t="str">
        <f aca="false">IFERROR(IF(maxifs(Documents!$E$2:$E$1421,Documents!$A$2:$A$1421,$A8,Documents!$C$2:$C$1421,"dive_map")=0,"",maxifs(Documents!$E$2:$E$1421,Documents!$A$2:$A$1421,$A8,Documents!$C$2:$C$1421,"dive_map")),"")</f>
        <v/>
      </c>
      <c r="I8" s="0" t="str">
        <f aca="false">IFERROR(IF(maxifs(Documents!$E$2:$E$1421,Documents!$A$2:$A$1421,$A8,Documents!$C$2:$C$1421,"spa_menu")=0,"",maxifs(Documents!$E$2:$E$1421,Documents!$A$2:$A$1421,$A8,Documents!$C$2:$C$1421,"spa_menu")),"")</f>
        <v/>
      </c>
      <c r="J8" s="0" t="str">
        <f aca="false">IFERROR(IF(maxifs(Documents!$E$2:$E$1421,Documents!$A$2:$A$1421,$A8,Documents!$C$2:$C$1421,"dining_menu")=0,"",maxifs(Documents!$E$2:$E$1421,Documents!$A$2:$A$1421,$A8,Documents!$C$2:$C$1421,"dining_menu")),"")</f>
        <v/>
      </c>
      <c r="K8" s="0" t="str">
        <f aca="false">IFERROR(IF(maxifs(Documents!$E$2:$E$1421,Documents!$A$2:$A$1421,$A8,Documents!$C$2:$C$1421,"dive_prices")=0,"",maxifs(Documents!$E$2:$E$1421,Documents!$A$2:$A$1421,$A8,Documents!$C$2:$C$1421,"dive_prices")),"")</f>
        <v/>
      </c>
      <c r="L8" s="0" t="str">
        <f aca="false">IFERROR(IF(maxifs(Documents!$E$2:$E$1421,Documents!$A$2:$A$1421,$A8,Documents!$C$2:$C$1421,"excursions")=0,"",maxifs(Documents!$E$2:$E$1421,Documents!$A$2:$A$1421,$A8,Documents!$C$2:$C$1421,"excursions")),"")</f>
        <v/>
      </c>
      <c r="M8" s="0" t="str">
        <f aca="false">IFERROR(IF(maxifs(Documents!$E$2:$E$1421,Documents!$A$2:$A$1421,$A8,Documents!$C$2:$C$1421,"kids")=0,"",maxifs(Documents!$E$2:$E$1421,Documents!$A$2:$A$1421,$A8,Documents!$C$2:$C$1421,"kids")),"")</f>
        <v/>
      </c>
      <c r="N8" s="0" t="str">
        <f aca="false">IFERROR(IF(maxifs(Documents!$E$2:$E$1421,Documents!$A$2:$A$1421,$A8,Documents!$C$2:$C$1421,"villa_plans")=0,"",maxifs(Documents!$E$2:$E$1421,Documents!$A$2:$A$1421,$A8,Documents!$C$2:$C$1421,"villa_plans")),"")</f>
        <v/>
      </c>
      <c r="O8" s="0" t="str">
        <f aca="false">IFERROR(IF(maxifs(Documents!$E$2:$E$1421,Documents!$A$2:$A$1421,$A8,Documents!$C$2:$C$1421,"all_inclusive")=0,"",maxifs(Documents!$E$2:$E$1421,Documents!$A$2:$A$1421,$A8,Documents!$C$2:$C$1421,"all_inclusive")),"")</f>
        <v/>
      </c>
      <c r="P8" s="0" t="str">
        <f aca="false">IFERROR(IF(maxifs(Documents!$E$2:$E$1421,Documents!$A$2:$A$1421,$A8,Documents!$C$2:$C$1421,"sustainability")=0,"",maxifs(Documents!$E$2:$E$1421,Documents!$A$2:$A$1421,$A8,Documents!$C$2:$C$1421,"sustainability")),"")</f>
        <v/>
      </c>
      <c r="Q8" s="0" t="str">
        <f aca="false">IFERROR(IF(maxifs(Documents!$E$2:$E$1421,Documents!$A$2:$A$1421,$A8,Documents!$C$2:$C$1421,"calendar")=0,"",maxifs(Documents!$E$2:$E$1421,Documents!$A$2:$A$1421,$A8,Documents!$C$2:$C$1421,"calendar")),"")</f>
        <v/>
      </c>
      <c r="R8" s="0" t="str">
        <f aca="false">IFERROR(IF(maxifs(Documents!$E$2:$E$1421,Documents!$A$2:$A$1421,$A8,Documents!$C$2:$C$1421,"brochure")=0,"",maxifs(Documents!$E$2:$E$1421,Documents!$A$2:$A$1421,$A8,Documents!$C$2:$C$1421,"brochure")),"")</f>
        <v/>
      </c>
      <c r="S8" s="0" t="str">
        <f aca="false">IFERROR(IF(maxifs(Documents!$E$2:$E$1421,Documents!$A$2:$A$1421,$A8,Documents!$C$2:$C$1421,"press_kit")=0,"",maxifs(Documents!$E$2:$E$1421,Documents!$A$2:$A$1421,$A8,Documents!$C$2:$C$1421,"press_kit")),"")</f>
        <v/>
      </c>
      <c r="T8" s="0" t="str">
        <f aca="false">IFERROR(IF(maxifs(Documents!$E$2:$E$1421,Documents!$A$2:$A$1421,$A8,Documents!$C$2:$C$1421,"other")=0,"",maxifs(Documents!$E$2:$E$1421,Documents!$A$2:$A$1421,$A8,Documents!$C$2:$C$1421,"other")),"")</f>
        <v/>
      </c>
      <c r="U8" s="0" t="str">
        <f aca="false">IFERROR(IF(maxifs(Documents!$E$2:$E$1421,Documents!$A$2:$A$1421,$A8,Documents!$C$2:$C$1421,"obsolete")=0,"",maxifs(Documents!$E$2:$E$1421,Documents!$A$2:$A$1421,$A8,Documents!$C$2:$C$1421,"obsolete")),"")</f>
        <v/>
      </c>
      <c r="V8" s="0" t="n">
        <f aca="false">COUNTIFS(Documents!$A$2:$A$1421,$A8)</f>
        <v>5</v>
      </c>
      <c r="W8" s="0" t="n">
        <f aca="false">COUNTIFS(Documents!$A$2:$A$1421,$A8,Documents!$R$2:$R$1421,"current")</f>
        <v>3</v>
      </c>
      <c r="X8" s="0" t="str">
        <f aca="false">HYPERLINK("https://www.neoscapesmaldives.com/wp-content/uploads/JOALI-Maldives-Factsheet.pdf","2023_JOALI-Maldives-Factsheet.pdf")</f>
        <v>2023_JOALI-Maldives-Factsheet.pdf</v>
      </c>
      <c r="Y8" s="0" t="s">
        <v>28</v>
      </c>
    </row>
    <row r="9" customFormat="false" ht="15" hidden="false" customHeight="false" outlineLevel="0" collapsed="false">
      <c r="A9" s="0" t="n">
        <v>8</v>
      </c>
      <c r="B9" s="0" t="s">
        <v>41</v>
      </c>
      <c r="C9" s="0" t="s">
        <v>30</v>
      </c>
      <c r="D9" s="0" t="str">
        <f aca="false">IFERROR(IF(maxifs(Documents!$E$2:$E$1421,Documents!$A$2:$A$1421,$A9,Documents!$C$2:$C$1421,"factsheet")=0,"",maxifs(Documents!$E$2:$E$1421,Documents!$A$2:$A$1421,$A9,Documents!$C$2:$C$1421,"factsheet")),"")</f>
        <v/>
      </c>
      <c r="E9" s="0" t="str">
        <f aca="false">IFERROR(IF(maxifs(Documents!$E$2:$E$1421,Documents!$A$2:$A$1421,$A9,Documents!$C$2:$C$1421,"wedding")=0,"",maxifs(Documents!$E$2:$E$1421,Documents!$A$2:$A$1421,$A9,Documents!$C$2:$C$1421,"wedding")),"")</f>
        <v/>
      </c>
      <c r="F9" s="0" t="str">
        <f aca="false">IFERROR(IF(maxifs(Documents!$E$2:$E$1421,Documents!$A$2:$A$1421,$A9,Documents!$C$2:$C$1421,"events")=0,"",maxifs(Documents!$E$2:$E$1421,Documents!$A$2:$A$1421,$A9,Documents!$C$2:$C$1421,"events")),"")</f>
        <v/>
      </c>
      <c r="G9" s="0" t="str">
        <f aca="false">IFERROR(IF(maxifs(Documents!$E$2:$E$1421,Documents!$A$2:$A$1421,$A9,Documents!$C$2:$C$1421,"map")=0,"",maxifs(Documents!$E$2:$E$1421,Documents!$A$2:$A$1421,$A9,Documents!$C$2:$C$1421,"map")),"")</f>
        <v/>
      </c>
      <c r="H9" s="0" t="str">
        <f aca="false">IFERROR(IF(maxifs(Documents!$E$2:$E$1421,Documents!$A$2:$A$1421,$A9,Documents!$C$2:$C$1421,"dive_map")=0,"",maxifs(Documents!$E$2:$E$1421,Documents!$A$2:$A$1421,$A9,Documents!$C$2:$C$1421,"dive_map")),"")</f>
        <v/>
      </c>
      <c r="I9" s="0" t="str">
        <f aca="false">IFERROR(IF(maxifs(Documents!$E$2:$E$1421,Documents!$A$2:$A$1421,$A9,Documents!$C$2:$C$1421,"spa_menu")=0,"",maxifs(Documents!$E$2:$E$1421,Documents!$A$2:$A$1421,$A9,Documents!$C$2:$C$1421,"spa_menu")),"")</f>
        <v/>
      </c>
      <c r="J9" s="0" t="str">
        <f aca="false">IFERROR(IF(maxifs(Documents!$E$2:$E$1421,Documents!$A$2:$A$1421,$A9,Documents!$C$2:$C$1421,"dining_menu")=0,"",maxifs(Documents!$E$2:$E$1421,Documents!$A$2:$A$1421,$A9,Documents!$C$2:$C$1421,"dining_menu")),"")</f>
        <v/>
      </c>
      <c r="K9" s="0" t="str">
        <f aca="false">IFERROR(IF(maxifs(Documents!$E$2:$E$1421,Documents!$A$2:$A$1421,$A9,Documents!$C$2:$C$1421,"dive_prices")=0,"",maxifs(Documents!$E$2:$E$1421,Documents!$A$2:$A$1421,$A9,Documents!$C$2:$C$1421,"dive_prices")),"")</f>
        <v/>
      </c>
      <c r="L9" s="0" t="str">
        <f aca="false">IFERROR(IF(maxifs(Documents!$E$2:$E$1421,Documents!$A$2:$A$1421,$A9,Documents!$C$2:$C$1421,"excursions")=0,"",maxifs(Documents!$E$2:$E$1421,Documents!$A$2:$A$1421,$A9,Documents!$C$2:$C$1421,"excursions")),"")</f>
        <v/>
      </c>
      <c r="M9" s="0" t="str">
        <f aca="false">IFERROR(IF(maxifs(Documents!$E$2:$E$1421,Documents!$A$2:$A$1421,$A9,Documents!$C$2:$C$1421,"kids")=0,"",maxifs(Documents!$E$2:$E$1421,Documents!$A$2:$A$1421,$A9,Documents!$C$2:$C$1421,"kids")),"")</f>
        <v/>
      </c>
      <c r="N9" s="0" t="str">
        <f aca="false">IFERROR(IF(maxifs(Documents!$E$2:$E$1421,Documents!$A$2:$A$1421,$A9,Documents!$C$2:$C$1421,"villa_plans")=0,"",maxifs(Documents!$E$2:$E$1421,Documents!$A$2:$A$1421,$A9,Documents!$C$2:$C$1421,"villa_plans")),"")</f>
        <v/>
      </c>
      <c r="O9" s="0" t="str">
        <f aca="false">IFERROR(IF(maxifs(Documents!$E$2:$E$1421,Documents!$A$2:$A$1421,$A9,Documents!$C$2:$C$1421,"all_inclusive")=0,"",maxifs(Documents!$E$2:$E$1421,Documents!$A$2:$A$1421,$A9,Documents!$C$2:$C$1421,"all_inclusive")),"")</f>
        <v/>
      </c>
      <c r="P9" s="0" t="str">
        <f aca="false">IFERROR(IF(maxifs(Documents!$E$2:$E$1421,Documents!$A$2:$A$1421,$A9,Documents!$C$2:$C$1421,"sustainability")=0,"",maxifs(Documents!$E$2:$E$1421,Documents!$A$2:$A$1421,$A9,Documents!$C$2:$C$1421,"sustainability")),"")</f>
        <v/>
      </c>
      <c r="Q9" s="0" t="str">
        <f aca="false">IFERROR(IF(maxifs(Documents!$E$2:$E$1421,Documents!$A$2:$A$1421,$A9,Documents!$C$2:$C$1421,"calendar")=0,"",maxifs(Documents!$E$2:$E$1421,Documents!$A$2:$A$1421,$A9,Documents!$C$2:$C$1421,"calendar")),"")</f>
        <v/>
      </c>
      <c r="R9" s="0" t="str">
        <f aca="false">IFERROR(IF(maxifs(Documents!$E$2:$E$1421,Documents!$A$2:$A$1421,$A9,Documents!$C$2:$C$1421,"brochure")=0,"",maxifs(Documents!$E$2:$E$1421,Documents!$A$2:$A$1421,$A9,Documents!$C$2:$C$1421,"brochure")),"")</f>
        <v/>
      </c>
      <c r="S9" s="0" t="str">
        <f aca="false">IFERROR(IF(maxifs(Documents!$E$2:$E$1421,Documents!$A$2:$A$1421,$A9,Documents!$C$2:$C$1421,"press_kit")=0,"",maxifs(Documents!$E$2:$E$1421,Documents!$A$2:$A$1421,$A9,Documents!$C$2:$C$1421,"press_kit")),"")</f>
        <v/>
      </c>
      <c r="T9" s="0" t="str">
        <f aca="false">IFERROR(IF(maxifs(Documents!$E$2:$E$1421,Documents!$A$2:$A$1421,$A9,Documents!$C$2:$C$1421,"other")=0,"",maxifs(Documents!$E$2:$E$1421,Documents!$A$2:$A$1421,$A9,Documents!$C$2:$C$1421,"other")),"")</f>
        <v/>
      </c>
      <c r="U9" s="0" t="str">
        <f aca="false">IFERROR(IF(maxifs(Documents!$E$2:$E$1421,Documents!$A$2:$A$1421,$A9,Documents!$C$2:$C$1421,"obsolete")=0,"",maxifs(Documents!$E$2:$E$1421,Documents!$A$2:$A$1421,$A9,Documents!$C$2:$C$1421,"obsolete")),"")</f>
        <v/>
      </c>
      <c r="V9" s="0" t="n">
        <f aca="false">COUNTIFS(Documents!$A$2:$A$1421,$A9)</f>
        <v>3</v>
      </c>
      <c r="W9" s="0" t="n">
        <f aca="false">COUNTIFS(Documents!$A$2:$A$1421,$A9,Documents!$R$2:$R$1421,"current")</f>
        <v>2</v>
      </c>
      <c r="X9" s="0" t="str">
        <f aca="false">HYPERLINK("https://www.neoscapesmaldives.com/wp-content/uploads/MLEAI_Factsheet-March-2025.pdf","2025_MLEAI_Factsheet-March-2025.pdf")</f>
        <v>2025_MLEAI_Factsheet-March-2025.pdf</v>
      </c>
      <c r="Y9" s="0" t="s">
        <v>28</v>
      </c>
    </row>
    <row r="10" customFormat="false" ht="15" hidden="false" customHeight="false" outlineLevel="0" collapsed="false">
      <c r="A10" s="0" t="n">
        <v>9</v>
      </c>
      <c r="B10" s="0" t="s">
        <v>42</v>
      </c>
      <c r="C10" s="0" t="s">
        <v>33</v>
      </c>
      <c r="D10" s="0" t="str">
        <f aca="false">IFERROR(IF(maxifs(Documents!$E$2:$E$1421,Documents!$A$2:$A$1421,$A10,Documents!$C$2:$C$1421,"factsheet")=0,"",maxifs(Documents!$E$2:$E$1421,Documents!$A$2:$A$1421,$A10,Documents!$C$2:$C$1421,"factsheet")),"")</f>
        <v/>
      </c>
      <c r="E10" s="0" t="str">
        <f aca="false">IFERROR(IF(maxifs(Documents!$E$2:$E$1421,Documents!$A$2:$A$1421,$A10,Documents!$C$2:$C$1421,"wedding")=0,"",maxifs(Documents!$E$2:$E$1421,Documents!$A$2:$A$1421,$A10,Documents!$C$2:$C$1421,"wedding")),"")</f>
        <v/>
      </c>
      <c r="F10" s="0" t="str">
        <f aca="false">IFERROR(IF(maxifs(Documents!$E$2:$E$1421,Documents!$A$2:$A$1421,$A10,Documents!$C$2:$C$1421,"events")=0,"",maxifs(Documents!$E$2:$E$1421,Documents!$A$2:$A$1421,$A10,Documents!$C$2:$C$1421,"events")),"")</f>
        <v/>
      </c>
      <c r="G10" s="0" t="str">
        <f aca="false">IFERROR(IF(maxifs(Documents!$E$2:$E$1421,Documents!$A$2:$A$1421,$A10,Documents!$C$2:$C$1421,"map")=0,"",maxifs(Documents!$E$2:$E$1421,Documents!$A$2:$A$1421,$A10,Documents!$C$2:$C$1421,"map")),"")</f>
        <v/>
      </c>
      <c r="H10" s="0" t="str">
        <f aca="false">IFERROR(IF(maxifs(Documents!$E$2:$E$1421,Documents!$A$2:$A$1421,$A10,Documents!$C$2:$C$1421,"dive_map")=0,"",maxifs(Documents!$E$2:$E$1421,Documents!$A$2:$A$1421,$A10,Documents!$C$2:$C$1421,"dive_map")),"")</f>
        <v/>
      </c>
      <c r="I10" s="0" t="str">
        <f aca="false">IFERROR(IF(maxifs(Documents!$E$2:$E$1421,Documents!$A$2:$A$1421,$A10,Documents!$C$2:$C$1421,"spa_menu")=0,"",maxifs(Documents!$E$2:$E$1421,Documents!$A$2:$A$1421,$A10,Documents!$C$2:$C$1421,"spa_menu")),"")</f>
        <v/>
      </c>
      <c r="J10" s="0" t="str">
        <f aca="false">IFERROR(IF(maxifs(Documents!$E$2:$E$1421,Documents!$A$2:$A$1421,$A10,Documents!$C$2:$C$1421,"dining_menu")=0,"",maxifs(Documents!$E$2:$E$1421,Documents!$A$2:$A$1421,$A10,Documents!$C$2:$C$1421,"dining_menu")),"")</f>
        <v/>
      </c>
      <c r="K10" s="0" t="str">
        <f aca="false">IFERROR(IF(maxifs(Documents!$E$2:$E$1421,Documents!$A$2:$A$1421,$A10,Documents!$C$2:$C$1421,"dive_prices")=0,"",maxifs(Documents!$E$2:$E$1421,Documents!$A$2:$A$1421,$A10,Documents!$C$2:$C$1421,"dive_prices")),"")</f>
        <v/>
      </c>
      <c r="L10" s="0" t="str">
        <f aca="false">IFERROR(IF(maxifs(Documents!$E$2:$E$1421,Documents!$A$2:$A$1421,$A10,Documents!$C$2:$C$1421,"excursions")=0,"",maxifs(Documents!$E$2:$E$1421,Documents!$A$2:$A$1421,$A10,Documents!$C$2:$C$1421,"excursions")),"")</f>
        <v/>
      </c>
      <c r="M10" s="0" t="str">
        <f aca="false">IFERROR(IF(maxifs(Documents!$E$2:$E$1421,Documents!$A$2:$A$1421,$A10,Documents!$C$2:$C$1421,"kids")=0,"",maxifs(Documents!$E$2:$E$1421,Documents!$A$2:$A$1421,$A10,Documents!$C$2:$C$1421,"kids")),"")</f>
        <v/>
      </c>
      <c r="N10" s="0" t="str">
        <f aca="false">IFERROR(IF(maxifs(Documents!$E$2:$E$1421,Documents!$A$2:$A$1421,$A10,Documents!$C$2:$C$1421,"villa_plans")=0,"",maxifs(Documents!$E$2:$E$1421,Documents!$A$2:$A$1421,$A10,Documents!$C$2:$C$1421,"villa_plans")),"")</f>
        <v/>
      </c>
      <c r="O10" s="0" t="str">
        <f aca="false">IFERROR(IF(maxifs(Documents!$E$2:$E$1421,Documents!$A$2:$A$1421,$A10,Documents!$C$2:$C$1421,"all_inclusive")=0,"",maxifs(Documents!$E$2:$E$1421,Documents!$A$2:$A$1421,$A10,Documents!$C$2:$C$1421,"all_inclusive")),"")</f>
        <v/>
      </c>
      <c r="P10" s="0" t="str">
        <f aca="false">IFERROR(IF(maxifs(Documents!$E$2:$E$1421,Documents!$A$2:$A$1421,$A10,Documents!$C$2:$C$1421,"sustainability")=0,"",maxifs(Documents!$E$2:$E$1421,Documents!$A$2:$A$1421,$A10,Documents!$C$2:$C$1421,"sustainability")),"")</f>
        <v/>
      </c>
      <c r="Q10" s="0" t="str">
        <f aca="false">IFERROR(IF(maxifs(Documents!$E$2:$E$1421,Documents!$A$2:$A$1421,$A10,Documents!$C$2:$C$1421,"calendar")=0,"",maxifs(Documents!$E$2:$E$1421,Documents!$A$2:$A$1421,$A10,Documents!$C$2:$C$1421,"calendar")),"")</f>
        <v/>
      </c>
      <c r="R10" s="0" t="str">
        <f aca="false">IFERROR(IF(maxifs(Documents!$E$2:$E$1421,Documents!$A$2:$A$1421,$A10,Documents!$C$2:$C$1421,"brochure")=0,"",maxifs(Documents!$E$2:$E$1421,Documents!$A$2:$A$1421,$A10,Documents!$C$2:$C$1421,"brochure")),"")</f>
        <v/>
      </c>
      <c r="S10" s="0" t="str">
        <f aca="false">IFERROR(IF(maxifs(Documents!$E$2:$E$1421,Documents!$A$2:$A$1421,$A10,Documents!$C$2:$C$1421,"press_kit")=0,"",maxifs(Documents!$E$2:$E$1421,Documents!$A$2:$A$1421,$A10,Documents!$C$2:$C$1421,"press_kit")),"")</f>
        <v/>
      </c>
      <c r="T10" s="0" t="str">
        <f aca="false">IFERROR(IF(maxifs(Documents!$E$2:$E$1421,Documents!$A$2:$A$1421,$A10,Documents!$C$2:$C$1421,"other")=0,"",maxifs(Documents!$E$2:$E$1421,Documents!$A$2:$A$1421,$A10,Documents!$C$2:$C$1421,"other")),"")</f>
        <v/>
      </c>
      <c r="U10" s="0" t="str">
        <f aca="false">IFERROR(IF(maxifs(Documents!$E$2:$E$1421,Documents!$A$2:$A$1421,$A10,Documents!$C$2:$C$1421,"obsolete")=0,"",maxifs(Documents!$E$2:$E$1421,Documents!$A$2:$A$1421,$A10,Documents!$C$2:$C$1421,"obsolete")),"")</f>
        <v/>
      </c>
      <c r="V10" s="0" t="n">
        <f aca="false">COUNTIFS(Documents!$A$2:$A$1421,$A10)</f>
        <v>93</v>
      </c>
      <c r="W10" s="0" t="n">
        <f aca="false">COUNTIFS(Documents!$A$2:$A$1421,$A10,Documents!$R$2:$R$1421,"current")</f>
        <v>43</v>
      </c>
      <c r="X10" s="0" t="str">
        <f aca="false">HYPERLINK("https://amilla.com/wp-content/uploads/Amilla-Maldives_Fact-Sheet_2026.pdf","2026_Amilla-Maldives_Fact-Sheet_2026.pdf")</f>
        <v>2026_Amilla-Maldives_Fact-Sheet_2026.pdf</v>
      </c>
      <c r="Y10" s="0" t="s">
        <v>35</v>
      </c>
    </row>
    <row r="11" customFormat="false" ht="15" hidden="false" customHeight="false" outlineLevel="0" collapsed="false">
      <c r="A11" s="0" t="n">
        <v>10</v>
      </c>
      <c r="B11" s="0" t="s">
        <v>43</v>
      </c>
      <c r="C11" s="0" t="s">
        <v>33</v>
      </c>
      <c r="D11" s="0" t="str">
        <f aca="false">IFERROR(IF(maxifs(Documents!$E$2:$E$1421,Documents!$A$2:$A$1421,$A11,Documents!$C$2:$C$1421,"factsheet")=0,"",maxifs(Documents!$E$2:$E$1421,Documents!$A$2:$A$1421,$A11,Documents!$C$2:$C$1421,"factsheet")),"")</f>
        <v/>
      </c>
      <c r="E11" s="0" t="str">
        <f aca="false">IFERROR(IF(maxifs(Documents!$E$2:$E$1421,Documents!$A$2:$A$1421,$A11,Documents!$C$2:$C$1421,"wedding")=0,"",maxifs(Documents!$E$2:$E$1421,Documents!$A$2:$A$1421,$A11,Documents!$C$2:$C$1421,"wedding")),"")</f>
        <v/>
      </c>
      <c r="F11" s="0" t="str">
        <f aca="false">IFERROR(IF(maxifs(Documents!$E$2:$E$1421,Documents!$A$2:$A$1421,$A11,Documents!$C$2:$C$1421,"events")=0,"",maxifs(Documents!$E$2:$E$1421,Documents!$A$2:$A$1421,$A11,Documents!$C$2:$C$1421,"events")),"")</f>
        <v/>
      </c>
      <c r="G11" s="0" t="str">
        <f aca="false">IFERROR(IF(maxifs(Documents!$E$2:$E$1421,Documents!$A$2:$A$1421,$A11,Documents!$C$2:$C$1421,"map")=0,"",maxifs(Documents!$E$2:$E$1421,Documents!$A$2:$A$1421,$A11,Documents!$C$2:$C$1421,"map")),"")</f>
        <v/>
      </c>
      <c r="H11" s="0" t="str">
        <f aca="false">IFERROR(IF(maxifs(Documents!$E$2:$E$1421,Documents!$A$2:$A$1421,$A11,Documents!$C$2:$C$1421,"dive_map")=0,"",maxifs(Documents!$E$2:$E$1421,Documents!$A$2:$A$1421,$A11,Documents!$C$2:$C$1421,"dive_map")),"")</f>
        <v/>
      </c>
      <c r="I11" s="0" t="str">
        <f aca="false">IFERROR(IF(maxifs(Documents!$E$2:$E$1421,Documents!$A$2:$A$1421,$A11,Documents!$C$2:$C$1421,"spa_menu")=0,"",maxifs(Documents!$E$2:$E$1421,Documents!$A$2:$A$1421,$A11,Documents!$C$2:$C$1421,"spa_menu")),"")</f>
        <v/>
      </c>
      <c r="J11" s="0" t="str">
        <f aca="false">IFERROR(IF(maxifs(Documents!$E$2:$E$1421,Documents!$A$2:$A$1421,$A11,Documents!$C$2:$C$1421,"dining_menu")=0,"",maxifs(Documents!$E$2:$E$1421,Documents!$A$2:$A$1421,$A11,Documents!$C$2:$C$1421,"dining_menu")),"")</f>
        <v/>
      </c>
      <c r="K11" s="0" t="str">
        <f aca="false">IFERROR(IF(maxifs(Documents!$E$2:$E$1421,Documents!$A$2:$A$1421,$A11,Documents!$C$2:$C$1421,"dive_prices")=0,"",maxifs(Documents!$E$2:$E$1421,Documents!$A$2:$A$1421,$A11,Documents!$C$2:$C$1421,"dive_prices")),"")</f>
        <v/>
      </c>
      <c r="L11" s="0" t="str">
        <f aca="false">IFERROR(IF(maxifs(Documents!$E$2:$E$1421,Documents!$A$2:$A$1421,$A11,Documents!$C$2:$C$1421,"excursions")=0,"",maxifs(Documents!$E$2:$E$1421,Documents!$A$2:$A$1421,$A11,Documents!$C$2:$C$1421,"excursions")),"")</f>
        <v/>
      </c>
      <c r="M11" s="0" t="str">
        <f aca="false">IFERROR(IF(maxifs(Documents!$E$2:$E$1421,Documents!$A$2:$A$1421,$A11,Documents!$C$2:$C$1421,"kids")=0,"",maxifs(Documents!$E$2:$E$1421,Documents!$A$2:$A$1421,$A11,Documents!$C$2:$C$1421,"kids")),"")</f>
        <v/>
      </c>
      <c r="N11" s="0" t="str">
        <f aca="false">IFERROR(IF(maxifs(Documents!$E$2:$E$1421,Documents!$A$2:$A$1421,$A11,Documents!$C$2:$C$1421,"villa_plans")=0,"",maxifs(Documents!$E$2:$E$1421,Documents!$A$2:$A$1421,$A11,Documents!$C$2:$C$1421,"villa_plans")),"")</f>
        <v/>
      </c>
      <c r="O11" s="0" t="str">
        <f aca="false">IFERROR(IF(maxifs(Documents!$E$2:$E$1421,Documents!$A$2:$A$1421,$A11,Documents!$C$2:$C$1421,"all_inclusive")=0,"",maxifs(Documents!$E$2:$E$1421,Documents!$A$2:$A$1421,$A11,Documents!$C$2:$C$1421,"all_inclusive")),"")</f>
        <v/>
      </c>
      <c r="P11" s="0" t="str">
        <f aca="false">IFERROR(IF(maxifs(Documents!$E$2:$E$1421,Documents!$A$2:$A$1421,$A11,Documents!$C$2:$C$1421,"sustainability")=0,"",maxifs(Documents!$E$2:$E$1421,Documents!$A$2:$A$1421,$A11,Documents!$C$2:$C$1421,"sustainability")),"")</f>
        <v/>
      </c>
      <c r="Q11" s="0" t="str">
        <f aca="false">IFERROR(IF(maxifs(Documents!$E$2:$E$1421,Documents!$A$2:$A$1421,$A11,Documents!$C$2:$C$1421,"calendar")=0,"",maxifs(Documents!$E$2:$E$1421,Documents!$A$2:$A$1421,$A11,Documents!$C$2:$C$1421,"calendar")),"")</f>
        <v/>
      </c>
      <c r="R11" s="0" t="str">
        <f aca="false">IFERROR(IF(maxifs(Documents!$E$2:$E$1421,Documents!$A$2:$A$1421,$A11,Documents!$C$2:$C$1421,"brochure")=0,"",maxifs(Documents!$E$2:$E$1421,Documents!$A$2:$A$1421,$A11,Documents!$C$2:$C$1421,"brochure")),"")</f>
        <v/>
      </c>
      <c r="S11" s="0" t="str">
        <f aca="false">IFERROR(IF(maxifs(Documents!$E$2:$E$1421,Documents!$A$2:$A$1421,$A11,Documents!$C$2:$C$1421,"press_kit")=0,"",maxifs(Documents!$E$2:$E$1421,Documents!$A$2:$A$1421,$A11,Documents!$C$2:$C$1421,"press_kit")),"")</f>
        <v/>
      </c>
      <c r="T11" s="0" t="str">
        <f aca="false">IFERROR(IF(maxifs(Documents!$E$2:$E$1421,Documents!$A$2:$A$1421,$A11,Documents!$C$2:$C$1421,"other")=0,"",maxifs(Documents!$E$2:$E$1421,Documents!$A$2:$A$1421,$A11,Documents!$C$2:$C$1421,"other")),"")</f>
        <v/>
      </c>
      <c r="U11" s="0" t="str">
        <f aca="false">IFERROR(IF(maxifs(Documents!$E$2:$E$1421,Documents!$A$2:$A$1421,$A11,Documents!$C$2:$C$1421,"obsolete")=0,"",maxifs(Documents!$E$2:$E$1421,Documents!$A$2:$A$1421,$A11,Documents!$C$2:$C$1421,"obsolete")),"")</f>
        <v/>
      </c>
      <c r="V11" s="0" t="n">
        <f aca="false">COUNTIFS(Documents!$A$2:$A$1421,$A11)</f>
        <v>22</v>
      </c>
      <c r="W11" s="0" t="n">
        <f aca="false">COUNTIFS(Documents!$A$2:$A$1421,$A11,Documents!$R$2:$R$1421,"current")</f>
        <v>0</v>
      </c>
      <c r="X11" s="0" t="str">
        <f aca="false">HYPERLINK("https://dreamland.com.mv/wp-content/uploads/2024/08/DREAMLAND-GENERAL-INFORMATION-GERMAN-2023.pdf","2023_DREAMLAND-GENERAL-INFORMATION-GERMA")</f>
        <v>2023_DREAMLAND-GENERAL-INFORMATION-GERMA</v>
      </c>
      <c r="Y11" s="0" t="s">
        <v>35</v>
      </c>
    </row>
    <row r="12" customFormat="false" ht="15" hidden="false" customHeight="false" outlineLevel="0" collapsed="false">
      <c r="A12" s="0" t="n">
        <v>11</v>
      </c>
      <c r="B12" s="0" t="s">
        <v>44</v>
      </c>
      <c r="C12" s="0" t="s">
        <v>33</v>
      </c>
      <c r="D12" s="0" t="str">
        <f aca="false">IFERROR(IF(maxifs(Documents!$E$2:$E$1421,Documents!$A$2:$A$1421,$A12,Documents!$C$2:$C$1421,"factsheet")=0,"",maxifs(Documents!$E$2:$E$1421,Documents!$A$2:$A$1421,$A12,Documents!$C$2:$C$1421,"factsheet")),"")</f>
        <v/>
      </c>
      <c r="E12" s="0" t="str">
        <f aca="false">IFERROR(IF(maxifs(Documents!$E$2:$E$1421,Documents!$A$2:$A$1421,$A12,Documents!$C$2:$C$1421,"wedding")=0,"",maxifs(Documents!$E$2:$E$1421,Documents!$A$2:$A$1421,$A12,Documents!$C$2:$C$1421,"wedding")),"")</f>
        <v/>
      </c>
      <c r="F12" s="0" t="str">
        <f aca="false">IFERROR(IF(maxifs(Documents!$E$2:$E$1421,Documents!$A$2:$A$1421,$A12,Documents!$C$2:$C$1421,"events")=0,"",maxifs(Documents!$E$2:$E$1421,Documents!$A$2:$A$1421,$A12,Documents!$C$2:$C$1421,"events")),"")</f>
        <v/>
      </c>
      <c r="G12" s="0" t="str">
        <f aca="false">IFERROR(IF(maxifs(Documents!$E$2:$E$1421,Documents!$A$2:$A$1421,$A12,Documents!$C$2:$C$1421,"map")=0,"",maxifs(Documents!$E$2:$E$1421,Documents!$A$2:$A$1421,$A12,Documents!$C$2:$C$1421,"map")),"")</f>
        <v/>
      </c>
      <c r="H12" s="0" t="str">
        <f aca="false">IFERROR(IF(maxifs(Documents!$E$2:$E$1421,Documents!$A$2:$A$1421,$A12,Documents!$C$2:$C$1421,"dive_map")=0,"",maxifs(Documents!$E$2:$E$1421,Documents!$A$2:$A$1421,$A12,Documents!$C$2:$C$1421,"dive_map")),"")</f>
        <v/>
      </c>
      <c r="I12" s="0" t="str">
        <f aca="false">IFERROR(IF(maxifs(Documents!$E$2:$E$1421,Documents!$A$2:$A$1421,$A12,Documents!$C$2:$C$1421,"spa_menu")=0,"",maxifs(Documents!$E$2:$E$1421,Documents!$A$2:$A$1421,$A12,Documents!$C$2:$C$1421,"spa_menu")),"")</f>
        <v/>
      </c>
      <c r="J12" s="0" t="str">
        <f aca="false">IFERROR(IF(maxifs(Documents!$E$2:$E$1421,Documents!$A$2:$A$1421,$A12,Documents!$C$2:$C$1421,"dining_menu")=0,"",maxifs(Documents!$E$2:$E$1421,Documents!$A$2:$A$1421,$A12,Documents!$C$2:$C$1421,"dining_menu")),"")</f>
        <v/>
      </c>
      <c r="K12" s="0" t="str">
        <f aca="false">IFERROR(IF(maxifs(Documents!$E$2:$E$1421,Documents!$A$2:$A$1421,$A12,Documents!$C$2:$C$1421,"dive_prices")=0,"",maxifs(Documents!$E$2:$E$1421,Documents!$A$2:$A$1421,$A12,Documents!$C$2:$C$1421,"dive_prices")),"")</f>
        <v/>
      </c>
      <c r="L12" s="0" t="str">
        <f aca="false">IFERROR(IF(maxifs(Documents!$E$2:$E$1421,Documents!$A$2:$A$1421,$A12,Documents!$C$2:$C$1421,"excursions")=0,"",maxifs(Documents!$E$2:$E$1421,Documents!$A$2:$A$1421,$A12,Documents!$C$2:$C$1421,"excursions")),"")</f>
        <v/>
      </c>
      <c r="M12" s="0" t="str">
        <f aca="false">IFERROR(IF(maxifs(Documents!$E$2:$E$1421,Documents!$A$2:$A$1421,$A12,Documents!$C$2:$C$1421,"kids")=0,"",maxifs(Documents!$E$2:$E$1421,Documents!$A$2:$A$1421,$A12,Documents!$C$2:$C$1421,"kids")),"")</f>
        <v/>
      </c>
      <c r="N12" s="0" t="str">
        <f aca="false">IFERROR(IF(maxifs(Documents!$E$2:$E$1421,Documents!$A$2:$A$1421,$A12,Documents!$C$2:$C$1421,"villa_plans")=0,"",maxifs(Documents!$E$2:$E$1421,Documents!$A$2:$A$1421,$A12,Documents!$C$2:$C$1421,"villa_plans")),"")</f>
        <v/>
      </c>
      <c r="O12" s="0" t="str">
        <f aca="false">IFERROR(IF(maxifs(Documents!$E$2:$E$1421,Documents!$A$2:$A$1421,$A12,Documents!$C$2:$C$1421,"all_inclusive")=0,"",maxifs(Documents!$E$2:$E$1421,Documents!$A$2:$A$1421,$A12,Documents!$C$2:$C$1421,"all_inclusive")),"")</f>
        <v/>
      </c>
      <c r="P12" s="0" t="str">
        <f aca="false">IFERROR(IF(maxifs(Documents!$E$2:$E$1421,Documents!$A$2:$A$1421,$A12,Documents!$C$2:$C$1421,"sustainability")=0,"",maxifs(Documents!$E$2:$E$1421,Documents!$A$2:$A$1421,$A12,Documents!$C$2:$C$1421,"sustainability")),"")</f>
        <v/>
      </c>
      <c r="Q12" s="0" t="str">
        <f aca="false">IFERROR(IF(maxifs(Documents!$E$2:$E$1421,Documents!$A$2:$A$1421,$A12,Documents!$C$2:$C$1421,"calendar")=0,"",maxifs(Documents!$E$2:$E$1421,Documents!$A$2:$A$1421,$A12,Documents!$C$2:$C$1421,"calendar")),"")</f>
        <v/>
      </c>
      <c r="R12" s="0" t="str">
        <f aca="false">IFERROR(IF(maxifs(Documents!$E$2:$E$1421,Documents!$A$2:$A$1421,$A12,Documents!$C$2:$C$1421,"brochure")=0,"",maxifs(Documents!$E$2:$E$1421,Documents!$A$2:$A$1421,$A12,Documents!$C$2:$C$1421,"brochure")),"")</f>
        <v/>
      </c>
      <c r="S12" s="0" t="str">
        <f aca="false">IFERROR(IF(maxifs(Documents!$E$2:$E$1421,Documents!$A$2:$A$1421,$A12,Documents!$C$2:$C$1421,"press_kit")=0,"",maxifs(Documents!$E$2:$E$1421,Documents!$A$2:$A$1421,$A12,Documents!$C$2:$C$1421,"press_kit")),"")</f>
        <v/>
      </c>
      <c r="T12" s="0" t="str">
        <f aca="false">IFERROR(IF(maxifs(Documents!$E$2:$E$1421,Documents!$A$2:$A$1421,$A12,Documents!$C$2:$C$1421,"other")=0,"",maxifs(Documents!$E$2:$E$1421,Documents!$A$2:$A$1421,$A12,Documents!$C$2:$C$1421,"other")),"")</f>
        <v/>
      </c>
      <c r="U12" s="0" t="str">
        <f aca="false">IFERROR(IF(maxifs(Documents!$E$2:$E$1421,Documents!$A$2:$A$1421,$A12,Documents!$C$2:$C$1421,"obsolete")=0,"",maxifs(Documents!$E$2:$E$1421,Documents!$A$2:$A$1421,$A12,Documents!$C$2:$C$1421,"obsolete")),"")</f>
        <v/>
      </c>
      <c r="V12" s="0" t="n">
        <f aca="false">COUNTIFS(Documents!$A$2:$A$1421,$A12)</f>
        <v>27</v>
      </c>
      <c r="W12" s="0" t="n">
        <f aca="false">COUNTIFS(Documents!$A$2:$A$1421,$A12,Documents!$R$2:$R$1421,"current")</f>
        <v>5</v>
      </c>
      <c r="X12" s="0" t="str">
        <f aca="false">HYPERLINK("https://www.angaga.com.mv/wp-content/uploads/2018/12/GENERAL-INFORMATION.pdf","2018_GENERAL-INFORMATION.pdf")</f>
        <v>2018_GENERAL-INFORMATION.pdf</v>
      </c>
      <c r="Y12" s="0" t="s">
        <v>35</v>
      </c>
    </row>
    <row r="13" customFormat="false" ht="15" hidden="false" customHeight="false" outlineLevel="0" collapsed="false">
      <c r="A13" s="0" t="n">
        <v>12</v>
      </c>
      <c r="B13" s="0" t="s">
        <v>45</v>
      </c>
      <c r="C13" s="0" t="s">
        <v>33</v>
      </c>
      <c r="D13" s="0" t="str">
        <f aca="false">IFERROR(IF(maxifs(Documents!$E$2:$E$1421,Documents!$A$2:$A$1421,$A13,Documents!$C$2:$C$1421,"factsheet")=0,"",maxifs(Documents!$E$2:$E$1421,Documents!$A$2:$A$1421,$A13,Documents!$C$2:$C$1421,"factsheet")),"")</f>
        <v/>
      </c>
      <c r="E13" s="0" t="str">
        <f aca="false">IFERROR(IF(maxifs(Documents!$E$2:$E$1421,Documents!$A$2:$A$1421,$A13,Documents!$C$2:$C$1421,"wedding")=0,"",maxifs(Documents!$E$2:$E$1421,Documents!$A$2:$A$1421,$A13,Documents!$C$2:$C$1421,"wedding")),"")</f>
        <v/>
      </c>
      <c r="F13" s="0" t="str">
        <f aca="false">IFERROR(IF(maxifs(Documents!$E$2:$E$1421,Documents!$A$2:$A$1421,$A13,Documents!$C$2:$C$1421,"events")=0,"",maxifs(Documents!$E$2:$E$1421,Documents!$A$2:$A$1421,$A13,Documents!$C$2:$C$1421,"events")),"")</f>
        <v/>
      </c>
      <c r="G13" s="0" t="str">
        <f aca="false">IFERROR(IF(maxifs(Documents!$E$2:$E$1421,Documents!$A$2:$A$1421,$A13,Documents!$C$2:$C$1421,"map")=0,"",maxifs(Documents!$E$2:$E$1421,Documents!$A$2:$A$1421,$A13,Documents!$C$2:$C$1421,"map")),"")</f>
        <v/>
      </c>
      <c r="H13" s="0" t="str">
        <f aca="false">IFERROR(IF(maxifs(Documents!$E$2:$E$1421,Documents!$A$2:$A$1421,$A13,Documents!$C$2:$C$1421,"dive_map")=0,"",maxifs(Documents!$E$2:$E$1421,Documents!$A$2:$A$1421,$A13,Documents!$C$2:$C$1421,"dive_map")),"")</f>
        <v/>
      </c>
      <c r="I13" s="0" t="str">
        <f aca="false">IFERROR(IF(maxifs(Documents!$E$2:$E$1421,Documents!$A$2:$A$1421,$A13,Documents!$C$2:$C$1421,"spa_menu")=0,"",maxifs(Documents!$E$2:$E$1421,Documents!$A$2:$A$1421,$A13,Documents!$C$2:$C$1421,"spa_menu")),"")</f>
        <v/>
      </c>
      <c r="J13" s="0" t="str">
        <f aca="false">IFERROR(IF(maxifs(Documents!$E$2:$E$1421,Documents!$A$2:$A$1421,$A13,Documents!$C$2:$C$1421,"dining_menu")=0,"",maxifs(Documents!$E$2:$E$1421,Documents!$A$2:$A$1421,$A13,Documents!$C$2:$C$1421,"dining_menu")),"")</f>
        <v/>
      </c>
      <c r="K13" s="0" t="str">
        <f aca="false">IFERROR(IF(maxifs(Documents!$E$2:$E$1421,Documents!$A$2:$A$1421,$A13,Documents!$C$2:$C$1421,"dive_prices")=0,"",maxifs(Documents!$E$2:$E$1421,Documents!$A$2:$A$1421,$A13,Documents!$C$2:$C$1421,"dive_prices")),"")</f>
        <v/>
      </c>
      <c r="L13" s="0" t="str">
        <f aca="false">IFERROR(IF(maxifs(Documents!$E$2:$E$1421,Documents!$A$2:$A$1421,$A13,Documents!$C$2:$C$1421,"excursions")=0,"",maxifs(Documents!$E$2:$E$1421,Documents!$A$2:$A$1421,$A13,Documents!$C$2:$C$1421,"excursions")),"")</f>
        <v/>
      </c>
      <c r="M13" s="0" t="str">
        <f aca="false">IFERROR(IF(maxifs(Documents!$E$2:$E$1421,Documents!$A$2:$A$1421,$A13,Documents!$C$2:$C$1421,"kids")=0,"",maxifs(Documents!$E$2:$E$1421,Documents!$A$2:$A$1421,$A13,Documents!$C$2:$C$1421,"kids")),"")</f>
        <v/>
      </c>
      <c r="N13" s="0" t="str">
        <f aca="false">IFERROR(IF(maxifs(Documents!$E$2:$E$1421,Documents!$A$2:$A$1421,$A13,Documents!$C$2:$C$1421,"villa_plans")=0,"",maxifs(Documents!$E$2:$E$1421,Documents!$A$2:$A$1421,$A13,Documents!$C$2:$C$1421,"villa_plans")),"")</f>
        <v/>
      </c>
      <c r="O13" s="0" t="str">
        <f aca="false">IFERROR(IF(maxifs(Documents!$E$2:$E$1421,Documents!$A$2:$A$1421,$A13,Documents!$C$2:$C$1421,"all_inclusive")=0,"",maxifs(Documents!$E$2:$E$1421,Documents!$A$2:$A$1421,$A13,Documents!$C$2:$C$1421,"all_inclusive")),"")</f>
        <v/>
      </c>
      <c r="P13" s="0" t="str">
        <f aca="false">IFERROR(IF(maxifs(Documents!$E$2:$E$1421,Documents!$A$2:$A$1421,$A13,Documents!$C$2:$C$1421,"sustainability")=0,"",maxifs(Documents!$E$2:$E$1421,Documents!$A$2:$A$1421,$A13,Documents!$C$2:$C$1421,"sustainability")),"")</f>
        <v/>
      </c>
      <c r="Q13" s="0" t="str">
        <f aca="false">IFERROR(IF(maxifs(Documents!$E$2:$E$1421,Documents!$A$2:$A$1421,$A13,Documents!$C$2:$C$1421,"calendar")=0,"",maxifs(Documents!$E$2:$E$1421,Documents!$A$2:$A$1421,$A13,Documents!$C$2:$C$1421,"calendar")),"")</f>
        <v/>
      </c>
      <c r="R13" s="0" t="str">
        <f aca="false">IFERROR(IF(maxifs(Documents!$E$2:$E$1421,Documents!$A$2:$A$1421,$A13,Documents!$C$2:$C$1421,"brochure")=0,"",maxifs(Documents!$E$2:$E$1421,Documents!$A$2:$A$1421,$A13,Documents!$C$2:$C$1421,"brochure")),"")</f>
        <v/>
      </c>
      <c r="S13" s="0" t="str">
        <f aca="false">IFERROR(IF(maxifs(Documents!$E$2:$E$1421,Documents!$A$2:$A$1421,$A13,Documents!$C$2:$C$1421,"press_kit")=0,"",maxifs(Documents!$E$2:$E$1421,Documents!$A$2:$A$1421,$A13,Documents!$C$2:$C$1421,"press_kit")),"")</f>
        <v/>
      </c>
      <c r="T13" s="0" t="str">
        <f aca="false">IFERROR(IF(maxifs(Documents!$E$2:$E$1421,Documents!$A$2:$A$1421,$A13,Documents!$C$2:$C$1421,"other")=0,"",maxifs(Documents!$E$2:$E$1421,Documents!$A$2:$A$1421,$A13,Documents!$C$2:$C$1421,"other")),"")</f>
        <v/>
      </c>
      <c r="U13" s="0" t="str">
        <f aca="false">IFERROR(IF(maxifs(Documents!$E$2:$E$1421,Documents!$A$2:$A$1421,$A13,Documents!$C$2:$C$1421,"obsolete")=0,"",maxifs(Documents!$E$2:$E$1421,Documents!$A$2:$A$1421,$A13,Documents!$C$2:$C$1421,"obsolete")),"")</f>
        <v/>
      </c>
      <c r="V13" s="0" t="n">
        <f aca="false">COUNTIFS(Documents!$A$2:$A$1421,$A13)</f>
        <v>19</v>
      </c>
      <c r="W13" s="0" t="n">
        <f aca="false">COUNTIFS(Documents!$A$2:$A$1421,$A13,Documents!$R$2:$R$1421,"current")</f>
        <v>9</v>
      </c>
      <c r="Y13" s="0" t="s">
        <v>46</v>
      </c>
    </row>
    <row r="14" customFormat="false" ht="15" hidden="false" customHeight="false" outlineLevel="0" collapsed="false">
      <c r="A14" s="0" t="n">
        <v>13</v>
      </c>
      <c r="B14" s="0" t="s">
        <v>47</v>
      </c>
      <c r="C14" s="0" t="s">
        <v>33</v>
      </c>
      <c r="D14" s="0" t="str">
        <f aca="false">IFERROR(IF(maxifs(Documents!$E$2:$E$1421,Documents!$A$2:$A$1421,$A14,Documents!$C$2:$C$1421,"factsheet")=0,"",maxifs(Documents!$E$2:$E$1421,Documents!$A$2:$A$1421,$A14,Documents!$C$2:$C$1421,"factsheet")),"")</f>
        <v/>
      </c>
      <c r="E14" s="0" t="str">
        <f aca="false">IFERROR(IF(maxifs(Documents!$E$2:$E$1421,Documents!$A$2:$A$1421,$A14,Documents!$C$2:$C$1421,"wedding")=0,"",maxifs(Documents!$E$2:$E$1421,Documents!$A$2:$A$1421,$A14,Documents!$C$2:$C$1421,"wedding")),"")</f>
        <v/>
      </c>
      <c r="F14" s="0" t="str">
        <f aca="false">IFERROR(IF(maxifs(Documents!$E$2:$E$1421,Documents!$A$2:$A$1421,$A14,Documents!$C$2:$C$1421,"events")=0,"",maxifs(Documents!$E$2:$E$1421,Documents!$A$2:$A$1421,$A14,Documents!$C$2:$C$1421,"events")),"")</f>
        <v/>
      </c>
      <c r="G14" s="0" t="str">
        <f aca="false">IFERROR(IF(maxifs(Documents!$E$2:$E$1421,Documents!$A$2:$A$1421,$A14,Documents!$C$2:$C$1421,"map")=0,"",maxifs(Documents!$E$2:$E$1421,Documents!$A$2:$A$1421,$A14,Documents!$C$2:$C$1421,"map")),"")</f>
        <v/>
      </c>
      <c r="H14" s="0" t="str">
        <f aca="false">IFERROR(IF(maxifs(Documents!$E$2:$E$1421,Documents!$A$2:$A$1421,$A14,Documents!$C$2:$C$1421,"dive_map")=0,"",maxifs(Documents!$E$2:$E$1421,Documents!$A$2:$A$1421,$A14,Documents!$C$2:$C$1421,"dive_map")),"")</f>
        <v/>
      </c>
      <c r="I14" s="0" t="str">
        <f aca="false">IFERROR(IF(maxifs(Documents!$E$2:$E$1421,Documents!$A$2:$A$1421,$A14,Documents!$C$2:$C$1421,"spa_menu")=0,"",maxifs(Documents!$E$2:$E$1421,Documents!$A$2:$A$1421,$A14,Documents!$C$2:$C$1421,"spa_menu")),"")</f>
        <v/>
      </c>
      <c r="J14" s="0" t="str">
        <f aca="false">IFERROR(IF(maxifs(Documents!$E$2:$E$1421,Documents!$A$2:$A$1421,$A14,Documents!$C$2:$C$1421,"dining_menu")=0,"",maxifs(Documents!$E$2:$E$1421,Documents!$A$2:$A$1421,$A14,Documents!$C$2:$C$1421,"dining_menu")),"")</f>
        <v/>
      </c>
      <c r="K14" s="0" t="str">
        <f aca="false">IFERROR(IF(maxifs(Documents!$E$2:$E$1421,Documents!$A$2:$A$1421,$A14,Documents!$C$2:$C$1421,"dive_prices")=0,"",maxifs(Documents!$E$2:$E$1421,Documents!$A$2:$A$1421,$A14,Documents!$C$2:$C$1421,"dive_prices")),"")</f>
        <v/>
      </c>
      <c r="L14" s="0" t="str">
        <f aca="false">IFERROR(IF(maxifs(Documents!$E$2:$E$1421,Documents!$A$2:$A$1421,$A14,Documents!$C$2:$C$1421,"excursions")=0,"",maxifs(Documents!$E$2:$E$1421,Documents!$A$2:$A$1421,$A14,Documents!$C$2:$C$1421,"excursions")),"")</f>
        <v/>
      </c>
      <c r="M14" s="0" t="str">
        <f aca="false">IFERROR(IF(maxifs(Documents!$E$2:$E$1421,Documents!$A$2:$A$1421,$A14,Documents!$C$2:$C$1421,"kids")=0,"",maxifs(Documents!$E$2:$E$1421,Documents!$A$2:$A$1421,$A14,Documents!$C$2:$C$1421,"kids")),"")</f>
        <v/>
      </c>
      <c r="N14" s="0" t="str">
        <f aca="false">IFERROR(IF(maxifs(Documents!$E$2:$E$1421,Documents!$A$2:$A$1421,$A14,Documents!$C$2:$C$1421,"villa_plans")=0,"",maxifs(Documents!$E$2:$E$1421,Documents!$A$2:$A$1421,$A14,Documents!$C$2:$C$1421,"villa_plans")),"")</f>
        <v/>
      </c>
      <c r="O14" s="0" t="str">
        <f aca="false">IFERROR(IF(maxifs(Documents!$E$2:$E$1421,Documents!$A$2:$A$1421,$A14,Documents!$C$2:$C$1421,"all_inclusive")=0,"",maxifs(Documents!$E$2:$E$1421,Documents!$A$2:$A$1421,$A14,Documents!$C$2:$C$1421,"all_inclusive")),"")</f>
        <v/>
      </c>
      <c r="P14" s="0" t="str">
        <f aca="false">IFERROR(IF(maxifs(Documents!$E$2:$E$1421,Documents!$A$2:$A$1421,$A14,Documents!$C$2:$C$1421,"sustainability")=0,"",maxifs(Documents!$E$2:$E$1421,Documents!$A$2:$A$1421,$A14,Documents!$C$2:$C$1421,"sustainability")),"")</f>
        <v/>
      </c>
      <c r="Q14" s="0" t="str">
        <f aca="false">IFERROR(IF(maxifs(Documents!$E$2:$E$1421,Documents!$A$2:$A$1421,$A14,Documents!$C$2:$C$1421,"calendar")=0,"",maxifs(Documents!$E$2:$E$1421,Documents!$A$2:$A$1421,$A14,Documents!$C$2:$C$1421,"calendar")),"")</f>
        <v/>
      </c>
      <c r="R14" s="0" t="str">
        <f aca="false">IFERROR(IF(maxifs(Documents!$E$2:$E$1421,Documents!$A$2:$A$1421,$A14,Documents!$C$2:$C$1421,"brochure")=0,"",maxifs(Documents!$E$2:$E$1421,Documents!$A$2:$A$1421,$A14,Documents!$C$2:$C$1421,"brochure")),"")</f>
        <v/>
      </c>
      <c r="S14" s="0" t="str">
        <f aca="false">IFERROR(IF(maxifs(Documents!$E$2:$E$1421,Documents!$A$2:$A$1421,$A14,Documents!$C$2:$C$1421,"press_kit")=0,"",maxifs(Documents!$E$2:$E$1421,Documents!$A$2:$A$1421,$A14,Documents!$C$2:$C$1421,"press_kit")),"")</f>
        <v/>
      </c>
      <c r="T14" s="0" t="str">
        <f aca="false">IFERROR(IF(maxifs(Documents!$E$2:$E$1421,Documents!$A$2:$A$1421,$A14,Documents!$C$2:$C$1421,"other")=0,"",maxifs(Documents!$E$2:$E$1421,Documents!$A$2:$A$1421,$A14,Documents!$C$2:$C$1421,"other")),"")</f>
        <v/>
      </c>
      <c r="U14" s="0" t="str">
        <f aca="false">IFERROR(IF(maxifs(Documents!$E$2:$E$1421,Documents!$A$2:$A$1421,$A14,Documents!$C$2:$C$1421,"obsolete")=0,"",maxifs(Documents!$E$2:$E$1421,Documents!$A$2:$A$1421,$A14,Documents!$C$2:$C$1421,"obsolete")),"")</f>
        <v/>
      </c>
      <c r="V14" s="0" t="n">
        <f aca="false">COUNTIFS(Documents!$A$2:$A$1421,$A14)</f>
        <v>33</v>
      </c>
      <c r="W14" s="0" t="n">
        <f aca="false">COUNTIFS(Documents!$A$2:$A$1421,$A14,Documents!$R$2:$R$1421,"current")</f>
        <v>2</v>
      </c>
      <c r="Y14" s="0" t="s">
        <v>48</v>
      </c>
    </row>
    <row r="15" customFormat="false" ht="15" hidden="false" customHeight="false" outlineLevel="0" collapsed="false">
      <c r="A15" s="0" t="n">
        <v>14</v>
      </c>
      <c r="B15" s="0" t="s">
        <v>49</v>
      </c>
      <c r="C15" s="0" t="s">
        <v>27</v>
      </c>
      <c r="D15" s="0" t="str">
        <f aca="false">IFERROR(IF(maxifs(Documents!$E$2:$E$1421,Documents!$A$2:$A$1421,$A15,Documents!$C$2:$C$1421,"factsheet")=0,"",maxifs(Documents!$E$2:$E$1421,Documents!$A$2:$A$1421,$A15,Documents!$C$2:$C$1421,"factsheet")),"")</f>
        <v/>
      </c>
      <c r="E15" s="0" t="str">
        <f aca="false">IFERROR(IF(maxifs(Documents!$E$2:$E$1421,Documents!$A$2:$A$1421,$A15,Documents!$C$2:$C$1421,"wedding")=0,"",maxifs(Documents!$E$2:$E$1421,Documents!$A$2:$A$1421,$A15,Documents!$C$2:$C$1421,"wedding")),"")</f>
        <v/>
      </c>
      <c r="F15" s="0" t="str">
        <f aca="false">IFERROR(IF(maxifs(Documents!$E$2:$E$1421,Documents!$A$2:$A$1421,$A15,Documents!$C$2:$C$1421,"events")=0,"",maxifs(Documents!$E$2:$E$1421,Documents!$A$2:$A$1421,$A15,Documents!$C$2:$C$1421,"events")),"")</f>
        <v/>
      </c>
      <c r="G15" s="0" t="str">
        <f aca="false">IFERROR(IF(maxifs(Documents!$E$2:$E$1421,Documents!$A$2:$A$1421,$A15,Documents!$C$2:$C$1421,"map")=0,"",maxifs(Documents!$E$2:$E$1421,Documents!$A$2:$A$1421,$A15,Documents!$C$2:$C$1421,"map")),"")</f>
        <v/>
      </c>
      <c r="H15" s="0" t="str">
        <f aca="false">IFERROR(IF(maxifs(Documents!$E$2:$E$1421,Documents!$A$2:$A$1421,$A15,Documents!$C$2:$C$1421,"dive_map")=0,"",maxifs(Documents!$E$2:$E$1421,Documents!$A$2:$A$1421,$A15,Documents!$C$2:$C$1421,"dive_map")),"")</f>
        <v/>
      </c>
      <c r="I15" s="0" t="str">
        <f aca="false">IFERROR(IF(maxifs(Documents!$E$2:$E$1421,Documents!$A$2:$A$1421,$A15,Documents!$C$2:$C$1421,"spa_menu")=0,"",maxifs(Documents!$E$2:$E$1421,Documents!$A$2:$A$1421,$A15,Documents!$C$2:$C$1421,"spa_menu")),"")</f>
        <v/>
      </c>
      <c r="J15" s="0" t="str">
        <f aca="false">IFERROR(IF(maxifs(Documents!$E$2:$E$1421,Documents!$A$2:$A$1421,$A15,Documents!$C$2:$C$1421,"dining_menu")=0,"",maxifs(Documents!$E$2:$E$1421,Documents!$A$2:$A$1421,$A15,Documents!$C$2:$C$1421,"dining_menu")),"")</f>
        <v/>
      </c>
      <c r="K15" s="0" t="str">
        <f aca="false">IFERROR(IF(maxifs(Documents!$E$2:$E$1421,Documents!$A$2:$A$1421,$A15,Documents!$C$2:$C$1421,"dive_prices")=0,"",maxifs(Documents!$E$2:$E$1421,Documents!$A$2:$A$1421,$A15,Documents!$C$2:$C$1421,"dive_prices")),"")</f>
        <v/>
      </c>
      <c r="L15" s="0" t="str">
        <f aca="false">IFERROR(IF(maxifs(Documents!$E$2:$E$1421,Documents!$A$2:$A$1421,$A15,Documents!$C$2:$C$1421,"excursions")=0,"",maxifs(Documents!$E$2:$E$1421,Documents!$A$2:$A$1421,$A15,Documents!$C$2:$C$1421,"excursions")),"")</f>
        <v/>
      </c>
      <c r="M15" s="0" t="str">
        <f aca="false">IFERROR(IF(maxifs(Documents!$E$2:$E$1421,Documents!$A$2:$A$1421,$A15,Documents!$C$2:$C$1421,"kids")=0,"",maxifs(Documents!$E$2:$E$1421,Documents!$A$2:$A$1421,$A15,Documents!$C$2:$C$1421,"kids")),"")</f>
        <v/>
      </c>
      <c r="N15" s="0" t="str">
        <f aca="false">IFERROR(IF(maxifs(Documents!$E$2:$E$1421,Documents!$A$2:$A$1421,$A15,Documents!$C$2:$C$1421,"villa_plans")=0,"",maxifs(Documents!$E$2:$E$1421,Documents!$A$2:$A$1421,$A15,Documents!$C$2:$C$1421,"villa_plans")),"")</f>
        <v/>
      </c>
      <c r="O15" s="0" t="str">
        <f aca="false">IFERROR(IF(maxifs(Documents!$E$2:$E$1421,Documents!$A$2:$A$1421,$A15,Documents!$C$2:$C$1421,"all_inclusive")=0,"",maxifs(Documents!$E$2:$E$1421,Documents!$A$2:$A$1421,$A15,Documents!$C$2:$C$1421,"all_inclusive")),"")</f>
        <v/>
      </c>
      <c r="P15" s="0" t="str">
        <f aca="false">IFERROR(IF(maxifs(Documents!$E$2:$E$1421,Documents!$A$2:$A$1421,$A15,Documents!$C$2:$C$1421,"sustainability")=0,"",maxifs(Documents!$E$2:$E$1421,Documents!$A$2:$A$1421,$A15,Documents!$C$2:$C$1421,"sustainability")),"")</f>
        <v/>
      </c>
      <c r="Q15" s="0" t="str">
        <f aca="false">IFERROR(IF(maxifs(Documents!$E$2:$E$1421,Documents!$A$2:$A$1421,$A15,Documents!$C$2:$C$1421,"calendar")=0,"",maxifs(Documents!$E$2:$E$1421,Documents!$A$2:$A$1421,$A15,Documents!$C$2:$C$1421,"calendar")),"")</f>
        <v/>
      </c>
      <c r="R15" s="0" t="str">
        <f aca="false">IFERROR(IF(maxifs(Documents!$E$2:$E$1421,Documents!$A$2:$A$1421,$A15,Documents!$C$2:$C$1421,"brochure")=0,"",maxifs(Documents!$E$2:$E$1421,Documents!$A$2:$A$1421,$A15,Documents!$C$2:$C$1421,"brochure")),"")</f>
        <v/>
      </c>
      <c r="S15" s="0" t="str">
        <f aca="false">IFERROR(IF(maxifs(Documents!$E$2:$E$1421,Documents!$A$2:$A$1421,$A15,Documents!$C$2:$C$1421,"press_kit")=0,"",maxifs(Documents!$E$2:$E$1421,Documents!$A$2:$A$1421,$A15,Documents!$C$2:$C$1421,"press_kit")),"")</f>
        <v/>
      </c>
      <c r="T15" s="0" t="str">
        <f aca="false">IFERROR(IF(maxifs(Documents!$E$2:$E$1421,Documents!$A$2:$A$1421,$A15,Documents!$C$2:$C$1421,"other")=0,"",maxifs(Documents!$E$2:$E$1421,Documents!$A$2:$A$1421,$A15,Documents!$C$2:$C$1421,"other")),"")</f>
        <v/>
      </c>
      <c r="U15" s="0" t="str">
        <f aca="false">IFERROR(IF(maxifs(Documents!$E$2:$E$1421,Documents!$A$2:$A$1421,$A15,Documents!$C$2:$C$1421,"obsolete")=0,"",maxifs(Documents!$E$2:$E$1421,Documents!$A$2:$A$1421,$A15,Documents!$C$2:$C$1421,"obsolete")),"")</f>
        <v/>
      </c>
      <c r="V15" s="0" t="n">
        <f aca="false">COUNTIFS(Documents!$A$2:$A$1421,$A15)</f>
        <v>0</v>
      </c>
      <c r="W15" s="0" t="n">
        <f aca="false">COUNTIFS(Documents!$A$2:$A$1421,$A15,Documents!$R$2:$R$1421,"current")</f>
        <v>0</v>
      </c>
      <c r="Y15" s="0" t="s">
        <v>31</v>
      </c>
    </row>
    <row r="16" customFormat="false" ht="15" hidden="false" customHeight="false" outlineLevel="0" collapsed="false">
      <c r="A16" s="0" t="n">
        <v>15</v>
      </c>
      <c r="B16" s="0" t="s">
        <v>50</v>
      </c>
      <c r="C16" s="0" t="s">
        <v>27</v>
      </c>
      <c r="D16" s="0" t="str">
        <f aca="false">IFERROR(IF(maxifs(Documents!$E$2:$E$1421,Documents!$A$2:$A$1421,$A16,Documents!$C$2:$C$1421,"factsheet")=0,"",maxifs(Documents!$E$2:$E$1421,Documents!$A$2:$A$1421,$A16,Documents!$C$2:$C$1421,"factsheet")),"")</f>
        <v/>
      </c>
      <c r="E16" s="0" t="str">
        <f aca="false">IFERROR(IF(maxifs(Documents!$E$2:$E$1421,Documents!$A$2:$A$1421,$A16,Documents!$C$2:$C$1421,"wedding")=0,"",maxifs(Documents!$E$2:$E$1421,Documents!$A$2:$A$1421,$A16,Documents!$C$2:$C$1421,"wedding")),"")</f>
        <v/>
      </c>
      <c r="F16" s="0" t="str">
        <f aca="false">IFERROR(IF(maxifs(Documents!$E$2:$E$1421,Documents!$A$2:$A$1421,$A16,Documents!$C$2:$C$1421,"events")=0,"",maxifs(Documents!$E$2:$E$1421,Documents!$A$2:$A$1421,$A16,Documents!$C$2:$C$1421,"events")),"")</f>
        <v/>
      </c>
      <c r="G16" s="0" t="str">
        <f aca="false">IFERROR(IF(maxifs(Documents!$E$2:$E$1421,Documents!$A$2:$A$1421,$A16,Documents!$C$2:$C$1421,"map")=0,"",maxifs(Documents!$E$2:$E$1421,Documents!$A$2:$A$1421,$A16,Documents!$C$2:$C$1421,"map")),"")</f>
        <v/>
      </c>
      <c r="H16" s="0" t="str">
        <f aca="false">IFERROR(IF(maxifs(Documents!$E$2:$E$1421,Documents!$A$2:$A$1421,$A16,Documents!$C$2:$C$1421,"dive_map")=0,"",maxifs(Documents!$E$2:$E$1421,Documents!$A$2:$A$1421,$A16,Documents!$C$2:$C$1421,"dive_map")),"")</f>
        <v/>
      </c>
      <c r="I16" s="0" t="str">
        <f aca="false">IFERROR(IF(maxifs(Documents!$E$2:$E$1421,Documents!$A$2:$A$1421,$A16,Documents!$C$2:$C$1421,"spa_menu")=0,"",maxifs(Documents!$E$2:$E$1421,Documents!$A$2:$A$1421,$A16,Documents!$C$2:$C$1421,"spa_menu")),"")</f>
        <v/>
      </c>
      <c r="J16" s="0" t="str">
        <f aca="false">IFERROR(IF(maxifs(Documents!$E$2:$E$1421,Documents!$A$2:$A$1421,$A16,Documents!$C$2:$C$1421,"dining_menu")=0,"",maxifs(Documents!$E$2:$E$1421,Documents!$A$2:$A$1421,$A16,Documents!$C$2:$C$1421,"dining_menu")),"")</f>
        <v/>
      </c>
      <c r="K16" s="0" t="str">
        <f aca="false">IFERROR(IF(maxifs(Documents!$E$2:$E$1421,Documents!$A$2:$A$1421,$A16,Documents!$C$2:$C$1421,"dive_prices")=0,"",maxifs(Documents!$E$2:$E$1421,Documents!$A$2:$A$1421,$A16,Documents!$C$2:$C$1421,"dive_prices")),"")</f>
        <v/>
      </c>
      <c r="L16" s="0" t="str">
        <f aca="false">IFERROR(IF(maxifs(Documents!$E$2:$E$1421,Documents!$A$2:$A$1421,$A16,Documents!$C$2:$C$1421,"excursions")=0,"",maxifs(Documents!$E$2:$E$1421,Documents!$A$2:$A$1421,$A16,Documents!$C$2:$C$1421,"excursions")),"")</f>
        <v/>
      </c>
      <c r="M16" s="0" t="str">
        <f aca="false">IFERROR(IF(maxifs(Documents!$E$2:$E$1421,Documents!$A$2:$A$1421,$A16,Documents!$C$2:$C$1421,"kids")=0,"",maxifs(Documents!$E$2:$E$1421,Documents!$A$2:$A$1421,$A16,Documents!$C$2:$C$1421,"kids")),"")</f>
        <v/>
      </c>
      <c r="N16" s="0" t="str">
        <f aca="false">IFERROR(IF(maxifs(Documents!$E$2:$E$1421,Documents!$A$2:$A$1421,$A16,Documents!$C$2:$C$1421,"villa_plans")=0,"",maxifs(Documents!$E$2:$E$1421,Documents!$A$2:$A$1421,$A16,Documents!$C$2:$C$1421,"villa_plans")),"")</f>
        <v/>
      </c>
      <c r="O16" s="0" t="str">
        <f aca="false">IFERROR(IF(maxifs(Documents!$E$2:$E$1421,Documents!$A$2:$A$1421,$A16,Documents!$C$2:$C$1421,"all_inclusive")=0,"",maxifs(Documents!$E$2:$E$1421,Documents!$A$2:$A$1421,$A16,Documents!$C$2:$C$1421,"all_inclusive")),"")</f>
        <v/>
      </c>
      <c r="P16" s="0" t="str">
        <f aca="false">IFERROR(IF(maxifs(Documents!$E$2:$E$1421,Documents!$A$2:$A$1421,$A16,Documents!$C$2:$C$1421,"sustainability")=0,"",maxifs(Documents!$E$2:$E$1421,Documents!$A$2:$A$1421,$A16,Documents!$C$2:$C$1421,"sustainability")),"")</f>
        <v/>
      </c>
      <c r="Q16" s="0" t="str">
        <f aca="false">IFERROR(IF(maxifs(Documents!$E$2:$E$1421,Documents!$A$2:$A$1421,$A16,Documents!$C$2:$C$1421,"calendar")=0,"",maxifs(Documents!$E$2:$E$1421,Documents!$A$2:$A$1421,$A16,Documents!$C$2:$C$1421,"calendar")),"")</f>
        <v/>
      </c>
      <c r="R16" s="0" t="str">
        <f aca="false">IFERROR(IF(maxifs(Documents!$E$2:$E$1421,Documents!$A$2:$A$1421,$A16,Documents!$C$2:$C$1421,"brochure")=0,"",maxifs(Documents!$E$2:$E$1421,Documents!$A$2:$A$1421,$A16,Documents!$C$2:$C$1421,"brochure")),"")</f>
        <v/>
      </c>
      <c r="S16" s="0" t="str">
        <f aca="false">IFERROR(IF(maxifs(Documents!$E$2:$E$1421,Documents!$A$2:$A$1421,$A16,Documents!$C$2:$C$1421,"press_kit")=0,"",maxifs(Documents!$E$2:$E$1421,Documents!$A$2:$A$1421,$A16,Documents!$C$2:$C$1421,"press_kit")),"")</f>
        <v/>
      </c>
      <c r="T16" s="0" t="str">
        <f aca="false">IFERROR(IF(maxifs(Documents!$E$2:$E$1421,Documents!$A$2:$A$1421,$A16,Documents!$C$2:$C$1421,"other")=0,"",maxifs(Documents!$E$2:$E$1421,Documents!$A$2:$A$1421,$A16,Documents!$C$2:$C$1421,"other")),"")</f>
        <v/>
      </c>
      <c r="U16" s="0" t="str">
        <f aca="false">IFERROR(IF(maxifs(Documents!$E$2:$E$1421,Documents!$A$2:$A$1421,$A16,Documents!$C$2:$C$1421,"obsolete")=0,"",maxifs(Documents!$E$2:$E$1421,Documents!$A$2:$A$1421,$A16,Documents!$C$2:$C$1421,"obsolete")),"")</f>
        <v/>
      </c>
      <c r="V16" s="0" t="n">
        <f aca="false">COUNTIFS(Documents!$A$2:$A$1421,$A16)</f>
        <v>2</v>
      </c>
      <c r="W16" s="0" t="n">
        <f aca="false">COUNTIFS(Documents!$A$2:$A$1421,$A16,Documents!$R$2:$R$1421,"current")</f>
        <v>0</v>
      </c>
      <c r="X16" s="0" t="str">
        <f aca="false">HYPERLINK("https://www.neoscapesmaldives.com/wp-content/uploads/Alila-Kothaifaru-Maldives-Factsheet-2022.pdf","2022_Alila-Kothaifaru-Maldives-Factsheet")</f>
        <v>2022_Alila-Kothaifaru-Maldives-Factsheet</v>
      </c>
      <c r="Y16" s="0" t="s">
        <v>28</v>
      </c>
    </row>
    <row r="17" customFormat="false" ht="15" hidden="false" customHeight="false" outlineLevel="0" collapsed="false">
      <c r="A17" s="0" t="n">
        <v>16</v>
      </c>
      <c r="B17" s="0" t="s">
        <v>51</v>
      </c>
      <c r="C17" s="0" t="s">
        <v>27</v>
      </c>
      <c r="D17" s="0" t="str">
        <f aca="false">IFERROR(IF(maxifs(Documents!$E$2:$E$1421,Documents!$A$2:$A$1421,$A17,Documents!$C$2:$C$1421,"factsheet")=0,"",maxifs(Documents!$E$2:$E$1421,Documents!$A$2:$A$1421,$A17,Documents!$C$2:$C$1421,"factsheet")),"")</f>
        <v/>
      </c>
      <c r="E17" s="0" t="str">
        <f aca="false">IFERROR(IF(maxifs(Documents!$E$2:$E$1421,Documents!$A$2:$A$1421,$A17,Documents!$C$2:$C$1421,"wedding")=0,"",maxifs(Documents!$E$2:$E$1421,Documents!$A$2:$A$1421,$A17,Documents!$C$2:$C$1421,"wedding")),"")</f>
        <v/>
      </c>
      <c r="F17" s="0" t="str">
        <f aca="false">IFERROR(IF(maxifs(Documents!$E$2:$E$1421,Documents!$A$2:$A$1421,$A17,Documents!$C$2:$C$1421,"events")=0,"",maxifs(Documents!$E$2:$E$1421,Documents!$A$2:$A$1421,$A17,Documents!$C$2:$C$1421,"events")),"")</f>
        <v/>
      </c>
      <c r="G17" s="0" t="str">
        <f aca="false">IFERROR(IF(maxifs(Documents!$E$2:$E$1421,Documents!$A$2:$A$1421,$A17,Documents!$C$2:$C$1421,"map")=0,"",maxifs(Documents!$E$2:$E$1421,Documents!$A$2:$A$1421,$A17,Documents!$C$2:$C$1421,"map")),"")</f>
        <v/>
      </c>
      <c r="H17" s="0" t="str">
        <f aca="false">IFERROR(IF(maxifs(Documents!$E$2:$E$1421,Documents!$A$2:$A$1421,$A17,Documents!$C$2:$C$1421,"dive_map")=0,"",maxifs(Documents!$E$2:$E$1421,Documents!$A$2:$A$1421,$A17,Documents!$C$2:$C$1421,"dive_map")),"")</f>
        <v/>
      </c>
      <c r="I17" s="0" t="str">
        <f aca="false">IFERROR(IF(maxifs(Documents!$E$2:$E$1421,Documents!$A$2:$A$1421,$A17,Documents!$C$2:$C$1421,"spa_menu")=0,"",maxifs(Documents!$E$2:$E$1421,Documents!$A$2:$A$1421,$A17,Documents!$C$2:$C$1421,"spa_menu")),"")</f>
        <v/>
      </c>
      <c r="J17" s="0" t="str">
        <f aca="false">IFERROR(IF(maxifs(Documents!$E$2:$E$1421,Documents!$A$2:$A$1421,$A17,Documents!$C$2:$C$1421,"dining_menu")=0,"",maxifs(Documents!$E$2:$E$1421,Documents!$A$2:$A$1421,$A17,Documents!$C$2:$C$1421,"dining_menu")),"")</f>
        <v/>
      </c>
      <c r="K17" s="0" t="str">
        <f aca="false">IFERROR(IF(maxifs(Documents!$E$2:$E$1421,Documents!$A$2:$A$1421,$A17,Documents!$C$2:$C$1421,"dive_prices")=0,"",maxifs(Documents!$E$2:$E$1421,Documents!$A$2:$A$1421,$A17,Documents!$C$2:$C$1421,"dive_prices")),"")</f>
        <v/>
      </c>
      <c r="L17" s="0" t="str">
        <f aca="false">IFERROR(IF(maxifs(Documents!$E$2:$E$1421,Documents!$A$2:$A$1421,$A17,Documents!$C$2:$C$1421,"excursions")=0,"",maxifs(Documents!$E$2:$E$1421,Documents!$A$2:$A$1421,$A17,Documents!$C$2:$C$1421,"excursions")),"")</f>
        <v/>
      </c>
      <c r="M17" s="0" t="str">
        <f aca="false">IFERROR(IF(maxifs(Documents!$E$2:$E$1421,Documents!$A$2:$A$1421,$A17,Documents!$C$2:$C$1421,"kids")=0,"",maxifs(Documents!$E$2:$E$1421,Documents!$A$2:$A$1421,$A17,Documents!$C$2:$C$1421,"kids")),"")</f>
        <v/>
      </c>
      <c r="N17" s="0" t="str">
        <f aca="false">IFERROR(IF(maxifs(Documents!$E$2:$E$1421,Documents!$A$2:$A$1421,$A17,Documents!$C$2:$C$1421,"villa_plans")=0,"",maxifs(Documents!$E$2:$E$1421,Documents!$A$2:$A$1421,$A17,Documents!$C$2:$C$1421,"villa_plans")),"")</f>
        <v/>
      </c>
      <c r="O17" s="0" t="str">
        <f aca="false">IFERROR(IF(maxifs(Documents!$E$2:$E$1421,Documents!$A$2:$A$1421,$A17,Documents!$C$2:$C$1421,"all_inclusive")=0,"",maxifs(Documents!$E$2:$E$1421,Documents!$A$2:$A$1421,$A17,Documents!$C$2:$C$1421,"all_inclusive")),"")</f>
        <v/>
      </c>
      <c r="P17" s="0" t="str">
        <f aca="false">IFERROR(IF(maxifs(Documents!$E$2:$E$1421,Documents!$A$2:$A$1421,$A17,Documents!$C$2:$C$1421,"sustainability")=0,"",maxifs(Documents!$E$2:$E$1421,Documents!$A$2:$A$1421,$A17,Documents!$C$2:$C$1421,"sustainability")),"")</f>
        <v/>
      </c>
      <c r="Q17" s="0" t="str">
        <f aca="false">IFERROR(IF(maxifs(Documents!$E$2:$E$1421,Documents!$A$2:$A$1421,$A17,Documents!$C$2:$C$1421,"calendar")=0,"",maxifs(Documents!$E$2:$E$1421,Documents!$A$2:$A$1421,$A17,Documents!$C$2:$C$1421,"calendar")),"")</f>
        <v/>
      </c>
      <c r="R17" s="0" t="str">
        <f aca="false">IFERROR(IF(maxifs(Documents!$E$2:$E$1421,Documents!$A$2:$A$1421,$A17,Documents!$C$2:$C$1421,"brochure")=0,"",maxifs(Documents!$E$2:$E$1421,Documents!$A$2:$A$1421,$A17,Documents!$C$2:$C$1421,"brochure")),"")</f>
        <v/>
      </c>
      <c r="S17" s="0" t="str">
        <f aca="false">IFERROR(IF(maxifs(Documents!$E$2:$E$1421,Documents!$A$2:$A$1421,$A17,Documents!$C$2:$C$1421,"press_kit")=0,"",maxifs(Documents!$E$2:$E$1421,Documents!$A$2:$A$1421,$A17,Documents!$C$2:$C$1421,"press_kit")),"")</f>
        <v/>
      </c>
      <c r="T17" s="0" t="str">
        <f aca="false">IFERROR(IF(maxifs(Documents!$E$2:$E$1421,Documents!$A$2:$A$1421,$A17,Documents!$C$2:$C$1421,"other")=0,"",maxifs(Documents!$E$2:$E$1421,Documents!$A$2:$A$1421,$A17,Documents!$C$2:$C$1421,"other")),"")</f>
        <v/>
      </c>
      <c r="U17" s="0" t="str">
        <f aca="false">IFERROR(IF(maxifs(Documents!$E$2:$E$1421,Documents!$A$2:$A$1421,$A17,Documents!$C$2:$C$1421,"obsolete")=0,"",maxifs(Documents!$E$2:$E$1421,Documents!$A$2:$A$1421,$A17,Documents!$C$2:$C$1421,"obsolete")),"")</f>
        <v/>
      </c>
      <c r="V17" s="0" t="n">
        <f aca="false">COUNTIFS(Documents!$A$2:$A$1421,$A17)</f>
        <v>2</v>
      </c>
      <c r="W17" s="0" t="n">
        <f aca="false">COUNTIFS(Documents!$A$2:$A$1421,$A17,Documents!$R$2:$R$1421,"current")</f>
        <v>0</v>
      </c>
      <c r="Y17" s="0" t="s">
        <v>31</v>
      </c>
    </row>
    <row r="18" customFormat="false" ht="15" hidden="false" customHeight="false" outlineLevel="0" collapsed="false">
      <c r="A18" s="0" t="n">
        <v>17</v>
      </c>
      <c r="B18" s="0" t="s">
        <v>52</v>
      </c>
      <c r="C18" s="0" t="s">
        <v>30</v>
      </c>
      <c r="D18" s="0" t="str">
        <f aca="false">IFERROR(IF(maxifs(Documents!$E$2:$E$1421,Documents!$A$2:$A$1421,$A18,Documents!$C$2:$C$1421,"factsheet")=0,"",maxifs(Documents!$E$2:$E$1421,Documents!$A$2:$A$1421,$A18,Documents!$C$2:$C$1421,"factsheet")),"")</f>
        <v/>
      </c>
      <c r="E18" s="0" t="str">
        <f aca="false">IFERROR(IF(maxifs(Documents!$E$2:$E$1421,Documents!$A$2:$A$1421,$A18,Documents!$C$2:$C$1421,"wedding")=0,"",maxifs(Documents!$E$2:$E$1421,Documents!$A$2:$A$1421,$A18,Documents!$C$2:$C$1421,"wedding")),"")</f>
        <v/>
      </c>
      <c r="F18" s="0" t="str">
        <f aca="false">IFERROR(IF(maxifs(Documents!$E$2:$E$1421,Documents!$A$2:$A$1421,$A18,Documents!$C$2:$C$1421,"events")=0,"",maxifs(Documents!$E$2:$E$1421,Documents!$A$2:$A$1421,$A18,Documents!$C$2:$C$1421,"events")),"")</f>
        <v/>
      </c>
      <c r="G18" s="0" t="str">
        <f aca="false">IFERROR(IF(maxifs(Documents!$E$2:$E$1421,Documents!$A$2:$A$1421,$A18,Documents!$C$2:$C$1421,"map")=0,"",maxifs(Documents!$E$2:$E$1421,Documents!$A$2:$A$1421,$A18,Documents!$C$2:$C$1421,"map")),"")</f>
        <v/>
      </c>
      <c r="H18" s="0" t="str">
        <f aca="false">IFERROR(IF(maxifs(Documents!$E$2:$E$1421,Documents!$A$2:$A$1421,$A18,Documents!$C$2:$C$1421,"dive_map")=0,"",maxifs(Documents!$E$2:$E$1421,Documents!$A$2:$A$1421,$A18,Documents!$C$2:$C$1421,"dive_map")),"")</f>
        <v/>
      </c>
      <c r="I18" s="0" t="str">
        <f aca="false">IFERROR(IF(maxifs(Documents!$E$2:$E$1421,Documents!$A$2:$A$1421,$A18,Documents!$C$2:$C$1421,"spa_menu")=0,"",maxifs(Documents!$E$2:$E$1421,Documents!$A$2:$A$1421,$A18,Documents!$C$2:$C$1421,"spa_menu")),"")</f>
        <v/>
      </c>
      <c r="J18" s="0" t="str">
        <f aca="false">IFERROR(IF(maxifs(Documents!$E$2:$E$1421,Documents!$A$2:$A$1421,$A18,Documents!$C$2:$C$1421,"dining_menu")=0,"",maxifs(Documents!$E$2:$E$1421,Documents!$A$2:$A$1421,$A18,Documents!$C$2:$C$1421,"dining_menu")),"")</f>
        <v/>
      </c>
      <c r="K18" s="0" t="str">
        <f aca="false">IFERROR(IF(maxifs(Documents!$E$2:$E$1421,Documents!$A$2:$A$1421,$A18,Documents!$C$2:$C$1421,"dive_prices")=0,"",maxifs(Documents!$E$2:$E$1421,Documents!$A$2:$A$1421,$A18,Documents!$C$2:$C$1421,"dive_prices")),"")</f>
        <v/>
      </c>
      <c r="L18" s="0" t="str">
        <f aca="false">IFERROR(IF(maxifs(Documents!$E$2:$E$1421,Documents!$A$2:$A$1421,$A18,Documents!$C$2:$C$1421,"excursions")=0,"",maxifs(Documents!$E$2:$E$1421,Documents!$A$2:$A$1421,$A18,Documents!$C$2:$C$1421,"excursions")),"")</f>
        <v/>
      </c>
      <c r="M18" s="0" t="str">
        <f aca="false">IFERROR(IF(maxifs(Documents!$E$2:$E$1421,Documents!$A$2:$A$1421,$A18,Documents!$C$2:$C$1421,"kids")=0,"",maxifs(Documents!$E$2:$E$1421,Documents!$A$2:$A$1421,$A18,Documents!$C$2:$C$1421,"kids")),"")</f>
        <v/>
      </c>
      <c r="N18" s="0" t="str">
        <f aca="false">IFERROR(IF(maxifs(Documents!$E$2:$E$1421,Documents!$A$2:$A$1421,$A18,Documents!$C$2:$C$1421,"villa_plans")=0,"",maxifs(Documents!$E$2:$E$1421,Documents!$A$2:$A$1421,$A18,Documents!$C$2:$C$1421,"villa_plans")),"")</f>
        <v/>
      </c>
      <c r="O18" s="0" t="str">
        <f aca="false">IFERROR(IF(maxifs(Documents!$E$2:$E$1421,Documents!$A$2:$A$1421,$A18,Documents!$C$2:$C$1421,"all_inclusive")=0,"",maxifs(Documents!$E$2:$E$1421,Documents!$A$2:$A$1421,$A18,Documents!$C$2:$C$1421,"all_inclusive")),"")</f>
        <v/>
      </c>
      <c r="P18" s="0" t="str">
        <f aca="false">IFERROR(IF(maxifs(Documents!$E$2:$E$1421,Documents!$A$2:$A$1421,$A18,Documents!$C$2:$C$1421,"sustainability")=0,"",maxifs(Documents!$E$2:$E$1421,Documents!$A$2:$A$1421,$A18,Documents!$C$2:$C$1421,"sustainability")),"")</f>
        <v/>
      </c>
      <c r="Q18" s="0" t="str">
        <f aca="false">IFERROR(IF(maxifs(Documents!$E$2:$E$1421,Documents!$A$2:$A$1421,$A18,Documents!$C$2:$C$1421,"calendar")=0,"",maxifs(Documents!$E$2:$E$1421,Documents!$A$2:$A$1421,$A18,Documents!$C$2:$C$1421,"calendar")),"")</f>
        <v/>
      </c>
      <c r="R18" s="0" t="str">
        <f aca="false">IFERROR(IF(maxifs(Documents!$E$2:$E$1421,Documents!$A$2:$A$1421,$A18,Documents!$C$2:$C$1421,"brochure")=0,"",maxifs(Documents!$E$2:$E$1421,Documents!$A$2:$A$1421,$A18,Documents!$C$2:$C$1421,"brochure")),"")</f>
        <v/>
      </c>
      <c r="S18" s="0" t="str">
        <f aca="false">IFERROR(IF(maxifs(Documents!$E$2:$E$1421,Documents!$A$2:$A$1421,$A18,Documents!$C$2:$C$1421,"press_kit")=0,"",maxifs(Documents!$E$2:$E$1421,Documents!$A$2:$A$1421,$A18,Documents!$C$2:$C$1421,"press_kit")),"")</f>
        <v/>
      </c>
      <c r="T18" s="0" t="str">
        <f aca="false">IFERROR(IF(maxifs(Documents!$E$2:$E$1421,Documents!$A$2:$A$1421,$A18,Documents!$C$2:$C$1421,"other")=0,"",maxifs(Documents!$E$2:$E$1421,Documents!$A$2:$A$1421,$A18,Documents!$C$2:$C$1421,"other")),"")</f>
        <v/>
      </c>
      <c r="U18" s="0" t="str">
        <f aca="false">IFERROR(IF(maxifs(Documents!$E$2:$E$1421,Documents!$A$2:$A$1421,$A18,Documents!$C$2:$C$1421,"obsolete")=0,"",maxifs(Documents!$E$2:$E$1421,Documents!$A$2:$A$1421,$A18,Documents!$C$2:$C$1421,"obsolete")),"")</f>
        <v/>
      </c>
      <c r="V18" s="0" t="n">
        <f aca="false">COUNTIFS(Documents!$A$2:$A$1421,$A18)</f>
        <v>0</v>
      </c>
      <c r="W18" s="0" t="n">
        <f aca="false">COUNTIFS(Documents!$A$2:$A$1421,$A18,Documents!$R$2:$R$1421,"current")</f>
        <v>0</v>
      </c>
      <c r="Y18" s="0" t="s">
        <v>31</v>
      </c>
      <c r="Z18" s="0" t="s">
        <v>53</v>
      </c>
    </row>
    <row r="19" customFormat="false" ht="15" hidden="false" customHeight="false" outlineLevel="0" collapsed="false">
      <c r="A19" s="0" t="n">
        <v>18</v>
      </c>
      <c r="B19" s="0" t="s">
        <v>54</v>
      </c>
      <c r="C19" s="0" t="s">
        <v>27</v>
      </c>
      <c r="D19" s="0" t="str">
        <f aca="false">IFERROR(IF(maxifs(Documents!$E$2:$E$1421,Documents!$A$2:$A$1421,$A19,Documents!$C$2:$C$1421,"factsheet")=0,"",maxifs(Documents!$E$2:$E$1421,Documents!$A$2:$A$1421,$A19,Documents!$C$2:$C$1421,"factsheet")),"")</f>
        <v/>
      </c>
      <c r="E19" s="0" t="str">
        <f aca="false">IFERROR(IF(maxifs(Documents!$E$2:$E$1421,Documents!$A$2:$A$1421,$A19,Documents!$C$2:$C$1421,"wedding")=0,"",maxifs(Documents!$E$2:$E$1421,Documents!$A$2:$A$1421,$A19,Documents!$C$2:$C$1421,"wedding")),"")</f>
        <v/>
      </c>
      <c r="F19" s="0" t="str">
        <f aca="false">IFERROR(IF(maxifs(Documents!$E$2:$E$1421,Documents!$A$2:$A$1421,$A19,Documents!$C$2:$C$1421,"events")=0,"",maxifs(Documents!$E$2:$E$1421,Documents!$A$2:$A$1421,$A19,Documents!$C$2:$C$1421,"events")),"")</f>
        <v/>
      </c>
      <c r="G19" s="0" t="str">
        <f aca="false">IFERROR(IF(maxifs(Documents!$E$2:$E$1421,Documents!$A$2:$A$1421,$A19,Documents!$C$2:$C$1421,"map")=0,"",maxifs(Documents!$E$2:$E$1421,Documents!$A$2:$A$1421,$A19,Documents!$C$2:$C$1421,"map")),"")</f>
        <v/>
      </c>
      <c r="H19" s="0" t="str">
        <f aca="false">IFERROR(IF(maxifs(Documents!$E$2:$E$1421,Documents!$A$2:$A$1421,$A19,Documents!$C$2:$C$1421,"dive_map")=0,"",maxifs(Documents!$E$2:$E$1421,Documents!$A$2:$A$1421,$A19,Documents!$C$2:$C$1421,"dive_map")),"")</f>
        <v/>
      </c>
      <c r="I19" s="0" t="str">
        <f aca="false">IFERROR(IF(maxifs(Documents!$E$2:$E$1421,Documents!$A$2:$A$1421,$A19,Documents!$C$2:$C$1421,"spa_menu")=0,"",maxifs(Documents!$E$2:$E$1421,Documents!$A$2:$A$1421,$A19,Documents!$C$2:$C$1421,"spa_menu")),"")</f>
        <v/>
      </c>
      <c r="J19" s="0" t="str">
        <f aca="false">IFERROR(IF(maxifs(Documents!$E$2:$E$1421,Documents!$A$2:$A$1421,$A19,Documents!$C$2:$C$1421,"dining_menu")=0,"",maxifs(Documents!$E$2:$E$1421,Documents!$A$2:$A$1421,$A19,Documents!$C$2:$C$1421,"dining_menu")),"")</f>
        <v/>
      </c>
      <c r="K19" s="0" t="str">
        <f aca="false">IFERROR(IF(maxifs(Documents!$E$2:$E$1421,Documents!$A$2:$A$1421,$A19,Documents!$C$2:$C$1421,"dive_prices")=0,"",maxifs(Documents!$E$2:$E$1421,Documents!$A$2:$A$1421,$A19,Documents!$C$2:$C$1421,"dive_prices")),"")</f>
        <v/>
      </c>
      <c r="L19" s="0" t="str">
        <f aca="false">IFERROR(IF(maxifs(Documents!$E$2:$E$1421,Documents!$A$2:$A$1421,$A19,Documents!$C$2:$C$1421,"excursions")=0,"",maxifs(Documents!$E$2:$E$1421,Documents!$A$2:$A$1421,$A19,Documents!$C$2:$C$1421,"excursions")),"")</f>
        <v/>
      </c>
      <c r="M19" s="0" t="str">
        <f aca="false">IFERROR(IF(maxifs(Documents!$E$2:$E$1421,Documents!$A$2:$A$1421,$A19,Documents!$C$2:$C$1421,"kids")=0,"",maxifs(Documents!$E$2:$E$1421,Documents!$A$2:$A$1421,$A19,Documents!$C$2:$C$1421,"kids")),"")</f>
        <v/>
      </c>
      <c r="N19" s="0" t="str">
        <f aca="false">IFERROR(IF(maxifs(Documents!$E$2:$E$1421,Documents!$A$2:$A$1421,$A19,Documents!$C$2:$C$1421,"villa_plans")=0,"",maxifs(Documents!$E$2:$E$1421,Documents!$A$2:$A$1421,$A19,Documents!$C$2:$C$1421,"villa_plans")),"")</f>
        <v/>
      </c>
      <c r="O19" s="0" t="str">
        <f aca="false">IFERROR(IF(maxifs(Documents!$E$2:$E$1421,Documents!$A$2:$A$1421,$A19,Documents!$C$2:$C$1421,"all_inclusive")=0,"",maxifs(Documents!$E$2:$E$1421,Documents!$A$2:$A$1421,$A19,Documents!$C$2:$C$1421,"all_inclusive")),"")</f>
        <v/>
      </c>
      <c r="P19" s="0" t="str">
        <f aca="false">IFERROR(IF(maxifs(Documents!$E$2:$E$1421,Documents!$A$2:$A$1421,$A19,Documents!$C$2:$C$1421,"sustainability")=0,"",maxifs(Documents!$E$2:$E$1421,Documents!$A$2:$A$1421,$A19,Documents!$C$2:$C$1421,"sustainability")),"")</f>
        <v/>
      </c>
      <c r="Q19" s="0" t="str">
        <f aca="false">IFERROR(IF(maxifs(Documents!$E$2:$E$1421,Documents!$A$2:$A$1421,$A19,Documents!$C$2:$C$1421,"calendar")=0,"",maxifs(Documents!$E$2:$E$1421,Documents!$A$2:$A$1421,$A19,Documents!$C$2:$C$1421,"calendar")),"")</f>
        <v/>
      </c>
      <c r="R19" s="0" t="str">
        <f aca="false">IFERROR(IF(maxifs(Documents!$E$2:$E$1421,Documents!$A$2:$A$1421,$A19,Documents!$C$2:$C$1421,"brochure")=0,"",maxifs(Documents!$E$2:$E$1421,Documents!$A$2:$A$1421,$A19,Documents!$C$2:$C$1421,"brochure")),"")</f>
        <v/>
      </c>
      <c r="S19" s="0" t="str">
        <f aca="false">IFERROR(IF(maxifs(Documents!$E$2:$E$1421,Documents!$A$2:$A$1421,$A19,Documents!$C$2:$C$1421,"press_kit")=0,"",maxifs(Documents!$E$2:$E$1421,Documents!$A$2:$A$1421,$A19,Documents!$C$2:$C$1421,"press_kit")),"")</f>
        <v/>
      </c>
      <c r="T19" s="0" t="str">
        <f aca="false">IFERROR(IF(maxifs(Documents!$E$2:$E$1421,Documents!$A$2:$A$1421,$A19,Documents!$C$2:$C$1421,"other")=0,"",maxifs(Documents!$E$2:$E$1421,Documents!$A$2:$A$1421,$A19,Documents!$C$2:$C$1421,"other")),"")</f>
        <v/>
      </c>
      <c r="U19" s="0" t="str">
        <f aca="false">IFERROR(IF(maxifs(Documents!$E$2:$E$1421,Documents!$A$2:$A$1421,$A19,Documents!$C$2:$C$1421,"obsolete")=0,"",maxifs(Documents!$E$2:$E$1421,Documents!$A$2:$A$1421,$A19,Documents!$C$2:$C$1421,"obsolete")),"")</f>
        <v/>
      </c>
      <c r="V19" s="0" t="n">
        <f aca="false">COUNTIFS(Documents!$A$2:$A$1421,$A19)</f>
        <v>2</v>
      </c>
      <c r="W19" s="0" t="n">
        <f aca="false">COUNTIFS(Documents!$A$2:$A$1421,$A19,Documents!$R$2:$R$1421,"current")</f>
        <v>1</v>
      </c>
      <c r="X19" s="0" t="str">
        <f aca="false">HYPERLINK("https://www.neoscapesmaldives.com/wp-content/uploads/JW-Marriott-Maldives-Resort-Spa-Factsheet-2023.pdf","2023_JW-Marriott-Maldives-Resort-Spa-Fac")</f>
        <v>2023_JW-Marriott-Maldives-Resort-Spa-Fac</v>
      </c>
      <c r="Y19" s="0" t="s">
        <v>28</v>
      </c>
    </row>
    <row r="20" customFormat="false" ht="15" hidden="false" customHeight="false" outlineLevel="0" collapsed="false">
      <c r="A20" s="0" t="n">
        <v>19</v>
      </c>
      <c r="B20" s="0" t="s">
        <v>55</v>
      </c>
      <c r="C20" s="0" t="s">
        <v>33</v>
      </c>
      <c r="D20" s="0" t="str">
        <f aca="false">IFERROR(IF(maxifs(Documents!$E$2:$E$1421,Documents!$A$2:$A$1421,$A20,Documents!$C$2:$C$1421,"factsheet")=0,"",maxifs(Documents!$E$2:$E$1421,Documents!$A$2:$A$1421,$A20,Documents!$C$2:$C$1421,"factsheet")),"")</f>
        <v/>
      </c>
      <c r="E20" s="0" t="str">
        <f aca="false">IFERROR(IF(maxifs(Documents!$E$2:$E$1421,Documents!$A$2:$A$1421,$A20,Documents!$C$2:$C$1421,"wedding")=0,"",maxifs(Documents!$E$2:$E$1421,Documents!$A$2:$A$1421,$A20,Documents!$C$2:$C$1421,"wedding")),"")</f>
        <v/>
      </c>
      <c r="F20" s="0" t="str">
        <f aca="false">IFERROR(IF(maxifs(Documents!$E$2:$E$1421,Documents!$A$2:$A$1421,$A20,Documents!$C$2:$C$1421,"events")=0,"",maxifs(Documents!$E$2:$E$1421,Documents!$A$2:$A$1421,$A20,Documents!$C$2:$C$1421,"events")),"")</f>
        <v/>
      </c>
      <c r="G20" s="0" t="str">
        <f aca="false">IFERROR(IF(maxifs(Documents!$E$2:$E$1421,Documents!$A$2:$A$1421,$A20,Documents!$C$2:$C$1421,"map")=0,"",maxifs(Documents!$E$2:$E$1421,Documents!$A$2:$A$1421,$A20,Documents!$C$2:$C$1421,"map")),"")</f>
        <v/>
      </c>
      <c r="H20" s="0" t="str">
        <f aca="false">IFERROR(IF(maxifs(Documents!$E$2:$E$1421,Documents!$A$2:$A$1421,$A20,Documents!$C$2:$C$1421,"dive_map")=0,"",maxifs(Documents!$E$2:$E$1421,Documents!$A$2:$A$1421,$A20,Documents!$C$2:$C$1421,"dive_map")),"")</f>
        <v/>
      </c>
      <c r="I20" s="0" t="str">
        <f aca="false">IFERROR(IF(maxifs(Documents!$E$2:$E$1421,Documents!$A$2:$A$1421,$A20,Documents!$C$2:$C$1421,"spa_menu")=0,"",maxifs(Documents!$E$2:$E$1421,Documents!$A$2:$A$1421,$A20,Documents!$C$2:$C$1421,"spa_menu")),"")</f>
        <v/>
      </c>
      <c r="J20" s="0" t="str">
        <f aca="false">IFERROR(IF(maxifs(Documents!$E$2:$E$1421,Documents!$A$2:$A$1421,$A20,Documents!$C$2:$C$1421,"dining_menu")=0,"",maxifs(Documents!$E$2:$E$1421,Documents!$A$2:$A$1421,$A20,Documents!$C$2:$C$1421,"dining_menu")),"")</f>
        <v/>
      </c>
      <c r="K20" s="0" t="str">
        <f aca="false">IFERROR(IF(maxifs(Documents!$E$2:$E$1421,Documents!$A$2:$A$1421,$A20,Documents!$C$2:$C$1421,"dive_prices")=0,"",maxifs(Documents!$E$2:$E$1421,Documents!$A$2:$A$1421,$A20,Documents!$C$2:$C$1421,"dive_prices")),"")</f>
        <v/>
      </c>
      <c r="L20" s="0" t="str">
        <f aca="false">IFERROR(IF(maxifs(Documents!$E$2:$E$1421,Documents!$A$2:$A$1421,$A20,Documents!$C$2:$C$1421,"excursions")=0,"",maxifs(Documents!$E$2:$E$1421,Documents!$A$2:$A$1421,$A20,Documents!$C$2:$C$1421,"excursions")),"")</f>
        <v/>
      </c>
      <c r="M20" s="0" t="str">
        <f aca="false">IFERROR(IF(maxifs(Documents!$E$2:$E$1421,Documents!$A$2:$A$1421,$A20,Documents!$C$2:$C$1421,"kids")=0,"",maxifs(Documents!$E$2:$E$1421,Documents!$A$2:$A$1421,$A20,Documents!$C$2:$C$1421,"kids")),"")</f>
        <v/>
      </c>
      <c r="N20" s="0" t="str">
        <f aca="false">IFERROR(IF(maxifs(Documents!$E$2:$E$1421,Documents!$A$2:$A$1421,$A20,Documents!$C$2:$C$1421,"villa_plans")=0,"",maxifs(Documents!$E$2:$E$1421,Documents!$A$2:$A$1421,$A20,Documents!$C$2:$C$1421,"villa_plans")),"")</f>
        <v/>
      </c>
      <c r="O20" s="0" t="str">
        <f aca="false">IFERROR(IF(maxifs(Documents!$E$2:$E$1421,Documents!$A$2:$A$1421,$A20,Documents!$C$2:$C$1421,"all_inclusive")=0,"",maxifs(Documents!$E$2:$E$1421,Documents!$A$2:$A$1421,$A20,Documents!$C$2:$C$1421,"all_inclusive")),"")</f>
        <v/>
      </c>
      <c r="P20" s="0" t="str">
        <f aca="false">IFERROR(IF(maxifs(Documents!$E$2:$E$1421,Documents!$A$2:$A$1421,$A20,Documents!$C$2:$C$1421,"sustainability")=0,"",maxifs(Documents!$E$2:$E$1421,Documents!$A$2:$A$1421,$A20,Documents!$C$2:$C$1421,"sustainability")),"")</f>
        <v/>
      </c>
      <c r="Q20" s="0" t="str">
        <f aca="false">IFERROR(IF(maxifs(Documents!$E$2:$E$1421,Documents!$A$2:$A$1421,$A20,Documents!$C$2:$C$1421,"calendar")=0,"",maxifs(Documents!$E$2:$E$1421,Documents!$A$2:$A$1421,$A20,Documents!$C$2:$C$1421,"calendar")),"")</f>
        <v/>
      </c>
      <c r="R20" s="0" t="str">
        <f aca="false">IFERROR(IF(maxifs(Documents!$E$2:$E$1421,Documents!$A$2:$A$1421,$A20,Documents!$C$2:$C$1421,"brochure")=0,"",maxifs(Documents!$E$2:$E$1421,Documents!$A$2:$A$1421,$A20,Documents!$C$2:$C$1421,"brochure")),"")</f>
        <v/>
      </c>
      <c r="S20" s="0" t="str">
        <f aca="false">IFERROR(IF(maxifs(Documents!$E$2:$E$1421,Documents!$A$2:$A$1421,$A20,Documents!$C$2:$C$1421,"press_kit")=0,"",maxifs(Documents!$E$2:$E$1421,Documents!$A$2:$A$1421,$A20,Documents!$C$2:$C$1421,"press_kit")),"")</f>
        <v/>
      </c>
      <c r="T20" s="0" t="str">
        <f aca="false">IFERROR(IF(maxifs(Documents!$E$2:$E$1421,Documents!$A$2:$A$1421,$A20,Documents!$C$2:$C$1421,"other")=0,"",maxifs(Documents!$E$2:$E$1421,Documents!$A$2:$A$1421,$A20,Documents!$C$2:$C$1421,"other")),"")</f>
        <v/>
      </c>
      <c r="U20" s="0" t="str">
        <f aca="false">IFERROR(IF(maxifs(Documents!$E$2:$E$1421,Documents!$A$2:$A$1421,$A20,Documents!$C$2:$C$1421,"obsolete")=0,"",maxifs(Documents!$E$2:$E$1421,Documents!$A$2:$A$1421,$A20,Documents!$C$2:$C$1421,"obsolete")),"")</f>
        <v/>
      </c>
      <c r="V20" s="0" t="n">
        <f aca="false">COUNTIFS(Documents!$A$2:$A$1421,$A20)</f>
        <v>20</v>
      </c>
      <c r="W20" s="0" t="n">
        <f aca="false">COUNTIFS(Documents!$A$2:$A$1421,$A20,Documents!$R$2:$R$1421,"current")</f>
        <v>13</v>
      </c>
      <c r="Y20" s="0" t="s">
        <v>56</v>
      </c>
    </row>
    <row r="21" customFormat="false" ht="15" hidden="false" customHeight="false" outlineLevel="0" collapsed="false">
      <c r="A21" s="0" t="n">
        <v>20</v>
      </c>
      <c r="B21" s="0" t="s">
        <v>57</v>
      </c>
      <c r="C21" s="0" t="s">
        <v>33</v>
      </c>
      <c r="D21" s="0" t="str">
        <f aca="false">IFERROR(IF(maxifs(Documents!$E$2:$E$1421,Documents!$A$2:$A$1421,$A21,Documents!$C$2:$C$1421,"factsheet")=0,"",maxifs(Documents!$E$2:$E$1421,Documents!$A$2:$A$1421,$A21,Documents!$C$2:$C$1421,"factsheet")),"")</f>
        <v/>
      </c>
      <c r="E21" s="0" t="str">
        <f aca="false">IFERROR(IF(maxifs(Documents!$E$2:$E$1421,Documents!$A$2:$A$1421,$A21,Documents!$C$2:$C$1421,"wedding")=0,"",maxifs(Documents!$E$2:$E$1421,Documents!$A$2:$A$1421,$A21,Documents!$C$2:$C$1421,"wedding")),"")</f>
        <v/>
      </c>
      <c r="F21" s="0" t="str">
        <f aca="false">IFERROR(IF(maxifs(Documents!$E$2:$E$1421,Documents!$A$2:$A$1421,$A21,Documents!$C$2:$C$1421,"events")=0,"",maxifs(Documents!$E$2:$E$1421,Documents!$A$2:$A$1421,$A21,Documents!$C$2:$C$1421,"events")),"")</f>
        <v/>
      </c>
      <c r="G21" s="0" t="str">
        <f aca="false">IFERROR(IF(maxifs(Documents!$E$2:$E$1421,Documents!$A$2:$A$1421,$A21,Documents!$C$2:$C$1421,"map")=0,"",maxifs(Documents!$E$2:$E$1421,Documents!$A$2:$A$1421,$A21,Documents!$C$2:$C$1421,"map")),"")</f>
        <v/>
      </c>
      <c r="H21" s="0" t="str">
        <f aca="false">IFERROR(IF(maxifs(Documents!$E$2:$E$1421,Documents!$A$2:$A$1421,$A21,Documents!$C$2:$C$1421,"dive_map")=0,"",maxifs(Documents!$E$2:$E$1421,Documents!$A$2:$A$1421,$A21,Documents!$C$2:$C$1421,"dive_map")),"")</f>
        <v/>
      </c>
      <c r="I21" s="0" t="str">
        <f aca="false">IFERROR(IF(maxifs(Documents!$E$2:$E$1421,Documents!$A$2:$A$1421,$A21,Documents!$C$2:$C$1421,"spa_menu")=0,"",maxifs(Documents!$E$2:$E$1421,Documents!$A$2:$A$1421,$A21,Documents!$C$2:$C$1421,"spa_menu")),"")</f>
        <v/>
      </c>
      <c r="J21" s="0" t="str">
        <f aca="false">IFERROR(IF(maxifs(Documents!$E$2:$E$1421,Documents!$A$2:$A$1421,$A21,Documents!$C$2:$C$1421,"dining_menu")=0,"",maxifs(Documents!$E$2:$E$1421,Documents!$A$2:$A$1421,$A21,Documents!$C$2:$C$1421,"dining_menu")),"")</f>
        <v/>
      </c>
      <c r="K21" s="0" t="str">
        <f aca="false">IFERROR(IF(maxifs(Documents!$E$2:$E$1421,Documents!$A$2:$A$1421,$A21,Documents!$C$2:$C$1421,"dive_prices")=0,"",maxifs(Documents!$E$2:$E$1421,Documents!$A$2:$A$1421,$A21,Documents!$C$2:$C$1421,"dive_prices")),"")</f>
        <v/>
      </c>
      <c r="L21" s="0" t="str">
        <f aca="false">IFERROR(IF(maxifs(Documents!$E$2:$E$1421,Documents!$A$2:$A$1421,$A21,Documents!$C$2:$C$1421,"excursions")=0,"",maxifs(Documents!$E$2:$E$1421,Documents!$A$2:$A$1421,$A21,Documents!$C$2:$C$1421,"excursions")),"")</f>
        <v/>
      </c>
      <c r="M21" s="0" t="str">
        <f aca="false">IFERROR(IF(maxifs(Documents!$E$2:$E$1421,Documents!$A$2:$A$1421,$A21,Documents!$C$2:$C$1421,"kids")=0,"",maxifs(Documents!$E$2:$E$1421,Documents!$A$2:$A$1421,$A21,Documents!$C$2:$C$1421,"kids")),"")</f>
        <v/>
      </c>
      <c r="N21" s="0" t="str">
        <f aca="false">IFERROR(IF(maxifs(Documents!$E$2:$E$1421,Documents!$A$2:$A$1421,$A21,Documents!$C$2:$C$1421,"villa_plans")=0,"",maxifs(Documents!$E$2:$E$1421,Documents!$A$2:$A$1421,$A21,Documents!$C$2:$C$1421,"villa_plans")),"")</f>
        <v/>
      </c>
      <c r="O21" s="0" t="str">
        <f aca="false">IFERROR(IF(maxifs(Documents!$E$2:$E$1421,Documents!$A$2:$A$1421,$A21,Documents!$C$2:$C$1421,"all_inclusive")=0,"",maxifs(Documents!$E$2:$E$1421,Documents!$A$2:$A$1421,$A21,Documents!$C$2:$C$1421,"all_inclusive")),"")</f>
        <v/>
      </c>
      <c r="P21" s="0" t="str">
        <f aca="false">IFERROR(IF(maxifs(Documents!$E$2:$E$1421,Documents!$A$2:$A$1421,$A21,Documents!$C$2:$C$1421,"sustainability")=0,"",maxifs(Documents!$E$2:$E$1421,Documents!$A$2:$A$1421,$A21,Documents!$C$2:$C$1421,"sustainability")),"")</f>
        <v/>
      </c>
      <c r="Q21" s="0" t="str">
        <f aca="false">IFERROR(IF(maxifs(Documents!$E$2:$E$1421,Documents!$A$2:$A$1421,$A21,Documents!$C$2:$C$1421,"calendar")=0,"",maxifs(Documents!$E$2:$E$1421,Documents!$A$2:$A$1421,$A21,Documents!$C$2:$C$1421,"calendar")),"")</f>
        <v/>
      </c>
      <c r="R21" s="0" t="str">
        <f aca="false">IFERROR(IF(maxifs(Documents!$E$2:$E$1421,Documents!$A$2:$A$1421,$A21,Documents!$C$2:$C$1421,"brochure")=0,"",maxifs(Documents!$E$2:$E$1421,Documents!$A$2:$A$1421,$A21,Documents!$C$2:$C$1421,"brochure")),"")</f>
        <v/>
      </c>
      <c r="S21" s="0" t="str">
        <f aca="false">IFERROR(IF(maxifs(Documents!$E$2:$E$1421,Documents!$A$2:$A$1421,$A21,Documents!$C$2:$C$1421,"press_kit")=0,"",maxifs(Documents!$E$2:$E$1421,Documents!$A$2:$A$1421,$A21,Documents!$C$2:$C$1421,"press_kit")),"")</f>
        <v/>
      </c>
      <c r="T21" s="0" t="str">
        <f aca="false">IFERROR(IF(maxifs(Documents!$E$2:$E$1421,Documents!$A$2:$A$1421,$A21,Documents!$C$2:$C$1421,"other")=0,"",maxifs(Documents!$E$2:$E$1421,Documents!$A$2:$A$1421,$A21,Documents!$C$2:$C$1421,"other")),"")</f>
        <v/>
      </c>
      <c r="U21" s="0" t="str">
        <f aca="false">IFERROR(IF(maxifs(Documents!$E$2:$E$1421,Documents!$A$2:$A$1421,$A21,Documents!$C$2:$C$1421,"obsolete")=0,"",maxifs(Documents!$E$2:$E$1421,Documents!$A$2:$A$1421,$A21,Documents!$C$2:$C$1421,"obsolete")),"")</f>
        <v/>
      </c>
      <c r="V21" s="0" t="n">
        <f aca="false">COUNTIFS(Documents!$A$2:$A$1421,$A21)</f>
        <v>13</v>
      </c>
      <c r="W21" s="0" t="n">
        <f aca="false">COUNTIFS(Documents!$A$2:$A$1421,$A21,Documents!$R$2:$R$1421,"current")</f>
        <v>9</v>
      </c>
      <c r="Y21" s="0" t="s">
        <v>46</v>
      </c>
    </row>
    <row r="22" customFormat="false" ht="15" hidden="false" customHeight="false" outlineLevel="0" collapsed="false">
      <c r="A22" s="0" t="n">
        <v>21</v>
      </c>
      <c r="B22" s="0" t="s">
        <v>58</v>
      </c>
      <c r="C22" s="0" t="s">
        <v>33</v>
      </c>
      <c r="D22" s="0" t="str">
        <f aca="false">IFERROR(IF(maxifs(Documents!$E$2:$E$1421,Documents!$A$2:$A$1421,$A22,Documents!$C$2:$C$1421,"factsheet")=0,"",maxifs(Documents!$E$2:$E$1421,Documents!$A$2:$A$1421,$A22,Documents!$C$2:$C$1421,"factsheet")),"")</f>
        <v/>
      </c>
      <c r="E22" s="0" t="str">
        <f aca="false">IFERROR(IF(maxifs(Documents!$E$2:$E$1421,Documents!$A$2:$A$1421,$A22,Documents!$C$2:$C$1421,"wedding")=0,"",maxifs(Documents!$E$2:$E$1421,Documents!$A$2:$A$1421,$A22,Documents!$C$2:$C$1421,"wedding")),"")</f>
        <v/>
      </c>
      <c r="F22" s="0" t="str">
        <f aca="false">IFERROR(IF(maxifs(Documents!$E$2:$E$1421,Documents!$A$2:$A$1421,$A22,Documents!$C$2:$C$1421,"events")=0,"",maxifs(Documents!$E$2:$E$1421,Documents!$A$2:$A$1421,$A22,Documents!$C$2:$C$1421,"events")),"")</f>
        <v/>
      </c>
      <c r="G22" s="0" t="str">
        <f aca="false">IFERROR(IF(maxifs(Documents!$E$2:$E$1421,Documents!$A$2:$A$1421,$A22,Documents!$C$2:$C$1421,"map")=0,"",maxifs(Documents!$E$2:$E$1421,Documents!$A$2:$A$1421,$A22,Documents!$C$2:$C$1421,"map")),"")</f>
        <v/>
      </c>
      <c r="H22" s="0" t="str">
        <f aca="false">IFERROR(IF(maxifs(Documents!$E$2:$E$1421,Documents!$A$2:$A$1421,$A22,Documents!$C$2:$C$1421,"dive_map")=0,"",maxifs(Documents!$E$2:$E$1421,Documents!$A$2:$A$1421,$A22,Documents!$C$2:$C$1421,"dive_map")),"")</f>
        <v/>
      </c>
      <c r="I22" s="0" t="str">
        <f aca="false">IFERROR(IF(maxifs(Documents!$E$2:$E$1421,Documents!$A$2:$A$1421,$A22,Documents!$C$2:$C$1421,"spa_menu")=0,"",maxifs(Documents!$E$2:$E$1421,Documents!$A$2:$A$1421,$A22,Documents!$C$2:$C$1421,"spa_menu")),"")</f>
        <v/>
      </c>
      <c r="J22" s="0" t="str">
        <f aca="false">IFERROR(IF(maxifs(Documents!$E$2:$E$1421,Documents!$A$2:$A$1421,$A22,Documents!$C$2:$C$1421,"dining_menu")=0,"",maxifs(Documents!$E$2:$E$1421,Documents!$A$2:$A$1421,$A22,Documents!$C$2:$C$1421,"dining_menu")),"")</f>
        <v/>
      </c>
      <c r="K22" s="0" t="str">
        <f aca="false">IFERROR(IF(maxifs(Documents!$E$2:$E$1421,Documents!$A$2:$A$1421,$A22,Documents!$C$2:$C$1421,"dive_prices")=0,"",maxifs(Documents!$E$2:$E$1421,Documents!$A$2:$A$1421,$A22,Documents!$C$2:$C$1421,"dive_prices")),"")</f>
        <v/>
      </c>
      <c r="L22" s="0" t="str">
        <f aca="false">IFERROR(IF(maxifs(Documents!$E$2:$E$1421,Documents!$A$2:$A$1421,$A22,Documents!$C$2:$C$1421,"excursions")=0,"",maxifs(Documents!$E$2:$E$1421,Documents!$A$2:$A$1421,$A22,Documents!$C$2:$C$1421,"excursions")),"")</f>
        <v/>
      </c>
      <c r="M22" s="0" t="str">
        <f aca="false">IFERROR(IF(maxifs(Documents!$E$2:$E$1421,Documents!$A$2:$A$1421,$A22,Documents!$C$2:$C$1421,"kids")=0,"",maxifs(Documents!$E$2:$E$1421,Documents!$A$2:$A$1421,$A22,Documents!$C$2:$C$1421,"kids")),"")</f>
        <v/>
      </c>
      <c r="N22" s="0" t="str">
        <f aca="false">IFERROR(IF(maxifs(Documents!$E$2:$E$1421,Documents!$A$2:$A$1421,$A22,Documents!$C$2:$C$1421,"villa_plans")=0,"",maxifs(Documents!$E$2:$E$1421,Documents!$A$2:$A$1421,$A22,Documents!$C$2:$C$1421,"villa_plans")),"")</f>
        <v/>
      </c>
      <c r="O22" s="0" t="str">
        <f aca="false">IFERROR(IF(maxifs(Documents!$E$2:$E$1421,Documents!$A$2:$A$1421,$A22,Documents!$C$2:$C$1421,"all_inclusive")=0,"",maxifs(Documents!$E$2:$E$1421,Documents!$A$2:$A$1421,$A22,Documents!$C$2:$C$1421,"all_inclusive")),"")</f>
        <v/>
      </c>
      <c r="P22" s="0" t="str">
        <f aca="false">IFERROR(IF(maxifs(Documents!$E$2:$E$1421,Documents!$A$2:$A$1421,$A22,Documents!$C$2:$C$1421,"sustainability")=0,"",maxifs(Documents!$E$2:$E$1421,Documents!$A$2:$A$1421,$A22,Documents!$C$2:$C$1421,"sustainability")),"")</f>
        <v/>
      </c>
      <c r="Q22" s="0" t="str">
        <f aca="false">IFERROR(IF(maxifs(Documents!$E$2:$E$1421,Documents!$A$2:$A$1421,$A22,Documents!$C$2:$C$1421,"calendar")=0,"",maxifs(Documents!$E$2:$E$1421,Documents!$A$2:$A$1421,$A22,Documents!$C$2:$C$1421,"calendar")),"")</f>
        <v/>
      </c>
      <c r="R22" s="0" t="str">
        <f aca="false">IFERROR(IF(maxifs(Documents!$E$2:$E$1421,Documents!$A$2:$A$1421,$A22,Documents!$C$2:$C$1421,"brochure")=0,"",maxifs(Documents!$E$2:$E$1421,Documents!$A$2:$A$1421,$A22,Documents!$C$2:$C$1421,"brochure")),"")</f>
        <v/>
      </c>
      <c r="S22" s="0" t="str">
        <f aca="false">IFERROR(IF(maxifs(Documents!$E$2:$E$1421,Documents!$A$2:$A$1421,$A22,Documents!$C$2:$C$1421,"press_kit")=0,"",maxifs(Documents!$E$2:$E$1421,Documents!$A$2:$A$1421,$A22,Documents!$C$2:$C$1421,"press_kit")),"")</f>
        <v/>
      </c>
      <c r="T22" s="0" t="str">
        <f aca="false">IFERROR(IF(maxifs(Documents!$E$2:$E$1421,Documents!$A$2:$A$1421,$A22,Documents!$C$2:$C$1421,"other")=0,"",maxifs(Documents!$E$2:$E$1421,Documents!$A$2:$A$1421,$A22,Documents!$C$2:$C$1421,"other")),"")</f>
        <v/>
      </c>
      <c r="U22" s="0" t="str">
        <f aca="false">IFERROR(IF(maxifs(Documents!$E$2:$E$1421,Documents!$A$2:$A$1421,$A22,Documents!$C$2:$C$1421,"obsolete")=0,"",maxifs(Documents!$E$2:$E$1421,Documents!$A$2:$A$1421,$A22,Documents!$C$2:$C$1421,"obsolete")),"")</f>
        <v/>
      </c>
      <c r="V22" s="0" t="n">
        <f aca="false">COUNTIFS(Documents!$A$2:$A$1421,$A22)</f>
        <v>10</v>
      </c>
      <c r="W22" s="0" t="n">
        <f aca="false">COUNTIFS(Documents!$A$2:$A$1421,$A22,Documents!$R$2:$R$1421,"current")</f>
        <v>7</v>
      </c>
      <c r="X22" s="0" t="str">
        <f aca="false">HYPERLINK("https://www.neoscapesmaldives.com/wp-content/uploads/English-Fact-Sheet-Resort-Map.pdf","2025_English-Fact-Sheet-Resort-Map.pdf")</f>
        <v>2025_English-Fact-Sheet-Resort-Map.pdf</v>
      </c>
      <c r="Y22" s="0" t="s">
        <v>28</v>
      </c>
    </row>
    <row r="23" customFormat="false" ht="15" hidden="false" customHeight="false" outlineLevel="0" collapsed="false">
      <c r="A23" s="0" t="n">
        <v>22</v>
      </c>
      <c r="B23" s="0" t="s">
        <v>59</v>
      </c>
      <c r="C23" s="0" t="s">
        <v>30</v>
      </c>
      <c r="D23" s="0" t="str">
        <f aca="false">IFERROR(IF(maxifs(Documents!$E$2:$E$1421,Documents!$A$2:$A$1421,$A23,Documents!$C$2:$C$1421,"factsheet")=0,"",maxifs(Documents!$E$2:$E$1421,Documents!$A$2:$A$1421,$A23,Documents!$C$2:$C$1421,"factsheet")),"")</f>
        <v/>
      </c>
      <c r="E23" s="0" t="str">
        <f aca="false">IFERROR(IF(maxifs(Documents!$E$2:$E$1421,Documents!$A$2:$A$1421,$A23,Documents!$C$2:$C$1421,"wedding")=0,"",maxifs(Documents!$E$2:$E$1421,Documents!$A$2:$A$1421,$A23,Documents!$C$2:$C$1421,"wedding")),"")</f>
        <v/>
      </c>
      <c r="F23" s="0" t="str">
        <f aca="false">IFERROR(IF(maxifs(Documents!$E$2:$E$1421,Documents!$A$2:$A$1421,$A23,Documents!$C$2:$C$1421,"events")=0,"",maxifs(Documents!$E$2:$E$1421,Documents!$A$2:$A$1421,$A23,Documents!$C$2:$C$1421,"events")),"")</f>
        <v/>
      </c>
      <c r="G23" s="0" t="str">
        <f aca="false">IFERROR(IF(maxifs(Documents!$E$2:$E$1421,Documents!$A$2:$A$1421,$A23,Documents!$C$2:$C$1421,"map")=0,"",maxifs(Documents!$E$2:$E$1421,Documents!$A$2:$A$1421,$A23,Documents!$C$2:$C$1421,"map")),"")</f>
        <v/>
      </c>
      <c r="H23" s="0" t="str">
        <f aca="false">IFERROR(IF(maxifs(Documents!$E$2:$E$1421,Documents!$A$2:$A$1421,$A23,Documents!$C$2:$C$1421,"dive_map")=0,"",maxifs(Documents!$E$2:$E$1421,Documents!$A$2:$A$1421,$A23,Documents!$C$2:$C$1421,"dive_map")),"")</f>
        <v/>
      </c>
      <c r="I23" s="0" t="str">
        <f aca="false">IFERROR(IF(maxifs(Documents!$E$2:$E$1421,Documents!$A$2:$A$1421,$A23,Documents!$C$2:$C$1421,"spa_menu")=0,"",maxifs(Documents!$E$2:$E$1421,Documents!$A$2:$A$1421,$A23,Documents!$C$2:$C$1421,"spa_menu")),"")</f>
        <v/>
      </c>
      <c r="J23" s="0" t="str">
        <f aca="false">IFERROR(IF(maxifs(Documents!$E$2:$E$1421,Documents!$A$2:$A$1421,$A23,Documents!$C$2:$C$1421,"dining_menu")=0,"",maxifs(Documents!$E$2:$E$1421,Documents!$A$2:$A$1421,$A23,Documents!$C$2:$C$1421,"dining_menu")),"")</f>
        <v/>
      </c>
      <c r="K23" s="0" t="str">
        <f aca="false">IFERROR(IF(maxifs(Documents!$E$2:$E$1421,Documents!$A$2:$A$1421,$A23,Documents!$C$2:$C$1421,"dive_prices")=0,"",maxifs(Documents!$E$2:$E$1421,Documents!$A$2:$A$1421,$A23,Documents!$C$2:$C$1421,"dive_prices")),"")</f>
        <v/>
      </c>
      <c r="L23" s="0" t="str">
        <f aca="false">IFERROR(IF(maxifs(Documents!$E$2:$E$1421,Documents!$A$2:$A$1421,$A23,Documents!$C$2:$C$1421,"excursions")=0,"",maxifs(Documents!$E$2:$E$1421,Documents!$A$2:$A$1421,$A23,Documents!$C$2:$C$1421,"excursions")),"")</f>
        <v/>
      </c>
      <c r="M23" s="0" t="str">
        <f aca="false">IFERROR(IF(maxifs(Documents!$E$2:$E$1421,Documents!$A$2:$A$1421,$A23,Documents!$C$2:$C$1421,"kids")=0,"",maxifs(Documents!$E$2:$E$1421,Documents!$A$2:$A$1421,$A23,Documents!$C$2:$C$1421,"kids")),"")</f>
        <v/>
      </c>
      <c r="N23" s="0" t="str">
        <f aca="false">IFERROR(IF(maxifs(Documents!$E$2:$E$1421,Documents!$A$2:$A$1421,$A23,Documents!$C$2:$C$1421,"villa_plans")=0,"",maxifs(Documents!$E$2:$E$1421,Documents!$A$2:$A$1421,$A23,Documents!$C$2:$C$1421,"villa_plans")),"")</f>
        <v/>
      </c>
      <c r="O23" s="0" t="str">
        <f aca="false">IFERROR(IF(maxifs(Documents!$E$2:$E$1421,Documents!$A$2:$A$1421,$A23,Documents!$C$2:$C$1421,"all_inclusive")=0,"",maxifs(Documents!$E$2:$E$1421,Documents!$A$2:$A$1421,$A23,Documents!$C$2:$C$1421,"all_inclusive")),"")</f>
        <v/>
      </c>
      <c r="P23" s="0" t="str">
        <f aca="false">IFERROR(IF(maxifs(Documents!$E$2:$E$1421,Documents!$A$2:$A$1421,$A23,Documents!$C$2:$C$1421,"sustainability")=0,"",maxifs(Documents!$E$2:$E$1421,Documents!$A$2:$A$1421,$A23,Documents!$C$2:$C$1421,"sustainability")),"")</f>
        <v/>
      </c>
      <c r="Q23" s="0" t="str">
        <f aca="false">IFERROR(IF(maxifs(Documents!$E$2:$E$1421,Documents!$A$2:$A$1421,$A23,Documents!$C$2:$C$1421,"calendar")=0,"",maxifs(Documents!$E$2:$E$1421,Documents!$A$2:$A$1421,$A23,Documents!$C$2:$C$1421,"calendar")),"")</f>
        <v/>
      </c>
      <c r="R23" s="0" t="str">
        <f aca="false">IFERROR(IF(maxifs(Documents!$E$2:$E$1421,Documents!$A$2:$A$1421,$A23,Documents!$C$2:$C$1421,"brochure")=0,"",maxifs(Documents!$E$2:$E$1421,Documents!$A$2:$A$1421,$A23,Documents!$C$2:$C$1421,"brochure")),"")</f>
        <v/>
      </c>
      <c r="S23" s="0" t="str">
        <f aca="false">IFERROR(IF(maxifs(Documents!$E$2:$E$1421,Documents!$A$2:$A$1421,$A23,Documents!$C$2:$C$1421,"press_kit")=0,"",maxifs(Documents!$E$2:$E$1421,Documents!$A$2:$A$1421,$A23,Documents!$C$2:$C$1421,"press_kit")),"")</f>
        <v/>
      </c>
      <c r="T23" s="0" t="str">
        <f aca="false">IFERROR(IF(maxifs(Documents!$E$2:$E$1421,Documents!$A$2:$A$1421,$A23,Documents!$C$2:$C$1421,"other")=0,"",maxifs(Documents!$E$2:$E$1421,Documents!$A$2:$A$1421,$A23,Documents!$C$2:$C$1421,"other")),"")</f>
        <v/>
      </c>
      <c r="U23" s="0" t="str">
        <f aca="false">IFERROR(IF(maxifs(Documents!$E$2:$E$1421,Documents!$A$2:$A$1421,$A23,Documents!$C$2:$C$1421,"obsolete")=0,"",maxifs(Documents!$E$2:$E$1421,Documents!$A$2:$A$1421,$A23,Documents!$C$2:$C$1421,"obsolete")),"")</f>
        <v/>
      </c>
      <c r="V23" s="0" t="n">
        <f aca="false">COUNTIFS(Documents!$A$2:$A$1421,$A23)</f>
        <v>2</v>
      </c>
      <c r="W23" s="0" t="n">
        <f aca="false">COUNTIFS(Documents!$A$2:$A$1421,$A23,Documents!$R$2:$R$1421,"current")</f>
        <v>2</v>
      </c>
      <c r="X23" s="0" t="str">
        <f aca="false">HYPERLINK("https://www.neoscapesmaldives.com/wp-content/uploads/Factsheet_MWLM_March2026_Digital-updated.pdf","2026_Factsheet_MWLM_March2026_Digital-up")</f>
        <v>2026_Factsheet_MWLM_March2026_Digital-up</v>
      </c>
      <c r="Y23" s="0" t="s">
        <v>28</v>
      </c>
      <c r="Z23" s="0" t="s">
        <v>60</v>
      </c>
    </row>
    <row r="24" customFormat="false" ht="15" hidden="false" customHeight="false" outlineLevel="0" collapsed="false">
      <c r="A24" s="0" t="n">
        <v>23</v>
      </c>
      <c r="B24" s="0" t="s">
        <v>61</v>
      </c>
      <c r="C24" s="0" t="s">
        <v>39</v>
      </c>
      <c r="D24" s="0" t="str">
        <f aca="false">IFERROR(IF(maxifs(Documents!$E$2:$E$1421,Documents!$A$2:$A$1421,$A24,Documents!$C$2:$C$1421,"factsheet")=0,"",maxifs(Documents!$E$2:$E$1421,Documents!$A$2:$A$1421,$A24,Documents!$C$2:$C$1421,"factsheet")),"")</f>
        <v/>
      </c>
      <c r="E24" s="0" t="str">
        <f aca="false">IFERROR(IF(maxifs(Documents!$E$2:$E$1421,Documents!$A$2:$A$1421,$A24,Documents!$C$2:$C$1421,"wedding")=0,"",maxifs(Documents!$E$2:$E$1421,Documents!$A$2:$A$1421,$A24,Documents!$C$2:$C$1421,"wedding")),"")</f>
        <v/>
      </c>
      <c r="F24" s="0" t="str">
        <f aca="false">IFERROR(IF(maxifs(Documents!$E$2:$E$1421,Documents!$A$2:$A$1421,$A24,Documents!$C$2:$C$1421,"events")=0,"",maxifs(Documents!$E$2:$E$1421,Documents!$A$2:$A$1421,$A24,Documents!$C$2:$C$1421,"events")),"")</f>
        <v/>
      </c>
      <c r="G24" s="0" t="str">
        <f aca="false">IFERROR(IF(maxifs(Documents!$E$2:$E$1421,Documents!$A$2:$A$1421,$A24,Documents!$C$2:$C$1421,"map")=0,"",maxifs(Documents!$E$2:$E$1421,Documents!$A$2:$A$1421,$A24,Documents!$C$2:$C$1421,"map")),"")</f>
        <v/>
      </c>
      <c r="H24" s="0" t="str">
        <f aca="false">IFERROR(IF(maxifs(Documents!$E$2:$E$1421,Documents!$A$2:$A$1421,$A24,Documents!$C$2:$C$1421,"dive_map")=0,"",maxifs(Documents!$E$2:$E$1421,Documents!$A$2:$A$1421,$A24,Documents!$C$2:$C$1421,"dive_map")),"")</f>
        <v/>
      </c>
      <c r="I24" s="0" t="str">
        <f aca="false">IFERROR(IF(maxifs(Documents!$E$2:$E$1421,Documents!$A$2:$A$1421,$A24,Documents!$C$2:$C$1421,"spa_menu")=0,"",maxifs(Documents!$E$2:$E$1421,Documents!$A$2:$A$1421,$A24,Documents!$C$2:$C$1421,"spa_menu")),"")</f>
        <v/>
      </c>
      <c r="J24" s="0" t="str">
        <f aca="false">IFERROR(IF(maxifs(Documents!$E$2:$E$1421,Documents!$A$2:$A$1421,$A24,Documents!$C$2:$C$1421,"dining_menu")=0,"",maxifs(Documents!$E$2:$E$1421,Documents!$A$2:$A$1421,$A24,Documents!$C$2:$C$1421,"dining_menu")),"")</f>
        <v/>
      </c>
      <c r="K24" s="0" t="str">
        <f aca="false">IFERROR(IF(maxifs(Documents!$E$2:$E$1421,Documents!$A$2:$A$1421,$A24,Documents!$C$2:$C$1421,"dive_prices")=0,"",maxifs(Documents!$E$2:$E$1421,Documents!$A$2:$A$1421,$A24,Documents!$C$2:$C$1421,"dive_prices")),"")</f>
        <v/>
      </c>
      <c r="L24" s="0" t="str">
        <f aca="false">IFERROR(IF(maxifs(Documents!$E$2:$E$1421,Documents!$A$2:$A$1421,$A24,Documents!$C$2:$C$1421,"excursions")=0,"",maxifs(Documents!$E$2:$E$1421,Documents!$A$2:$A$1421,$A24,Documents!$C$2:$C$1421,"excursions")),"")</f>
        <v/>
      </c>
      <c r="M24" s="0" t="str">
        <f aca="false">IFERROR(IF(maxifs(Documents!$E$2:$E$1421,Documents!$A$2:$A$1421,$A24,Documents!$C$2:$C$1421,"kids")=0,"",maxifs(Documents!$E$2:$E$1421,Documents!$A$2:$A$1421,$A24,Documents!$C$2:$C$1421,"kids")),"")</f>
        <v/>
      </c>
      <c r="N24" s="0" t="str">
        <f aca="false">IFERROR(IF(maxifs(Documents!$E$2:$E$1421,Documents!$A$2:$A$1421,$A24,Documents!$C$2:$C$1421,"villa_plans")=0,"",maxifs(Documents!$E$2:$E$1421,Documents!$A$2:$A$1421,$A24,Documents!$C$2:$C$1421,"villa_plans")),"")</f>
        <v/>
      </c>
      <c r="O24" s="0" t="str">
        <f aca="false">IFERROR(IF(maxifs(Documents!$E$2:$E$1421,Documents!$A$2:$A$1421,$A24,Documents!$C$2:$C$1421,"all_inclusive")=0,"",maxifs(Documents!$E$2:$E$1421,Documents!$A$2:$A$1421,$A24,Documents!$C$2:$C$1421,"all_inclusive")),"")</f>
        <v/>
      </c>
      <c r="P24" s="0" t="str">
        <f aca="false">IFERROR(IF(maxifs(Documents!$E$2:$E$1421,Documents!$A$2:$A$1421,$A24,Documents!$C$2:$C$1421,"sustainability")=0,"",maxifs(Documents!$E$2:$E$1421,Documents!$A$2:$A$1421,$A24,Documents!$C$2:$C$1421,"sustainability")),"")</f>
        <v/>
      </c>
      <c r="Q24" s="0" t="str">
        <f aca="false">IFERROR(IF(maxifs(Documents!$E$2:$E$1421,Documents!$A$2:$A$1421,$A24,Documents!$C$2:$C$1421,"calendar")=0,"",maxifs(Documents!$E$2:$E$1421,Documents!$A$2:$A$1421,$A24,Documents!$C$2:$C$1421,"calendar")),"")</f>
        <v/>
      </c>
      <c r="R24" s="0" t="str">
        <f aca="false">IFERROR(IF(maxifs(Documents!$E$2:$E$1421,Documents!$A$2:$A$1421,$A24,Documents!$C$2:$C$1421,"brochure")=0,"",maxifs(Documents!$E$2:$E$1421,Documents!$A$2:$A$1421,$A24,Documents!$C$2:$C$1421,"brochure")),"")</f>
        <v/>
      </c>
      <c r="S24" s="0" t="str">
        <f aca="false">IFERROR(IF(maxifs(Documents!$E$2:$E$1421,Documents!$A$2:$A$1421,$A24,Documents!$C$2:$C$1421,"press_kit")=0,"",maxifs(Documents!$E$2:$E$1421,Documents!$A$2:$A$1421,$A24,Documents!$C$2:$C$1421,"press_kit")),"")</f>
        <v/>
      </c>
      <c r="T24" s="0" t="str">
        <f aca="false">IFERROR(IF(maxifs(Documents!$E$2:$E$1421,Documents!$A$2:$A$1421,$A24,Documents!$C$2:$C$1421,"other")=0,"",maxifs(Documents!$E$2:$E$1421,Documents!$A$2:$A$1421,$A24,Documents!$C$2:$C$1421,"other")),"")</f>
        <v/>
      </c>
      <c r="U24" s="0" t="str">
        <f aca="false">IFERROR(IF(maxifs(Documents!$E$2:$E$1421,Documents!$A$2:$A$1421,$A24,Documents!$C$2:$C$1421,"obsolete")=0,"",maxifs(Documents!$E$2:$E$1421,Documents!$A$2:$A$1421,$A24,Documents!$C$2:$C$1421,"obsolete")),"")</f>
        <v/>
      </c>
      <c r="V24" s="0" t="n">
        <f aca="false">COUNTIFS(Documents!$A$2:$A$1421,$A24)</f>
        <v>3</v>
      </c>
      <c r="W24" s="0" t="n">
        <f aca="false">COUNTIFS(Documents!$A$2:$A$1421,$A24,Documents!$R$2:$R$1421,"current")</f>
        <v>1</v>
      </c>
      <c r="X24" s="0" t="str">
        <f aca="false">HYPERLINK("https://www.neoscapesmaldives.com/wp-content/uploads/NOOE-Maldives-Kunaavashi_Fact-Sheet-2024.pdf","2024_NOOE-Maldives-Kunaavashi_Fact-Sheet")</f>
        <v>2024_NOOE-Maldives-Kunaavashi_Fact-Sheet</v>
      </c>
      <c r="Y24" s="0" t="s">
        <v>28</v>
      </c>
    </row>
    <row r="25" customFormat="false" ht="15" hidden="false" customHeight="false" outlineLevel="0" collapsed="false">
      <c r="A25" s="0" t="n">
        <v>24</v>
      </c>
      <c r="B25" s="0" t="s">
        <v>62</v>
      </c>
      <c r="C25" s="0" t="s">
        <v>33</v>
      </c>
      <c r="D25" s="0" t="str">
        <f aca="false">IFERROR(IF(maxifs(Documents!$E$2:$E$1421,Documents!$A$2:$A$1421,$A25,Documents!$C$2:$C$1421,"factsheet")=0,"",maxifs(Documents!$E$2:$E$1421,Documents!$A$2:$A$1421,$A25,Documents!$C$2:$C$1421,"factsheet")),"")</f>
        <v/>
      </c>
      <c r="E25" s="0" t="str">
        <f aca="false">IFERROR(IF(maxifs(Documents!$E$2:$E$1421,Documents!$A$2:$A$1421,$A25,Documents!$C$2:$C$1421,"wedding")=0,"",maxifs(Documents!$E$2:$E$1421,Documents!$A$2:$A$1421,$A25,Documents!$C$2:$C$1421,"wedding")),"")</f>
        <v/>
      </c>
      <c r="F25" s="0" t="str">
        <f aca="false">IFERROR(IF(maxifs(Documents!$E$2:$E$1421,Documents!$A$2:$A$1421,$A25,Documents!$C$2:$C$1421,"events")=0,"",maxifs(Documents!$E$2:$E$1421,Documents!$A$2:$A$1421,$A25,Documents!$C$2:$C$1421,"events")),"")</f>
        <v/>
      </c>
      <c r="G25" s="0" t="str">
        <f aca="false">IFERROR(IF(maxifs(Documents!$E$2:$E$1421,Documents!$A$2:$A$1421,$A25,Documents!$C$2:$C$1421,"map")=0,"",maxifs(Documents!$E$2:$E$1421,Documents!$A$2:$A$1421,$A25,Documents!$C$2:$C$1421,"map")),"")</f>
        <v/>
      </c>
      <c r="H25" s="0" t="str">
        <f aca="false">IFERROR(IF(maxifs(Documents!$E$2:$E$1421,Documents!$A$2:$A$1421,$A25,Documents!$C$2:$C$1421,"dive_map")=0,"",maxifs(Documents!$E$2:$E$1421,Documents!$A$2:$A$1421,$A25,Documents!$C$2:$C$1421,"dive_map")),"")</f>
        <v/>
      </c>
      <c r="I25" s="0" t="str">
        <f aca="false">IFERROR(IF(maxifs(Documents!$E$2:$E$1421,Documents!$A$2:$A$1421,$A25,Documents!$C$2:$C$1421,"spa_menu")=0,"",maxifs(Documents!$E$2:$E$1421,Documents!$A$2:$A$1421,$A25,Documents!$C$2:$C$1421,"spa_menu")),"")</f>
        <v/>
      </c>
      <c r="J25" s="0" t="str">
        <f aca="false">IFERROR(IF(maxifs(Documents!$E$2:$E$1421,Documents!$A$2:$A$1421,$A25,Documents!$C$2:$C$1421,"dining_menu")=0,"",maxifs(Documents!$E$2:$E$1421,Documents!$A$2:$A$1421,$A25,Documents!$C$2:$C$1421,"dining_menu")),"")</f>
        <v/>
      </c>
      <c r="K25" s="0" t="str">
        <f aca="false">IFERROR(IF(maxifs(Documents!$E$2:$E$1421,Documents!$A$2:$A$1421,$A25,Documents!$C$2:$C$1421,"dive_prices")=0,"",maxifs(Documents!$E$2:$E$1421,Documents!$A$2:$A$1421,$A25,Documents!$C$2:$C$1421,"dive_prices")),"")</f>
        <v/>
      </c>
      <c r="L25" s="0" t="str">
        <f aca="false">IFERROR(IF(maxifs(Documents!$E$2:$E$1421,Documents!$A$2:$A$1421,$A25,Documents!$C$2:$C$1421,"excursions")=0,"",maxifs(Documents!$E$2:$E$1421,Documents!$A$2:$A$1421,$A25,Documents!$C$2:$C$1421,"excursions")),"")</f>
        <v/>
      </c>
      <c r="M25" s="0" t="str">
        <f aca="false">IFERROR(IF(maxifs(Documents!$E$2:$E$1421,Documents!$A$2:$A$1421,$A25,Documents!$C$2:$C$1421,"kids")=0,"",maxifs(Documents!$E$2:$E$1421,Documents!$A$2:$A$1421,$A25,Documents!$C$2:$C$1421,"kids")),"")</f>
        <v/>
      </c>
      <c r="N25" s="0" t="str">
        <f aca="false">IFERROR(IF(maxifs(Documents!$E$2:$E$1421,Documents!$A$2:$A$1421,$A25,Documents!$C$2:$C$1421,"villa_plans")=0,"",maxifs(Documents!$E$2:$E$1421,Documents!$A$2:$A$1421,$A25,Documents!$C$2:$C$1421,"villa_plans")),"")</f>
        <v/>
      </c>
      <c r="O25" s="0" t="str">
        <f aca="false">IFERROR(IF(maxifs(Documents!$E$2:$E$1421,Documents!$A$2:$A$1421,$A25,Documents!$C$2:$C$1421,"all_inclusive")=0,"",maxifs(Documents!$E$2:$E$1421,Documents!$A$2:$A$1421,$A25,Documents!$C$2:$C$1421,"all_inclusive")),"")</f>
        <v/>
      </c>
      <c r="P25" s="0" t="str">
        <f aca="false">IFERROR(IF(maxifs(Documents!$E$2:$E$1421,Documents!$A$2:$A$1421,$A25,Documents!$C$2:$C$1421,"sustainability")=0,"",maxifs(Documents!$E$2:$E$1421,Documents!$A$2:$A$1421,$A25,Documents!$C$2:$C$1421,"sustainability")),"")</f>
        <v/>
      </c>
      <c r="Q25" s="0" t="str">
        <f aca="false">IFERROR(IF(maxifs(Documents!$E$2:$E$1421,Documents!$A$2:$A$1421,$A25,Documents!$C$2:$C$1421,"calendar")=0,"",maxifs(Documents!$E$2:$E$1421,Documents!$A$2:$A$1421,$A25,Documents!$C$2:$C$1421,"calendar")),"")</f>
        <v/>
      </c>
      <c r="R25" s="0" t="str">
        <f aca="false">IFERROR(IF(maxifs(Documents!$E$2:$E$1421,Documents!$A$2:$A$1421,$A25,Documents!$C$2:$C$1421,"brochure")=0,"",maxifs(Documents!$E$2:$E$1421,Documents!$A$2:$A$1421,$A25,Documents!$C$2:$C$1421,"brochure")),"")</f>
        <v/>
      </c>
      <c r="S25" s="0" t="str">
        <f aca="false">IFERROR(IF(maxifs(Documents!$E$2:$E$1421,Documents!$A$2:$A$1421,$A25,Documents!$C$2:$C$1421,"press_kit")=0,"",maxifs(Documents!$E$2:$E$1421,Documents!$A$2:$A$1421,$A25,Documents!$C$2:$C$1421,"press_kit")),"")</f>
        <v/>
      </c>
      <c r="T25" s="0" t="str">
        <f aca="false">IFERROR(IF(maxifs(Documents!$E$2:$E$1421,Documents!$A$2:$A$1421,$A25,Documents!$C$2:$C$1421,"other")=0,"",maxifs(Documents!$E$2:$E$1421,Documents!$A$2:$A$1421,$A25,Documents!$C$2:$C$1421,"other")),"")</f>
        <v/>
      </c>
      <c r="U25" s="0" t="str">
        <f aca="false">IFERROR(IF(maxifs(Documents!$E$2:$E$1421,Documents!$A$2:$A$1421,$A25,Documents!$C$2:$C$1421,"obsolete")=0,"",maxifs(Documents!$E$2:$E$1421,Documents!$A$2:$A$1421,$A25,Documents!$C$2:$C$1421,"obsolete")),"")</f>
        <v/>
      </c>
      <c r="V25" s="0" t="n">
        <f aca="false">COUNTIFS(Documents!$A$2:$A$1421,$A25)</f>
        <v>5</v>
      </c>
      <c r="W25" s="0" t="n">
        <f aca="false">COUNTIFS(Documents!$A$2:$A$1421,$A25,Documents!$R$2:$R$1421,"current")</f>
        <v>1</v>
      </c>
      <c r="Y25" s="0" t="s">
        <v>31</v>
      </c>
    </row>
    <row r="26" customFormat="false" ht="15" hidden="false" customHeight="false" outlineLevel="0" collapsed="false">
      <c r="A26" s="0" t="n">
        <v>25</v>
      </c>
      <c r="B26" s="0" t="s">
        <v>63</v>
      </c>
      <c r="C26" s="0" t="s">
        <v>27</v>
      </c>
      <c r="D26" s="0" t="str">
        <f aca="false">IFERROR(IF(maxifs(Documents!$E$2:$E$1421,Documents!$A$2:$A$1421,$A26,Documents!$C$2:$C$1421,"factsheet")=0,"",maxifs(Documents!$E$2:$E$1421,Documents!$A$2:$A$1421,$A26,Documents!$C$2:$C$1421,"factsheet")),"")</f>
        <v/>
      </c>
      <c r="E26" s="0" t="str">
        <f aca="false">IFERROR(IF(maxifs(Documents!$E$2:$E$1421,Documents!$A$2:$A$1421,$A26,Documents!$C$2:$C$1421,"wedding")=0,"",maxifs(Documents!$E$2:$E$1421,Documents!$A$2:$A$1421,$A26,Documents!$C$2:$C$1421,"wedding")),"")</f>
        <v/>
      </c>
      <c r="F26" s="0" t="str">
        <f aca="false">IFERROR(IF(maxifs(Documents!$E$2:$E$1421,Documents!$A$2:$A$1421,$A26,Documents!$C$2:$C$1421,"events")=0,"",maxifs(Documents!$E$2:$E$1421,Documents!$A$2:$A$1421,$A26,Documents!$C$2:$C$1421,"events")),"")</f>
        <v/>
      </c>
      <c r="G26" s="0" t="str">
        <f aca="false">IFERROR(IF(maxifs(Documents!$E$2:$E$1421,Documents!$A$2:$A$1421,$A26,Documents!$C$2:$C$1421,"map")=0,"",maxifs(Documents!$E$2:$E$1421,Documents!$A$2:$A$1421,$A26,Documents!$C$2:$C$1421,"map")),"")</f>
        <v/>
      </c>
      <c r="H26" s="0" t="str">
        <f aca="false">IFERROR(IF(maxifs(Documents!$E$2:$E$1421,Documents!$A$2:$A$1421,$A26,Documents!$C$2:$C$1421,"dive_map")=0,"",maxifs(Documents!$E$2:$E$1421,Documents!$A$2:$A$1421,$A26,Documents!$C$2:$C$1421,"dive_map")),"")</f>
        <v/>
      </c>
      <c r="I26" s="0" t="str">
        <f aca="false">IFERROR(IF(maxifs(Documents!$E$2:$E$1421,Documents!$A$2:$A$1421,$A26,Documents!$C$2:$C$1421,"spa_menu")=0,"",maxifs(Documents!$E$2:$E$1421,Documents!$A$2:$A$1421,$A26,Documents!$C$2:$C$1421,"spa_menu")),"")</f>
        <v/>
      </c>
      <c r="J26" s="0" t="str">
        <f aca="false">IFERROR(IF(maxifs(Documents!$E$2:$E$1421,Documents!$A$2:$A$1421,$A26,Documents!$C$2:$C$1421,"dining_menu")=0,"",maxifs(Documents!$E$2:$E$1421,Documents!$A$2:$A$1421,$A26,Documents!$C$2:$C$1421,"dining_menu")),"")</f>
        <v/>
      </c>
      <c r="K26" s="0" t="str">
        <f aca="false">IFERROR(IF(maxifs(Documents!$E$2:$E$1421,Documents!$A$2:$A$1421,$A26,Documents!$C$2:$C$1421,"dive_prices")=0,"",maxifs(Documents!$E$2:$E$1421,Documents!$A$2:$A$1421,$A26,Documents!$C$2:$C$1421,"dive_prices")),"")</f>
        <v/>
      </c>
      <c r="L26" s="0" t="str">
        <f aca="false">IFERROR(IF(maxifs(Documents!$E$2:$E$1421,Documents!$A$2:$A$1421,$A26,Documents!$C$2:$C$1421,"excursions")=0,"",maxifs(Documents!$E$2:$E$1421,Documents!$A$2:$A$1421,$A26,Documents!$C$2:$C$1421,"excursions")),"")</f>
        <v/>
      </c>
      <c r="M26" s="0" t="str">
        <f aca="false">IFERROR(IF(maxifs(Documents!$E$2:$E$1421,Documents!$A$2:$A$1421,$A26,Documents!$C$2:$C$1421,"kids")=0,"",maxifs(Documents!$E$2:$E$1421,Documents!$A$2:$A$1421,$A26,Documents!$C$2:$C$1421,"kids")),"")</f>
        <v/>
      </c>
      <c r="N26" s="0" t="str">
        <f aca="false">IFERROR(IF(maxifs(Documents!$E$2:$E$1421,Documents!$A$2:$A$1421,$A26,Documents!$C$2:$C$1421,"villa_plans")=0,"",maxifs(Documents!$E$2:$E$1421,Documents!$A$2:$A$1421,$A26,Documents!$C$2:$C$1421,"villa_plans")),"")</f>
        <v/>
      </c>
      <c r="O26" s="0" t="str">
        <f aca="false">IFERROR(IF(maxifs(Documents!$E$2:$E$1421,Documents!$A$2:$A$1421,$A26,Documents!$C$2:$C$1421,"all_inclusive")=0,"",maxifs(Documents!$E$2:$E$1421,Documents!$A$2:$A$1421,$A26,Documents!$C$2:$C$1421,"all_inclusive")),"")</f>
        <v/>
      </c>
      <c r="P26" s="0" t="str">
        <f aca="false">IFERROR(IF(maxifs(Documents!$E$2:$E$1421,Documents!$A$2:$A$1421,$A26,Documents!$C$2:$C$1421,"sustainability")=0,"",maxifs(Documents!$E$2:$E$1421,Documents!$A$2:$A$1421,$A26,Documents!$C$2:$C$1421,"sustainability")),"")</f>
        <v/>
      </c>
      <c r="Q26" s="0" t="str">
        <f aca="false">IFERROR(IF(maxifs(Documents!$E$2:$E$1421,Documents!$A$2:$A$1421,$A26,Documents!$C$2:$C$1421,"calendar")=0,"",maxifs(Documents!$E$2:$E$1421,Documents!$A$2:$A$1421,$A26,Documents!$C$2:$C$1421,"calendar")),"")</f>
        <v/>
      </c>
      <c r="R26" s="0" t="str">
        <f aca="false">IFERROR(IF(maxifs(Documents!$E$2:$E$1421,Documents!$A$2:$A$1421,$A26,Documents!$C$2:$C$1421,"brochure")=0,"",maxifs(Documents!$E$2:$E$1421,Documents!$A$2:$A$1421,$A26,Documents!$C$2:$C$1421,"brochure")),"")</f>
        <v/>
      </c>
      <c r="S26" s="0" t="str">
        <f aca="false">IFERROR(IF(maxifs(Documents!$E$2:$E$1421,Documents!$A$2:$A$1421,$A26,Documents!$C$2:$C$1421,"press_kit")=0,"",maxifs(Documents!$E$2:$E$1421,Documents!$A$2:$A$1421,$A26,Documents!$C$2:$C$1421,"press_kit")),"")</f>
        <v/>
      </c>
      <c r="T26" s="0" t="str">
        <f aca="false">IFERROR(IF(maxifs(Documents!$E$2:$E$1421,Documents!$A$2:$A$1421,$A26,Documents!$C$2:$C$1421,"other")=0,"",maxifs(Documents!$E$2:$E$1421,Documents!$A$2:$A$1421,$A26,Documents!$C$2:$C$1421,"other")),"")</f>
        <v/>
      </c>
      <c r="U26" s="0" t="str">
        <f aca="false">IFERROR(IF(maxifs(Documents!$E$2:$E$1421,Documents!$A$2:$A$1421,$A26,Documents!$C$2:$C$1421,"obsolete")=0,"",maxifs(Documents!$E$2:$E$1421,Documents!$A$2:$A$1421,$A26,Documents!$C$2:$C$1421,"obsolete")),"")</f>
        <v/>
      </c>
      <c r="V26" s="0" t="n">
        <f aca="false">COUNTIFS(Documents!$A$2:$A$1421,$A26)</f>
        <v>3</v>
      </c>
      <c r="W26" s="0" t="n">
        <f aca="false">COUNTIFS(Documents!$A$2:$A$1421,$A26,Documents!$R$2:$R$1421,"current")</f>
        <v>3</v>
      </c>
      <c r="X26" s="0" t="str">
        <f aca="false">HYPERLINK("https://www.neoscapesmaldives.com/wp-content/uploads/Halcyon-Maldives-Factsheet-2026.pdf","2026_Halcyon-Maldives-Factsheet-2026.pdf")</f>
        <v>2026_Halcyon-Maldives-Factsheet-2026.pdf</v>
      </c>
      <c r="Y26" s="0" t="s">
        <v>28</v>
      </c>
      <c r="Z26" s="0" t="s">
        <v>64</v>
      </c>
    </row>
    <row r="27" customFormat="false" ht="15" hidden="false" customHeight="false" outlineLevel="0" collapsed="false">
      <c r="A27" s="0" t="n">
        <v>26</v>
      </c>
      <c r="B27" s="0" t="s">
        <v>65</v>
      </c>
      <c r="C27" s="0" t="s">
        <v>33</v>
      </c>
      <c r="D27" s="0" t="str">
        <f aca="false">IFERROR(IF(maxifs(Documents!$E$2:$E$1421,Documents!$A$2:$A$1421,$A27,Documents!$C$2:$C$1421,"factsheet")=0,"",maxifs(Documents!$E$2:$E$1421,Documents!$A$2:$A$1421,$A27,Documents!$C$2:$C$1421,"factsheet")),"")</f>
        <v/>
      </c>
      <c r="E27" s="0" t="str">
        <f aca="false">IFERROR(IF(maxifs(Documents!$E$2:$E$1421,Documents!$A$2:$A$1421,$A27,Documents!$C$2:$C$1421,"wedding")=0,"",maxifs(Documents!$E$2:$E$1421,Documents!$A$2:$A$1421,$A27,Documents!$C$2:$C$1421,"wedding")),"")</f>
        <v/>
      </c>
      <c r="F27" s="0" t="str">
        <f aca="false">IFERROR(IF(maxifs(Documents!$E$2:$E$1421,Documents!$A$2:$A$1421,$A27,Documents!$C$2:$C$1421,"events")=0,"",maxifs(Documents!$E$2:$E$1421,Documents!$A$2:$A$1421,$A27,Documents!$C$2:$C$1421,"events")),"")</f>
        <v/>
      </c>
      <c r="G27" s="0" t="str">
        <f aca="false">IFERROR(IF(maxifs(Documents!$E$2:$E$1421,Documents!$A$2:$A$1421,$A27,Documents!$C$2:$C$1421,"map")=0,"",maxifs(Documents!$E$2:$E$1421,Documents!$A$2:$A$1421,$A27,Documents!$C$2:$C$1421,"map")),"")</f>
        <v/>
      </c>
      <c r="H27" s="0" t="str">
        <f aca="false">IFERROR(IF(maxifs(Documents!$E$2:$E$1421,Documents!$A$2:$A$1421,$A27,Documents!$C$2:$C$1421,"dive_map")=0,"",maxifs(Documents!$E$2:$E$1421,Documents!$A$2:$A$1421,$A27,Documents!$C$2:$C$1421,"dive_map")),"")</f>
        <v/>
      </c>
      <c r="I27" s="0" t="str">
        <f aca="false">IFERROR(IF(maxifs(Documents!$E$2:$E$1421,Documents!$A$2:$A$1421,$A27,Documents!$C$2:$C$1421,"spa_menu")=0,"",maxifs(Documents!$E$2:$E$1421,Documents!$A$2:$A$1421,$A27,Documents!$C$2:$C$1421,"spa_menu")),"")</f>
        <v/>
      </c>
      <c r="J27" s="0" t="str">
        <f aca="false">IFERROR(IF(maxifs(Documents!$E$2:$E$1421,Documents!$A$2:$A$1421,$A27,Documents!$C$2:$C$1421,"dining_menu")=0,"",maxifs(Documents!$E$2:$E$1421,Documents!$A$2:$A$1421,$A27,Documents!$C$2:$C$1421,"dining_menu")),"")</f>
        <v/>
      </c>
      <c r="K27" s="0" t="str">
        <f aca="false">IFERROR(IF(maxifs(Documents!$E$2:$E$1421,Documents!$A$2:$A$1421,$A27,Documents!$C$2:$C$1421,"dive_prices")=0,"",maxifs(Documents!$E$2:$E$1421,Documents!$A$2:$A$1421,$A27,Documents!$C$2:$C$1421,"dive_prices")),"")</f>
        <v/>
      </c>
      <c r="L27" s="0" t="str">
        <f aca="false">IFERROR(IF(maxifs(Documents!$E$2:$E$1421,Documents!$A$2:$A$1421,$A27,Documents!$C$2:$C$1421,"excursions")=0,"",maxifs(Documents!$E$2:$E$1421,Documents!$A$2:$A$1421,$A27,Documents!$C$2:$C$1421,"excursions")),"")</f>
        <v/>
      </c>
      <c r="M27" s="0" t="str">
        <f aca="false">IFERROR(IF(maxifs(Documents!$E$2:$E$1421,Documents!$A$2:$A$1421,$A27,Documents!$C$2:$C$1421,"kids")=0,"",maxifs(Documents!$E$2:$E$1421,Documents!$A$2:$A$1421,$A27,Documents!$C$2:$C$1421,"kids")),"")</f>
        <v/>
      </c>
      <c r="N27" s="0" t="str">
        <f aca="false">IFERROR(IF(maxifs(Documents!$E$2:$E$1421,Documents!$A$2:$A$1421,$A27,Documents!$C$2:$C$1421,"villa_plans")=0,"",maxifs(Documents!$E$2:$E$1421,Documents!$A$2:$A$1421,$A27,Documents!$C$2:$C$1421,"villa_plans")),"")</f>
        <v/>
      </c>
      <c r="O27" s="0" t="str">
        <f aca="false">IFERROR(IF(maxifs(Documents!$E$2:$E$1421,Documents!$A$2:$A$1421,$A27,Documents!$C$2:$C$1421,"all_inclusive")=0,"",maxifs(Documents!$E$2:$E$1421,Documents!$A$2:$A$1421,$A27,Documents!$C$2:$C$1421,"all_inclusive")),"")</f>
        <v/>
      </c>
      <c r="P27" s="0" t="str">
        <f aca="false">IFERROR(IF(maxifs(Documents!$E$2:$E$1421,Documents!$A$2:$A$1421,$A27,Documents!$C$2:$C$1421,"sustainability")=0,"",maxifs(Documents!$E$2:$E$1421,Documents!$A$2:$A$1421,$A27,Documents!$C$2:$C$1421,"sustainability")),"")</f>
        <v/>
      </c>
      <c r="Q27" s="0" t="str">
        <f aca="false">IFERROR(IF(maxifs(Documents!$E$2:$E$1421,Documents!$A$2:$A$1421,$A27,Documents!$C$2:$C$1421,"calendar")=0,"",maxifs(Documents!$E$2:$E$1421,Documents!$A$2:$A$1421,$A27,Documents!$C$2:$C$1421,"calendar")),"")</f>
        <v/>
      </c>
      <c r="R27" s="0" t="str">
        <f aca="false">IFERROR(IF(maxifs(Documents!$E$2:$E$1421,Documents!$A$2:$A$1421,$A27,Documents!$C$2:$C$1421,"brochure")=0,"",maxifs(Documents!$E$2:$E$1421,Documents!$A$2:$A$1421,$A27,Documents!$C$2:$C$1421,"brochure")),"")</f>
        <v/>
      </c>
      <c r="S27" s="0" t="str">
        <f aca="false">IFERROR(IF(maxifs(Documents!$E$2:$E$1421,Documents!$A$2:$A$1421,$A27,Documents!$C$2:$C$1421,"press_kit")=0,"",maxifs(Documents!$E$2:$E$1421,Documents!$A$2:$A$1421,$A27,Documents!$C$2:$C$1421,"press_kit")),"")</f>
        <v/>
      </c>
      <c r="T27" s="0" t="str">
        <f aca="false">IFERROR(IF(maxifs(Documents!$E$2:$E$1421,Documents!$A$2:$A$1421,$A27,Documents!$C$2:$C$1421,"other")=0,"",maxifs(Documents!$E$2:$E$1421,Documents!$A$2:$A$1421,$A27,Documents!$C$2:$C$1421,"other")),"")</f>
        <v/>
      </c>
      <c r="U27" s="0" t="str">
        <f aca="false">IFERROR(IF(maxifs(Documents!$E$2:$E$1421,Documents!$A$2:$A$1421,$A27,Documents!$C$2:$C$1421,"obsolete")=0,"",maxifs(Documents!$E$2:$E$1421,Documents!$A$2:$A$1421,$A27,Documents!$C$2:$C$1421,"obsolete")),"")</f>
        <v/>
      </c>
      <c r="V27" s="0" t="n">
        <f aca="false">COUNTIFS(Documents!$A$2:$A$1421,$A27)</f>
        <v>6</v>
      </c>
      <c r="W27" s="0" t="n">
        <f aca="false">COUNTIFS(Documents!$A$2:$A$1421,$A27,Documents!$R$2:$R$1421,"current")</f>
        <v>4</v>
      </c>
      <c r="X27" s="0" t="str">
        <f aca="false">HYPERLINK("https://www.centarahotelsresorts.com/centara/sites/centara-centara/files/2025-12/609_CRF_Factsheet_Y251203.pdf","2025_609_CRF_Factsheet_Y251203.pdf")</f>
        <v>2025_609_CRF_Factsheet_Y251203.pdf</v>
      </c>
      <c r="Y27" s="0" t="s">
        <v>35</v>
      </c>
    </row>
    <row r="28" customFormat="false" ht="15" hidden="false" customHeight="false" outlineLevel="0" collapsed="false">
      <c r="A28" s="0" t="n">
        <v>27</v>
      </c>
      <c r="B28" s="0" t="s">
        <v>66</v>
      </c>
      <c r="C28" s="0" t="s">
        <v>33</v>
      </c>
      <c r="D28" s="0" t="str">
        <f aca="false">IFERROR(IF(maxifs(Documents!$E$2:$E$1421,Documents!$A$2:$A$1421,$A28,Documents!$C$2:$C$1421,"factsheet")=0,"",maxifs(Documents!$E$2:$E$1421,Documents!$A$2:$A$1421,$A28,Documents!$C$2:$C$1421,"factsheet")),"")</f>
        <v/>
      </c>
      <c r="E28" s="0" t="str">
        <f aca="false">IFERROR(IF(maxifs(Documents!$E$2:$E$1421,Documents!$A$2:$A$1421,$A28,Documents!$C$2:$C$1421,"wedding")=0,"",maxifs(Documents!$E$2:$E$1421,Documents!$A$2:$A$1421,$A28,Documents!$C$2:$C$1421,"wedding")),"")</f>
        <v/>
      </c>
      <c r="F28" s="0" t="str">
        <f aca="false">IFERROR(IF(maxifs(Documents!$E$2:$E$1421,Documents!$A$2:$A$1421,$A28,Documents!$C$2:$C$1421,"events")=0,"",maxifs(Documents!$E$2:$E$1421,Documents!$A$2:$A$1421,$A28,Documents!$C$2:$C$1421,"events")),"")</f>
        <v/>
      </c>
      <c r="G28" s="0" t="str">
        <f aca="false">IFERROR(IF(maxifs(Documents!$E$2:$E$1421,Documents!$A$2:$A$1421,$A28,Documents!$C$2:$C$1421,"map")=0,"",maxifs(Documents!$E$2:$E$1421,Documents!$A$2:$A$1421,$A28,Documents!$C$2:$C$1421,"map")),"")</f>
        <v/>
      </c>
      <c r="H28" s="0" t="str">
        <f aca="false">IFERROR(IF(maxifs(Documents!$E$2:$E$1421,Documents!$A$2:$A$1421,$A28,Documents!$C$2:$C$1421,"dive_map")=0,"",maxifs(Documents!$E$2:$E$1421,Documents!$A$2:$A$1421,$A28,Documents!$C$2:$C$1421,"dive_map")),"")</f>
        <v/>
      </c>
      <c r="I28" s="0" t="str">
        <f aca="false">IFERROR(IF(maxifs(Documents!$E$2:$E$1421,Documents!$A$2:$A$1421,$A28,Documents!$C$2:$C$1421,"spa_menu")=0,"",maxifs(Documents!$E$2:$E$1421,Documents!$A$2:$A$1421,$A28,Documents!$C$2:$C$1421,"spa_menu")),"")</f>
        <v/>
      </c>
      <c r="J28" s="0" t="str">
        <f aca="false">IFERROR(IF(maxifs(Documents!$E$2:$E$1421,Documents!$A$2:$A$1421,$A28,Documents!$C$2:$C$1421,"dining_menu")=0,"",maxifs(Documents!$E$2:$E$1421,Documents!$A$2:$A$1421,$A28,Documents!$C$2:$C$1421,"dining_menu")),"")</f>
        <v/>
      </c>
      <c r="K28" s="0" t="str">
        <f aca="false">IFERROR(IF(maxifs(Documents!$E$2:$E$1421,Documents!$A$2:$A$1421,$A28,Documents!$C$2:$C$1421,"dive_prices")=0,"",maxifs(Documents!$E$2:$E$1421,Documents!$A$2:$A$1421,$A28,Documents!$C$2:$C$1421,"dive_prices")),"")</f>
        <v/>
      </c>
      <c r="L28" s="0" t="str">
        <f aca="false">IFERROR(IF(maxifs(Documents!$E$2:$E$1421,Documents!$A$2:$A$1421,$A28,Documents!$C$2:$C$1421,"excursions")=0,"",maxifs(Documents!$E$2:$E$1421,Documents!$A$2:$A$1421,$A28,Documents!$C$2:$C$1421,"excursions")),"")</f>
        <v/>
      </c>
      <c r="M28" s="0" t="str">
        <f aca="false">IFERROR(IF(maxifs(Documents!$E$2:$E$1421,Documents!$A$2:$A$1421,$A28,Documents!$C$2:$C$1421,"kids")=0,"",maxifs(Documents!$E$2:$E$1421,Documents!$A$2:$A$1421,$A28,Documents!$C$2:$C$1421,"kids")),"")</f>
        <v/>
      </c>
      <c r="N28" s="0" t="str">
        <f aca="false">IFERROR(IF(maxifs(Documents!$E$2:$E$1421,Documents!$A$2:$A$1421,$A28,Documents!$C$2:$C$1421,"villa_plans")=0,"",maxifs(Documents!$E$2:$E$1421,Documents!$A$2:$A$1421,$A28,Documents!$C$2:$C$1421,"villa_plans")),"")</f>
        <v/>
      </c>
      <c r="O28" s="0" t="str">
        <f aca="false">IFERROR(IF(maxifs(Documents!$E$2:$E$1421,Documents!$A$2:$A$1421,$A28,Documents!$C$2:$C$1421,"all_inclusive")=0,"",maxifs(Documents!$E$2:$E$1421,Documents!$A$2:$A$1421,$A28,Documents!$C$2:$C$1421,"all_inclusive")),"")</f>
        <v/>
      </c>
      <c r="P28" s="0" t="str">
        <f aca="false">IFERROR(IF(maxifs(Documents!$E$2:$E$1421,Documents!$A$2:$A$1421,$A28,Documents!$C$2:$C$1421,"sustainability")=0,"",maxifs(Documents!$E$2:$E$1421,Documents!$A$2:$A$1421,$A28,Documents!$C$2:$C$1421,"sustainability")),"")</f>
        <v/>
      </c>
      <c r="Q28" s="0" t="str">
        <f aca="false">IFERROR(IF(maxifs(Documents!$E$2:$E$1421,Documents!$A$2:$A$1421,$A28,Documents!$C$2:$C$1421,"calendar")=0,"",maxifs(Documents!$E$2:$E$1421,Documents!$A$2:$A$1421,$A28,Documents!$C$2:$C$1421,"calendar")),"")</f>
        <v/>
      </c>
      <c r="R28" s="0" t="str">
        <f aca="false">IFERROR(IF(maxifs(Documents!$E$2:$E$1421,Documents!$A$2:$A$1421,$A28,Documents!$C$2:$C$1421,"brochure")=0,"",maxifs(Documents!$E$2:$E$1421,Documents!$A$2:$A$1421,$A28,Documents!$C$2:$C$1421,"brochure")),"")</f>
        <v/>
      </c>
      <c r="S28" s="0" t="str">
        <f aca="false">IFERROR(IF(maxifs(Documents!$E$2:$E$1421,Documents!$A$2:$A$1421,$A28,Documents!$C$2:$C$1421,"press_kit")=0,"",maxifs(Documents!$E$2:$E$1421,Documents!$A$2:$A$1421,$A28,Documents!$C$2:$C$1421,"press_kit")),"")</f>
        <v/>
      </c>
      <c r="T28" s="0" t="str">
        <f aca="false">IFERROR(IF(maxifs(Documents!$E$2:$E$1421,Documents!$A$2:$A$1421,$A28,Documents!$C$2:$C$1421,"other")=0,"",maxifs(Documents!$E$2:$E$1421,Documents!$A$2:$A$1421,$A28,Documents!$C$2:$C$1421,"other")),"")</f>
        <v/>
      </c>
      <c r="U28" s="0" t="str">
        <f aca="false">IFERROR(IF(maxifs(Documents!$E$2:$E$1421,Documents!$A$2:$A$1421,$A28,Documents!$C$2:$C$1421,"obsolete")=0,"",maxifs(Documents!$E$2:$E$1421,Documents!$A$2:$A$1421,$A28,Documents!$C$2:$C$1421,"obsolete")),"")</f>
        <v/>
      </c>
      <c r="V28" s="0" t="n">
        <f aca="false">COUNTIFS(Documents!$A$2:$A$1421,$A28)</f>
        <v>5</v>
      </c>
      <c r="W28" s="0" t="n">
        <f aca="false">COUNTIFS(Documents!$A$2:$A$1421,$A28,Documents!$R$2:$R$1421,"current")</f>
        <v>1</v>
      </c>
      <c r="X28" s="0" t="str">
        <f aca="false">HYPERLINK("https://www.neoscapesmaldives.com/wp-content/uploads/GPKD-Resort-Factsheet-2022.pdf","2022_GPKD-Resort-Factsheet-2022.pdf")</f>
        <v>2022_GPKD-Resort-Factsheet-2022.pdf</v>
      </c>
      <c r="Y28" s="0" t="s">
        <v>28</v>
      </c>
    </row>
    <row r="29" customFormat="false" ht="15" hidden="false" customHeight="false" outlineLevel="0" collapsed="false">
      <c r="A29" s="0" t="n">
        <v>28</v>
      </c>
      <c r="B29" s="0" t="s">
        <v>67</v>
      </c>
      <c r="C29" s="0" t="s">
        <v>33</v>
      </c>
      <c r="D29" s="0" t="str">
        <f aca="false">IFERROR(IF(maxifs(Documents!$E$2:$E$1421,Documents!$A$2:$A$1421,$A29,Documents!$C$2:$C$1421,"factsheet")=0,"",maxifs(Documents!$E$2:$E$1421,Documents!$A$2:$A$1421,$A29,Documents!$C$2:$C$1421,"factsheet")),"")</f>
        <v/>
      </c>
      <c r="E29" s="0" t="str">
        <f aca="false">IFERROR(IF(maxifs(Documents!$E$2:$E$1421,Documents!$A$2:$A$1421,$A29,Documents!$C$2:$C$1421,"wedding")=0,"",maxifs(Documents!$E$2:$E$1421,Documents!$A$2:$A$1421,$A29,Documents!$C$2:$C$1421,"wedding")),"")</f>
        <v/>
      </c>
      <c r="F29" s="0" t="str">
        <f aca="false">IFERROR(IF(maxifs(Documents!$E$2:$E$1421,Documents!$A$2:$A$1421,$A29,Documents!$C$2:$C$1421,"events")=0,"",maxifs(Documents!$E$2:$E$1421,Documents!$A$2:$A$1421,$A29,Documents!$C$2:$C$1421,"events")),"")</f>
        <v/>
      </c>
      <c r="G29" s="0" t="str">
        <f aca="false">IFERROR(IF(maxifs(Documents!$E$2:$E$1421,Documents!$A$2:$A$1421,$A29,Documents!$C$2:$C$1421,"map")=0,"",maxifs(Documents!$E$2:$E$1421,Documents!$A$2:$A$1421,$A29,Documents!$C$2:$C$1421,"map")),"")</f>
        <v/>
      </c>
      <c r="H29" s="0" t="str">
        <f aca="false">IFERROR(IF(maxifs(Documents!$E$2:$E$1421,Documents!$A$2:$A$1421,$A29,Documents!$C$2:$C$1421,"dive_map")=0,"",maxifs(Documents!$E$2:$E$1421,Documents!$A$2:$A$1421,$A29,Documents!$C$2:$C$1421,"dive_map")),"")</f>
        <v/>
      </c>
      <c r="I29" s="0" t="str">
        <f aca="false">IFERROR(IF(maxifs(Documents!$E$2:$E$1421,Documents!$A$2:$A$1421,$A29,Documents!$C$2:$C$1421,"spa_menu")=0,"",maxifs(Documents!$E$2:$E$1421,Documents!$A$2:$A$1421,$A29,Documents!$C$2:$C$1421,"spa_menu")),"")</f>
        <v/>
      </c>
      <c r="J29" s="0" t="str">
        <f aca="false">IFERROR(IF(maxifs(Documents!$E$2:$E$1421,Documents!$A$2:$A$1421,$A29,Documents!$C$2:$C$1421,"dining_menu")=0,"",maxifs(Documents!$E$2:$E$1421,Documents!$A$2:$A$1421,$A29,Documents!$C$2:$C$1421,"dining_menu")),"")</f>
        <v/>
      </c>
      <c r="K29" s="0" t="str">
        <f aca="false">IFERROR(IF(maxifs(Documents!$E$2:$E$1421,Documents!$A$2:$A$1421,$A29,Documents!$C$2:$C$1421,"dive_prices")=0,"",maxifs(Documents!$E$2:$E$1421,Documents!$A$2:$A$1421,$A29,Documents!$C$2:$C$1421,"dive_prices")),"")</f>
        <v/>
      </c>
      <c r="L29" s="0" t="str">
        <f aca="false">IFERROR(IF(maxifs(Documents!$E$2:$E$1421,Documents!$A$2:$A$1421,$A29,Documents!$C$2:$C$1421,"excursions")=0,"",maxifs(Documents!$E$2:$E$1421,Documents!$A$2:$A$1421,$A29,Documents!$C$2:$C$1421,"excursions")),"")</f>
        <v/>
      </c>
      <c r="M29" s="0" t="str">
        <f aca="false">IFERROR(IF(maxifs(Documents!$E$2:$E$1421,Documents!$A$2:$A$1421,$A29,Documents!$C$2:$C$1421,"kids")=0,"",maxifs(Documents!$E$2:$E$1421,Documents!$A$2:$A$1421,$A29,Documents!$C$2:$C$1421,"kids")),"")</f>
        <v/>
      </c>
      <c r="N29" s="0" t="str">
        <f aca="false">IFERROR(IF(maxifs(Documents!$E$2:$E$1421,Documents!$A$2:$A$1421,$A29,Documents!$C$2:$C$1421,"villa_plans")=0,"",maxifs(Documents!$E$2:$E$1421,Documents!$A$2:$A$1421,$A29,Documents!$C$2:$C$1421,"villa_plans")),"")</f>
        <v/>
      </c>
      <c r="O29" s="0" t="str">
        <f aca="false">IFERROR(IF(maxifs(Documents!$E$2:$E$1421,Documents!$A$2:$A$1421,$A29,Documents!$C$2:$C$1421,"all_inclusive")=0,"",maxifs(Documents!$E$2:$E$1421,Documents!$A$2:$A$1421,$A29,Documents!$C$2:$C$1421,"all_inclusive")),"")</f>
        <v/>
      </c>
      <c r="P29" s="0" t="str">
        <f aca="false">IFERROR(IF(maxifs(Documents!$E$2:$E$1421,Documents!$A$2:$A$1421,$A29,Documents!$C$2:$C$1421,"sustainability")=0,"",maxifs(Documents!$E$2:$E$1421,Documents!$A$2:$A$1421,$A29,Documents!$C$2:$C$1421,"sustainability")),"")</f>
        <v/>
      </c>
      <c r="Q29" s="0" t="str">
        <f aca="false">IFERROR(IF(maxifs(Documents!$E$2:$E$1421,Documents!$A$2:$A$1421,$A29,Documents!$C$2:$C$1421,"calendar")=0,"",maxifs(Documents!$E$2:$E$1421,Documents!$A$2:$A$1421,$A29,Documents!$C$2:$C$1421,"calendar")),"")</f>
        <v/>
      </c>
      <c r="R29" s="0" t="str">
        <f aca="false">IFERROR(IF(maxifs(Documents!$E$2:$E$1421,Documents!$A$2:$A$1421,$A29,Documents!$C$2:$C$1421,"brochure")=0,"",maxifs(Documents!$E$2:$E$1421,Documents!$A$2:$A$1421,$A29,Documents!$C$2:$C$1421,"brochure")),"")</f>
        <v/>
      </c>
      <c r="S29" s="0" t="str">
        <f aca="false">IFERROR(IF(maxifs(Documents!$E$2:$E$1421,Documents!$A$2:$A$1421,$A29,Documents!$C$2:$C$1421,"press_kit")=0,"",maxifs(Documents!$E$2:$E$1421,Documents!$A$2:$A$1421,$A29,Documents!$C$2:$C$1421,"press_kit")),"")</f>
        <v/>
      </c>
      <c r="T29" s="0" t="str">
        <f aca="false">IFERROR(IF(maxifs(Documents!$E$2:$E$1421,Documents!$A$2:$A$1421,$A29,Documents!$C$2:$C$1421,"other")=0,"",maxifs(Documents!$E$2:$E$1421,Documents!$A$2:$A$1421,$A29,Documents!$C$2:$C$1421,"other")),"")</f>
        <v/>
      </c>
      <c r="U29" s="0" t="str">
        <f aca="false">IFERROR(IF(maxifs(Documents!$E$2:$E$1421,Documents!$A$2:$A$1421,$A29,Documents!$C$2:$C$1421,"obsolete")=0,"",maxifs(Documents!$E$2:$E$1421,Documents!$A$2:$A$1421,$A29,Documents!$C$2:$C$1421,"obsolete")),"")</f>
        <v/>
      </c>
      <c r="V29" s="0" t="n">
        <f aca="false">COUNTIFS(Documents!$A$2:$A$1421,$A29)</f>
        <v>14</v>
      </c>
      <c r="W29" s="0" t="n">
        <f aca="false">COUNTIFS(Documents!$A$2:$A$1421,$A29,Documents!$R$2:$R$1421,"current")</f>
        <v>6</v>
      </c>
      <c r="X29" s="0" t="str">
        <f aca="false">HYPERLINK("https://sales.crownandchamparesorts.com/wp-content/uploads/2025/12/KudadooFactsheet110125103126Ver0526255.pdf","2025_KudadooFactsheet110125103126Ver0526")</f>
        <v>2025_KudadooFactsheet110125103126Ver0526</v>
      </c>
      <c r="Y29" s="0" t="s">
        <v>28</v>
      </c>
    </row>
    <row r="30" customFormat="false" ht="15" hidden="false" customHeight="false" outlineLevel="0" collapsed="false">
      <c r="A30" s="0" t="n">
        <v>29</v>
      </c>
      <c r="B30" s="0" t="s">
        <v>68</v>
      </c>
      <c r="C30" s="0" t="s">
        <v>33</v>
      </c>
      <c r="D30" s="0" t="str">
        <f aca="false">IFERROR(IF(maxifs(Documents!$E$2:$E$1421,Documents!$A$2:$A$1421,$A30,Documents!$C$2:$C$1421,"factsheet")=0,"",maxifs(Documents!$E$2:$E$1421,Documents!$A$2:$A$1421,$A30,Documents!$C$2:$C$1421,"factsheet")),"")</f>
        <v/>
      </c>
      <c r="E30" s="0" t="str">
        <f aca="false">IFERROR(IF(maxifs(Documents!$E$2:$E$1421,Documents!$A$2:$A$1421,$A30,Documents!$C$2:$C$1421,"wedding")=0,"",maxifs(Documents!$E$2:$E$1421,Documents!$A$2:$A$1421,$A30,Documents!$C$2:$C$1421,"wedding")),"")</f>
        <v/>
      </c>
      <c r="F30" s="0" t="str">
        <f aca="false">IFERROR(IF(maxifs(Documents!$E$2:$E$1421,Documents!$A$2:$A$1421,$A30,Documents!$C$2:$C$1421,"events")=0,"",maxifs(Documents!$E$2:$E$1421,Documents!$A$2:$A$1421,$A30,Documents!$C$2:$C$1421,"events")),"")</f>
        <v/>
      </c>
      <c r="G30" s="0" t="str">
        <f aca="false">IFERROR(IF(maxifs(Documents!$E$2:$E$1421,Documents!$A$2:$A$1421,$A30,Documents!$C$2:$C$1421,"map")=0,"",maxifs(Documents!$E$2:$E$1421,Documents!$A$2:$A$1421,$A30,Documents!$C$2:$C$1421,"map")),"")</f>
        <v/>
      </c>
      <c r="H30" s="0" t="str">
        <f aca="false">IFERROR(IF(maxifs(Documents!$E$2:$E$1421,Documents!$A$2:$A$1421,$A30,Documents!$C$2:$C$1421,"dive_map")=0,"",maxifs(Documents!$E$2:$E$1421,Documents!$A$2:$A$1421,$A30,Documents!$C$2:$C$1421,"dive_map")),"")</f>
        <v/>
      </c>
      <c r="I30" s="0" t="str">
        <f aca="false">IFERROR(IF(maxifs(Documents!$E$2:$E$1421,Documents!$A$2:$A$1421,$A30,Documents!$C$2:$C$1421,"spa_menu")=0,"",maxifs(Documents!$E$2:$E$1421,Documents!$A$2:$A$1421,$A30,Documents!$C$2:$C$1421,"spa_menu")),"")</f>
        <v/>
      </c>
      <c r="J30" s="0" t="str">
        <f aca="false">IFERROR(IF(maxifs(Documents!$E$2:$E$1421,Documents!$A$2:$A$1421,$A30,Documents!$C$2:$C$1421,"dining_menu")=0,"",maxifs(Documents!$E$2:$E$1421,Documents!$A$2:$A$1421,$A30,Documents!$C$2:$C$1421,"dining_menu")),"")</f>
        <v/>
      </c>
      <c r="K30" s="0" t="str">
        <f aca="false">IFERROR(IF(maxifs(Documents!$E$2:$E$1421,Documents!$A$2:$A$1421,$A30,Documents!$C$2:$C$1421,"dive_prices")=0,"",maxifs(Documents!$E$2:$E$1421,Documents!$A$2:$A$1421,$A30,Documents!$C$2:$C$1421,"dive_prices")),"")</f>
        <v/>
      </c>
      <c r="L30" s="0" t="str">
        <f aca="false">IFERROR(IF(maxifs(Documents!$E$2:$E$1421,Documents!$A$2:$A$1421,$A30,Documents!$C$2:$C$1421,"excursions")=0,"",maxifs(Documents!$E$2:$E$1421,Documents!$A$2:$A$1421,$A30,Documents!$C$2:$C$1421,"excursions")),"")</f>
        <v/>
      </c>
      <c r="M30" s="0" t="str">
        <f aca="false">IFERROR(IF(maxifs(Documents!$E$2:$E$1421,Documents!$A$2:$A$1421,$A30,Documents!$C$2:$C$1421,"kids")=0,"",maxifs(Documents!$E$2:$E$1421,Documents!$A$2:$A$1421,$A30,Documents!$C$2:$C$1421,"kids")),"")</f>
        <v/>
      </c>
      <c r="N30" s="0" t="str">
        <f aca="false">IFERROR(IF(maxifs(Documents!$E$2:$E$1421,Documents!$A$2:$A$1421,$A30,Documents!$C$2:$C$1421,"villa_plans")=0,"",maxifs(Documents!$E$2:$E$1421,Documents!$A$2:$A$1421,$A30,Documents!$C$2:$C$1421,"villa_plans")),"")</f>
        <v/>
      </c>
      <c r="O30" s="0" t="str">
        <f aca="false">IFERROR(IF(maxifs(Documents!$E$2:$E$1421,Documents!$A$2:$A$1421,$A30,Documents!$C$2:$C$1421,"all_inclusive")=0,"",maxifs(Documents!$E$2:$E$1421,Documents!$A$2:$A$1421,$A30,Documents!$C$2:$C$1421,"all_inclusive")),"")</f>
        <v/>
      </c>
      <c r="P30" s="0" t="str">
        <f aca="false">IFERROR(IF(maxifs(Documents!$E$2:$E$1421,Documents!$A$2:$A$1421,$A30,Documents!$C$2:$C$1421,"sustainability")=0,"",maxifs(Documents!$E$2:$E$1421,Documents!$A$2:$A$1421,$A30,Documents!$C$2:$C$1421,"sustainability")),"")</f>
        <v/>
      </c>
      <c r="Q30" s="0" t="str">
        <f aca="false">IFERROR(IF(maxifs(Documents!$E$2:$E$1421,Documents!$A$2:$A$1421,$A30,Documents!$C$2:$C$1421,"calendar")=0,"",maxifs(Documents!$E$2:$E$1421,Documents!$A$2:$A$1421,$A30,Documents!$C$2:$C$1421,"calendar")),"")</f>
        <v/>
      </c>
      <c r="R30" s="0" t="str">
        <f aca="false">IFERROR(IF(maxifs(Documents!$E$2:$E$1421,Documents!$A$2:$A$1421,$A30,Documents!$C$2:$C$1421,"brochure")=0,"",maxifs(Documents!$E$2:$E$1421,Documents!$A$2:$A$1421,$A30,Documents!$C$2:$C$1421,"brochure")),"")</f>
        <v/>
      </c>
      <c r="S30" s="0" t="str">
        <f aca="false">IFERROR(IF(maxifs(Documents!$E$2:$E$1421,Documents!$A$2:$A$1421,$A30,Documents!$C$2:$C$1421,"press_kit")=0,"",maxifs(Documents!$E$2:$E$1421,Documents!$A$2:$A$1421,$A30,Documents!$C$2:$C$1421,"press_kit")),"")</f>
        <v/>
      </c>
      <c r="T30" s="0" t="str">
        <f aca="false">IFERROR(IF(maxifs(Documents!$E$2:$E$1421,Documents!$A$2:$A$1421,$A30,Documents!$C$2:$C$1421,"other")=0,"",maxifs(Documents!$E$2:$E$1421,Documents!$A$2:$A$1421,$A30,Documents!$C$2:$C$1421,"other")),"")</f>
        <v/>
      </c>
      <c r="U30" s="0" t="str">
        <f aca="false">IFERROR(IF(maxifs(Documents!$E$2:$E$1421,Documents!$A$2:$A$1421,$A30,Documents!$C$2:$C$1421,"obsolete")=0,"",maxifs(Documents!$E$2:$E$1421,Documents!$A$2:$A$1421,$A30,Documents!$C$2:$C$1421,"obsolete")),"")</f>
        <v/>
      </c>
      <c r="V30" s="0" t="n">
        <f aca="false">COUNTIFS(Documents!$A$2:$A$1421,$A30)</f>
        <v>3</v>
      </c>
      <c r="W30" s="0" t="n">
        <f aca="false">COUNTIFS(Documents!$A$2:$A$1421,$A30,Documents!$R$2:$R$1421,"current")</f>
        <v>1</v>
      </c>
      <c r="X30" s="0" t="str">
        <f aca="false">HYPERLINK("https://sales.crownandchamparesorts.com/wp-content/uploads/2026/04/NalaMaldivesFactsheet011125311026Ver030426.pdf","2025_NalaMaldivesFactsheet011125311026Ve")</f>
        <v>2025_NalaMaldivesFactsheet011125311026Ve</v>
      </c>
      <c r="Y30" s="0" t="s">
        <v>28</v>
      </c>
      <c r="Z30" s="0" t="s">
        <v>69</v>
      </c>
    </row>
    <row r="31" customFormat="false" ht="15" hidden="false" customHeight="false" outlineLevel="0" collapsed="false">
      <c r="A31" s="0" t="n">
        <v>30</v>
      </c>
      <c r="B31" s="0" t="s">
        <v>70</v>
      </c>
      <c r="C31" s="0" t="s">
        <v>33</v>
      </c>
      <c r="D31" s="0" t="str">
        <f aca="false">IFERROR(IF(maxifs(Documents!$E$2:$E$1421,Documents!$A$2:$A$1421,$A31,Documents!$C$2:$C$1421,"factsheet")=0,"",maxifs(Documents!$E$2:$E$1421,Documents!$A$2:$A$1421,$A31,Documents!$C$2:$C$1421,"factsheet")),"")</f>
        <v/>
      </c>
      <c r="E31" s="0" t="str">
        <f aca="false">IFERROR(IF(maxifs(Documents!$E$2:$E$1421,Documents!$A$2:$A$1421,$A31,Documents!$C$2:$C$1421,"wedding")=0,"",maxifs(Documents!$E$2:$E$1421,Documents!$A$2:$A$1421,$A31,Documents!$C$2:$C$1421,"wedding")),"")</f>
        <v/>
      </c>
      <c r="F31" s="0" t="str">
        <f aca="false">IFERROR(IF(maxifs(Documents!$E$2:$E$1421,Documents!$A$2:$A$1421,$A31,Documents!$C$2:$C$1421,"events")=0,"",maxifs(Documents!$E$2:$E$1421,Documents!$A$2:$A$1421,$A31,Documents!$C$2:$C$1421,"events")),"")</f>
        <v/>
      </c>
      <c r="G31" s="0" t="str">
        <f aca="false">IFERROR(IF(maxifs(Documents!$E$2:$E$1421,Documents!$A$2:$A$1421,$A31,Documents!$C$2:$C$1421,"map")=0,"",maxifs(Documents!$E$2:$E$1421,Documents!$A$2:$A$1421,$A31,Documents!$C$2:$C$1421,"map")),"")</f>
        <v/>
      </c>
      <c r="H31" s="0" t="str">
        <f aca="false">IFERROR(IF(maxifs(Documents!$E$2:$E$1421,Documents!$A$2:$A$1421,$A31,Documents!$C$2:$C$1421,"dive_map")=0,"",maxifs(Documents!$E$2:$E$1421,Documents!$A$2:$A$1421,$A31,Documents!$C$2:$C$1421,"dive_map")),"")</f>
        <v/>
      </c>
      <c r="I31" s="0" t="str">
        <f aca="false">IFERROR(IF(maxifs(Documents!$E$2:$E$1421,Documents!$A$2:$A$1421,$A31,Documents!$C$2:$C$1421,"spa_menu")=0,"",maxifs(Documents!$E$2:$E$1421,Documents!$A$2:$A$1421,$A31,Documents!$C$2:$C$1421,"spa_menu")),"")</f>
        <v/>
      </c>
      <c r="J31" s="0" t="str">
        <f aca="false">IFERROR(IF(maxifs(Documents!$E$2:$E$1421,Documents!$A$2:$A$1421,$A31,Documents!$C$2:$C$1421,"dining_menu")=0,"",maxifs(Documents!$E$2:$E$1421,Documents!$A$2:$A$1421,$A31,Documents!$C$2:$C$1421,"dining_menu")),"")</f>
        <v/>
      </c>
      <c r="K31" s="0" t="str">
        <f aca="false">IFERROR(IF(maxifs(Documents!$E$2:$E$1421,Documents!$A$2:$A$1421,$A31,Documents!$C$2:$C$1421,"dive_prices")=0,"",maxifs(Documents!$E$2:$E$1421,Documents!$A$2:$A$1421,$A31,Documents!$C$2:$C$1421,"dive_prices")),"")</f>
        <v/>
      </c>
      <c r="L31" s="0" t="str">
        <f aca="false">IFERROR(IF(maxifs(Documents!$E$2:$E$1421,Documents!$A$2:$A$1421,$A31,Documents!$C$2:$C$1421,"excursions")=0,"",maxifs(Documents!$E$2:$E$1421,Documents!$A$2:$A$1421,$A31,Documents!$C$2:$C$1421,"excursions")),"")</f>
        <v/>
      </c>
      <c r="M31" s="0" t="str">
        <f aca="false">IFERROR(IF(maxifs(Documents!$E$2:$E$1421,Documents!$A$2:$A$1421,$A31,Documents!$C$2:$C$1421,"kids")=0,"",maxifs(Documents!$E$2:$E$1421,Documents!$A$2:$A$1421,$A31,Documents!$C$2:$C$1421,"kids")),"")</f>
        <v/>
      </c>
      <c r="N31" s="0" t="str">
        <f aca="false">IFERROR(IF(maxifs(Documents!$E$2:$E$1421,Documents!$A$2:$A$1421,$A31,Documents!$C$2:$C$1421,"villa_plans")=0,"",maxifs(Documents!$E$2:$E$1421,Documents!$A$2:$A$1421,$A31,Documents!$C$2:$C$1421,"villa_plans")),"")</f>
        <v/>
      </c>
      <c r="O31" s="0" t="str">
        <f aca="false">IFERROR(IF(maxifs(Documents!$E$2:$E$1421,Documents!$A$2:$A$1421,$A31,Documents!$C$2:$C$1421,"all_inclusive")=0,"",maxifs(Documents!$E$2:$E$1421,Documents!$A$2:$A$1421,$A31,Documents!$C$2:$C$1421,"all_inclusive")),"")</f>
        <v/>
      </c>
      <c r="P31" s="0" t="str">
        <f aca="false">IFERROR(IF(maxifs(Documents!$E$2:$E$1421,Documents!$A$2:$A$1421,$A31,Documents!$C$2:$C$1421,"sustainability")=0,"",maxifs(Documents!$E$2:$E$1421,Documents!$A$2:$A$1421,$A31,Documents!$C$2:$C$1421,"sustainability")),"")</f>
        <v/>
      </c>
      <c r="Q31" s="0" t="str">
        <f aca="false">IFERROR(IF(maxifs(Documents!$E$2:$E$1421,Documents!$A$2:$A$1421,$A31,Documents!$C$2:$C$1421,"calendar")=0,"",maxifs(Documents!$E$2:$E$1421,Documents!$A$2:$A$1421,$A31,Documents!$C$2:$C$1421,"calendar")),"")</f>
        <v/>
      </c>
      <c r="R31" s="0" t="str">
        <f aca="false">IFERROR(IF(maxifs(Documents!$E$2:$E$1421,Documents!$A$2:$A$1421,$A31,Documents!$C$2:$C$1421,"brochure")=0,"",maxifs(Documents!$E$2:$E$1421,Documents!$A$2:$A$1421,$A31,Documents!$C$2:$C$1421,"brochure")),"")</f>
        <v/>
      </c>
      <c r="S31" s="0" t="str">
        <f aca="false">IFERROR(IF(maxifs(Documents!$E$2:$E$1421,Documents!$A$2:$A$1421,$A31,Documents!$C$2:$C$1421,"press_kit")=0,"",maxifs(Documents!$E$2:$E$1421,Documents!$A$2:$A$1421,$A31,Documents!$C$2:$C$1421,"press_kit")),"")</f>
        <v/>
      </c>
      <c r="T31" s="0" t="str">
        <f aca="false">IFERROR(IF(maxifs(Documents!$E$2:$E$1421,Documents!$A$2:$A$1421,$A31,Documents!$C$2:$C$1421,"other")=0,"",maxifs(Documents!$E$2:$E$1421,Documents!$A$2:$A$1421,$A31,Documents!$C$2:$C$1421,"other")),"")</f>
        <v/>
      </c>
      <c r="U31" s="0" t="str">
        <f aca="false">IFERROR(IF(maxifs(Documents!$E$2:$E$1421,Documents!$A$2:$A$1421,$A31,Documents!$C$2:$C$1421,"obsolete")=0,"",maxifs(Documents!$E$2:$E$1421,Documents!$A$2:$A$1421,$A31,Documents!$C$2:$C$1421,"obsolete")),"")</f>
        <v/>
      </c>
      <c r="V31" s="0" t="n">
        <f aca="false">COUNTIFS(Documents!$A$2:$A$1421,$A31)</f>
        <v>8</v>
      </c>
      <c r="W31" s="0" t="n">
        <f aca="false">COUNTIFS(Documents!$A$2:$A$1421,$A31,Documents!$R$2:$R$1421,"current")</f>
        <v>0</v>
      </c>
      <c r="X31" s="0" t="str">
        <f aca="false">HYPERLINK("https://sales.crownandchamparesorts.com/wp-content/uploads/2023/08/FactSheetHurawalhi110123103124Ver030123.pdf","2023_FactSheetHurawalhi110123103124Ver03")</f>
        <v>2023_FactSheetHurawalhi110123103124Ver03</v>
      </c>
      <c r="Y31" s="0" t="s">
        <v>35</v>
      </c>
    </row>
    <row r="32" customFormat="false" ht="15" hidden="false" customHeight="false" outlineLevel="0" collapsed="false">
      <c r="A32" s="0" t="n">
        <v>31</v>
      </c>
      <c r="B32" s="0" t="s">
        <v>71</v>
      </c>
      <c r="C32" s="0" t="s">
        <v>30</v>
      </c>
      <c r="D32" s="0" t="str">
        <f aca="false">IFERROR(IF(maxifs(Documents!$E$2:$E$1421,Documents!$A$2:$A$1421,$A32,Documents!$C$2:$C$1421,"factsheet")=0,"",maxifs(Documents!$E$2:$E$1421,Documents!$A$2:$A$1421,$A32,Documents!$C$2:$C$1421,"factsheet")),"")</f>
        <v/>
      </c>
      <c r="E32" s="0" t="str">
        <f aca="false">IFERROR(IF(maxifs(Documents!$E$2:$E$1421,Documents!$A$2:$A$1421,$A32,Documents!$C$2:$C$1421,"wedding")=0,"",maxifs(Documents!$E$2:$E$1421,Documents!$A$2:$A$1421,$A32,Documents!$C$2:$C$1421,"wedding")),"")</f>
        <v/>
      </c>
      <c r="F32" s="0" t="str">
        <f aca="false">IFERROR(IF(maxifs(Documents!$E$2:$E$1421,Documents!$A$2:$A$1421,$A32,Documents!$C$2:$C$1421,"events")=0,"",maxifs(Documents!$E$2:$E$1421,Documents!$A$2:$A$1421,$A32,Documents!$C$2:$C$1421,"events")),"")</f>
        <v/>
      </c>
      <c r="G32" s="0" t="str">
        <f aca="false">IFERROR(IF(maxifs(Documents!$E$2:$E$1421,Documents!$A$2:$A$1421,$A32,Documents!$C$2:$C$1421,"map")=0,"",maxifs(Documents!$E$2:$E$1421,Documents!$A$2:$A$1421,$A32,Documents!$C$2:$C$1421,"map")),"")</f>
        <v/>
      </c>
      <c r="H32" s="0" t="str">
        <f aca="false">IFERROR(IF(maxifs(Documents!$E$2:$E$1421,Documents!$A$2:$A$1421,$A32,Documents!$C$2:$C$1421,"dive_map")=0,"",maxifs(Documents!$E$2:$E$1421,Documents!$A$2:$A$1421,$A32,Documents!$C$2:$C$1421,"dive_map")),"")</f>
        <v/>
      </c>
      <c r="I32" s="0" t="str">
        <f aca="false">IFERROR(IF(maxifs(Documents!$E$2:$E$1421,Documents!$A$2:$A$1421,$A32,Documents!$C$2:$C$1421,"spa_menu")=0,"",maxifs(Documents!$E$2:$E$1421,Documents!$A$2:$A$1421,$A32,Documents!$C$2:$C$1421,"spa_menu")),"")</f>
        <v/>
      </c>
      <c r="J32" s="0" t="str">
        <f aca="false">IFERROR(IF(maxifs(Documents!$E$2:$E$1421,Documents!$A$2:$A$1421,$A32,Documents!$C$2:$C$1421,"dining_menu")=0,"",maxifs(Documents!$E$2:$E$1421,Documents!$A$2:$A$1421,$A32,Documents!$C$2:$C$1421,"dining_menu")),"")</f>
        <v/>
      </c>
      <c r="K32" s="0" t="str">
        <f aca="false">IFERROR(IF(maxifs(Documents!$E$2:$E$1421,Documents!$A$2:$A$1421,$A32,Documents!$C$2:$C$1421,"dive_prices")=0,"",maxifs(Documents!$E$2:$E$1421,Documents!$A$2:$A$1421,$A32,Documents!$C$2:$C$1421,"dive_prices")),"")</f>
        <v/>
      </c>
      <c r="L32" s="0" t="str">
        <f aca="false">IFERROR(IF(maxifs(Documents!$E$2:$E$1421,Documents!$A$2:$A$1421,$A32,Documents!$C$2:$C$1421,"excursions")=0,"",maxifs(Documents!$E$2:$E$1421,Documents!$A$2:$A$1421,$A32,Documents!$C$2:$C$1421,"excursions")),"")</f>
        <v/>
      </c>
      <c r="M32" s="0" t="str">
        <f aca="false">IFERROR(IF(maxifs(Documents!$E$2:$E$1421,Documents!$A$2:$A$1421,$A32,Documents!$C$2:$C$1421,"kids")=0,"",maxifs(Documents!$E$2:$E$1421,Documents!$A$2:$A$1421,$A32,Documents!$C$2:$C$1421,"kids")),"")</f>
        <v/>
      </c>
      <c r="N32" s="0" t="str">
        <f aca="false">IFERROR(IF(maxifs(Documents!$E$2:$E$1421,Documents!$A$2:$A$1421,$A32,Documents!$C$2:$C$1421,"villa_plans")=0,"",maxifs(Documents!$E$2:$E$1421,Documents!$A$2:$A$1421,$A32,Documents!$C$2:$C$1421,"villa_plans")),"")</f>
        <v/>
      </c>
      <c r="O32" s="0" t="str">
        <f aca="false">IFERROR(IF(maxifs(Documents!$E$2:$E$1421,Documents!$A$2:$A$1421,$A32,Documents!$C$2:$C$1421,"all_inclusive")=0,"",maxifs(Documents!$E$2:$E$1421,Documents!$A$2:$A$1421,$A32,Documents!$C$2:$C$1421,"all_inclusive")),"")</f>
        <v/>
      </c>
      <c r="P32" s="0" t="str">
        <f aca="false">IFERROR(IF(maxifs(Documents!$E$2:$E$1421,Documents!$A$2:$A$1421,$A32,Documents!$C$2:$C$1421,"sustainability")=0,"",maxifs(Documents!$E$2:$E$1421,Documents!$A$2:$A$1421,$A32,Documents!$C$2:$C$1421,"sustainability")),"")</f>
        <v/>
      </c>
      <c r="Q32" s="0" t="str">
        <f aca="false">IFERROR(IF(maxifs(Documents!$E$2:$E$1421,Documents!$A$2:$A$1421,$A32,Documents!$C$2:$C$1421,"calendar")=0,"",maxifs(Documents!$E$2:$E$1421,Documents!$A$2:$A$1421,$A32,Documents!$C$2:$C$1421,"calendar")),"")</f>
        <v/>
      </c>
      <c r="R32" s="0" t="str">
        <f aca="false">IFERROR(IF(maxifs(Documents!$E$2:$E$1421,Documents!$A$2:$A$1421,$A32,Documents!$C$2:$C$1421,"brochure")=0,"",maxifs(Documents!$E$2:$E$1421,Documents!$A$2:$A$1421,$A32,Documents!$C$2:$C$1421,"brochure")),"")</f>
        <v/>
      </c>
      <c r="S32" s="0" t="str">
        <f aca="false">IFERROR(IF(maxifs(Documents!$E$2:$E$1421,Documents!$A$2:$A$1421,$A32,Documents!$C$2:$C$1421,"press_kit")=0,"",maxifs(Documents!$E$2:$E$1421,Documents!$A$2:$A$1421,$A32,Documents!$C$2:$C$1421,"press_kit")),"")</f>
        <v/>
      </c>
      <c r="T32" s="0" t="str">
        <f aca="false">IFERROR(IF(maxifs(Documents!$E$2:$E$1421,Documents!$A$2:$A$1421,$A32,Documents!$C$2:$C$1421,"other")=0,"",maxifs(Documents!$E$2:$E$1421,Documents!$A$2:$A$1421,$A32,Documents!$C$2:$C$1421,"other")),"")</f>
        <v/>
      </c>
      <c r="U32" s="0" t="str">
        <f aca="false">IFERROR(IF(maxifs(Documents!$E$2:$E$1421,Documents!$A$2:$A$1421,$A32,Documents!$C$2:$C$1421,"obsolete")=0,"",maxifs(Documents!$E$2:$E$1421,Documents!$A$2:$A$1421,$A32,Documents!$C$2:$C$1421,"obsolete")),"")</f>
        <v/>
      </c>
      <c r="V32" s="0" t="n">
        <f aca="false">COUNTIFS(Documents!$A$2:$A$1421,$A32)</f>
        <v>4</v>
      </c>
      <c r="W32" s="0" t="n">
        <f aca="false">COUNTIFS(Documents!$A$2:$A$1421,$A32,Documents!$R$2:$R$1421,"current")</f>
        <v>0</v>
      </c>
      <c r="X32" s="0" t="str">
        <f aca="false">HYPERLINK("https://sales.crownandchamparesorts.com/wp-content/uploads/2023/08/FactSheetInnahura110121103122Ver110121.pdf","2021_FactSheetInnahura110121103122Ver110")</f>
        <v>2021_FactSheetInnahura110121103122Ver110</v>
      </c>
      <c r="Y32" s="0" t="s">
        <v>28</v>
      </c>
    </row>
    <row r="33" customFormat="false" ht="15" hidden="false" customHeight="false" outlineLevel="0" collapsed="false">
      <c r="A33" s="0" t="n">
        <v>32</v>
      </c>
      <c r="B33" s="0" t="s">
        <v>72</v>
      </c>
      <c r="C33" s="0" t="s">
        <v>33</v>
      </c>
      <c r="D33" s="0" t="str">
        <f aca="false">IFERROR(IF(maxifs(Documents!$E$2:$E$1421,Documents!$A$2:$A$1421,$A33,Documents!$C$2:$C$1421,"factsheet")=0,"",maxifs(Documents!$E$2:$E$1421,Documents!$A$2:$A$1421,$A33,Documents!$C$2:$C$1421,"factsheet")),"")</f>
        <v/>
      </c>
      <c r="E33" s="0" t="str">
        <f aca="false">IFERROR(IF(maxifs(Documents!$E$2:$E$1421,Documents!$A$2:$A$1421,$A33,Documents!$C$2:$C$1421,"wedding")=0,"",maxifs(Documents!$E$2:$E$1421,Documents!$A$2:$A$1421,$A33,Documents!$C$2:$C$1421,"wedding")),"")</f>
        <v/>
      </c>
      <c r="F33" s="0" t="str">
        <f aca="false">IFERROR(IF(maxifs(Documents!$E$2:$E$1421,Documents!$A$2:$A$1421,$A33,Documents!$C$2:$C$1421,"events")=0,"",maxifs(Documents!$E$2:$E$1421,Documents!$A$2:$A$1421,$A33,Documents!$C$2:$C$1421,"events")),"")</f>
        <v/>
      </c>
      <c r="G33" s="0" t="str">
        <f aca="false">IFERROR(IF(maxifs(Documents!$E$2:$E$1421,Documents!$A$2:$A$1421,$A33,Documents!$C$2:$C$1421,"map")=0,"",maxifs(Documents!$E$2:$E$1421,Documents!$A$2:$A$1421,$A33,Documents!$C$2:$C$1421,"map")),"")</f>
        <v/>
      </c>
      <c r="H33" s="0" t="str">
        <f aca="false">IFERROR(IF(maxifs(Documents!$E$2:$E$1421,Documents!$A$2:$A$1421,$A33,Documents!$C$2:$C$1421,"dive_map")=0,"",maxifs(Documents!$E$2:$E$1421,Documents!$A$2:$A$1421,$A33,Documents!$C$2:$C$1421,"dive_map")),"")</f>
        <v/>
      </c>
      <c r="I33" s="0" t="str">
        <f aca="false">IFERROR(IF(maxifs(Documents!$E$2:$E$1421,Documents!$A$2:$A$1421,$A33,Documents!$C$2:$C$1421,"spa_menu")=0,"",maxifs(Documents!$E$2:$E$1421,Documents!$A$2:$A$1421,$A33,Documents!$C$2:$C$1421,"spa_menu")),"")</f>
        <v/>
      </c>
      <c r="J33" s="0" t="str">
        <f aca="false">IFERROR(IF(maxifs(Documents!$E$2:$E$1421,Documents!$A$2:$A$1421,$A33,Documents!$C$2:$C$1421,"dining_menu")=0,"",maxifs(Documents!$E$2:$E$1421,Documents!$A$2:$A$1421,$A33,Documents!$C$2:$C$1421,"dining_menu")),"")</f>
        <v/>
      </c>
      <c r="K33" s="0" t="str">
        <f aca="false">IFERROR(IF(maxifs(Documents!$E$2:$E$1421,Documents!$A$2:$A$1421,$A33,Documents!$C$2:$C$1421,"dive_prices")=0,"",maxifs(Documents!$E$2:$E$1421,Documents!$A$2:$A$1421,$A33,Documents!$C$2:$C$1421,"dive_prices")),"")</f>
        <v/>
      </c>
      <c r="L33" s="0" t="str">
        <f aca="false">IFERROR(IF(maxifs(Documents!$E$2:$E$1421,Documents!$A$2:$A$1421,$A33,Documents!$C$2:$C$1421,"excursions")=0,"",maxifs(Documents!$E$2:$E$1421,Documents!$A$2:$A$1421,$A33,Documents!$C$2:$C$1421,"excursions")),"")</f>
        <v/>
      </c>
      <c r="M33" s="0" t="str">
        <f aca="false">IFERROR(IF(maxifs(Documents!$E$2:$E$1421,Documents!$A$2:$A$1421,$A33,Documents!$C$2:$C$1421,"kids")=0,"",maxifs(Documents!$E$2:$E$1421,Documents!$A$2:$A$1421,$A33,Documents!$C$2:$C$1421,"kids")),"")</f>
        <v/>
      </c>
      <c r="N33" s="0" t="str">
        <f aca="false">IFERROR(IF(maxifs(Documents!$E$2:$E$1421,Documents!$A$2:$A$1421,$A33,Documents!$C$2:$C$1421,"villa_plans")=0,"",maxifs(Documents!$E$2:$E$1421,Documents!$A$2:$A$1421,$A33,Documents!$C$2:$C$1421,"villa_plans")),"")</f>
        <v/>
      </c>
      <c r="O33" s="0" t="str">
        <f aca="false">IFERROR(IF(maxifs(Documents!$E$2:$E$1421,Documents!$A$2:$A$1421,$A33,Documents!$C$2:$C$1421,"all_inclusive")=0,"",maxifs(Documents!$E$2:$E$1421,Documents!$A$2:$A$1421,$A33,Documents!$C$2:$C$1421,"all_inclusive")),"")</f>
        <v/>
      </c>
      <c r="P33" s="0" t="str">
        <f aca="false">IFERROR(IF(maxifs(Documents!$E$2:$E$1421,Documents!$A$2:$A$1421,$A33,Documents!$C$2:$C$1421,"sustainability")=0,"",maxifs(Documents!$E$2:$E$1421,Documents!$A$2:$A$1421,$A33,Documents!$C$2:$C$1421,"sustainability")),"")</f>
        <v/>
      </c>
      <c r="Q33" s="0" t="str">
        <f aca="false">IFERROR(IF(maxifs(Documents!$E$2:$E$1421,Documents!$A$2:$A$1421,$A33,Documents!$C$2:$C$1421,"calendar")=0,"",maxifs(Documents!$E$2:$E$1421,Documents!$A$2:$A$1421,$A33,Documents!$C$2:$C$1421,"calendar")),"")</f>
        <v/>
      </c>
      <c r="R33" s="0" t="str">
        <f aca="false">IFERROR(IF(maxifs(Documents!$E$2:$E$1421,Documents!$A$2:$A$1421,$A33,Documents!$C$2:$C$1421,"brochure")=0,"",maxifs(Documents!$E$2:$E$1421,Documents!$A$2:$A$1421,$A33,Documents!$C$2:$C$1421,"brochure")),"")</f>
        <v/>
      </c>
      <c r="S33" s="0" t="str">
        <f aca="false">IFERROR(IF(maxifs(Documents!$E$2:$E$1421,Documents!$A$2:$A$1421,$A33,Documents!$C$2:$C$1421,"press_kit")=0,"",maxifs(Documents!$E$2:$E$1421,Documents!$A$2:$A$1421,$A33,Documents!$C$2:$C$1421,"press_kit")),"")</f>
        <v/>
      </c>
      <c r="T33" s="0" t="str">
        <f aca="false">IFERROR(IF(maxifs(Documents!$E$2:$E$1421,Documents!$A$2:$A$1421,$A33,Documents!$C$2:$C$1421,"other")=0,"",maxifs(Documents!$E$2:$E$1421,Documents!$A$2:$A$1421,$A33,Documents!$C$2:$C$1421,"other")),"")</f>
        <v/>
      </c>
      <c r="U33" s="0" t="str">
        <f aca="false">IFERROR(IF(maxifs(Documents!$E$2:$E$1421,Documents!$A$2:$A$1421,$A33,Documents!$C$2:$C$1421,"obsolete")=0,"",maxifs(Documents!$E$2:$E$1421,Documents!$A$2:$A$1421,$A33,Documents!$C$2:$C$1421,"obsolete")),"")</f>
        <v/>
      </c>
      <c r="V33" s="0" t="n">
        <f aca="false">COUNTIFS(Documents!$A$2:$A$1421,$A33)</f>
        <v>5</v>
      </c>
      <c r="W33" s="0" t="n">
        <f aca="false">COUNTIFS(Documents!$A$2:$A$1421,$A33,Documents!$R$2:$R$1421,"current")</f>
        <v>2</v>
      </c>
      <c r="X33" s="0" t="str">
        <f aca="false">HYPERLINK("https://www.neoscapesmaldives.com/wp-content/uploads/Cocoon-Maldives-_-Fact-Sheet.pdf","2025_Cocoon-Maldives-_-Fact-Sheet.pdf")</f>
        <v>2025_Cocoon-Maldives-_-Fact-Sheet.pdf</v>
      </c>
      <c r="Y33" s="0" t="s">
        <v>28</v>
      </c>
    </row>
    <row r="34" customFormat="false" ht="15" hidden="false" customHeight="false" outlineLevel="0" collapsed="false">
      <c r="A34" s="0" t="n">
        <v>33</v>
      </c>
      <c r="B34" s="0" t="s">
        <v>73</v>
      </c>
      <c r="C34" s="0" t="s">
        <v>33</v>
      </c>
      <c r="D34" s="0" t="str">
        <f aca="false">IFERROR(IF(maxifs(Documents!$E$2:$E$1421,Documents!$A$2:$A$1421,$A34,Documents!$C$2:$C$1421,"factsheet")=0,"",maxifs(Documents!$E$2:$E$1421,Documents!$A$2:$A$1421,$A34,Documents!$C$2:$C$1421,"factsheet")),"")</f>
        <v/>
      </c>
      <c r="E34" s="0" t="str">
        <f aca="false">IFERROR(IF(maxifs(Documents!$E$2:$E$1421,Documents!$A$2:$A$1421,$A34,Documents!$C$2:$C$1421,"wedding")=0,"",maxifs(Documents!$E$2:$E$1421,Documents!$A$2:$A$1421,$A34,Documents!$C$2:$C$1421,"wedding")),"")</f>
        <v/>
      </c>
      <c r="F34" s="0" t="str">
        <f aca="false">IFERROR(IF(maxifs(Documents!$E$2:$E$1421,Documents!$A$2:$A$1421,$A34,Documents!$C$2:$C$1421,"events")=0,"",maxifs(Documents!$E$2:$E$1421,Documents!$A$2:$A$1421,$A34,Documents!$C$2:$C$1421,"events")),"")</f>
        <v/>
      </c>
      <c r="G34" s="0" t="str">
        <f aca="false">IFERROR(IF(maxifs(Documents!$E$2:$E$1421,Documents!$A$2:$A$1421,$A34,Documents!$C$2:$C$1421,"map")=0,"",maxifs(Documents!$E$2:$E$1421,Documents!$A$2:$A$1421,$A34,Documents!$C$2:$C$1421,"map")),"")</f>
        <v/>
      </c>
      <c r="H34" s="0" t="str">
        <f aca="false">IFERROR(IF(maxifs(Documents!$E$2:$E$1421,Documents!$A$2:$A$1421,$A34,Documents!$C$2:$C$1421,"dive_map")=0,"",maxifs(Documents!$E$2:$E$1421,Documents!$A$2:$A$1421,$A34,Documents!$C$2:$C$1421,"dive_map")),"")</f>
        <v/>
      </c>
      <c r="I34" s="0" t="str">
        <f aca="false">IFERROR(IF(maxifs(Documents!$E$2:$E$1421,Documents!$A$2:$A$1421,$A34,Documents!$C$2:$C$1421,"spa_menu")=0,"",maxifs(Documents!$E$2:$E$1421,Documents!$A$2:$A$1421,$A34,Documents!$C$2:$C$1421,"spa_menu")),"")</f>
        <v/>
      </c>
      <c r="J34" s="0" t="str">
        <f aca="false">IFERROR(IF(maxifs(Documents!$E$2:$E$1421,Documents!$A$2:$A$1421,$A34,Documents!$C$2:$C$1421,"dining_menu")=0,"",maxifs(Documents!$E$2:$E$1421,Documents!$A$2:$A$1421,$A34,Documents!$C$2:$C$1421,"dining_menu")),"")</f>
        <v/>
      </c>
      <c r="K34" s="0" t="str">
        <f aca="false">IFERROR(IF(maxifs(Documents!$E$2:$E$1421,Documents!$A$2:$A$1421,$A34,Documents!$C$2:$C$1421,"dive_prices")=0,"",maxifs(Documents!$E$2:$E$1421,Documents!$A$2:$A$1421,$A34,Documents!$C$2:$C$1421,"dive_prices")),"")</f>
        <v/>
      </c>
      <c r="L34" s="0" t="str">
        <f aca="false">IFERROR(IF(maxifs(Documents!$E$2:$E$1421,Documents!$A$2:$A$1421,$A34,Documents!$C$2:$C$1421,"excursions")=0,"",maxifs(Documents!$E$2:$E$1421,Documents!$A$2:$A$1421,$A34,Documents!$C$2:$C$1421,"excursions")),"")</f>
        <v/>
      </c>
      <c r="M34" s="0" t="str">
        <f aca="false">IFERROR(IF(maxifs(Documents!$E$2:$E$1421,Documents!$A$2:$A$1421,$A34,Documents!$C$2:$C$1421,"kids")=0,"",maxifs(Documents!$E$2:$E$1421,Documents!$A$2:$A$1421,$A34,Documents!$C$2:$C$1421,"kids")),"")</f>
        <v/>
      </c>
      <c r="N34" s="0" t="str">
        <f aca="false">IFERROR(IF(maxifs(Documents!$E$2:$E$1421,Documents!$A$2:$A$1421,$A34,Documents!$C$2:$C$1421,"villa_plans")=0,"",maxifs(Documents!$E$2:$E$1421,Documents!$A$2:$A$1421,$A34,Documents!$C$2:$C$1421,"villa_plans")),"")</f>
        <v/>
      </c>
      <c r="O34" s="0" t="str">
        <f aca="false">IFERROR(IF(maxifs(Documents!$E$2:$E$1421,Documents!$A$2:$A$1421,$A34,Documents!$C$2:$C$1421,"all_inclusive")=0,"",maxifs(Documents!$E$2:$E$1421,Documents!$A$2:$A$1421,$A34,Documents!$C$2:$C$1421,"all_inclusive")),"")</f>
        <v/>
      </c>
      <c r="P34" s="0" t="str">
        <f aca="false">IFERROR(IF(maxifs(Documents!$E$2:$E$1421,Documents!$A$2:$A$1421,$A34,Documents!$C$2:$C$1421,"sustainability")=0,"",maxifs(Documents!$E$2:$E$1421,Documents!$A$2:$A$1421,$A34,Documents!$C$2:$C$1421,"sustainability")),"")</f>
        <v/>
      </c>
      <c r="Q34" s="0" t="str">
        <f aca="false">IFERROR(IF(maxifs(Documents!$E$2:$E$1421,Documents!$A$2:$A$1421,$A34,Documents!$C$2:$C$1421,"calendar")=0,"",maxifs(Documents!$E$2:$E$1421,Documents!$A$2:$A$1421,$A34,Documents!$C$2:$C$1421,"calendar")),"")</f>
        <v/>
      </c>
      <c r="R34" s="0" t="str">
        <f aca="false">IFERROR(IF(maxifs(Documents!$E$2:$E$1421,Documents!$A$2:$A$1421,$A34,Documents!$C$2:$C$1421,"brochure")=0,"",maxifs(Documents!$E$2:$E$1421,Documents!$A$2:$A$1421,$A34,Documents!$C$2:$C$1421,"brochure")),"")</f>
        <v/>
      </c>
      <c r="S34" s="0" t="str">
        <f aca="false">IFERROR(IF(maxifs(Documents!$E$2:$E$1421,Documents!$A$2:$A$1421,$A34,Documents!$C$2:$C$1421,"press_kit")=0,"",maxifs(Documents!$E$2:$E$1421,Documents!$A$2:$A$1421,$A34,Documents!$C$2:$C$1421,"press_kit")),"")</f>
        <v/>
      </c>
      <c r="T34" s="0" t="str">
        <f aca="false">IFERROR(IF(maxifs(Documents!$E$2:$E$1421,Documents!$A$2:$A$1421,$A34,Documents!$C$2:$C$1421,"other")=0,"",maxifs(Documents!$E$2:$E$1421,Documents!$A$2:$A$1421,$A34,Documents!$C$2:$C$1421,"other")),"")</f>
        <v/>
      </c>
      <c r="U34" s="0" t="str">
        <f aca="false">IFERROR(IF(maxifs(Documents!$E$2:$E$1421,Documents!$A$2:$A$1421,$A34,Documents!$C$2:$C$1421,"obsolete")=0,"",maxifs(Documents!$E$2:$E$1421,Documents!$A$2:$A$1421,$A34,Documents!$C$2:$C$1421,"obsolete")),"")</f>
        <v/>
      </c>
      <c r="V34" s="0" t="n">
        <f aca="false">COUNTIFS(Documents!$A$2:$A$1421,$A34)</f>
        <v>89</v>
      </c>
      <c r="W34" s="0" t="n">
        <f aca="false">COUNTIFS(Documents!$A$2:$A$1421,$A34,Documents!$R$2:$R$1421,"current")</f>
        <v>75</v>
      </c>
      <c r="X34" s="0" t="str">
        <f aca="false">HYPERLINK("https://www.nivadhigali.com/wp-content/uploads/2026/01/DHIGALI_Factsheet.pdf","2026_DHIGALI_Factsheet.pdf")</f>
        <v>2026_DHIGALI_Factsheet.pdf</v>
      </c>
      <c r="Y34" s="0" t="s">
        <v>28</v>
      </c>
      <c r="Z34" s="0" t="s">
        <v>74</v>
      </c>
    </row>
    <row r="35" customFormat="false" ht="15" hidden="false" customHeight="false" outlineLevel="0" collapsed="false">
      <c r="A35" s="0" t="n">
        <v>34</v>
      </c>
      <c r="B35" s="0" t="s">
        <v>75</v>
      </c>
      <c r="C35" s="0" t="s">
        <v>33</v>
      </c>
      <c r="D35" s="0" t="str">
        <f aca="false">IFERROR(IF(maxifs(Documents!$E$2:$E$1421,Documents!$A$2:$A$1421,$A35,Documents!$C$2:$C$1421,"factsheet")=0,"",maxifs(Documents!$E$2:$E$1421,Documents!$A$2:$A$1421,$A35,Documents!$C$2:$C$1421,"factsheet")),"")</f>
        <v/>
      </c>
      <c r="E35" s="0" t="str">
        <f aca="false">IFERROR(IF(maxifs(Documents!$E$2:$E$1421,Documents!$A$2:$A$1421,$A35,Documents!$C$2:$C$1421,"wedding")=0,"",maxifs(Documents!$E$2:$E$1421,Documents!$A$2:$A$1421,$A35,Documents!$C$2:$C$1421,"wedding")),"")</f>
        <v/>
      </c>
      <c r="F35" s="0" t="str">
        <f aca="false">IFERROR(IF(maxifs(Documents!$E$2:$E$1421,Documents!$A$2:$A$1421,$A35,Documents!$C$2:$C$1421,"events")=0,"",maxifs(Documents!$E$2:$E$1421,Documents!$A$2:$A$1421,$A35,Documents!$C$2:$C$1421,"events")),"")</f>
        <v/>
      </c>
      <c r="G35" s="0" t="str">
        <f aca="false">IFERROR(IF(maxifs(Documents!$E$2:$E$1421,Documents!$A$2:$A$1421,$A35,Documents!$C$2:$C$1421,"map")=0,"",maxifs(Documents!$E$2:$E$1421,Documents!$A$2:$A$1421,$A35,Documents!$C$2:$C$1421,"map")),"")</f>
        <v/>
      </c>
      <c r="H35" s="0" t="str">
        <f aca="false">IFERROR(IF(maxifs(Documents!$E$2:$E$1421,Documents!$A$2:$A$1421,$A35,Documents!$C$2:$C$1421,"dive_map")=0,"",maxifs(Documents!$E$2:$E$1421,Documents!$A$2:$A$1421,$A35,Documents!$C$2:$C$1421,"dive_map")),"")</f>
        <v/>
      </c>
      <c r="I35" s="0" t="str">
        <f aca="false">IFERROR(IF(maxifs(Documents!$E$2:$E$1421,Documents!$A$2:$A$1421,$A35,Documents!$C$2:$C$1421,"spa_menu")=0,"",maxifs(Documents!$E$2:$E$1421,Documents!$A$2:$A$1421,$A35,Documents!$C$2:$C$1421,"spa_menu")),"")</f>
        <v/>
      </c>
      <c r="J35" s="0" t="str">
        <f aca="false">IFERROR(IF(maxifs(Documents!$E$2:$E$1421,Documents!$A$2:$A$1421,$A35,Documents!$C$2:$C$1421,"dining_menu")=0,"",maxifs(Documents!$E$2:$E$1421,Documents!$A$2:$A$1421,$A35,Documents!$C$2:$C$1421,"dining_menu")),"")</f>
        <v/>
      </c>
      <c r="K35" s="0" t="str">
        <f aca="false">IFERROR(IF(maxifs(Documents!$E$2:$E$1421,Documents!$A$2:$A$1421,$A35,Documents!$C$2:$C$1421,"dive_prices")=0,"",maxifs(Documents!$E$2:$E$1421,Documents!$A$2:$A$1421,$A35,Documents!$C$2:$C$1421,"dive_prices")),"")</f>
        <v/>
      </c>
      <c r="L35" s="0" t="str">
        <f aca="false">IFERROR(IF(maxifs(Documents!$E$2:$E$1421,Documents!$A$2:$A$1421,$A35,Documents!$C$2:$C$1421,"excursions")=0,"",maxifs(Documents!$E$2:$E$1421,Documents!$A$2:$A$1421,$A35,Documents!$C$2:$C$1421,"excursions")),"")</f>
        <v/>
      </c>
      <c r="M35" s="0" t="str">
        <f aca="false">IFERROR(IF(maxifs(Documents!$E$2:$E$1421,Documents!$A$2:$A$1421,$A35,Documents!$C$2:$C$1421,"kids")=0,"",maxifs(Documents!$E$2:$E$1421,Documents!$A$2:$A$1421,$A35,Documents!$C$2:$C$1421,"kids")),"")</f>
        <v/>
      </c>
      <c r="N35" s="0" t="str">
        <f aca="false">IFERROR(IF(maxifs(Documents!$E$2:$E$1421,Documents!$A$2:$A$1421,$A35,Documents!$C$2:$C$1421,"villa_plans")=0,"",maxifs(Documents!$E$2:$E$1421,Documents!$A$2:$A$1421,$A35,Documents!$C$2:$C$1421,"villa_plans")),"")</f>
        <v/>
      </c>
      <c r="O35" s="0" t="str">
        <f aca="false">IFERROR(IF(maxifs(Documents!$E$2:$E$1421,Documents!$A$2:$A$1421,$A35,Documents!$C$2:$C$1421,"all_inclusive")=0,"",maxifs(Documents!$E$2:$E$1421,Documents!$A$2:$A$1421,$A35,Documents!$C$2:$C$1421,"all_inclusive")),"")</f>
        <v/>
      </c>
      <c r="P35" s="0" t="str">
        <f aca="false">IFERROR(IF(maxifs(Documents!$E$2:$E$1421,Documents!$A$2:$A$1421,$A35,Documents!$C$2:$C$1421,"sustainability")=0,"",maxifs(Documents!$E$2:$E$1421,Documents!$A$2:$A$1421,$A35,Documents!$C$2:$C$1421,"sustainability")),"")</f>
        <v/>
      </c>
      <c r="Q35" s="0" t="str">
        <f aca="false">IFERROR(IF(maxifs(Documents!$E$2:$E$1421,Documents!$A$2:$A$1421,$A35,Documents!$C$2:$C$1421,"calendar")=0,"",maxifs(Documents!$E$2:$E$1421,Documents!$A$2:$A$1421,$A35,Documents!$C$2:$C$1421,"calendar")),"")</f>
        <v/>
      </c>
      <c r="R35" s="0" t="str">
        <f aca="false">IFERROR(IF(maxifs(Documents!$E$2:$E$1421,Documents!$A$2:$A$1421,$A35,Documents!$C$2:$C$1421,"brochure")=0,"",maxifs(Documents!$E$2:$E$1421,Documents!$A$2:$A$1421,$A35,Documents!$C$2:$C$1421,"brochure")),"")</f>
        <v/>
      </c>
      <c r="S35" s="0" t="str">
        <f aca="false">IFERROR(IF(maxifs(Documents!$E$2:$E$1421,Documents!$A$2:$A$1421,$A35,Documents!$C$2:$C$1421,"press_kit")=0,"",maxifs(Documents!$E$2:$E$1421,Documents!$A$2:$A$1421,$A35,Documents!$C$2:$C$1421,"press_kit")),"")</f>
        <v/>
      </c>
      <c r="T35" s="0" t="str">
        <f aca="false">IFERROR(IF(maxifs(Documents!$E$2:$E$1421,Documents!$A$2:$A$1421,$A35,Documents!$C$2:$C$1421,"other")=0,"",maxifs(Documents!$E$2:$E$1421,Documents!$A$2:$A$1421,$A35,Documents!$C$2:$C$1421,"other")),"")</f>
        <v/>
      </c>
      <c r="U35" s="0" t="str">
        <f aca="false">IFERROR(IF(maxifs(Documents!$E$2:$E$1421,Documents!$A$2:$A$1421,$A35,Documents!$C$2:$C$1421,"obsolete")=0,"",maxifs(Documents!$E$2:$E$1421,Documents!$A$2:$A$1421,$A35,Documents!$C$2:$C$1421,"obsolete")),"")</f>
        <v/>
      </c>
      <c r="V35" s="0" t="n">
        <f aca="false">COUNTIFS(Documents!$A$2:$A$1421,$A35)</f>
        <v>13</v>
      </c>
      <c r="W35" s="0" t="n">
        <f aca="false">COUNTIFS(Documents!$A$2:$A$1421,$A35,Documents!$R$2:$R$1421,"current")</f>
        <v>8</v>
      </c>
      <c r="X35" s="0" t="str">
        <f aca="false">HYPERLINK("https://www.adaaran.com/selectmeedhupparu/view-download/?id=asm-factsheet","2026_document.pdf")</f>
        <v>2026_document.pdf</v>
      </c>
      <c r="Y35" s="0" t="s">
        <v>35</v>
      </c>
    </row>
    <row r="36" customFormat="false" ht="15" hidden="false" customHeight="false" outlineLevel="0" collapsed="false">
      <c r="A36" s="0" t="n">
        <v>35</v>
      </c>
      <c r="B36" s="0" t="s">
        <v>76</v>
      </c>
      <c r="C36" s="0" t="s">
        <v>33</v>
      </c>
      <c r="D36" s="0" t="str">
        <f aca="false">IFERROR(IF(maxifs(Documents!$E$2:$E$1421,Documents!$A$2:$A$1421,$A36,Documents!$C$2:$C$1421,"factsheet")=0,"",maxifs(Documents!$E$2:$E$1421,Documents!$A$2:$A$1421,$A36,Documents!$C$2:$C$1421,"factsheet")),"")</f>
        <v/>
      </c>
      <c r="E36" s="0" t="str">
        <f aca="false">IFERROR(IF(maxifs(Documents!$E$2:$E$1421,Documents!$A$2:$A$1421,$A36,Documents!$C$2:$C$1421,"wedding")=0,"",maxifs(Documents!$E$2:$E$1421,Documents!$A$2:$A$1421,$A36,Documents!$C$2:$C$1421,"wedding")),"")</f>
        <v/>
      </c>
      <c r="F36" s="0" t="str">
        <f aca="false">IFERROR(IF(maxifs(Documents!$E$2:$E$1421,Documents!$A$2:$A$1421,$A36,Documents!$C$2:$C$1421,"events")=0,"",maxifs(Documents!$E$2:$E$1421,Documents!$A$2:$A$1421,$A36,Documents!$C$2:$C$1421,"events")),"")</f>
        <v/>
      </c>
      <c r="G36" s="0" t="str">
        <f aca="false">IFERROR(IF(maxifs(Documents!$E$2:$E$1421,Documents!$A$2:$A$1421,$A36,Documents!$C$2:$C$1421,"map")=0,"",maxifs(Documents!$E$2:$E$1421,Documents!$A$2:$A$1421,$A36,Documents!$C$2:$C$1421,"map")),"")</f>
        <v/>
      </c>
      <c r="H36" s="0" t="str">
        <f aca="false">IFERROR(IF(maxifs(Documents!$E$2:$E$1421,Documents!$A$2:$A$1421,$A36,Documents!$C$2:$C$1421,"dive_map")=0,"",maxifs(Documents!$E$2:$E$1421,Documents!$A$2:$A$1421,$A36,Documents!$C$2:$C$1421,"dive_map")),"")</f>
        <v/>
      </c>
      <c r="I36" s="0" t="str">
        <f aca="false">IFERROR(IF(maxifs(Documents!$E$2:$E$1421,Documents!$A$2:$A$1421,$A36,Documents!$C$2:$C$1421,"spa_menu")=0,"",maxifs(Documents!$E$2:$E$1421,Documents!$A$2:$A$1421,$A36,Documents!$C$2:$C$1421,"spa_menu")),"")</f>
        <v/>
      </c>
      <c r="J36" s="0" t="str">
        <f aca="false">IFERROR(IF(maxifs(Documents!$E$2:$E$1421,Documents!$A$2:$A$1421,$A36,Documents!$C$2:$C$1421,"dining_menu")=0,"",maxifs(Documents!$E$2:$E$1421,Documents!$A$2:$A$1421,$A36,Documents!$C$2:$C$1421,"dining_menu")),"")</f>
        <v/>
      </c>
      <c r="K36" s="0" t="str">
        <f aca="false">IFERROR(IF(maxifs(Documents!$E$2:$E$1421,Documents!$A$2:$A$1421,$A36,Documents!$C$2:$C$1421,"dive_prices")=0,"",maxifs(Documents!$E$2:$E$1421,Documents!$A$2:$A$1421,$A36,Documents!$C$2:$C$1421,"dive_prices")),"")</f>
        <v/>
      </c>
      <c r="L36" s="0" t="str">
        <f aca="false">IFERROR(IF(maxifs(Documents!$E$2:$E$1421,Documents!$A$2:$A$1421,$A36,Documents!$C$2:$C$1421,"excursions")=0,"",maxifs(Documents!$E$2:$E$1421,Documents!$A$2:$A$1421,$A36,Documents!$C$2:$C$1421,"excursions")),"")</f>
        <v/>
      </c>
      <c r="M36" s="0" t="str">
        <f aca="false">IFERROR(IF(maxifs(Documents!$E$2:$E$1421,Documents!$A$2:$A$1421,$A36,Documents!$C$2:$C$1421,"kids")=0,"",maxifs(Documents!$E$2:$E$1421,Documents!$A$2:$A$1421,$A36,Documents!$C$2:$C$1421,"kids")),"")</f>
        <v/>
      </c>
      <c r="N36" s="0" t="str">
        <f aca="false">IFERROR(IF(maxifs(Documents!$E$2:$E$1421,Documents!$A$2:$A$1421,$A36,Documents!$C$2:$C$1421,"villa_plans")=0,"",maxifs(Documents!$E$2:$E$1421,Documents!$A$2:$A$1421,$A36,Documents!$C$2:$C$1421,"villa_plans")),"")</f>
        <v/>
      </c>
      <c r="O36" s="0" t="str">
        <f aca="false">IFERROR(IF(maxifs(Documents!$E$2:$E$1421,Documents!$A$2:$A$1421,$A36,Documents!$C$2:$C$1421,"all_inclusive")=0,"",maxifs(Documents!$E$2:$E$1421,Documents!$A$2:$A$1421,$A36,Documents!$C$2:$C$1421,"all_inclusive")),"")</f>
        <v/>
      </c>
      <c r="P36" s="0" t="str">
        <f aca="false">IFERROR(IF(maxifs(Documents!$E$2:$E$1421,Documents!$A$2:$A$1421,$A36,Documents!$C$2:$C$1421,"sustainability")=0,"",maxifs(Documents!$E$2:$E$1421,Documents!$A$2:$A$1421,$A36,Documents!$C$2:$C$1421,"sustainability")),"")</f>
        <v/>
      </c>
      <c r="Q36" s="0" t="str">
        <f aca="false">IFERROR(IF(maxifs(Documents!$E$2:$E$1421,Documents!$A$2:$A$1421,$A36,Documents!$C$2:$C$1421,"calendar")=0,"",maxifs(Documents!$E$2:$E$1421,Documents!$A$2:$A$1421,$A36,Documents!$C$2:$C$1421,"calendar")),"")</f>
        <v/>
      </c>
      <c r="R36" s="0" t="str">
        <f aca="false">IFERROR(IF(maxifs(Documents!$E$2:$E$1421,Documents!$A$2:$A$1421,$A36,Documents!$C$2:$C$1421,"brochure")=0,"",maxifs(Documents!$E$2:$E$1421,Documents!$A$2:$A$1421,$A36,Documents!$C$2:$C$1421,"brochure")),"")</f>
        <v/>
      </c>
      <c r="S36" s="0" t="str">
        <f aca="false">IFERROR(IF(maxifs(Documents!$E$2:$E$1421,Documents!$A$2:$A$1421,$A36,Documents!$C$2:$C$1421,"press_kit")=0,"",maxifs(Documents!$E$2:$E$1421,Documents!$A$2:$A$1421,$A36,Documents!$C$2:$C$1421,"press_kit")),"")</f>
        <v/>
      </c>
      <c r="T36" s="0" t="str">
        <f aca="false">IFERROR(IF(maxifs(Documents!$E$2:$E$1421,Documents!$A$2:$A$1421,$A36,Documents!$C$2:$C$1421,"other")=0,"",maxifs(Documents!$E$2:$E$1421,Documents!$A$2:$A$1421,$A36,Documents!$C$2:$C$1421,"other")),"")</f>
        <v/>
      </c>
      <c r="U36" s="0" t="str">
        <f aca="false">IFERROR(IF(maxifs(Documents!$E$2:$E$1421,Documents!$A$2:$A$1421,$A36,Documents!$C$2:$C$1421,"obsolete")=0,"",maxifs(Documents!$E$2:$E$1421,Documents!$A$2:$A$1421,$A36,Documents!$C$2:$C$1421,"obsolete")),"")</f>
        <v/>
      </c>
      <c r="V36" s="0" t="n">
        <f aca="false">COUNTIFS(Documents!$A$2:$A$1421,$A36)</f>
        <v>190</v>
      </c>
      <c r="W36" s="0" t="n">
        <f aca="false">COUNTIFS(Documents!$A$2:$A$1421,$A36,Documents!$R$2:$R$1421,"current")</f>
        <v>138</v>
      </c>
      <c r="X36" s="0" t="str">
        <f aca="false">HYPERLINK("https://heritancehotels.eme-devops.com/sites/2/2026/09/Heritance-Aarah-Fact-Sheet.pdf","2026_Heritance-Aarah-Fact-Sheet.pdf")</f>
        <v>2026_Heritance-Aarah-Fact-Sheet.pdf</v>
      </c>
      <c r="Y36" s="0" t="s">
        <v>35</v>
      </c>
    </row>
    <row r="37" customFormat="false" ht="15" hidden="false" customHeight="false" outlineLevel="0" collapsed="false">
      <c r="A37" s="0" t="n">
        <v>36</v>
      </c>
      <c r="B37" s="0" t="s">
        <v>77</v>
      </c>
      <c r="C37" s="0" t="s">
        <v>39</v>
      </c>
      <c r="D37" s="0" t="str">
        <f aca="false">IFERROR(IF(maxifs(Documents!$E$2:$E$1421,Documents!$A$2:$A$1421,$A37,Documents!$C$2:$C$1421,"factsheet")=0,"",maxifs(Documents!$E$2:$E$1421,Documents!$A$2:$A$1421,$A37,Documents!$C$2:$C$1421,"factsheet")),"")</f>
        <v/>
      </c>
      <c r="E37" s="0" t="str">
        <f aca="false">IFERROR(IF(maxifs(Documents!$E$2:$E$1421,Documents!$A$2:$A$1421,$A37,Documents!$C$2:$C$1421,"wedding")=0,"",maxifs(Documents!$E$2:$E$1421,Documents!$A$2:$A$1421,$A37,Documents!$C$2:$C$1421,"wedding")),"")</f>
        <v/>
      </c>
      <c r="F37" s="0" t="str">
        <f aca="false">IFERROR(IF(maxifs(Documents!$E$2:$E$1421,Documents!$A$2:$A$1421,$A37,Documents!$C$2:$C$1421,"events")=0,"",maxifs(Documents!$E$2:$E$1421,Documents!$A$2:$A$1421,$A37,Documents!$C$2:$C$1421,"events")),"")</f>
        <v/>
      </c>
      <c r="G37" s="0" t="str">
        <f aca="false">IFERROR(IF(maxifs(Documents!$E$2:$E$1421,Documents!$A$2:$A$1421,$A37,Documents!$C$2:$C$1421,"map")=0,"",maxifs(Documents!$E$2:$E$1421,Documents!$A$2:$A$1421,$A37,Documents!$C$2:$C$1421,"map")),"")</f>
        <v/>
      </c>
      <c r="H37" s="0" t="str">
        <f aca="false">IFERROR(IF(maxifs(Documents!$E$2:$E$1421,Documents!$A$2:$A$1421,$A37,Documents!$C$2:$C$1421,"dive_map")=0,"",maxifs(Documents!$E$2:$E$1421,Documents!$A$2:$A$1421,$A37,Documents!$C$2:$C$1421,"dive_map")),"")</f>
        <v/>
      </c>
      <c r="I37" s="0" t="str">
        <f aca="false">IFERROR(IF(maxifs(Documents!$E$2:$E$1421,Documents!$A$2:$A$1421,$A37,Documents!$C$2:$C$1421,"spa_menu")=0,"",maxifs(Documents!$E$2:$E$1421,Documents!$A$2:$A$1421,$A37,Documents!$C$2:$C$1421,"spa_menu")),"")</f>
        <v/>
      </c>
      <c r="J37" s="0" t="str">
        <f aca="false">IFERROR(IF(maxifs(Documents!$E$2:$E$1421,Documents!$A$2:$A$1421,$A37,Documents!$C$2:$C$1421,"dining_menu")=0,"",maxifs(Documents!$E$2:$E$1421,Documents!$A$2:$A$1421,$A37,Documents!$C$2:$C$1421,"dining_menu")),"")</f>
        <v/>
      </c>
      <c r="K37" s="0" t="str">
        <f aca="false">IFERROR(IF(maxifs(Documents!$E$2:$E$1421,Documents!$A$2:$A$1421,$A37,Documents!$C$2:$C$1421,"dive_prices")=0,"",maxifs(Documents!$E$2:$E$1421,Documents!$A$2:$A$1421,$A37,Documents!$C$2:$C$1421,"dive_prices")),"")</f>
        <v/>
      </c>
      <c r="L37" s="0" t="str">
        <f aca="false">IFERROR(IF(maxifs(Documents!$E$2:$E$1421,Documents!$A$2:$A$1421,$A37,Documents!$C$2:$C$1421,"excursions")=0,"",maxifs(Documents!$E$2:$E$1421,Documents!$A$2:$A$1421,$A37,Documents!$C$2:$C$1421,"excursions")),"")</f>
        <v/>
      </c>
      <c r="M37" s="0" t="str">
        <f aca="false">IFERROR(IF(maxifs(Documents!$E$2:$E$1421,Documents!$A$2:$A$1421,$A37,Documents!$C$2:$C$1421,"kids")=0,"",maxifs(Documents!$E$2:$E$1421,Documents!$A$2:$A$1421,$A37,Documents!$C$2:$C$1421,"kids")),"")</f>
        <v/>
      </c>
      <c r="N37" s="0" t="str">
        <f aca="false">IFERROR(IF(maxifs(Documents!$E$2:$E$1421,Documents!$A$2:$A$1421,$A37,Documents!$C$2:$C$1421,"villa_plans")=0,"",maxifs(Documents!$E$2:$E$1421,Documents!$A$2:$A$1421,$A37,Documents!$C$2:$C$1421,"villa_plans")),"")</f>
        <v/>
      </c>
      <c r="O37" s="0" t="str">
        <f aca="false">IFERROR(IF(maxifs(Documents!$E$2:$E$1421,Documents!$A$2:$A$1421,$A37,Documents!$C$2:$C$1421,"all_inclusive")=0,"",maxifs(Documents!$E$2:$E$1421,Documents!$A$2:$A$1421,$A37,Documents!$C$2:$C$1421,"all_inclusive")),"")</f>
        <v/>
      </c>
      <c r="P37" s="0" t="str">
        <f aca="false">IFERROR(IF(maxifs(Documents!$E$2:$E$1421,Documents!$A$2:$A$1421,$A37,Documents!$C$2:$C$1421,"sustainability")=0,"",maxifs(Documents!$E$2:$E$1421,Documents!$A$2:$A$1421,$A37,Documents!$C$2:$C$1421,"sustainability")),"")</f>
        <v/>
      </c>
      <c r="Q37" s="0" t="str">
        <f aca="false">IFERROR(IF(maxifs(Documents!$E$2:$E$1421,Documents!$A$2:$A$1421,$A37,Documents!$C$2:$C$1421,"calendar")=0,"",maxifs(Documents!$E$2:$E$1421,Documents!$A$2:$A$1421,$A37,Documents!$C$2:$C$1421,"calendar")),"")</f>
        <v/>
      </c>
      <c r="R37" s="0" t="str">
        <f aca="false">IFERROR(IF(maxifs(Documents!$E$2:$E$1421,Documents!$A$2:$A$1421,$A37,Documents!$C$2:$C$1421,"brochure")=0,"",maxifs(Documents!$E$2:$E$1421,Documents!$A$2:$A$1421,$A37,Documents!$C$2:$C$1421,"brochure")),"")</f>
        <v/>
      </c>
      <c r="S37" s="0" t="str">
        <f aca="false">IFERROR(IF(maxifs(Documents!$E$2:$E$1421,Documents!$A$2:$A$1421,$A37,Documents!$C$2:$C$1421,"press_kit")=0,"",maxifs(Documents!$E$2:$E$1421,Documents!$A$2:$A$1421,$A37,Documents!$C$2:$C$1421,"press_kit")),"")</f>
        <v/>
      </c>
      <c r="T37" s="0" t="str">
        <f aca="false">IFERROR(IF(maxifs(Documents!$E$2:$E$1421,Documents!$A$2:$A$1421,$A37,Documents!$C$2:$C$1421,"other")=0,"",maxifs(Documents!$E$2:$E$1421,Documents!$A$2:$A$1421,$A37,Documents!$C$2:$C$1421,"other")),"")</f>
        <v/>
      </c>
      <c r="U37" s="0" t="str">
        <f aca="false">IFERROR(IF(maxifs(Documents!$E$2:$E$1421,Documents!$A$2:$A$1421,$A37,Documents!$C$2:$C$1421,"obsolete")=0,"",maxifs(Documents!$E$2:$E$1421,Documents!$A$2:$A$1421,$A37,Documents!$C$2:$C$1421,"obsolete")),"")</f>
        <v/>
      </c>
      <c r="V37" s="0" t="n">
        <f aca="false">COUNTIFS(Documents!$A$2:$A$1421,$A37)</f>
        <v>0</v>
      </c>
      <c r="W37" s="0" t="n">
        <f aca="false">COUNTIFS(Documents!$A$2:$A$1421,$A37,Documents!$R$2:$R$1421,"current")</f>
        <v>0</v>
      </c>
      <c r="Y37" s="0" t="s">
        <v>31</v>
      </c>
    </row>
    <row r="38" customFormat="false" ht="15" hidden="false" customHeight="false" outlineLevel="0" collapsed="false">
      <c r="A38" s="0" t="n">
        <v>37</v>
      </c>
      <c r="B38" s="0" t="s">
        <v>78</v>
      </c>
      <c r="C38" s="0" t="s">
        <v>39</v>
      </c>
      <c r="D38" s="0" t="str">
        <f aca="false">IFERROR(IF(maxifs(Documents!$E$2:$E$1421,Documents!$A$2:$A$1421,$A38,Documents!$C$2:$C$1421,"factsheet")=0,"",maxifs(Documents!$E$2:$E$1421,Documents!$A$2:$A$1421,$A38,Documents!$C$2:$C$1421,"factsheet")),"")</f>
        <v/>
      </c>
      <c r="E38" s="0" t="str">
        <f aca="false">IFERROR(IF(maxifs(Documents!$E$2:$E$1421,Documents!$A$2:$A$1421,$A38,Documents!$C$2:$C$1421,"wedding")=0,"",maxifs(Documents!$E$2:$E$1421,Documents!$A$2:$A$1421,$A38,Documents!$C$2:$C$1421,"wedding")),"")</f>
        <v/>
      </c>
      <c r="F38" s="0" t="str">
        <f aca="false">IFERROR(IF(maxifs(Documents!$E$2:$E$1421,Documents!$A$2:$A$1421,$A38,Documents!$C$2:$C$1421,"events")=0,"",maxifs(Documents!$E$2:$E$1421,Documents!$A$2:$A$1421,$A38,Documents!$C$2:$C$1421,"events")),"")</f>
        <v/>
      </c>
      <c r="G38" s="0" t="str">
        <f aca="false">IFERROR(IF(maxifs(Documents!$E$2:$E$1421,Documents!$A$2:$A$1421,$A38,Documents!$C$2:$C$1421,"map")=0,"",maxifs(Documents!$E$2:$E$1421,Documents!$A$2:$A$1421,$A38,Documents!$C$2:$C$1421,"map")),"")</f>
        <v/>
      </c>
      <c r="H38" s="0" t="str">
        <f aca="false">IFERROR(IF(maxifs(Documents!$E$2:$E$1421,Documents!$A$2:$A$1421,$A38,Documents!$C$2:$C$1421,"dive_map")=0,"",maxifs(Documents!$E$2:$E$1421,Documents!$A$2:$A$1421,$A38,Documents!$C$2:$C$1421,"dive_map")),"")</f>
        <v/>
      </c>
      <c r="I38" s="0" t="str">
        <f aca="false">IFERROR(IF(maxifs(Documents!$E$2:$E$1421,Documents!$A$2:$A$1421,$A38,Documents!$C$2:$C$1421,"spa_menu")=0,"",maxifs(Documents!$E$2:$E$1421,Documents!$A$2:$A$1421,$A38,Documents!$C$2:$C$1421,"spa_menu")),"")</f>
        <v/>
      </c>
      <c r="J38" s="0" t="str">
        <f aca="false">IFERROR(IF(maxifs(Documents!$E$2:$E$1421,Documents!$A$2:$A$1421,$A38,Documents!$C$2:$C$1421,"dining_menu")=0,"",maxifs(Documents!$E$2:$E$1421,Documents!$A$2:$A$1421,$A38,Documents!$C$2:$C$1421,"dining_menu")),"")</f>
        <v/>
      </c>
      <c r="K38" s="0" t="str">
        <f aca="false">IFERROR(IF(maxifs(Documents!$E$2:$E$1421,Documents!$A$2:$A$1421,$A38,Documents!$C$2:$C$1421,"dive_prices")=0,"",maxifs(Documents!$E$2:$E$1421,Documents!$A$2:$A$1421,$A38,Documents!$C$2:$C$1421,"dive_prices")),"")</f>
        <v/>
      </c>
      <c r="L38" s="0" t="str">
        <f aca="false">IFERROR(IF(maxifs(Documents!$E$2:$E$1421,Documents!$A$2:$A$1421,$A38,Documents!$C$2:$C$1421,"excursions")=0,"",maxifs(Documents!$E$2:$E$1421,Documents!$A$2:$A$1421,$A38,Documents!$C$2:$C$1421,"excursions")),"")</f>
        <v/>
      </c>
      <c r="M38" s="0" t="str">
        <f aca="false">IFERROR(IF(maxifs(Documents!$E$2:$E$1421,Documents!$A$2:$A$1421,$A38,Documents!$C$2:$C$1421,"kids")=0,"",maxifs(Documents!$E$2:$E$1421,Documents!$A$2:$A$1421,$A38,Documents!$C$2:$C$1421,"kids")),"")</f>
        <v/>
      </c>
      <c r="N38" s="0" t="str">
        <f aca="false">IFERROR(IF(maxifs(Documents!$E$2:$E$1421,Documents!$A$2:$A$1421,$A38,Documents!$C$2:$C$1421,"villa_plans")=0,"",maxifs(Documents!$E$2:$E$1421,Documents!$A$2:$A$1421,$A38,Documents!$C$2:$C$1421,"villa_plans")),"")</f>
        <v/>
      </c>
      <c r="O38" s="0" t="str">
        <f aca="false">IFERROR(IF(maxifs(Documents!$E$2:$E$1421,Documents!$A$2:$A$1421,$A38,Documents!$C$2:$C$1421,"all_inclusive")=0,"",maxifs(Documents!$E$2:$E$1421,Documents!$A$2:$A$1421,$A38,Documents!$C$2:$C$1421,"all_inclusive")),"")</f>
        <v/>
      </c>
      <c r="P38" s="0" t="str">
        <f aca="false">IFERROR(IF(maxifs(Documents!$E$2:$E$1421,Documents!$A$2:$A$1421,$A38,Documents!$C$2:$C$1421,"sustainability")=0,"",maxifs(Documents!$E$2:$E$1421,Documents!$A$2:$A$1421,$A38,Documents!$C$2:$C$1421,"sustainability")),"")</f>
        <v/>
      </c>
      <c r="Q38" s="0" t="str">
        <f aca="false">IFERROR(IF(maxifs(Documents!$E$2:$E$1421,Documents!$A$2:$A$1421,$A38,Documents!$C$2:$C$1421,"calendar")=0,"",maxifs(Documents!$E$2:$E$1421,Documents!$A$2:$A$1421,$A38,Documents!$C$2:$C$1421,"calendar")),"")</f>
        <v/>
      </c>
      <c r="R38" s="0" t="str">
        <f aca="false">IFERROR(IF(maxifs(Documents!$E$2:$E$1421,Documents!$A$2:$A$1421,$A38,Documents!$C$2:$C$1421,"brochure")=0,"",maxifs(Documents!$E$2:$E$1421,Documents!$A$2:$A$1421,$A38,Documents!$C$2:$C$1421,"brochure")),"")</f>
        <v/>
      </c>
      <c r="S38" s="0" t="str">
        <f aca="false">IFERROR(IF(maxifs(Documents!$E$2:$E$1421,Documents!$A$2:$A$1421,$A38,Documents!$C$2:$C$1421,"press_kit")=0,"",maxifs(Documents!$E$2:$E$1421,Documents!$A$2:$A$1421,$A38,Documents!$C$2:$C$1421,"press_kit")),"")</f>
        <v/>
      </c>
      <c r="T38" s="0" t="str">
        <f aca="false">IFERROR(IF(maxifs(Documents!$E$2:$E$1421,Documents!$A$2:$A$1421,$A38,Documents!$C$2:$C$1421,"other")=0,"",maxifs(Documents!$E$2:$E$1421,Documents!$A$2:$A$1421,$A38,Documents!$C$2:$C$1421,"other")),"")</f>
        <v/>
      </c>
      <c r="U38" s="0" t="str">
        <f aca="false">IFERROR(IF(maxifs(Documents!$E$2:$E$1421,Documents!$A$2:$A$1421,$A38,Documents!$C$2:$C$1421,"obsolete")=0,"",maxifs(Documents!$E$2:$E$1421,Documents!$A$2:$A$1421,$A38,Documents!$C$2:$C$1421,"obsolete")),"")</f>
        <v/>
      </c>
      <c r="V38" s="0" t="n">
        <f aca="false">COUNTIFS(Documents!$A$2:$A$1421,$A38)</f>
        <v>2</v>
      </c>
      <c r="W38" s="0" t="n">
        <f aca="false">COUNTIFS(Documents!$A$2:$A$1421,$A38,Documents!$R$2:$R$1421,"current")</f>
        <v>0</v>
      </c>
      <c r="X38" s="0" t="str">
        <f aca="false">HYPERLINK("https://www.neoscapesmaldives.com/wp-content/uploads/The-Ritz-Carlton-Maldives-Factsheet.pdf","2021_The-Ritz-Carlton-Maldives-Factsheet")</f>
        <v>2021_The-Ritz-Carlton-Maldives-Factsheet</v>
      </c>
      <c r="Y38" s="0" t="s">
        <v>28</v>
      </c>
    </row>
    <row r="39" customFormat="false" ht="15" hidden="false" customHeight="false" outlineLevel="0" collapsed="false">
      <c r="A39" s="0" t="n">
        <v>38</v>
      </c>
      <c r="B39" s="0" t="s">
        <v>79</v>
      </c>
      <c r="C39" s="0" t="s">
        <v>33</v>
      </c>
      <c r="D39" s="0" t="str">
        <f aca="false">IFERROR(IF(maxifs(Documents!$E$2:$E$1421,Documents!$A$2:$A$1421,$A39,Documents!$C$2:$C$1421,"factsheet")=0,"",maxifs(Documents!$E$2:$E$1421,Documents!$A$2:$A$1421,$A39,Documents!$C$2:$C$1421,"factsheet")),"")</f>
        <v/>
      </c>
      <c r="E39" s="0" t="str">
        <f aca="false">IFERROR(IF(maxifs(Documents!$E$2:$E$1421,Documents!$A$2:$A$1421,$A39,Documents!$C$2:$C$1421,"wedding")=0,"",maxifs(Documents!$E$2:$E$1421,Documents!$A$2:$A$1421,$A39,Documents!$C$2:$C$1421,"wedding")),"")</f>
        <v/>
      </c>
      <c r="F39" s="0" t="str">
        <f aca="false">IFERROR(IF(maxifs(Documents!$E$2:$E$1421,Documents!$A$2:$A$1421,$A39,Documents!$C$2:$C$1421,"events")=0,"",maxifs(Documents!$E$2:$E$1421,Documents!$A$2:$A$1421,$A39,Documents!$C$2:$C$1421,"events")),"")</f>
        <v/>
      </c>
      <c r="G39" s="0" t="str">
        <f aca="false">IFERROR(IF(maxifs(Documents!$E$2:$E$1421,Documents!$A$2:$A$1421,$A39,Documents!$C$2:$C$1421,"map")=0,"",maxifs(Documents!$E$2:$E$1421,Documents!$A$2:$A$1421,$A39,Documents!$C$2:$C$1421,"map")),"")</f>
        <v/>
      </c>
      <c r="H39" s="0" t="str">
        <f aca="false">IFERROR(IF(maxifs(Documents!$E$2:$E$1421,Documents!$A$2:$A$1421,$A39,Documents!$C$2:$C$1421,"dive_map")=0,"",maxifs(Documents!$E$2:$E$1421,Documents!$A$2:$A$1421,$A39,Documents!$C$2:$C$1421,"dive_map")),"")</f>
        <v/>
      </c>
      <c r="I39" s="0" t="str">
        <f aca="false">IFERROR(IF(maxifs(Documents!$E$2:$E$1421,Documents!$A$2:$A$1421,$A39,Documents!$C$2:$C$1421,"spa_menu")=0,"",maxifs(Documents!$E$2:$E$1421,Documents!$A$2:$A$1421,$A39,Documents!$C$2:$C$1421,"spa_menu")),"")</f>
        <v/>
      </c>
      <c r="J39" s="0" t="str">
        <f aca="false">IFERROR(IF(maxifs(Documents!$E$2:$E$1421,Documents!$A$2:$A$1421,$A39,Documents!$C$2:$C$1421,"dining_menu")=0,"",maxifs(Documents!$E$2:$E$1421,Documents!$A$2:$A$1421,$A39,Documents!$C$2:$C$1421,"dining_menu")),"")</f>
        <v/>
      </c>
      <c r="K39" s="0" t="str">
        <f aca="false">IFERROR(IF(maxifs(Documents!$E$2:$E$1421,Documents!$A$2:$A$1421,$A39,Documents!$C$2:$C$1421,"dive_prices")=0,"",maxifs(Documents!$E$2:$E$1421,Documents!$A$2:$A$1421,$A39,Documents!$C$2:$C$1421,"dive_prices")),"")</f>
        <v/>
      </c>
      <c r="L39" s="0" t="str">
        <f aca="false">IFERROR(IF(maxifs(Documents!$E$2:$E$1421,Documents!$A$2:$A$1421,$A39,Documents!$C$2:$C$1421,"excursions")=0,"",maxifs(Documents!$E$2:$E$1421,Documents!$A$2:$A$1421,$A39,Documents!$C$2:$C$1421,"excursions")),"")</f>
        <v/>
      </c>
      <c r="M39" s="0" t="str">
        <f aca="false">IFERROR(IF(maxifs(Documents!$E$2:$E$1421,Documents!$A$2:$A$1421,$A39,Documents!$C$2:$C$1421,"kids")=0,"",maxifs(Documents!$E$2:$E$1421,Documents!$A$2:$A$1421,$A39,Documents!$C$2:$C$1421,"kids")),"")</f>
        <v/>
      </c>
      <c r="N39" s="0" t="str">
        <f aca="false">IFERROR(IF(maxifs(Documents!$E$2:$E$1421,Documents!$A$2:$A$1421,$A39,Documents!$C$2:$C$1421,"villa_plans")=0,"",maxifs(Documents!$E$2:$E$1421,Documents!$A$2:$A$1421,$A39,Documents!$C$2:$C$1421,"villa_plans")),"")</f>
        <v/>
      </c>
      <c r="O39" s="0" t="str">
        <f aca="false">IFERROR(IF(maxifs(Documents!$E$2:$E$1421,Documents!$A$2:$A$1421,$A39,Documents!$C$2:$C$1421,"all_inclusive")=0,"",maxifs(Documents!$E$2:$E$1421,Documents!$A$2:$A$1421,$A39,Documents!$C$2:$C$1421,"all_inclusive")),"")</f>
        <v/>
      </c>
      <c r="P39" s="0" t="str">
        <f aca="false">IFERROR(IF(maxifs(Documents!$E$2:$E$1421,Documents!$A$2:$A$1421,$A39,Documents!$C$2:$C$1421,"sustainability")=0,"",maxifs(Documents!$E$2:$E$1421,Documents!$A$2:$A$1421,$A39,Documents!$C$2:$C$1421,"sustainability")),"")</f>
        <v/>
      </c>
      <c r="Q39" s="0" t="str">
        <f aca="false">IFERROR(IF(maxifs(Documents!$E$2:$E$1421,Documents!$A$2:$A$1421,$A39,Documents!$C$2:$C$1421,"calendar")=0,"",maxifs(Documents!$E$2:$E$1421,Documents!$A$2:$A$1421,$A39,Documents!$C$2:$C$1421,"calendar")),"")</f>
        <v/>
      </c>
      <c r="R39" s="0" t="str">
        <f aca="false">IFERROR(IF(maxifs(Documents!$E$2:$E$1421,Documents!$A$2:$A$1421,$A39,Documents!$C$2:$C$1421,"brochure")=0,"",maxifs(Documents!$E$2:$E$1421,Documents!$A$2:$A$1421,$A39,Documents!$C$2:$C$1421,"brochure")),"")</f>
        <v/>
      </c>
      <c r="S39" s="0" t="str">
        <f aca="false">IFERROR(IF(maxifs(Documents!$E$2:$E$1421,Documents!$A$2:$A$1421,$A39,Documents!$C$2:$C$1421,"press_kit")=0,"",maxifs(Documents!$E$2:$E$1421,Documents!$A$2:$A$1421,$A39,Documents!$C$2:$C$1421,"press_kit")),"")</f>
        <v/>
      </c>
      <c r="T39" s="0" t="str">
        <f aca="false">IFERROR(IF(maxifs(Documents!$E$2:$E$1421,Documents!$A$2:$A$1421,$A39,Documents!$C$2:$C$1421,"other")=0,"",maxifs(Documents!$E$2:$E$1421,Documents!$A$2:$A$1421,$A39,Documents!$C$2:$C$1421,"other")),"")</f>
        <v/>
      </c>
      <c r="U39" s="0" t="str">
        <f aca="false">IFERROR(IF(maxifs(Documents!$E$2:$E$1421,Documents!$A$2:$A$1421,$A39,Documents!$C$2:$C$1421,"obsolete")=0,"",maxifs(Documents!$E$2:$E$1421,Documents!$A$2:$A$1421,$A39,Documents!$C$2:$C$1421,"obsolete")),"")</f>
        <v/>
      </c>
      <c r="V39" s="0" t="n">
        <f aca="false">COUNTIFS(Documents!$A$2:$A$1421,$A39)</f>
        <v>51</v>
      </c>
      <c r="W39" s="0" t="n">
        <f aca="false">COUNTIFS(Documents!$A$2:$A$1421,$A39,Documents!$R$2:$R$1421,"current")</f>
        <v>30</v>
      </c>
      <c r="X39" s="0" t="str">
        <f aca="false">HYPERLINK("https://veligandu.com/wp-content/uploads/2025/06/Factsheet-W25-26S26Ver17062025.pdf","2025_Factsheet-W25-26S26Ver17062025.pdf")</f>
        <v>2025_Factsheet-W25-26S26Ver17062025.pdf</v>
      </c>
      <c r="Y39" s="0" t="s">
        <v>35</v>
      </c>
      <c r="Z39" s="0" t="s">
        <v>80</v>
      </c>
    </row>
    <row r="40" customFormat="false" ht="15" hidden="false" customHeight="false" outlineLevel="0" collapsed="false">
      <c r="A40" s="0" t="n">
        <v>39</v>
      </c>
      <c r="B40" s="0" t="s">
        <v>81</v>
      </c>
      <c r="C40" s="0" t="s">
        <v>27</v>
      </c>
      <c r="D40" s="0" t="str">
        <f aca="false">IFERROR(IF(maxifs(Documents!$E$2:$E$1421,Documents!$A$2:$A$1421,$A40,Documents!$C$2:$C$1421,"factsheet")=0,"",maxifs(Documents!$E$2:$E$1421,Documents!$A$2:$A$1421,$A40,Documents!$C$2:$C$1421,"factsheet")),"")</f>
        <v/>
      </c>
      <c r="E40" s="0" t="str">
        <f aca="false">IFERROR(IF(maxifs(Documents!$E$2:$E$1421,Documents!$A$2:$A$1421,$A40,Documents!$C$2:$C$1421,"wedding")=0,"",maxifs(Documents!$E$2:$E$1421,Documents!$A$2:$A$1421,$A40,Documents!$C$2:$C$1421,"wedding")),"")</f>
        <v/>
      </c>
      <c r="F40" s="0" t="str">
        <f aca="false">IFERROR(IF(maxifs(Documents!$E$2:$E$1421,Documents!$A$2:$A$1421,$A40,Documents!$C$2:$C$1421,"events")=0,"",maxifs(Documents!$E$2:$E$1421,Documents!$A$2:$A$1421,$A40,Documents!$C$2:$C$1421,"events")),"")</f>
        <v/>
      </c>
      <c r="G40" s="0" t="str">
        <f aca="false">IFERROR(IF(maxifs(Documents!$E$2:$E$1421,Documents!$A$2:$A$1421,$A40,Documents!$C$2:$C$1421,"map")=0,"",maxifs(Documents!$E$2:$E$1421,Documents!$A$2:$A$1421,$A40,Documents!$C$2:$C$1421,"map")),"")</f>
        <v/>
      </c>
      <c r="H40" s="0" t="str">
        <f aca="false">IFERROR(IF(maxifs(Documents!$E$2:$E$1421,Documents!$A$2:$A$1421,$A40,Documents!$C$2:$C$1421,"dive_map")=0,"",maxifs(Documents!$E$2:$E$1421,Documents!$A$2:$A$1421,$A40,Documents!$C$2:$C$1421,"dive_map")),"")</f>
        <v/>
      </c>
      <c r="I40" s="0" t="str">
        <f aca="false">IFERROR(IF(maxifs(Documents!$E$2:$E$1421,Documents!$A$2:$A$1421,$A40,Documents!$C$2:$C$1421,"spa_menu")=0,"",maxifs(Documents!$E$2:$E$1421,Documents!$A$2:$A$1421,$A40,Documents!$C$2:$C$1421,"spa_menu")),"")</f>
        <v/>
      </c>
      <c r="J40" s="0" t="str">
        <f aca="false">IFERROR(IF(maxifs(Documents!$E$2:$E$1421,Documents!$A$2:$A$1421,$A40,Documents!$C$2:$C$1421,"dining_menu")=0,"",maxifs(Documents!$E$2:$E$1421,Documents!$A$2:$A$1421,$A40,Documents!$C$2:$C$1421,"dining_menu")),"")</f>
        <v/>
      </c>
      <c r="K40" s="0" t="str">
        <f aca="false">IFERROR(IF(maxifs(Documents!$E$2:$E$1421,Documents!$A$2:$A$1421,$A40,Documents!$C$2:$C$1421,"dive_prices")=0,"",maxifs(Documents!$E$2:$E$1421,Documents!$A$2:$A$1421,$A40,Documents!$C$2:$C$1421,"dive_prices")),"")</f>
        <v/>
      </c>
      <c r="L40" s="0" t="str">
        <f aca="false">IFERROR(IF(maxifs(Documents!$E$2:$E$1421,Documents!$A$2:$A$1421,$A40,Documents!$C$2:$C$1421,"excursions")=0,"",maxifs(Documents!$E$2:$E$1421,Documents!$A$2:$A$1421,$A40,Documents!$C$2:$C$1421,"excursions")),"")</f>
        <v/>
      </c>
      <c r="M40" s="0" t="str">
        <f aca="false">IFERROR(IF(maxifs(Documents!$E$2:$E$1421,Documents!$A$2:$A$1421,$A40,Documents!$C$2:$C$1421,"kids")=0,"",maxifs(Documents!$E$2:$E$1421,Documents!$A$2:$A$1421,$A40,Documents!$C$2:$C$1421,"kids")),"")</f>
        <v/>
      </c>
      <c r="N40" s="0" t="str">
        <f aca="false">IFERROR(IF(maxifs(Documents!$E$2:$E$1421,Documents!$A$2:$A$1421,$A40,Documents!$C$2:$C$1421,"villa_plans")=0,"",maxifs(Documents!$E$2:$E$1421,Documents!$A$2:$A$1421,$A40,Documents!$C$2:$C$1421,"villa_plans")),"")</f>
        <v/>
      </c>
      <c r="O40" s="0" t="str">
        <f aca="false">IFERROR(IF(maxifs(Documents!$E$2:$E$1421,Documents!$A$2:$A$1421,$A40,Documents!$C$2:$C$1421,"all_inclusive")=0,"",maxifs(Documents!$E$2:$E$1421,Documents!$A$2:$A$1421,$A40,Documents!$C$2:$C$1421,"all_inclusive")),"")</f>
        <v/>
      </c>
      <c r="P40" s="0" t="str">
        <f aca="false">IFERROR(IF(maxifs(Documents!$E$2:$E$1421,Documents!$A$2:$A$1421,$A40,Documents!$C$2:$C$1421,"sustainability")=0,"",maxifs(Documents!$E$2:$E$1421,Documents!$A$2:$A$1421,$A40,Documents!$C$2:$C$1421,"sustainability")),"")</f>
        <v/>
      </c>
      <c r="Q40" s="0" t="str">
        <f aca="false">IFERROR(IF(maxifs(Documents!$E$2:$E$1421,Documents!$A$2:$A$1421,$A40,Documents!$C$2:$C$1421,"calendar")=0,"",maxifs(Documents!$E$2:$E$1421,Documents!$A$2:$A$1421,$A40,Documents!$C$2:$C$1421,"calendar")),"")</f>
        <v/>
      </c>
      <c r="R40" s="0" t="str">
        <f aca="false">IFERROR(IF(maxifs(Documents!$E$2:$E$1421,Documents!$A$2:$A$1421,$A40,Documents!$C$2:$C$1421,"brochure")=0,"",maxifs(Documents!$E$2:$E$1421,Documents!$A$2:$A$1421,$A40,Documents!$C$2:$C$1421,"brochure")),"")</f>
        <v/>
      </c>
      <c r="S40" s="0" t="str">
        <f aca="false">IFERROR(IF(maxifs(Documents!$E$2:$E$1421,Documents!$A$2:$A$1421,$A40,Documents!$C$2:$C$1421,"press_kit")=0,"",maxifs(Documents!$E$2:$E$1421,Documents!$A$2:$A$1421,$A40,Documents!$C$2:$C$1421,"press_kit")),"")</f>
        <v/>
      </c>
      <c r="T40" s="0" t="str">
        <f aca="false">IFERROR(IF(maxifs(Documents!$E$2:$E$1421,Documents!$A$2:$A$1421,$A40,Documents!$C$2:$C$1421,"other")=0,"",maxifs(Documents!$E$2:$E$1421,Documents!$A$2:$A$1421,$A40,Documents!$C$2:$C$1421,"other")),"")</f>
        <v/>
      </c>
      <c r="U40" s="0" t="str">
        <f aca="false">IFERROR(IF(maxifs(Documents!$E$2:$E$1421,Documents!$A$2:$A$1421,$A40,Documents!$C$2:$C$1421,"obsolete")=0,"",maxifs(Documents!$E$2:$E$1421,Documents!$A$2:$A$1421,$A40,Documents!$C$2:$C$1421,"obsolete")),"")</f>
        <v/>
      </c>
      <c r="V40" s="0" t="n">
        <f aca="false">COUNTIFS(Documents!$A$2:$A$1421,$A40)</f>
        <v>2</v>
      </c>
      <c r="W40" s="0" t="n">
        <f aca="false">COUNTIFS(Documents!$A$2:$A$1421,$A40,Documents!$R$2:$R$1421,"current")</f>
        <v>0</v>
      </c>
      <c r="X40" s="0" t="str">
        <f aca="false">HYPERLINK("https://neoscapesmaldives.com/wp-content/uploads/Amari-Havodda-Factsheet.pdf","2018_Amari-Havodda-Factsheet.pdf")</f>
        <v>2018_Amari-Havodda-Factsheet.pdf</v>
      </c>
      <c r="Y40" s="0" t="s">
        <v>28</v>
      </c>
      <c r="Z40" s="0" t="s">
        <v>82</v>
      </c>
    </row>
    <row r="41" customFormat="false" ht="15" hidden="false" customHeight="false" outlineLevel="0" collapsed="false">
      <c r="A41" s="0" t="n">
        <v>40</v>
      </c>
      <c r="B41" s="0" t="s">
        <v>83</v>
      </c>
      <c r="C41" s="0" t="s">
        <v>27</v>
      </c>
      <c r="D41" s="0" t="str">
        <f aca="false">IFERROR(IF(maxifs(Documents!$E$2:$E$1421,Documents!$A$2:$A$1421,$A41,Documents!$C$2:$C$1421,"factsheet")=0,"",maxifs(Documents!$E$2:$E$1421,Documents!$A$2:$A$1421,$A41,Documents!$C$2:$C$1421,"factsheet")),"")</f>
        <v/>
      </c>
      <c r="E41" s="0" t="str">
        <f aca="false">IFERROR(IF(maxifs(Documents!$E$2:$E$1421,Documents!$A$2:$A$1421,$A41,Documents!$C$2:$C$1421,"wedding")=0,"",maxifs(Documents!$E$2:$E$1421,Documents!$A$2:$A$1421,$A41,Documents!$C$2:$C$1421,"wedding")),"")</f>
        <v/>
      </c>
      <c r="F41" s="0" t="str">
        <f aca="false">IFERROR(IF(maxifs(Documents!$E$2:$E$1421,Documents!$A$2:$A$1421,$A41,Documents!$C$2:$C$1421,"events")=0,"",maxifs(Documents!$E$2:$E$1421,Documents!$A$2:$A$1421,$A41,Documents!$C$2:$C$1421,"events")),"")</f>
        <v/>
      </c>
      <c r="G41" s="0" t="str">
        <f aca="false">IFERROR(IF(maxifs(Documents!$E$2:$E$1421,Documents!$A$2:$A$1421,$A41,Documents!$C$2:$C$1421,"map")=0,"",maxifs(Documents!$E$2:$E$1421,Documents!$A$2:$A$1421,$A41,Documents!$C$2:$C$1421,"map")),"")</f>
        <v/>
      </c>
      <c r="H41" s="0" t="str">
        <f aca="false">IFERROR(IF(maxifs(Documents!$E$2:$E$1421,Documents!$A$2:$A$1421,$A41,Documents!$C$2:$C$1421,"dive_map")=0,"",maxifs(Documents!$E$2:$E$1421,Documents!$A$2:$A$1421,$A41,Documents!$C$2:$C$1421,"dive_map")),"")</f>
        <v/>
      </c>
      <c r="I41" s="0" t="str">
        <f aca="false">IFERROR(IF(maxifs(Documents!$E$2:$E$1421,Documents!$A$2:$A$1421,$A41,Documents!$C$2:$C$1421,"spa_menu")=0,"",maxifs(Documents!$E$2:$E$1421,Documents!$A$2:$A$1421,$A41,Documents!$C$2:$C$1421,"spa_menu")),"")</f>
        <v/>
      </c>
      <c r="J41" s="0" t="str">
        <f aca="false">IFERROR(IF(maxifs(Documents!$E$2:$E$1421,Documents!$A$2:$A$1421,$A41,Documents!$C$2:$C$1421,"dining_menu")=0,"",maxifs(Documents!$E$2:$E$1421,Documents!$A$2:$A$1421,$A41,Documents!$C$2:$C$1421,"dining_menu")),"")</f>
        <v/>
      </c>
      <c r="K41" s="0" t="str">
        <f aca="false">IFERROR(IF(maxifs(Documents!$E$2:$E$1421,Documents!$A$2:$A$1421,$A41,Documents!$C$2:$C$1421,"dive_prices")=0,"",maxifs(Documents!$E$2:$E$1421,Documents!$A$2:$A$1421,$A41,Documents!$C$2:$C$1421,"dive_prices")),"")</f>
        <v/>
      </c>
      <c r="L41" s="0" t="str">
        <f aca="false">IFERROR(IF(maxifs(Documents!$E$2:$E$1421,Documents!$A$2:$A$1421,$A41,Documents!$C$2:$C$1421,"excursions")=0,"",maxifs(Documents!$E$2:$E$1421,Documents!$A$2:$A$1421,$A41,Documents!$C$2:$C$1421,"excursions")),"")</f>
        <v/>
      </c>
      <c r="M41" s="0" t="str">
        <f aca="false">IFERROR(IF(maxifs(Documents!$E$2:$E$1421,Documents!$A$2:$A$1421,$A41,Documents!$C$2:$C$1421,"kids")=0,"",maxifs(Documents!$E$2:$E$1421,Documents!$A$2:$A$1421,$A41,Documents!$C$2:$C$1421,"kids")),"")</f>
        <v/>
      </c>
      <c r="N41" s="0" t="str">
        <f aca="false">IFERROR(IF(maxifs(Documents!$E$2:$E$1421,Documents!$A$2:$A$1421,$A41,Documents!$C$2:$C$1421,"villa_plans")=0,"",maxifs(Documents!$E$2:$E$1421,Documents!$A$2:$A$1421,$A41,Documents!$C$2:$C$1421,"villa_plans")),"")</f>
        <v/>
      </c>
      <c r="O41" s="0" t="str">
        <f aca="false">IFERROR(IF(maxifs(Documents!$E$2:$E$1421,Documents!$A$2:$A$1421,$A41,Documents!$C$2:$C$1421,"all_inclusive")=0,"",maxifs(Documents!$E$2:$E$1421,Documents!$A$2:$A$1421,$A41,Documents!$C$2:$C$1421,"all_inclusive")),"")</f>
        <v/>
      </c>
      <c r="P41" s="0" t="str">
        <f aca="false">IFERROR(IF(maxifs(Documents!$E$2:$E$1421,Documents!$A$2:$A$1421,$A41,Documents!$C$2:$C$1421,"sustainability")=0,"",maxifs(Documents!$E$2:$E$1421,Documents!$A$2:$A$1421,$A41,Documents!$C$2:$C$1421,"sustainability")),"")</f>
        <v/>
      </c>
      <c r="Q41" s="0" t="str">
        <f aca="false">IFERROR(IF(maxifs(Documents!$E$2:$E$1421,Documents!$A$2:$A$1421,$A41,Documents!$C$2:$C$1421,"calendar")=0,"",maxifs(Documents!$E$2:$E$1421,Documents!$A$2:$A$1421,$A41,Documents!$C$2:$C$1421,"calendar")),"")</f>
        <v/>
      </c>
      <c r="R41" s="0" t="str">
        <f aca="false">IFERROR(IF(maxifs(Documents!$E$2:$E$1421,Documents!$A$2:$A$1421,$A41,Documents!$C$2:$C$1421,"brochure")=0,"",maxifs(Documents!$E$2:$E$1421,Documents!$A$2:$A$1421,$A41,Documents!$C$2:$C$1421,"brochure")),"")</f>
        <v/>
      </c>
      <c r="S41" s="0" t="str">
        <f aca="false">IFERROR(IF(maxifs(Documents!$E$2:$E$1421,Documents!$A$2:$A$1421,$A41,Documents!$C$2:$C$1421,"press_kit")=0,"",maxifs(Documents!$E$2:$E$1421,Documents!$A$2:$A$1421,$A41,Documents!$C$2:$C$1421,"press_kit")),"")</f>
        <v/>
      </c>
      <c r="T41" s="0" t="str">
        <f aca="false">IFERROR(IF(maxifs(Documents!$E$2:$E$1421,Documents!$A$2:$A$1421,$A41,Documents!$C$2:$C$1421,"other")=0,"",maxifs(Documents!$E$2:$E$1421,Documents!$A$2:$A$1421,$A41,Documents!$C$2:$C$1421,"other")),"")</f>
        <v/>
      </c>
      <c r="U41" s="0" t="str">
        <f aca="false">IFERROR(IF(maxifs(Documents!$E$2:$E$1421,Documents!$A$2:$A$1421,$A41,Documents!$C$2:$C$1421,"obsolete")=0,"",maxifs(Documents!$E$2:$E$1421,Documents!$A$2:$A$1421,$A41,Documents!$C$2:$C$1421,"obsolete")),"")</f>
        <v/>
      </c>
      <c r="V41" s="0" t="n">
        <f aca="false">COUNTIFS(Documents!$A$2:$A$1421,$A41)</f>
        <v>2</v>
      </c>
      <c r="W41" s="0" t="n">
        <f aca="false">COUNTIFS(Documents!$A$2:$A$1421,$A41,Documents!$R$2:$R$1421,"current")</f>
        <v>0</v>
      </c>
      <c r="X41" s="0" t="str">
        <f aca="false">HYPERLINK("https://www.neoscapesmaldives.com/wp-content/uploads/Resort-Factsheet-Le-Meridien-Maldives.pdf","2022_Resort-Factsheet-Le-Meridien-Maldiv")</f>
        <v>2022_Resort-Factsheet-Le-Meridien-Maldiv</v>
      </c>
      <c r="Y41" s="0" t="s">
        <v>28</v>
      </c>
    </row>
    <row r="42" customFormat="false" ht="15" hidden="false" customHeight="false" outlineLevel="0" collapsed="false">
      <c r="A42" s="0" t="n">
        <v>41</v>
      </c>
      <c r="B42" s="0" t="s">
        <v>84</v>
      </c>
      <c r="C42" s="0" t="s">
        <v>30</v>
      </c>
      <c r="D42" s="0" t="str">
        <f aca="false">IFERROR(IF(maxifs(Documents!$E$2:$E$1421,Documents!$A$2:$A$1421,$A42,Documents!$C$2:$C$1421,"factsheet")=0,"",maxifs(Documents!$E$2:$E$1421,Documents!$A$2:$A$1421,$A42,Documents!$C$2:$C$1421,"factsheet")),"")</f>
        <v/>
      </c>
      <c r="E42" s="0" t="str">
        <f aca="false">IFERROR(IF(maxifs(Documents!$E$2:$E$1421,Documents!$A$2:$A$1421,$A42,Documents!$C$2:$C$1421,"wedding")=0,"",maxifs(Documents!$E$2:$E$1421,Documents!$A$2:$A$1421,$A42,Documents!$C$2:$C$1421,"wedding")),"")</f>
        <v/>
      </c>
      <c r="F42" s="0" t="str">
        <f aca="false">IFERROR(IF(maxifs(Documents!$E$2:$E$1421,Documents!$A$2:$A$1421,$A42,Documents!$C$2:$C$1421,"events")=0,"",maxifs(Documents!$E$2:$E$1421,Documents!$A$2:$A$1421,$A42,Documents!$C$2:$C$1421,"events")),"")</f>
        <v/>
      </c>
      <c r="G42" s="0" t="str">
        <f aca="false">IFERROR(IF(maxifs(Documents!$E$2:$E$1421,Documents!$A$2:$A$1421,$A42,Documents!$C$2:$C$1421,"map")=0,"",maxifs(Documents!$E$2:$E$1421,Documents!$A$2:$A$1421,$A42,Documents!$C$2:$C$1421,"map")),"")</f>
        <v/>
      </c>
      <c r="H42" s="0" t="str">
        <f aca="false">IFERROR(IF(maxifs(Documents!$E$2:$E$1421,Documents!$A$2:$A$1421,$A42,Documents!$C$2:$C$1421,"dive_map")=0,"",maxifs(Documents!$E$2:$E$1421,Documents!$A$2:$A$1421,$A42,Documents!$C$2:$C$1421,"dive_map")),"")</f>
        <v/>
      </c>
      <c r="I42" s="0" t="str">
        <f aca="false">IFERROR(IF(maxifs(Documents!$E$2:$E$1421,Documents!$A$2:$A$1421,$A42,Documents!$C$2:$C$1421,"spa_menu")=0,"",maxifs(Documents!$E$2:$E$1421,Documents!$A$2:$A$1421,$A42,Documents!$C$2:$C$1421,"spa_menu")),"")</f>
        <v/>
      </c>
      <c r="J42" s="0" t="str">
        <f aca="false">IFERROR(IF(maxifs(Documents!$E$2:$E$1421,Documents!$A$2:$A$1421,$A42,Documents!$C$2:$C$1421,"dining_menu")=0,"",maxifs(Documents!$E$2:$E$1421,Documents!$A$2:$A$1421,$A42,Documents!$C$2:$C$1421,"dining_menu")),"")</f>
        <v/>
      </c>
      <c r="K42" s="0" t="str">
        <f aca="false">IFERROR(IF(maxifs(Documents!$E$2:$E$1421,Documents!$A$2:$A$1421,$A42,Documents!$C$2:$C$1421,"dive_prices")=0,"",maxifs(Documents!$E$2:$E$1421,Documents!$A$2:$A$1421,$A42,Documents!$C$2:$C$1421,"dive_prices")),"")</f>
        <v/>
      </c>
      <c r="L42" s="0" t="str">
        <f aca="false">IFERROR(IF(maxifs(Documents!$E$2:$E$1421,Documents!$A$2:$A$1421,$A42,Documents!$C$2:$C$1421,"excursions")=0,"",maxifs(Documents!$E$2:$E$1421,Documents!$A$2:$A$1421,$A42,Documents!$C$2:$C$1421,"excursions")),"")</f>
        <v/>
      </c>
      <c r="M42" s="0" t="str">
        <f aca="false">IFERROR(IF(maxifs(Documents!$E$2:$E$1421,Documents!$A$2:$A$1421,$A42,Documents!$C$2:$C$1421,"kids")=0,"",maxifs(Documents!$E$2:$E$1421,Documents!$A$2:$A$1421,$A42,Documents!$C$2:$C$1421,"kids")),"")</f>
        <v/>
      </c>
      <c r="N42" s="0" t="str">
        <f aca="false">IFERROR(IF(maxifs(Documents!$E$2:$E$1421,Documents!$A$2:$A$1421,$A42,Documents!$C$2:$C$1421,"villa_plans")=0,"",maxifs(Documents!$E$2:$E$1421,Documents!$A$2:$A$1421,$A42,Documents!$C$2:$C$1421,"villa_plans")),"")</f>
        <v/>
      </c>
      <c r="O42" s="0" t="str">
        <f aca="false">IFERROR(IF(maxifs(Documents!$E$2:$E$1421,Documents!$A$2:$A$1421,$A42,Documents!$C$2:$C$1421,"all_inclusive")=0,"",maxifs(Documents!$E$2:$E$1421,Documents!$A$2:$A$1421,$A42,Documents!$C$2:$C$1421,"all_inclusive")),"")</f>
        <v/>
      </c>
      <c r="P42" s="0" t="str">
        <f aca="false">IFERROR(IF(maxifs(Documents!$E$2:$E$1421,Documents!$A$2:$A$1421,$A42,Documents!$C$2:$C$1421,"sustainability")=0,"",maxifs(Documents!$E$2:$E$1421,Documents!$A$2:$A$1421,$A42,Documents!$C$2:$C$1421,"sustainability")),"")</f>
        <v/>
      </c>
      <c r="Q42" s="0" t="str">
        <f aca="false">IFERROR(IF(maxifs(Documents!$E$2:$E$1421,Documents!$A$2:$A$1421,$A42,Documents!$C$2:$C$1421,"calendar")=0,"",maxifs(Documents!$E$2:$E$1421,Documents!$A$2:$A$1421,$A42,Documents!$C$2:$C$1421,"calendar")),"")</f>
        <v/>
      </c>
      <c r="R42" s="0" t="str">
        <f aca="false">IFERROR(IF(maxifs(Documents!$E$2:$E$1421,Documents!$A$2:$A$1421,$A42,Documents!$C$2:$C$1421,"brochure")=0,"",maxifs(Documents!$E$2:$E$1421,Documents!$A$2:$A$1421,$A42,Documents!$C$2:$C$1421,"brochure")),"")</f>
        <v/>
      </c>
      <c r="S42" s="0" t="str">
        <f aca="false">IFERROR(IF(maxifs(Documents!$E$2:$E$1421,Documents!$A$2:$A$1421,$A42,Documents!$C$2:$C$1421,"press_kit")=0,"",maxifs(Documents!$E$2:$E$1421,Documents!$A$2:$A$1421,$A42,Documents!$C$2:$C$1421,"press_kit")),"")</f>
        <v/>
      </c>
      <c r="T42" s="0" t="str">
        <f aca="false">IFERROR(IF(maxifs(Documents!$E$2:$E$1421,Documents!$A$2:$A$1421,$A42,Documents!$C$2:$C$1421,"other")=0,"",maxifs(Documents!$E$2:$E$1421,Documents!$A$2:$A$1421,$A42,Documents!$C$2:$C$1421,"other")),"")</f>
        <v/>
      </c>
      <c r="U42" s="0" t="str">
        <f aca="false">IFERROR(IF(maxifs(Documents!$E$2:$E$1421,Documents!$A$2:$A$1421,$A42,Documents!$C$2:$C$1421,"obsolete")=0,"",maxifs(Documents!$E$2:$E$1421,Documents!$A$2:$A$1421,$A42,Documents!$C$2:$C$1421,"obsolete")),"")</f>
        <v/>
      </c>
      <c r="V42" s="0" t="n">
        <f aca="false">COUNTIFS(Documents!$A$2:$A$1421,$A42)</f>
        <v>3</v>
      </c>
      <c r="W42" s="0" t="n">
        <f aca="false">COUNTIFS(Documents!$A$2:$A$1421,$A42,Documents!$R$2:$R$1421,"current")</f>
        <v>1</v>
      </c>
      <c r="X42" s="0" t="str">
        <f aca="false">HYPERLINK("https://www.neoscapesmaldives.com/wp-content/uploads/OZEN-LIFE-MAADHOO-Fact-Sheet-2025.pdf","2025_OZEN-LIFE-MAADHOO-Fact-Sheet-2025.p")</f>
        <v>2025_OZEN-LIFE-MAADHOO-Fact-Sheet-2025.p</v>
      </c>
      <c r="Y42" s="0" t="s">
        <v>28</v>
      </c>
      <c r="Z42" s="0" t="s">
        <v>85</v>
      </c>
    </row>
    <row r="43" customFormat="false" ht="15" hidden="false" customHeight="false" outlineLevel="0" collapsed="false">
      <c r="A43" s="0" t="n">
        <v>42</v>
      </c>
      <c r="B43" s="0" t="s">
        <v>86</v>
      </c>
      <c r="C43" s="0" t="s">
        <v>30</v>
      </c>
      <c r="D43" s="0" t="str">
        <f aca="false">IFERROR(IF(maxifs(Documents!$E$2:$E$1421,Documents!$A$2:$A$1421,$A43,Documents!$C$2:$C$1421,"factsheet")=0,"",maxifs(Documents!$E$2:$E$1421,Documents!$A$2:$A$1421,$A43,Documents!$C$2:$C$1421,"factsheet")),"")</f>
        <v/>
      </c>
      <c r="E43" s="0" t="str">
        <f aca="false">IFERROR(IF(maxifs(Documents!$E$2:$E$1421,Documents!$A$2:$A$1421,$A43,Documents!$C$2:$C$1421,"wedding")=0,"",maxifs(Documents!$E$2:$E$1421,Documents!$A$2:$A$1421,$A43,Documents!$C$2:$C$1421,"wedding")),"")</f>
        <v/>
      </c>
      <c r="F43" s="0" t="str">
        <f aca="false">IFERROR(IF(maxifs(Documents!$E$2:$E$1421,Documents!$A$2:$A$1421,$A43,Documents!$C$2:$C$1421,"events")=0,"",maxifs(Documents!$E$2:$E$1421,Documents!$A$2:$A$1421,$A43,Documents!$C$2:$C$1421,"events")),"")</f>
        <v/>
      </c>
      <c r="G43" s="0" t="str">
        <f aca="false">IFERROR(IF(maxifs(Documents!$E$2:$E$1421,Documents!$A$2:$A$1421,$A43,Documents!$C$2:$C$1421,"map")=0,"",maxifs(Documents!$E$2:$E$1421,Documents!$A$2:$A$1421,$A43,Documents!$C$2:$C$1421,"map")),"")</f>
        <v/>
      </c>
      <c r="H43" s="0" t="str">
        <f aca="false">IFERROR(IF(maxifs(Documents!$E$2:$E$1421,Documents!$A$2:$A$1421,$A43,Documents!$C$2:$C$1421,"dive_map")=0,"",maxifs(Documents!$E$2:$E$1421,Documents!$A$2:$A$1421,$A43,Documents!$C$2:$C$1421,"dive_map")),"")</f>
        <v/>
      </c>
      <c r="I43" s="0" t="str">
        <f aca="false">IFERROR(IF(maxifs(Documents!$E$2:$E$1421,Documents!$A$2:$A$1421,$A43,Documents!$C$2:$C$1421,"spa_menu")=0,"",maxifs(Documents!$E$2:$E$1421,Documents!$A$2:$A$1421,$A43,Documents!$C$2:$C$1421,"spa_menu")),"")</f>
        <v/>
      </c>
      <c r="J43" s="0" t="str">
        <f aca="false">IFERROR(IF(maxifs(Documents!$E$2:$E$1421,Documents!$A$2:$A$1421,$A43,Documents!$C$2:$C$1421,"dining_menu")=0,"",maxifs(Documents!$E$2:$E$1421,Documents!$A$2:$A$1421,$A43,Documents!$C$2:$C$1421,"dining_menu")),"")</f>
        <v/>
      </c>
      <c r="K43" s="0" t="str">
        <f aca="false">IFERROR(IF(maxifs(Documents!$E$2:$E$1421,Documents!$A$2:$A$1421,$A43,Documents!$C$2:$C$1421,"dive_prices")=0,"",maxifs(Documents!$E$2:$E$1421,Documents!$A$2:$A$1421,$A43,Documents!$C$2:$C$1421,"dive_prices")),"")</f>
        <v/>
      </c>
      <c r="L43" s="0" t="str">
        <f aca="false">IFERROR(IF(maxifs(Documents!$E$2:$E$1421,Documents!$A$2:$A$1421,$A43,Documents!$C$2:$C$1421,"excursions")=0,"",maxifs(Documents!$E$2:$E$1421,Documents!$A$2:$A$1421,$A43,Documents!$C$2:$C$1421,"excursions")),"")</f>
        <v/>
      </c>
      <c r="M43" s="0" t="str">
        <f aca="false">IFERROR(IF(maxifs(Documents!$E$2:$E$1421,Documents!$A$2:$A$1421,$A43,Documents!$C$2:$C$1421,"kids")=0,"",maxifs(Documents!$E$2:$E$1421,Documents!$A$2:$A$1421,$A43,Documents!$C$2:$C$1421,"kids")),"")</f>
        <v/>
      </c>
      <c r="N43" s="0" t="str">
        <f aca="false">IFERROR(IF(maxifs(Documents!$E$2:$E$1421,Documents!$A$2:$A$1421,$A43,Documents!$C$2:$C$1421,"villa_plans")=0,"",maxifs(Documents!$E$2:$E$1421,Documents!$A$2:$A$1421,$A43,Documents!$C$2:$C$1421,"villa_plans")),"")</f>
        <v/>
      </c>
      <c r="O43" s="0" t="str">
        <f aca="false">IFERROR(IF(maxifs(Documents!$E$2:$E$1421,Documents!$A$2:$A$1421,$A43,Documents!$C$2:$C$1421,"all_inclusive")=0,"",maxifs(Documents!$E$2:$E$1421,Documents!$A$2:$A$1421,$A43,Documents!$C$2:$C$1421,"all_inclusive")),"")</f>
        <v/>
      </c>
      <c r="P43" s="0" t="str">
        <f aca="false">IFERROR(IF(maxifs(Documents!$E$2:$E$1421,Documents!$A$2:$A$1421,$A43,Documents!$C$2:$C$1421,"sustainability")=0,"",maxifs(Documents!$E$2:$E$1421,Documents!$A$2:$A$1421,$A43,Documents!$C$2:$C$1421,"sustainability")),"")</f>
        <v/>
      </c>
      <c r="Q43" s="0" t="str">
        <f aca="false">IFERROR(IF(maxifs(Documents!$E$2:$E$1421,Documents!$A$2:$A$1421,$A43,Documents!$C$2:$C$1421,"calendar")=0,"",maxifs(Documents!$E$2:$E$1421,Documents!$A$2:$A$1421,$A43,Documents!$C$2:$C$1421,"calendar")),"")</f>
        <v/>
      </c>
      <c r="R43" s="0" t="str">
        <f aca="false">IFERROR(IF(maxifs(Documents!$E$2:$E$1421,Documents!$A$2:$A$1421,$A43,Documents!$C$2:$C$1421,"brochure")=0,"",maxifs(Documents!$E$2:$E$1421,Documents!$A$2:$A$1421,$A43,Documents!$C$2:$C$1421,"brochure")),"")</f>
        <v/>
      </c>
      <c r="S43" s="0" t="str">
        <f aca="false">IFERROR(IF(maxifs(Documents!$E$2:$E$1421,Documents!$A$2:$A$1421,$A43,Documents!$C$2:$C$1421,"press_kit")=0,"",maxifs(Documents!$E$2:$E$1421,Documents!$A$2:$A$1421,$A43,Documents!$C$2:$C$1421,"press_kit")),"")</f>
        <v/>
      </c>
      <c r="T43" s="0" t="str">
        <f aca="false">IFERROR(IF(maxifs(Documents!$E$2:$E$1421,Documents!$A$2:$A$1421,$A43,Documents!$C$2:$C$1421,"other")=0,"",maxifs(Documents!$E$2:$E$1421,Documents!$A$2:$A$1421,$A43,Documents!$C$2:$C$1421,"other")),"")</f>
        <v/>
      </c>
      <c r="U43" s="0" t="str">
        <f aca="false">IFERROR(IF(maxifs(Documents!$E$2:$E$1421,Documents!$A$2:$A$1421,$A43,Documents!$C$2:$C$1421,"obsolete")=0,"",maxifs(Documents!$E$2:$E$1421,Documents!$A$2:$A$1421,$A43,Documents!$C$2:$C$1421,"obsolete")),"")</f>
        <v/>
      </c>
      <c r="V43" s="0" t="n">
        <f aca="false">COUNTIFS(Documents!$A$2:$A$1421,$A43)</f>
        <v>0</v>
      </c>
      <c r="W43" s="0" t="n">
        <f aca="false">COUNTIFS(Documents!$A$2:$A$1421,$A43,Documents!$R$2:$R$1421,"current")</f>
        <v>0</v>
      </c>
      <c r="Y43" s="0" t="s">
        <v>31</v>
      </c>
    </row>
    <row r="44" customFormat="false" ht="15" hidden="false" customHeight="false" outlineLevel="0" collapsed="false">
      <c r="A44" s="0" t="n">
        <v>43</v>
      </c>
      <c r="B44" s="0" t="s">
        <v>87</v>
      </c>
      <c r="C44" s="0" t="s">
        <v>33</v>
      </c>
      <c r="D44" s="0" t="str">
        <f aca="false">IFERROR(IF(maxifs(Documents!$E$2:$E$1421,Documents!$A$2:$A$1421,$A44,Documents!$C$2:$C$1421,"factsheet")=0,"",maxifs(Documents!$E$2:$E$1421,Documents!$A$2:$A$1421,$A44,Documents!$C$2:$C$1421,"factsheet")),"")</f>
        <v/>
      </c>
      <c r="E44" s="0" t="str">
        <f aca="false">IFERROR(IF(maxifs(Documents!$E$2:$E$1421,Documents!$A$2:$A$1421,$A44,Documents!$C$2:$C$1421,"wedding")=0,"",maxifs(Documents!$E$2:$E$1421,Documents!$A$2:$A$1421,$A44,Documents!$C$2:$C$1421,"wedding")),"")</f>
        <v/>
      </c>
      <c r="F44" s="0" t="str">
        <f aca="false">IFERROR(IF(maxifs(Documents!$E$2:$E$1421,Documents!$A$2:$A$1421,$A44,Documents!$C$2:$C$1421,"events")=0,"",maxifs(Documents!$E$2:$E$1421,Documents!$A$2:$A$1421,$A44,Documents!$C$2:$C$1421,"events")),"")</f>
        <v/>
      </c>
      <c r="G44" s="0" t="str">
        <f aca="false">IFERROR(IF(maxifs(Documents!$E$2:$E$1421,Documents!$A$2:$A$1421,$A44,Documents!$C$2:$C$1421,"map")=0,"",maxifs(Documents!$E$2:$E$1421,Documents!$A$2:$A$1421,$A44,Documents!$C$2:$C$1421,"map")),"")</f>
        <v/>
      </c>
      <c r="H44" s="0" t="str">
        <f aca="false">IFERROR(IF(maxifs(Documents!$E$2:$E$1421,Documents!$A$2:$A$1421,$A44,Documents!$C$2:$C$1421,"dive_map")=0,"",maxifs(Documents!$E$2:$E$1421,Documents!$A$2:$A$1421,$A44,Documents!$C$2:$C$1421,"dive_map")),"")</f>
        <v/>
      </c>
      <c r="I44" s="0" t="str">
        <f aca="false">IFERROR(IF(maxifs(Documents!$E$2:$E$1421,Documents!$A$2:$A$1421,$A44,Documents!$C$2:$C$1421,"spa_menu")=0,"",maxifs(Documents!$E$2:$E$1421,Documents!$A$2:$A$1421,$A44,Documents!$C$2:$C$1421,"spa_menu")),"")</f>
        <v/>
      </c>
      <c r="J44" s="0" t="str">
        <f aca="false">IFERROR(IF(maxifs(Documents!$E$2:$E$1421,Documents!$A$2:$A$1421,$A44,Documents!$C$2:$C$1421,"dining_menu")=0,"",maxifs(Documents!$E$2:$E$1421,Documents!$A$2:$A$1421,$A44,Documents!$C$2:$C$1421,"dining_menu")),"")</f>
        <v/>
      </c>
      <c r="K44" s="0" t="str">
        <f aca="false">IFERROR(IF(maxifs(Documents!$E$2:$E$1421,Documents!$A$2:$A$1421,$A44,Documents!$C$2:$C$1421,"dive_prices")=0,"",maxifs(Documents!$E$2:$E$1421,Documents!$A$2:$A$1421,$A44,Documents!$C$2:$C$1421,"dive_prices")),"")</f>
        <v/>
      </c>
      <c r="L44" s="0" t="str">
        <f aca="false">IFERROR(IF(maxifs(Documents!$E$2:$E$1421,Documents!$A$2:$A$1421,$A44,Documents!$C$2:$C$1421,"excursions")=0,"",maxifs(Documents!$E$2:$E$1421,Documents!$A$2:$A$1421,$A44,Documents!$C$2:$C$1421,"excursions")),"")</f>
        <v/>
      </c>
      <c r="M44" s="0" t="str">
        <f aca="false">IFERROR(IF(maxifs(Documents!$E$2:$E$1421,Documents!$A$2:$A$1421,$A44,Documents!$C$2:$C$1421,"kids")=0,"",maxifs(Documents!$E$2:$E$1421,Documents!$A$2:$A$1421,$A44,Documents!$C$2:$C$1421,"kids")),"")</f>
        <v/>
      </c>
      <c r="N44" s="0" t="str">
        <f aca="false">IFERROR(IF(maxifs(Documents!$E$2:$E$1421,Documents!$A$2:$A$1421,$A44,Documents!$C$2:$C$1421,"villa_plans")=0,"",maxifs(Documents!$E$2:$E$1421,Documents!$A$2:$A$1421,$A44,Documents!$C$2:$C$1421,"villa_plans")),"")</f>
        <v/>
      </c>
      <c r="O44" s="0" t="str">
        <f aca="false">IFERROR(IF(maxifs(Documents!$E$2:$E$1421,Documents!$A$2:$A$1421,$A44,Documents!$C$2:$C$1421,"all_inclusive")=0,"",maxifs(Documents!$E$2:$E$1421,Documents!$A$2:$A$1421,$A44,Documents!$C$2:$C$1421,"all_inclusive")),"")</f>
        <v/>
      </c>
      <c r="P44" s="0" t="str">
        <f aca="false">IFERROR(IF(maxifs(Documents!$E$2:$E$1421,Documents!$A$2:$A$1421,$A44,Documents!$C$2:$C$1421,"sustainability")=0,"",maxifs(Documents!$E$2:$E$1421,Documents!$A$2:$A$1421,$A44,Documents!$C$2:$C$1421,"sustainability")),"")</f>
        <v/>
      </c>
      <c r="Q44" s="0" t="str">
        <f aca="false">IFERROR(IF(maxifs(Documents!$E$2:$E$1421,Documents!$A$2:$A$1421,$A44,Documents!$C$2:$C$1421,"calendar")=0,"",maxifs(Documents!$E$2:$E$1421,Documents!$A$2:$A$1421,$A44,Documents!$C$2:$C$1421,"calendar")),"")</f>
        <v/>
      </c>
      <c r="R44" s="0" t="str">
        <f aca="false">IFERROR(IF(maxifs(Documents!$E$2:$E$1421,Documents!$A$2:$A$1421,$A44,Documents!$C$2:$C$1421,"brochure")=0,"",maxifs(Documents!$E$2:$E$1421,Documents!$A$2:$A$1421,$A44,Documents!$C$2:$C$1421,"brochure")),"")</f>
        <v/>
      </c>
      <c r="S44" s="0" t="str">
        <f aca="false">IFERROR(IF(maxifs(Documents!$E$2:$E$1421,Documents!$A$2:$A$1421,$A44,Documents!$C$2:$C$1421,"press_kit")=0,"",maxifs(Documents!$E$2:$E$1421,Documents!$A$2:$A$1421,$A44,Documents!$C$2:$C$1421,"press_kit")),"")</f>
        <v/>
      </c>
      <c r="T44" s="0" t="str">
        <f aca="false">IFERROR(IF(maxifs(Documents!$E$2:$E$1421,Documents!$A$2:$A$1421,$A44,Documents!$C$2:$C$1421,"other")=0,"",maxifs(Documents!$E$2:$E$1421,Documents!$A$2:$A$1421,$A44,Documents!$C$2:$C$1421,"other")),"")</f>
        <v/>
      </c>
      <c r="U44" s="0" t="str">
        <f aca="false">IFERROR(IF(maxifs(Documents!$E$2:$E$1421,Documents!$A$2:$A$1421,$A44,Documents!$C$2:$C$1421,"obsolete")=0,"",maxifs(Documents!$E$2:$E$1421,Documents!$A$2:$A$1421,$A44,Documents!$C$2:$C$1421,"obsolete")),"")</f>
        <v/>
      </c>
      <c r="V44" s="0" t="n">
        <f aca="false">COUNTIFS(Documents!$A$2:$A$1421,$A44)</f>
        <v>10</v>
      </c>
      <c r="W44" s="0" t="n">
        <f aca="false">COUNTIFS(Documents!$A$2:$A$1421,$A44,Documents!$R$2:$R$1421,"current")</f>
        <v>1</v>
      </c>
      <c r="X44" s="0" t="str">
        <f aca="false">HYPERLINK("https://dhigufaru.com/app/wp-content/uploads/2026/06/Dhigufaru-Fact-Sheet-English.pdf","2025_Dhigufaru-Fact-Sheet-English.pdf")</f>
        <v>2025_Dhigufaru-Fact-Sheet-English.pdf</v>
      </c>
      <c r="Y44" s="0" t="s">
        <v>35</v>
      </c>
    </row>
    <row r="45" customFormat="false" ht="15" hidden="false" customHeight="false" outlineLevel="0" collapsed="false">
      <c r="A45" s="0" t="n">
        <v>44</v>
      </c>
      <c r="B45" s="0" t="s">
        <v>88</v>
      </c>
      <c r="C45" s="0" t="s">
        <v>33</v>
      </c>
      <c r="D45" s="0" t="str">
        <f aca="false">IFERROR(IF(maxifs(Documents!$E$2:$E$1421,Documents!$A$2:$A$1421,$A45,Documents!$C$2:$C$1421,"factsheet")=0,"",maxifs(Documents!$E$2:$E$1421,Documents!$A$2:$A$1421,$A45,Documents!$C$2:$C$1421,"factsheet")),"")</f>
        <v/>
      </c>
      <c r="E45" s="0" t="str">
        <f aca="false">IFERROR(IF(maxifs(Documents!$E$2:$E$1421,Documents!$A$2:$A$1421,$A45,Documents!$C$2:$C$1421,"wedding")=0,"",maxifs(Documents!$E$2:$E$1421,Documents!$A$2:$A$1421,$A45,Documents!$C$2:$C$1421,"wedding")),"")</f>
        <v/>
      </c>
      <c r="F45" s="0" t="str">
        <f aca="false">IFERROR(IF(maxifs(Documents!$E$2:$E$1421,Documents!$A$2:$A$1421,$A45,Documents!$C$2:$C$1421,"events")=0,"",maxifs(Documents!$E$2:$E$1421,Documents!$A$2:$A$1421,$A45,Documents!$C$2:$C$1421,"events")),"")</f>
        <v/>
      </c>
      <c r="G45" s="0" t="str">
        <f aca="false">IFERROR(IF(maxifs(Documents!$E$2:$E$1421,Documents!$A$2:$A$1421,$A45,Documents!$C$2:$C$1421,"map")=0,"",maxifs(Documents!$E$2:$E$1421,Documents!$A$2:$A$1421,$A45,Documents!$C$2:$C$1421,"map")),"")</f>
        <v/>
      </c>
      <c r="H45" s="0" t="str">
        <f aca="false">IFERROR(IF(maxifs(Documents!$E$2:$E$1421,Documents!$A$2:$A$1421,$A45,Documents!$C$2:$C$1421,"dive_map")=0,"",maxifs(Documents!$E$2:$E$1421,Documents!$A$2:$A$1421,$A45,Documents!$C$2:$C$1421,"dive_map")),"")</f>
        <v/>
      </c>
      <c r="I45" s="0" t="str">
        <f aca="false">IFERROR(IF(maxifs(Documents!$E$2:$E$1421,Documents!$A$2:$A$1421,$A45,Documents!$C$2:$C$1421,"spa_menu")=0,"",maxifs(Documents!$E$2:$E$1421,Documents!$A$2:$A$1421,$A45,Documents!$C$2:$C$1421,"spa_menu")),"")</f>
        <v/>
      </c>
      <c r="J45" s="0" t="str">
        <f aca="false">IFERROR(IF(maxifs(Documents!$E$2:$E$1421,Documents!$A$2:$A$1421,$A45,Documents!$C$2:$C$1421,"dining_menu")=0,"",maxifs(Documents!$E$2:$E$1421,Documents!$A$2:$A$1421,$A45,Documents!$C$2:$C$1421,"dining_menu")),"")</f>
        <v/>
      </c>
      <c r="K45" s="0" t="str">
        <f aca="false">IFERROR(IF(maxifs(Documents!$E$2:$E$1421,Documents!$A$2:$A$1421,$A45,Documents!$C$2:$C$1421,"dive_prices")=0,"",maxifs(Documents!$E$2:$E$1421,Documents!$A$2:$A$1421,$A45,Documents!$C$2:$C$1421,"dive_prices")),"")</f>
        <v/>
      </c>
      <c r="L45" s="0" t="str">
        <f aca="false">IFERROR(IF(maxifs(Documents!$E$2:$E$1421,Documents!$A$2:$A$1421,$A45,Documents!$C$2:$C$1421,"excursions")=0,"",maxifs(Documents!$E$2:$E$1421,Documents!$A$2:$A$1421,$A45,Documents!$C$2:$C$1421,"excursions")),"")</f>
        <v/>
      </c>
      <c r="M45" s="0" t="str">
        <f aca="false">IFERROR(IF(maxifs(Documents!$E$2:$E$1421,Documents!$A$2:$A$1421,$A45,Documents!$C$2:$C$1421,"kids")=0,"",maxifs(Documents!$E$2:$E$1421,Documents!$A$2:$A$1421,$A45,Documents!$C$2:$C$1421,"kids")),"")</f>
        <v/>
      </c>
      <c r="N45" s="0" t="str">
        <f aca="false">IFERROR(IF(maxifs(Documents!$E$2:$E$1421,Documents!$A$2:$A$1421,$A45,Documents!$C$2:$C$1421,"villa_plans")=0,"",maxifs(Documents!$E$2:$E$1421,Documents!$A$2:$A$1421,$A45,Documents!$C$2:$C$1421,"villa_plans")),"")</f>
        <v/>
      </c>
      <c r="O45" s="0" t="str">
        <f aca="false">IFERROR(IF(maxifs(Documents!$E$2:$E$1421,Documents!$A$2:$A$1421,$A45,Documents!$C$2:$C$1421,"all_inclusive")=0,"",maxifs(Documents!$E$2:$E$1421,Documents!$A$2:$A$1421,$A45,Documents!$C$2:$C$1421,"all_inclusive")),"")</f>
        <v/>
      </c>
      <c r="P45" s="0" t="str">
        <f aca="false">IFERROR(IF(maxifs(Documents!$E$2:$E$1421,Documents!$A$2:$A$1421,$A45,Documents!$C$2:$C$1421,"sustainability")=0,"",maxifs(Documents!$E$2:$E$1421,Documents!$A$2:$A$1421,$A45,Documents!$C$2:$C$1421,"sustainability")),"")</f>
        <v/>
      </c>
      <c r="Q45" s="0" t="str">
        <f aca="false">IFERROR(IF(maxifs(Documents!$E$2:$E$1421,Documents!$A$2:$A$1421,$A45,Documents!$C$2:$C$1421,"calendar")=0,"",maxifs(Documents!$E$2:$E$1421,Documents!$A$2:$A$1421,$A45,Documents!$C$2:$C$1421,"calendar")),"")</f>
        <v/>
      </c>
      <c r="R45" s="0" t="str">
        <f aca="false">IFERROR(IF(maxifs(Documents!$E$2:$E$1421,Documents!$A$2:$A$1421,$A45,Documents!$C$2:$C$1421,"brochure")=0,"",maxifs(Documents!$E$2:$E$1421,Documents!$A$2:$A$1421,$A45,Documents!$C$2:$C$1421,"brochure")),"")</f>
        <v/>
      </c>
      <c r="S45" s="0" t="str">
        <f aca="false">IFERROR(IF(maxifs(Documents!$E$2:$E$1421,Documents!$A$2:$A$1421,$A45,Documents!$C$2:$C$1421,"press_kit")=0,"",maxifs(Documents!$E$2:$E$1421,Documents!$A$2:$A$1421,$A45,Documents!$C$2:$C$1421,"press_kit")),"")</f>
        <v/>
      </c>
      <c r="T45" s="0" t="str">
        <f aca="false">IFERROR(IF(maxifs(Documents!$E$2:$E$1421,Documents!$A$2:$A$1421,$A45,Documents!$C$2:$C$1421,"other")=0,"",maxifs(Documents!$E$2:$E$1421,Documents!$A$2:$A$1421,$A45,Documents!$C$2:$C$1421,"other")),"")</f>
        <v/>
      </c>
      <c r="U45" s="0" t="str">
        <f aca="false">IFERROR(IF(maxifs(Documents!$E$2:$E$1421,Documents!$A$2:$A$1421,$A45,Documents!$C$2:$C$1421,"obsolete")=0,"",maxifs(Documents!$E$2:$E$1421,Documents!$A$2:$A$1421,$A45,Documents!$C$2:$C$1421,"obsolete")),"")</f>
        <v/>
      </c>
      <c r="V45" s="0" t="n">
        <f aca="false">COUNTIFS(Documents!$A$2:$A$1421,$A45)</f>
        <v>34</v>
      </c>
      <c r="W45" s="0" t="n">
        <f aca="false">COUNTIFS(Documents!$A$2:$A$1421,$A45,Documents!$R$2:$R$1421,"current")</f>
        <v>27</v>
      </c>
      <c r="Y45" s="0" t="s">
        <v>46</v>
      </c>
      <c r="Z45" s="0" t="s">
        <v>89</v>
      </c>
    </row>
    <row r="46" customFormat="false" ht="15" hidden="false" customHeight="false" outlineLevel="0" collapsed="false">
      <c r="A46" s="0" t="n">
        <v>45</v>
      </c>
      <c r="B46" s="0" t="s">
        <v>90</v>
      </c>
      <c r="C46" s="0" t="s">
        <v>33</v>
      </c>
      <c r="D46" s="0" t="str">
        <f aca="false">IFERROR(IF(maxifs(Documents!$E$2:$E$1421,Documents!$A$2:$A$1421,$A46,Documents!$C$2:$C$1421,"factsheet")=0,"",maxifs(Documents!$E$2:$E$1421,Documents!$A$2:$A$1421,$A46,Documents!$C$2:$C$1421,"factsheet")),"")</f>
        <v/>
      </c>
      <c r="E46" s="0" t="str">
        <f aca="false">IFERROR(IF(maxifs(Documents!$E$2:$E$1421,Documents!$A$2:$A$1421,$A46,Documents!$C$2:$C$1421,"wedding")=0,"",maxifs(Documents!$E$2:$E$1421,Documents!$A$2:$A$1421,$A46,Documents!$C$2:$C$1421,"wedding")),"")</f>
        <v/>
      </c>
      <c r="F46" s="0" t="str">
        <f aca="false">IFERROR(IF(maxifs(Documents!$E$2:$E$1421,Documents!$A$2:$A$1421,$A46,Documents!$C$2:$C$1421,"events")=0,"",maxifs(Documents!$E$2:$E$1421,Documents!$A$2:$A$1421,$A46,Documents!$C$2:$C$1421,"events")),"")</f>
        <v/>
      </c>
      <c r="G46" s="0" t="str">
        <f aca="false">IFERROR(IF(maxifs(Documents!$E$2:$E$1421,Documents!$A$2:$A$1421,$A46,Documents!$C$2:$C$1421,"map")=0,"",maxifs(Documents!$E$2:$E$1421,Documents!$A$2:$A$1421,$A46,Documents!$C$2:$C$1421,"map")),"")</f>
        <v/>
      </c>
      <c r="H46" s="0" t="str">
        <f aca="false">IFERROR(IF(maxifs(Documents!$E$2:$E$1421,Documents!$A$2:$A$1421,$A46,Documents!$C$2:$C$1421,"dive_map")=0,"",maxifs(Documents!$E$2:$E$1421,Documents!$A$2:$A$1421,$A46,Documents!$C$2:$C$1421,"dive_map")),"")</f>
        <v/>
      </c>
      <c r="I46" s="0" t="str">
        <f aca="false">IFERROR(IF(maxifs(Documents!$E$2:$E$1421,Documents!$A$2:$A$1421,$A46,Documents!$C$2:$C$1421,"spa_menu")=0,"",maxifs(Documents!$E$2:$E$1421,Documents!$A$2:$A$1421,$A46,Documents!$C$2:$C$1421,"spa_menu")),"")</f>
        <v/>
      </c>
      <c r="J46" s="0" t="str">
        <f aca="false">IFERROR(IF(maxifs(Documents!$E$2:$E$1421,Documents!$A$2:$A$1421,$A46,Documents!$C$2:$C$1421,"dining_menu")=0,"",maxifs(Documents!$E$2:$E$1421,Documents!$A$2:$A$1421,$A46,Documents!$C$2:$C$1421,"dining_menu")),"")</f>
        <v/>
      </c>
      <c r="K46" s="0" t="str">
        <f aca="false">IFERROR(IF(maxifs(Documents!$E$2:$E$1421,Documents!$A$2:$A$1421,$A46,Documents!$C$2:$C$1421,"dive_prices")=0,"",maxifs(Documents!$E$2:$E$1421,Documents!$A$2:$A$1421,$A46,Documents!$C$2:$C$1421,"dive_prices")),"")</f>
        <v/>
      </c>
      <c r="L46" s="0" t="str">
        <f aca="false">IFERROR(IF(maxifs(Documents!$E$2:$E$1421,Documents!$A$2:$A$1421,$A46,Documents!$C$2:$C$1421,"excursions")=0,"",maxifs(Documents!$E$2:$E$1421,Documents!$A$2:$A$1421,$A46,Documents!$C$2:$C$1421,"excursions")),"")</f>
        <v/>
      </c>
      <c r="M46" s="0" t="str">
        <f aca="false">IFERROR(IF(maxifs(Documents!$E$2:$E$1421,Documents!$A$2:$A$1421,$A46,Documents!$C$2:$C$1421,"kids")=0,"",maxifs(Documents!$E$2:$E$1421,Documents!$A$2:$A$1421,$A46,Documents!$C$2:$C$1421,"kids")),"")</f>
        <v/>
      </c>
      <c r="N46" s="0" t="str">
        <f aca="false">IFERROR(IF(maxifs(Documents!$E$2:$E$1421,Documents!$A$2:$A$1421,$A46,Documents!$C$2:$C$1421,"villa_plans")=0,"",maxifs(Documents!$E$2:$E$1421,Documents!$A$2:$A$1421,$A46,Documents!$C$2:$C$1421,"villa_plans")),"")</f>
        <v/>
      </c>
      <c r="O46" s="0" t="str">
        <f aca="false">IFERROR(IF(maxifs(Documents!$E$2:$E$1421,Documents!$A$2:$A$1421,$A46,Documents!$C$2:$C$1421,"all_inclusive")=0,"",maxifs(Documents!$E$2:$E$1421,Documents!$A$2:$A$1421,$A46,Documents!$C$2:$C$1421,"all_inclusive")),"")</f>
        <v/>
      </c>
      <c r="P46" s="0" t="str">
        <f aca="false">IFERROR(IF(maxifs(Documents!$E$2:$E$1421,Documents!$A$2:$A$1421,$A46,Documents!$C$2:$C$1421,"sustainability")=0,"",maxifs(Documents!$E$2:$E$1421,Documents!$A$2:$A$1421,$A46,Documents!$C$2:$C$1421,"sustainability")),"")</f>
        <v/>
      </c>
      <c r="Q46" s="0" t="str">
        <f aca="false">IFERROR(IF(maxifs(Documents!$E$2:$E$1421,Documents!$A$2:$A$1421,$A46,Documents!$C$2:$C$1421,"calendar")=0,"",maxifs(Documents!$E$2:$E$1421,Documents!$A$2:$A$1421,$A46,Documents!$C$2:$C$1421,"calendar")),"")</f>
        <v/>
      </c>
      <c r="R46" s="0" t="str">
        <f aca="false">IFERROR(IF(maxifs(Documents!$E$2:$E$1421,Documents!$A$2:$A$1421,$A46,Documents!$C$2:$C$1421,"brochure")=0,"",maxifs(Documents!$E$2:$E$1421,Documents!$A$2:$A$1421,$A46,Documents!$C$2:$C$1421,"brochure")),"")</f>
        <v/>
      </c>
      <c r="S46" s="0" t="str">
        <f aca="false">IFERROR(IF(maxifs(Documents!$E$2:$E$1421,Documents!$A$2:$A$1421,$A46,Documents!$C$2:$C$1421,"press_kit")=0,"",maxifs(Documents!$E$2:$E$1421,Documents!$A$2:$A$1421,$A46,Documents!$C$2:$C$1421,"press_kit")),"")</f>
        <v/>
      </c>
      <c r="T46" s="0" t="str">
        <f aca="false">IFERROR(IF(maxifs(Documents!$E$2:$E$1421,Documents!$A$2:$A$1421,$A46,Documents!$C$2:$C$1421,"other")=0,"",maxifs(Documents!$E$2:$E$1421,Documents!$A$2:$A$1421,$A46,Documents!$C$2:$C$1421,"other")),"")</f>
        <v/>
      </c>
      <c r="U46" s="0" t="str">
        <f aca="false">IFERROR(IF(maxifs(Documents!$E$2:$E$1421,Documents!$A$2:$A$1421,$A46,Documents!$C$2:$C$1421,"obsolete")=0,"",maxifs(Documents!$E$2:$E$1421,Documents!$A$2:$A$1421,$A46,Documents!$C$2:$C$1421,"obsolete")),"")</f>
        <v/>
      </c>
      <c r="V46" s="0" t="n">
        <f aca="false">COUNTIFS(Documents!$A$2:$A$1421,$A46)</f>
        <v>67</v>
      </c>
      <c r="W46" s="0" t="n">
        <f aca="false">COUNTIFS(Documents!$A$2:$A$1421,$A46,Documents!$R$2:$R$1421,"current")</f>
        <v>63</v>
      </c>
      <c r="X46" s="0" t="str">
        <f aca="false">HYPERLINK("https://www.saiihotels.com/wp-content/uploads/2025/10/SAii-Lagoon-Maldives-Factsheet-2025.pdf","2025_SAii-Lagoon-Maldives-Factsheet-2025")</f>
        <v>2025_SAii-Lagoon-Maldives-Factsheet-2025</v>
      </c>
      <c r="Y46" s="0" t="s">
        <v>91</v>
      </c>
      <c r="Z46" s="0" t="s">
        <v>92</v>
      </c>
    </row>
    <row r="47" customFormat="false" ht="15" hidden="false" customHeight="false" outlineLevel="0" collapsed="false">
      <c r="A47" s="0" t="n">
        <v>46</v>
      </c>
      <c r="B47" s="0" t="s">
        <v>93</v>
      </c>
      <c r="C47" s="0" t="s">
        <v>33</v>
      </c>
      <c r="D47" s="0" t="str">
        <f aca="false">IFERROR(IF(maxifs(Documents!$E$2:$E$1421,Documents!$A$2:$A$1421,$A47,Documents!$C$2:$C$1421,"factsheet")=0,"",maxifs(Documents!$E$2:$E$1421,Documents!$A$2:$A$1421,$A47,Documents!$C$2:$C$1421,"factsheet")),"")</f>
        <v/>
      </c>
      <c r="E47" s="0" t="str">
        <f aca="false">IFERROR(IF(maxifs(Documents!$E$2:$E$1421,Documents!$A$2:$A$1421,$A47,Documents!$C$2:$C$1421,"wedding")=0,"",maxifs(Documents!$E$2:$E$1421,Documents!$A$2:$A$1421,$A47,Documents!$C$2:$C$1421,"wedding")),"")</f>
        <v/>
      </c>
      <c r="F47" s="0" t="str">
        <f aca="false">IFERROR(IF(maxifs(Documents!$E$2:$E$1421,Documents!$A$2:$A$1421,$A47,Documents!$C$2:$C$1421,"events")=0,"",maxifs(Documents!$E$2:$E$1421,Documents!$A$2:$A$1421,$A47,Documents!$C$2:$C$1421,"events")),"")</f>
        <v/>
      </c>
      <c r="G47" s="0" t="str">
        <f aca="false">IFERROR(IF(maxifs(Documents!$E$2:$E$1421,Documents!$A$2:$A$1421,$A47,Documents!$C$2:$C$1421,"map")=0,"",maxifs(Documents!$E$2:$E$1421,Documents!$A$2:$A$1421,$A47,Documents!$C$2:$C$1421,"map")),"")</f>
        <v/>
      </c>
      <c r="H47" s="0" t="str">
        <f aca="false">IFERROR(IF(maxifs(Documents!$E$2:$E$1421,Documents!$A$2:$A$1421,$A47,Documents!$C$2:$C$1421,"dive_map")=0,"",maxifs(Documents!$E$2:$E$1421,Documents!$A$2:$A$1421,$A47,Documents!$C$2:$C$1421,"dive_map")),"")</f>
        <v/>
      </c>
      <c r="I47" s="0" t="str">
        <f aca="false">IFERROR(IF(maxifs(Documents!$E$2:$E$1421,Documents!$A$2:$A$1421,$A47,Documents!$C$2:$C$1421,"spa_menu")=0,"",maxifs(Documents!$E$2:$E$1421,Documents!$A$2:$A$1421,$A47,Documents!$C$2:$C$1421,"spa_menu")),"")</f>
        <v/>
      </c>
      <c r="J47" s="0" t="str">
        <f aca="false">IFERROR(IF(maxifs(Documents!$E$2:$E$1421,Documents!$A$2:$A$1421,$A47,Documents!$C$2:$C$1421,"dining_menu")=0,"",maxifs(Documents!$E$2:$E$1421,Documents!$A$2:$A$1421,$A47,Documents!$C$2:$C$1421,"dining_menu")),"")</f>
        <v/>
      </c>
      <c r="K47" s="0" t="str">
        <f aca="false">IFERROR(IF(maxifs(Documents!$E$2:$E$1421,Documents!$A$2:$A$1421,$A47,Documents!$C$2:$C$1421,"dive_prices")=0,"",maxifs(Documents!$E$2:$E$1421,Documents!$A$2:$A$1421,$A47,Documents!$C$2:$C$1421,"dive_prices")),"")</f>
        <v/>
      </c>
      <c r="L47" s="0" t="str">
        <f aca="false">IFERROR(IF(maxifs(Documents!$E$2:$E$1421,Documents!$A$2:$A$1421,$A47,Documents!$C$2:$C$1421,"excursions")=0,"",maxifs(Documents!$E$2:$E$1421,Documents!$A$2:$A$1421,$A47,Documents!$C$2:$C$1421,"excursions")),"")</f>
        <v/>
      </c>
      <c r="M47" s="0" t="str">
        <f aca="false">IFERROR(IF(maxifs(Documents!$E$2:$E$1421,Documents!$A$2:$A$1421,$A47,Documents!$C$2:$C$1421,"kids")=0,"",maxifs(Documents!$E$2:$E$1421,Documents!$A$2:$A$1421,$A47,Documents!$C$2:$C$1421,"kids")),"")</f>
        <v/>
      </c>
      <c r="N47" s="0" t="str">
        <f aca="false">IFERROR(IF(maxifs(Documents!$E$2:$E$1421,Documents!$A$2:$A$1421,$A47,Documents!$C$2:$C$1421,"villa_plans")=0,"",maxifs(Documents!$E$2:$E$1421,Documents!$A$2:$A$1421,$A47,Documents!$C$2:$C$1421,"villa_plans")),"")</f>
        <v/>
      </c>
      <c r="O47" s="0" t="str">
        <f aca="false">IFERROR(IF(maxifs(Documents!$E$2:$E$1421,Documents!$A$2:$A$1421,$A47,Documents!$C$2:$C$1421,"all_inclusive")=0,"",maxifs(Documents!$E$2:$E$1421,Documents!$A$2:$A$1421,$A47,Documents!$C$2:$C$1421,"all_inclusive")),"")</f>
        <v/>
      </c>
      <c r="P47" s="0" t="str">
        <f aca="false">IFERROR(IF(maxifs(Documents!$E$2:$E$1421,Documents!$A$2:$A$1421,$A47,Documents!$C$2:$C$1421,"sustainability")=0,"",maxifs(Documents!$E$2:$E$1421,Documents!$A$2:$A$1421,$A47,Documents!$C$2:$C$1421,"sustainability")),"")</f>
        <v/>
      </c>
      <c r="Q47" s="0" t="str">
        <f aca="false">IFERROR(IF(maxifs(Documents!$E$2:$E$1421,Documents!$A$2:$A$1421,$A47,Documents!$C$2:$C$1421,"calendar")=0,"",maxifs(Documents!$E$2:$E$1421,Documents!$A$2:$A$1421,$A47,Documents!$C$2:$C$1421,"calendar")),"")</f>
        <v/>
      </c>
      <c r="R47" s="0" t="str">
        <f aca="false">IFERROR(IF(maxifs(Documents!$E$2:$E$1421,Documents!$A$2:$A$1421,$A47,Documents!$C$2:$C$1421,"brochure")=0,"",maxifs(Documents!$E$2:$E$1421,Documents!$A$2:$A$1421,$A47,Documents!$C$2:$C$1421,"brochure")),"")</f>
        <v/>
      </c>
      <c r="S47" s="0" t="str">
        <f aca="false">IFERROR(IF(maxifs(Documents!$E$2:$E$1421,Documents!$A$2:$A$1421,$A47,Documents!$C$2:$C$1421,"press_kit")=0,"",maxifs(Documents!$E$2:$E$1421,Documents!$A$2:$A$1421,$A47,Documents!$C$2:$C$1421,"press_kit")),"")</f>
        <v/>
      </c>
      <c r="T47" s="0" t="str">
        <f aca="false">IFERROR(IF(maxifs(Documents!$E$2:$E$1421,Documents!$A$2:$A$1421,$A47,Documents!$C$2:$C$1421,"other")=0,"",maxifs(Documents!$E$2:$E$1421,Documents!$A$2:$A$1421,$A47,Documents!$C$2:$C$1421,"other")),"")</f>
        <v/>
      </c>
      <c r="U47" s="0" t="str">
        <f aca="false">IFERROR(IF(maxifs(Documents!$E$2:$E$1421,Documents!$A$2:$A$1421,$A47,Documents!$C$2:$C$1421,"obsolete")=0,"",maxifs(Documents!$E$2:$E$1421,Documents!$A$2:$A$1421,$A47,Documents!$C$2:$C$1421,"obsolete")),"")</f>
        <v/>
      </c>
      <c r="V47" s="0" t="n">
        <f aca="false">COUNTIFS(Documents!$A$2:$A$1421,$A47)</f>
        <v>57</v>
      </c>
      <c r="W47" s="0" t="n">
        <f aca="false">COUNTIFS(Documents!$A$2:$A$1421,$A47,Documents!$R$2:$R$1421,"current")</f>
        <v>51</v>
      </c>
      <c r="X47" s="0" t="str">
        <f aca="false">HYPERLINK("https://www.neoscapesmaldives.com/wp-content/uploads/SO-Maldives-Factsheet_Eng.pdf","2025_SO-Maldives-Factsheet_Eng.pdf")</f>
        <v>2025_SO-Maldives-Factsheet_Eng.pdf</v>
      </c>
    </row>
    <row r="48" customFormat="false" ht="15" hidden="false" customHeight="false" outlineLevel="0" collapsed="false">
      <c r="A48" s="0" t="n">
        <v>47</v>
      </c>
      <c r="B48" s="0" t="s">
        <v>94</v>
      </c>
      <c r="C48" s="0" t="s">
        <v>30</v>
      </c>
      <c r="D48" s="0" t="str">
        <f aca="false">IFERROR(IF(maxifs(Documents!$E$2:$E$1421,Documents!$A$2:$A$1421,$A48,Documents!$C$2:$C$1421,"factsheet")=0,"",maxifs(Documents!$E$2:$E$1421,Documents!$A$2:$A$1421,$A48,Documents!$C$2:$C$1421,"factsheet")),"")</f>
        <v/>
      </c>
      <c r="E48" s="0" t="str">
        <f aca="false">IFERROR(IF(maxifs(Documents!$E$2:$E$1421,Documents!$A$2:$A$1421,$A48,Documents!$C$2:$C$1421,"wedding")=0,"",maxifs(Documents!$E$2:$E$1421,Documents!$A$2:$A$1421,$A48,Documents!$C$2:$C$1421,"wedding")),"")</f>
        <v/>
      </c>
      <c r="F48" s="0" t="str">
        <f aca="false">IFERROR(IF(maxifs(Documents!$E$2:$E$1421,Documents!$A$2:$A$1421,$A48,Documents!$C$2:$C$1421,"events")=0,"",maxifs(Documents!$E$2:$E$1421,Documents!$A$2:$A$1421,$A48,Documents!$C$2:$C$1421,"events")),"")</f>
        <v/>
      </c>
      <c r="G48" s="0" t="str">
        <f aca="false">IFERROR(IF(maxifs(Documents!$E$2:$E$1421,Documents!$A$2:$A$1421,$A48,Documents!$C$2:$C$1421,"map")=0,"",maxifs(Documents!$E$2:$E$1421,Documents!$A$2:$A$1421,$A48,Documents!$C$2:$C$1421,"map")),"")</f>
        <v/>
      </c>
      <c r="H48" s="0" t="str">
        <f aca="false">IFERROR(IF(maxifs(Documents!$E$2:$E$1421,Documents!$A$2:$A$1421,$A48,Documents!$C$2:$C$1421,"dive_map")=0,"",maxifs(Documents!$E$2:$E$1421,Documents!$A$2:$A$1421,$A48,Documents!$C$2:$C$1421,"dive_map")),"")</f>
        <v/>
      </c>
      <c r="I48" s="0" t="str">
        <f aca="false">IFERROR(IF(maxifs(Documents!$E$2:$E$1421,Documents!$A$2:$A$1421,$A48,Documents!$C$2:$C$1421,"spa_menu")=0,"",maxifs(Documents!$E$2:$E$1421,Documents!$A$2:$A$1421,$A48,Documents!$C$2:$C$1421,"spa_menu")),"")</f>
        <v/>
      </c>
      <c r="J48" s="0" t="str">
        <f aca="false">IFERROR(IF(maxifs(Documents!$E$2:$E$1421,Documents!$A$2:$A$1421,$A48,Documents!$C$2:$C$1421,"dining_menu")=0,"",maxifs(Documents!$E$2:$E$1421,Documents!$A$2:$A$1421,$A48,Documents!$C$2:$C$1421,"dining_menu")),"")</f>
        <v/>
      </c>
      <c r="K48" s="0" t="str">
        <f aca="false">IFERROR(IF(maxifs(Documents!$E$2:$E$1421,Documents!$A$2:$A$1421,$A48,Documents!$C$2:$C$1421,"dive_prices")=0,"",maxifs(Documents!$E$2:$E$1421,Documents!$A$2:$A$1421,$A48,Documents!$C$2:$C$1421,"dive_prices")),"")</f>
        <v/>
      </c>
      <c r="L48" s="0" t="str">
        <f aca="false">IFERROR(IF(maxifs(Documents!$E$2:$E$1421,Documents!$A$2:$A$1421,$A48,Documents!$C$2:$C$1421,"excursions")=0,"",maxifs(Documents!$E$2:$E$1421,Documents!$A$2:$A$1421,$A48,Documents!$C$2:$C$1421,"excursions")),"")</f>
        <v/>
      </c>
      <c r="M48" s="0" t="str">
        <f aca="false">IFERROR(IF(maxifs(Documents!$E$2:$E$1421,Documents!$A$2:$A$1421,$A48,Documents!$C$2:$C$1421,"kids")=0,"",maxifs(Documents!$E$2:$E$1421,Documents!$A$2:$A$1421,$A48,Documents!$C$2:$C$1421,"kids")),"")</f>
        <v/>
      </c>
      <c r="N48" s="0" t="str">
        <f aca="false">IFERROR(IF(maxifs(Documents!$E$2:$E$1421,Documents!$A$2:$A$1421,$A48,Documents!$C$2:$C$1421,"villa_plans")=0,"",maxifs(Documents!$E$2:$E$1421,Documents!$A$2:$A$1421,$A48,Documents!$C$2:$C$1421,"villa_plans")),"")</f>
        <v/>
      </c>
      <c r="O48" s="0" t="str">
        <f aca="false">IFERROR(IF(maxifs(Documents!$E$2:$E$1421,Documents!$A$2:$A$1421,$A48,Documents!$C$2:$C$1421,"all_inclusive")=0,"",maxifs(Documents!$E$2:$E$1421,Documents!$A$2:$A$1421,$A48,Documents!$C$2:$C$1421,"all_inclusive")),"")</f>
        <v/>
      </c>
      <c r="P48" s="0" t="str">
        <f aca="false">IFERROR(IF(maxifs(Documents!$E$2:$E$1421,Documents!$A$2:$A$1421,$A48,Documents!$C$2:$C$1421,"sustainability")=0,"",maxifs(Documents!$E$2:$E$1421,Documents!$A$2:$A$1421,$A48,Documents!$C$2:$C$1421,"sustainability")),"")</f>
        <v/>
      </c>
      <c r="Q48" s="0" t="str">
        <f aca="false">IFERROR(IF(maxifs(Documents!$E$2:$E$1421,Documents!$A$2:$A$1421,$A48,Documents!$C$2:$C$1421,"calendar")=0,"",maxifs(Documents!$E$2:$E$1421,Documents!$A$2:$A$1421,$A48,Documents!$C$2:$C$1421,"calendar")),"")</f>
        <v/>
      </c>
      <c r="R48" s="0" t="str">
        <f aca="false">IFERROR(IF(maxifs(Documents!$E$2:$E$1421,Documents!$A$2:$A$1421,$A48,Documents!$C$2:$C$1421,"brochure")=0,"",maxifs(Documents!$E$2:$E$1421,Documents!$A$2:$A$1421,$A48,Documents!$C$2:$C$1421,"brochure")),"")</f>
        <v/>
      </c>
      <c r="S48" s="0" t="str">
        <f aca="false">IFERROR(IF(maxifs(Documents!$E$2:$E$1421,Documents!$A$2:$A$1421,$A48,Documents!$C$2:$C$1421,"press_kit")=0,"",maxifs(Documents!$E$2:$E$1421,Documents!$A$2:$A$1421,$A48,Documents!$C$2:$C$1421,"press_kit")),"")</f>
        <v/>
      </c>
      <c r="T48" s="0" t="str">
        <f aca="false">IFERROR(IF(maxifs(Documents!$E$2:$E$1421,Documents!$A$2:$A$1421,$A48,Documents!$C$2:$C$1421,"other")=0,"",maxifs(Documents!$E$2:$E$1421,Documents!$A$2:$A$1421,$A48,Documents!$C$2:$C$1421,"other")),"")</f>
        <v/>
      </c>
      <c r="U48" s="0" t="str">
        <f aca="false">IFERROR(IF(maxifs(Documents!$E$2:$E$1421,Documents!$A$2:$A$1421,$A48,Documents!$C$2:$C$1421,"obsolete")=0,"",maxifs(Documents!$E$2:$E$1421,Documents!$A$2:$A$1421,$A48,Documents!$C$2:$C$1421,"obsolete")),"")</f>
        <v/>
      </c>
      <c r="V48" s="0" t="n">
        <f aca="false">COUNTIFS(Documents!$A$2:$A$1421,$A48)</f>
        <v>0</v>
      </c>
      <c r="W48" s="0" t="n">
        <f aca="false">COUNTIFS(Documents!$A$2:$A$1421,$A48,Documents!$R$2:$R$1421,"current")</f>
        <v>0</v>
      </c>
      <c r="Y48" s="0" t="s">
        <v>31</v>
      </c>
    </row>
    <row r="49" customFormat="false" ht="15" hidden="false" customHeight="false" outlineLevel="0" collapsed="false">
      <c r="A49" s="0" t="n">
        <v>48</v>
      </c>
      <c r="B49" s="0" t="s">
        <v>95</v>
      </c>
      <c r="C49" s="0" t="s">
        <v>30</v>
      </c>
      <c r="D49" s="0" t="str">
        <f aca="false">IFERROR(IF(maxifs(Documents!$E$2:$E$1421,Documents!$A$2:$A$1421,$A49,Documents!$C$2:$C$1421,"factsheet")=0,"",maxifs(Documents!$E$2:$E$1421,Documents!$A$2:$A$1421,$A49,Documents!$C$2:$C$1421,"factsheet")),"")</f>
        <v/>
      </c>
      <c r="E49" s="0" t="str">
        <f aca="false">IFERROR(IF(maxifs(Documents!$E$2:$E$1421,Documents!$A$2:$A$1421,$A49,Documents!$C$2:$C$1421,"wedding")=0,"",maxifs(Documents!$E$2:$E$1421,Documents!$A$2:$A$1421,$A49,Documents!$C$2:$C$1421,"wedding")),"")</f>
        <v/>
      </c>
      <c r="F49" s="0" t="str">
        <f aca="false">IFERROR(IF(maxifs(Documents!$E$2:$E$1421,Documents!$A$2:$A$1421,$A49,Documents!$C$2:$C$1421,"events")=0,"",maxifs(Documents!$E$2:$E$1421,Documents!$A$2:$A$1421,$A49,Documents!$C$2:$C$1421,"events")),"")</f>
        <v/>
      </c>
      <c r="G49" s="0" t="str">
        <f aca="false">IFERROR(IF(maxifs(Documents!$E$2:$E$1421,Documents!$A$2:$A$1421,$A49,Documents!$C$2:$C$1421,"map")=0,"",maxifs(Documents!$E$2:$E$1421,Documents!$A$2:$A$1421,$A49,Documents!$C$2:$C$1421,"map")),"")</f>
        <v/>
      </c>
      <c r="H49" s="0" t="str">
        <f aca="false">IFERROR(IF(maxifs(Documents!$E$2:$E$1421,Documents!$A$2:$A$1421,$A49,Documents!$C$2:$C$1421,"dive_map")=0,"",maxifs(Documents!$E$2:$E$1421,Documents!$A$2:$A$1421,$A49,Documents!$C$2:$C$1421,"dive_map")),"")</f>
        <v/>
      </c>
      <c r="I49" s="0" t="str">
        <f aca="false">IFERROR(IF(maxifs(Documents!$E$2:$E$1421,Documents!$A$2:$A$1421,$A49,Documents!$C$2:$C$1421,"spa_menu")=0,"",maxifs(Documents!$E$2:$E$1421,Documents!$A$2:$A$1421,$A49,Documents!$C$2:$C$1421,"spa_menu")),"")</f>
        <v/>
      </c>
      <c r="J49" s="0" t="str">
        <f aca="false">IFERROR(IF(maxifs(Documents!$E$2:$E$1421,Documents!$A$2:$A$1421,$A49,Documents!$C$2:$C$1421,"dining_menu")=0,"",maxifs(Documents!$E$2:$E$1421,Documents!$A$2:$A$1421,$A49,Documents!$C$2:$C$1421,"dining_menu")),"")</f>
        <v/>
      </c>
      <c r="K49" s="0" t="str">
        <f aca="false">IFERROR(IF(maxifs(Documents!$E$2:$E$1421,Documents!$A$2:$A$1421,$A49,Documents!$C$2:$C$1421,"dive_prices")=0,"",maxifs(Documents!$E$2:$E$1421,Documents!$A$2:$A$1421,$A49,Documents!$C$2:$C$1421,"dive_prices")),"")</f>
        <v/>
      </c>
      <c r="L49" s="0" t="str">
        <f aca="false">IFERROR(IF(maxifs(Documents!$E$2:$E$1421,Documents!$A$2:$A$1421,$A49,Documents!$C$2:$C$1421,"excursions")=0,"",maxifs(Documents!$E$2:$E$1421,Documents!$A$2:$A$1421,$A49,Documents!$C$2:$C$1421,"excursions")),"")</f>
        <v/>
      </c>
      <c r="M49" s="0" t="str">
        <f aca="false">IFERROR(IF(maxifs(Documents!$E$2:$E$1421,Documents!$A$2:$A$1421,$A49,Documents!$C$2:$C$1421,"kids")=0,"",maxifs(Documents!$E$2:$E$1421,Documents!$A$2:$A$1421,$A49,Documents!$C$2:$C$1421,"kids")),"")</f>
        <v/>
      </c>
      <c r="N49" s="0" t="str">
        <f aca="false">IFERROR(IF(maxifs(Documents!$E$2:$E$1421,Documents!$A$2:$A$1421,$A49,Documents!$C$2:$C$1421,"villa_plans")=0,"",maxifs(Documents!$E$2:$E$1421,Documents!$A$2:$A$1421,$A49,Documents!$C$2:$C$1421,"villa_plans")),"")</f>
        <v/>
      </c>
      <c r="O49" s="0" t="str">
        <f aca="false">IFERROR(IF(maxifs(Documents!$E$2:$E$1421,Documents!$A$2:$A$1421,$A49,Documents!$C$2:$C$1421,"all_inclusive")=0,"",maxifs(Documents!$E$2:$E$1421,Documents!$A$2:$A$1421,$A49,Documents!$C$2:$C$1421,"all_inclusive")),"")</f>
        <v/>
      </c>
      <c r="P49" s="0" t="str">
        <f aca="false">IFERROR(IF(maxifs(Documents!$E$2:$E$1421,Documents!$A$2:$A$1421,$A49,Documents!$C$2:$C$1421,"sustainability")=0,"",maxifs(Documents!$E$2:$E$1421,Documents!$A$2:$A$1421,$A49,Documents!$C$2:$C$1421,"sustainability")),"")</f>
        <v/>
      </c>
      <c r="Q49" s="0" t="str">
        <f aca="false">IFERROR(IF(maxifs(Documents!$E$2:$E$1421,Documents!$A$2:$A$1421,$A49,Documents!$C$2:$C$1421,"calendar")=0,"",maxifs(Documents!$E$2:$E$1421,Documents!$A$2:$A$1421,$A49,Documents!$C$2:$C$1421,"calendar")),"")</f>
        <v/>
      </c>
      <c r="R49" s="0" t="str">
        <f aca="false">IFERROR(IF(maxifs(Documents!$E$2:$E$1421,Documents!$A$2:$A$1421,$A49,Documents!$C$2:$C$1421,"brochure")=0,"",maxifs(Documents!$E$2:$E$1421,Documents!$A$2:$A$1421,$A49,Documents!$C$2:$C$1421,"brochure")),"")</f>
        <v/>
      </c>
      <c r="S49" s="0" t="str">
        <f aca="false">IFERROR(IF(maxifs(Documents!$E$2:$E$1421,Documents!$A$2:$A$1421,$A49,Documents!$C$2:$C$1421,"press_kit")=0,"",maxifs(Documents!$E$2:$E$1421,Documents!$A$2:$A$1421,$A49,Documents!$C$2:$C$1421,"press_kit")),"")</f>
        <v/>
      </c>
      <c r="T49" s="0" t="str">
        <f aca="false">IFERROR(IF(maxifs(Documents!$E$2:$E$1421,Documents!$A$2:$A$1421,$A49,Documents!$C$2:$C$1421,"other")=0,"",maxifs(Documents!$E$2:$E$1421,Documents!$A$2:$A$1421,$A49,Documents!$C$2:$C$1421,"other")),"")</f>
        <v/>
      </c>
      <c r="U49" s="0" t="str">
        <f aca="false">IFERROR(IF(maxifs(Documents!$E$2:$E$1421,Documents!$A$2:$A$1421,$A49,Documents!$C$2:$C$1421,"obsolete")=0,"",maxifs(Documents!$E$2:$E$1421,Documents!$A$2:$A$1421,$A49,Documents!$C$2:$C$1421,"obsolete")),"")</f>
        <v/>
      </c>
      <c r="V49" s="0" t="n">
        <f aca="false">COUNTIFS(Documents!$A$2:$A$1421,$A49)</f>
        <v>4</v>
      </c>
      <c r="W49" s="0" t="n">
        <f aca="false">COUNTIFS(Documents!$A$2:$A$1421,$A49,Documents!$R$2:$R$1421,"current")</f>
        <v>3</v>
      </c>
      <c r="X49" s="0" t="str">
        <f aca="false">HYPERLINK("https://www.neoscapesmaldives.com/wp-content/uploads/New-Dusit-Thani-Maldives-Property-Fact-Sheet-1.pdf","2026_New-Dusit-Thani-Maldives-Property-F")</f>
        <v>2026_New-Dusit-Thani-Maldives-Property-F</v>
      </c>
      <c r="Y49" s="0" t="s">
        <v>28</v>
      </c>
    </row>
    <row r="50" customFormat="false" ht="15" hidden="false" customHeight="false" outlineLevel="0" collapsed="false">
      <c r="A50" s="0" t="n">
        <v>49</v>
      </c>
      <c r="B50" s="0" t="s">
        <v>96</v>
      </c>
      <c r="C50" s="0" t="s">
        <v>33</v>
      </c>
      <c r="D50" s="0" t="str">
        <f aca="false">IFERROR(IF(maxifs(Documents!$E$2:$E$1421,Documents!$A$2:$A$1421,$A50,Documents!$C$2:$C$1421,"factsheet")=0,"",maxifs(Documents!$E$2:$E$1421,Documents!$A$2:$A$1421,$A50,Documents!$C$2:$C$1421,"factsheet")),"")</f>
        <v/>
      </c>
      <c r="E50" s="0" t="str">
        <f aca="false">IFERROR(IF(maxifs(Documents!$E$2:$E$1421,Documents!$A$2:$A$1421,$A50,Documents!$C$2:$C$1421,"wedding")=0,"",maxifs(Documents!$E$2:$E$1421,Documents!$A$2:$A$1421,$A50,Documents!$C$2:$C$1421,"wedding")),"")</f>
        <v/>
      </c>
      <c r="F50" s="0" t="str">
        <f aca="false">IFERROR(IF(maxifs(Documents!$E$2:$E$1421,Documents!$A$2:$A$1421,$A50,Documents!$C$2:$C$1421,"events")=0,"",maxifs(Documents!$E$2:$E$1421,Documents!$A$2:$A$1421,$A50,Documents!$C$2:$C$1421,"events")),"")</f>
        <v/>
      </c>
      <c r="G50" s="0" t="str">
        <f aca="false">IFERROR(IF(maxifs(Documents!$E$2:$E$1421,Documents!$A$2:$A$1421,$A50,Documents!$C$2:$C$1421,"map")=0,"",maxifs(Documents!$E$2:$E$1421,Documents!$A$2:$A$1421,$A50,Documents!$C$2:$C$1421,"map")),"")</f>
        <v/>
      </c>
      <c r="H50" s="0" t="str">
        <f aca="false">IFERROR(IF(maxifs(Documents!$E$2:$E$1421,Documents!$A$2:$A$1421,$A50,Documents!$C$2:$C$1421,"dive_map")=0,"",maxifs(Documents!$E$2:$E$1421,Documents!$A$2:$A$1421,$A50,Documents!$C$2:$C$1421,"dive_map")),"")</f>
        <v/>
      </c>
      <c r="I50" s="0" t="str">
        <f aca="false">IFERROR(IF(maxifs(Documents!$E$2:$E$1421,Documents!$A$2:$A$1421,$A50,Documents!$C$2:$C$1421,"spa_menu")=0,"",maxifs(Documents!$E$2:$E$1421,Documents!$A$2:$A$1421,$A50,Documents!$C$2:$C$1421,"spa_menu")),"")</f>
        <v/>
      </c>
      <c r="J50" s="0" t="str">
        <f aca="false">IFERROR(IF(maxifs(Documents!$E$2:$E$1421,Documents!$A$2:$A$1421,$A50,Documents!$C$2:$C$1421,"dining_menu")=0,"",maxifs(Documents!$E$2:$E$1421,Documents!$A$2:$A$1421,$A50,Documents!$C$2:$C$1421,"dining_menu")),"")</f>
        <v/>
      </c>
      <c r="K50" s="0" t="str">
        <f aca="false">IFERROR(IF(maxifs(Documents!$E$2:$E$1421,Documents!$A$2:$A$1421,$A50,Documents!$C$2:$C$1421,"dive_prices")=0,"",maxifs(Documents!$E$2:$E$1421,Documents!$A$2:$A$1421,$A50,Documents!$C$2:$C$1421,"dive_prices")),"")</f>
        <v/>
      </c>
      <c r="L50" s="0" t="str">
        <f aca="false">IFERROR(IF(maxifs(Documents!$E$2:$E$1421,Documents!$A$2:$A$1421,$A50,Documents!$C$2:$C$1421,"excursions")=0,"",maxifs(Documents!$E$2:$E$1421,Documents!$A$2:$A$1421,$A50,Documents!$C$2:$C$1421,"excursions")),"")</f>
        <v/>
      </c>
      <c r="M50" s="0" t="str">
        <f aca="false">IFERROR(IF(maxifs(Documents!$E$2:$E$1421,Documents!$A$2:$A$1421,$A50,Documents!$C$2:$C$1421,"kids")=0,"",maxifs(Documents!$E$2:$E$1421,Documents!$A$2:$A$1421,$A50,Documents!$C$2:$C$1421,"kids")),"")</f>
        <v/>
      </c>
      <c r="N50" s="0" t="str">
        <f aca="false">IFERROR(IF(maxifs(Documents!$E$2:$E$1421,Documents!$A$2:$A$1421,$A50,Documents!$C$2:$C$1421,"villa_plans")=0,"",maxifs(Documents!$E$2:$E$1421,Documents!$A$2:$A$1421,$A50,Documents!$C$2:$C$1421,"villa_plans")),"")</f>
        <v/>
      </c>
      <c r="O50" s="0" t="str">
        <f aca="false">IFERROR(IF(maxifs(Documents!$E$2:$E$1421,Documents!$A$2:$A$1421,$A50,Documents!$C$2:$C$1421,"all_inclusive")=0,"",maxifs(Documents!$E$2:$E$1421,Documents!$A$2:$A$1421,$A50,Documents!$C$2:$C$1421,"all_inclusive")),"")</f>
        <v/>
      </c>
      <c r="P50" s="0" t="str">
        <f aca="false">IFERROR(IF(maxifs(Documents!$E$2:$E$1421,Documents!$A$2:$A$1421,$A50,Documents!$C$2:$C$1421,"sustainability")=0,"",maxifs(Documents!$E$2:$E$1421,Documents!$A$2:$A$1421,$A50,Documents!$C$2:$C$1421,"sustainability")),"")</f>
        <v/>
      </c>
      <c r="Q50" s="0" t="str">
        <f aca="false">IFERROR(IF(maxifs(Documents!$E$2:$E$1421,Documents!$A$2:$A$1421,$A50,Documents!$C$2:$C$1421,"calendar")=0,"",maxifs(Documents!$E$2:$E$1421,Documents!$A$2:$A$1421,$A50,Documents!$C$2:$C$1421,"calendar")),"")</f>
        <v/>
      </c>
      <c r="R50" s="0" t="str">
        <f aca="false">IFERROR(IF(maxifs(Documents!$E$2:$E$1421,Documents!$A$2:$A$1421,$A50,Documents!$C$2:$C$1421,"brochure")=0,"",maxifs(Documents!$E$2:$E$1421,Documents!$A$2:$A$1421,$A50,Documents!$C$2:$C$1421,"brochure")),"")</f>
        <v/>
      </c>
      <c r="S50" s="0" t="str">
        <f aca="false">IFERROR(IF(maxifs(Documents!$E$2:$E$1421,Documents!$A$2:$A$1421,$A50,Documents!$C$2:$C$1421,"press_kit")=0,"",maxifs(Documents!$E$2:$E$1421,Documents!$A$2:$A$1421,$A50,Documents!$C$2:$C$1421,"press_kit")),"")</f>
        <v/>
      </c>
      <c r="T50" s="0" t="str">
        <f aca="false">IFERROR(IF(maxifs(Documents!$E$2:$E$1421,Documents!$A$2:$A$1421,$A50,Documents!$C$2:$C$1421,"other")=0,"",maxifs(Documents!$E$2:$E$1421,Documents!$A$2:$A$1421,$A50,Documents!$C$2:$C$1421,"other")),"")</f>
        <v/>
      </c>
      <c r="U50" s="0" t="str">
        <f aca="false">IFERROR(IF(maxifs(Documents!$E$2:$E$1421,Documents!$A$2:$A$1421,$A50,Documents!$C$2:$C$1421,"obsolete")=0,"",maxifs(Documents!$E$2:$E$1421,Documents!$A$2:$A$1421,$A50,Documents!$C$2:$C$1421,"obsolete")),"")</f>
        <v/>
      </c>
      <c r="V50" s="0" t="n">
        <f aca="false">COUNTIFS(Documents!$A$2:$A$1421,$A50)</f>
        <v>35</v>
      </c>
      <c r="W50" s="0" t="n">
        <f aca="false">COUNTIFS(Documents!$A$2:$A$1421,$A50,Documents!$R$2:$R$1421,"current")</f>
        <v>19</v>
      </c>
      <c r="X50" s="0" t="str">
        <f aca="false">HYPERLINK("https://www.vakkarumaldives.com/pdfs/vakkaru-maldives-fact-sheet-2025.pdf","2025_vakkaru-maldives-fact-sheet-2025.pd")</f>
        <v>2025_vakkaru-maldives-fact-sheet-2025.pd</v>
      </c>
      <c r="Y50" s="0" t="s">
        <v>35</v>
      </c>
    </row>
    <row r="51" customFormat="false" ht="15" hidden="false" customHeight="false" outlineLevel="0" collapsed="false">
      <c r="A51" s="0" t="n">
        <v>50</v>
      </c>
      <c r="B51" s="0" t="s">
        <v>97</v>
      </c>
      <c r="C51" s="0" t="s">
        <v>33</v>
      </c>
      <c r="D51" s="0" t="str">
        <f aca="false">IFERROR(IF(maxifs(Documents!$E$2:$E$1421,Documents!$A$2:$A$1421,$A51,Documents!$C$2:$C$1421,"factsheet")=0,"",maxifs(Documents!$E$2:$E$1421,Documents!$A$2:$A$1421,$A51,Documents!$C$2:$C$1421,"factsheet")),"")</f>
        <v/>
      </c>
      <c r="E51" s="0" t="str">
        <f aca="false">IFERROR(IF(maxifs(Documents!$E$2:$E$1421,Documents!$A$2:$A$1421,$A51,Documents!$C$2:$C$1421,"wedding")=0,"",maxifs(Documents!$E$2:$E$1421,Documents!$A$2:$A$1421,$A51,Documents!$C$2:$C$1421,"wedding")),"")</f>
        <v/>
      </c>
      <c r="F51" s="0" t="str">
        <f aca="false">IFERROR(IF(maxifs(Documents!$E$2:$E$1421,Documents!$A$2:$A$1421,$A51,Documents!$C$2:$C$1421,"events")=0,"",maxifs(Documents!$E$2:$E$1421,Documents!$A$2:$A$1421,$A51,Documents!$C$2:$C$1421,"events")),"")</f>
        <v/>
      </c>
      <c r="G51" s="0" t="str">
        <f aca="false">IFERROR(IF(maxifs(Documents!$E$2:$E$1421,Documents!$A$2:$A$1421,$A51,Documents!$C$2:$C$1421,"map")=0,"",maxifs(Documents!$E$2:$E$1421,Documents!$A$2:$A$1421,$A51,Documents!$C$2:$C$1421,"map")),"")</f>
        <v/>
      </c>
      <c r="H51" s="0" t="str">
        <f aca="false">IFERROR(IF(maxifs(Documents!$E$2:$E$1421,Documents!$A$2:$A$1421,$A51,Documents!$C$2:$C$1421,"dive_map")=0,"",maxifs(Documents!$E$2:$E$1421,Documents!$A$2:$A$1421,$A51,Documents!$C$2:$C$1421,"dive_map")),"")</f>
        <v/>
      </c>
      <c r="I51" s="0" t="str">
        <f aca="false">IFERROR(IF(maxifs(Documents!$E$2:$E$1421,Documents!$A$2:$A$1421,$A51,Documents!$C$2:$C$1421,"spa_menu")=0,"",maxifs(Documents!$E$2:$E$1421,Documents!$A$2:$A$1421,$A51,Documents!$C$2:$C$1421,"spa_menu")),"")</f>
        <v/>
      </c>
      <c r="J51" s="0" t="str">
        <f aca="false">IFERROR(IF(maxifs(Documents!$E$2:$E$1421,Documents!$A$2:$A$1421,$A51,Documents!$C$2:$C$1421,"dining_menu")=0,"",maxifs(Documents!$E$2:$E$1421,Documents!$A$2:$A$1421,$A51,Documents!$C$2:$C$1421,"dining_menu")),"")</f>
        <v/>
      </c>
      <c r="K51" s="0" t="str">
        <f aca="false">IFERROR(IF(maxifs(Documents!$E$2:$E$1421,Documents!$A$2:$A$1421,$A51,Documents!$C$2:$C$1421,"dive_prices")=0,"",maxifs(Documents!$E$2:$E$1421,Documents!$A$2:$A$1421,$A51,Documents!$C$2:$C$1421,"dive_prices")),"")</f>
        <v/>
      </c>
      <c r="L51" s="0" t="str">
        <f aca="false">IFERROR(IF(maxifs(Documents!$E$2:$E$1421,Documents!$A$2:$A$1421,$A51,Documents!$C$2:$C$1421,"excursions")=0,"",maxifs(Documents!$E$2:$E$1421,Documents!$A$2:$A$1421,$A51,Documents!$C$2:$C$1421,"excursions")),"")</f>
        <v/>
      </c>
      <c r="M51" s="0" t="str">
        <f aca="false">IFERROR(IF(maxifs(Documents!$E$2:$E$1421,Documents!$A$2:$A$1421,$A51,Documents!$C$2:$C$1421,"kids")=0,"",maxifs(Documents!$E$2:$E$1421,Documents!$A$2:$A$1421,$A51,Documents!$C$2:$C$1421,"kids")),"")</f>
        <v/>
      </c>
      <c r="N51" s="0" t="str">
        <f aca="false">IFERROR(IF(maxifs(Documents!$E$2:$E$1421,Documents!$A$2:$A$1421,$A51,Documents!$C$2:$C$1421,"villa_plans")=0,"",maxifs(Documents!$E$2:$E$1421,Documents!$A$2:$A$1421,$A51,Documents!$C$2:$C$1421,"villa_plans")),"")</f>
        <v/>
      </c>
      <c r="O51" s="0" t="str">
        <f aca="false">IFERROR(IF(maxifs(Documents!$E$2:$E$1421,Documents!$A$2:$A$1421,$A51,Documents!$C$2:$C$1421,"all_inclusive")=0,"",maxifs(Documents!$E$2:$E$1421,Documents!$A$2:$A$1421,$A51,Documents!$C$2:$C$1421,"all_inclusive")),"")</f>
        <v/>
      </c>
      <c r="P51" s="0" t="str">
        <f aca="false">IFERROR(IF(maxifs(Documents!$E$2:$E$1421,Documents!$A$2:$A$1421,$A51,Documents!$C$2:$C$1421,"sustainability")=0,"",maxifs(Documents!$E$2:$E$1421,Documents!$A$2:$A$1421,$A51,Documents!$C$2:$C$1421,"sustainability")),"")</f>
        <v/>
      </c>
      <c r="Q51" s="0" t="str">
        <f aca="false">IFERROR(IF(maxifs(Documents!$E$2:$E$1421,Documents!$A$2:$A$1421,$A51,Documents!$C$2:$C$1421,"calendar")=0,"",maxifs(Documents!$E$2:$E$1421,Documents!$A$2:$A$1421,$A51,Documents!$C$2:$C$1421,"calendar")),"")</f>
        <v/>
      </c>
      <c r="R51" s="0" t="str">
        <f aca="false">IFERROR(IF(maxifs(Documents!$E$2:$E$1421,Documents!$A$2:$A$1421,$A51,Documents!$C$2:$C$1421,"brochure")=0,"",maxifs(Documents!$E$2:$E$1421,Documents!$A$2:$A$1421,$A51,Documents!$C$2:$C$1421,"brochure")),"")</f>
        <v/>
      </c>
      <c r="S51" s="0" t="str">
        <f aca="false">IFERROR(IF(maxifs(Documents!$E$2:$E$1421,Documents!$A$2:$A$1421,$A51,Documents!$C$2:$C$1421,"press_kit")=0,"",maxifs(Documents!$E$2:$E$1421,Documents!$A$2:$A$1421,$A51,Documents!$C$2:$C$1421,"press_kit")),"")</f>
        <v/>
      </c>
      <c r="T51" s="0" t="str">
        <f aca="false">IFERROR(IF(maxifs(Documents!$E$2:$E$1421,Documents!$A$2:$A$1421,$A51,Documents!$C$2:$C$1421,"other")=0,"",maxifs(Documents!$E$2:$E$1421,Documents!$A$2:$A$1421,$A51,Documents!$C$2:$C$1421,"other")),"")</f>
        <v/>
      </c>
      <c r="U51" s="0" t="str">
        <f aca="false">IFERROR(IF(maxifs(Documents!$E$2:$E$1421,Documents!$A$2:$A$1421,$A51,Documents!$C$2:$C$1421,"obsolete")=0,"",maxifs(Documents!$E$2:$E$1421,Documents!$A$2:$A$1421,$A51,Documents!$C$2:$C$1421,"obsolete")),"")</f>
        <v/>
      </c>
      <c r="V51" s="0" t="n">
        <f aca="false">COUNTIFS(Documents!$A$2:$A$1421,$A51)</f>
        <v>15</v>
      </c>
      <c r="W51" s="0" t="n">
        <f aca="false">COUNTIFS(Documents!$A$2:$A$1421,$A51,Documents!$R$2:$R$1421,"current")</f>
        <v>12</v>
      </c>
      <c r="X51" s="0" t="str">
        <f aca="false">HYPERLINK("https://www.sunsiyam.com/media/21sbkbn1/factsheet-olhuveli-2026-aug.pdf","2026_factsheet-olhuveli-2026-aug.pdf")</f>
        <v>2026_factsheet-olhuveli-2026-aug.pdf</v>
      </c>
      <c r="Z51" s="0" t="s">
        <v>98</v>
      </c>
    </row>
    <row r="52" customFormat="false" ht="15" hidden="false" customHeight="false" outlineLevel="0" collapsed="false">
      <c r="A52" s="0" t="n">
        <v>51</v>
      </c>
      <c r="B52" s="0" t="s">
        <v>99</v>
      </c>
      <c r="C52" s="0" t="s">
        <v>33</v>
      </c>
      <c r="D52" s="0" t="str">
        <f aca="false">IFERROR(IF(maxifs(Documents!$E$2:$E$1421,Documents!$A$2:$A$1421,$A52,Documents!$C$2:$C$1421,"factsheet")=0,"",maxifs(Documents!$E$2:$E$1421,Documents!$A$2:$A$1421,$A52,Documents!$C$2:$C$1421,"factsheet")),"")</f>
        <v/>
      </c>
      <c r="E52" s="0" t="str">
        <f aca="false">IFERROR(IF(maxifs(Documents!$E$2:$E$1421,Documents!$A$2:$A$1421,$A52,Documents!$C$2:$C$1421,"wedding")=0,"",maxifs(Documents!$E$2:$E$1421,Documents!$A$2:$A$1421,$A52,Documents!$C$2:$C$1421,"wedding")),"")</f>
        <v/>
      </c>
      <c r="F52" s="0" t="str">
        <f aca="false">IFERROR(IF(maxifs(Documents!$E$2:$E$1421,Documents!$A$2:$A$1421,$A52,Documents!$C$2:$C$1421,"events")=0,"",maxifs(Documents!$E$2:$E$1421,Documents!$A$2:$A$1421,$A52,Documents!$C$2:$C$1421,"events")),"")</f>
        <v/>
      </c>
      <c r="G52" s="0" t="str">
        <f aca="false">IFERROR(IF(maxifs(Documents!$E$2:$E$1421,Documents!$A$2:$A$1421,$A52,Documents!$C$2:$C$1421,"map")=0,"",maxifs(Documents!$E$2:$E$1421,Documents!$A$2:$A$1421,$A52,Documents!$C$2:$C$1421,"map")),"")</f>
        <v/>
      </c>
      <c r="H52" s="0" t="str">
        <f aca="false">IFERROR(IF(maxifs(Documents!$E$2:$E$1421,Documents!$A$2:$A$1421,$A52,Documents!$C$2:$C$1421,"dive_map")=0,"",maxifs(Documents!$E$2:$E$1421,Documents!$A$2:$A$1421,$A52,Documents!$C$2:$C$1421,"dive_map")),"")</f>
        <v/>
      </c>
      <c r="I52" s="0" t="str">
        <f aca="false">IFERROR(IF(maxifs(Documents!$E$2:$E$1421,Documents!$A$2:$A$1421,$A52,Documents!$C$2:$C$1421,"spa_menu")=0,"",maxifs(Documents!$E$2:$E$1421,Documents!$A$2:$A$1421,$A52,Documents!$C$2:$C$1421,"spa_menu")),"")</f>
        <v/>
      </c>
      <c r="J52" s="0" t="str">
        <f aca="false">IFERROR(IF(maxifs(Documents!$E$2:$E$1421,Documents!$A$2:$A$1421,$A52,Documents!$C$2:$C$1421,"dining_menu")=0,"",maxifs(Documents!$E$2:$E$1421,Documents!$A$2:$A$1421,$A52,Documents!$C$2:$C$1421,"dining_menu")),"")</f>
        <v/>
      </c>
      <c r="K52" s="0" t="str">
        <f aca="false">IFERROR(IF(maxifs(Documents!$E$2:$E$1421,Documents!$A$2:$A$1421,$A52,Documents!$C$2:$C$1421,"dive_prices")=0,"",maxifs(Documents!$E$2:$E$1421,Documents!$A$2:$A$1421,$A52,Documents!$C$2:$C$1421,"dive_prices")),"")</f>
        <v/>
      </c>
      <c r="L52" s="0" t="str">
        <f aca="false">IFERROR(IF(maxifs(Documents!$E$2:$E$1421,Documents!$A$2:$A$1421,$A52,Documents!$C$2:$C$1421,"excursions")=0,"",maxifs(Documents!$E$2:$E$1421,Documents!$A$2:$A$1421,$A52,Documents!$C$2:$C$1421,"excursions")),"")</f>
        <v/>
      </c>
      <c r="M52" s="0" t="str">
        <f aca="false">IFERROR(IF(maxifs(Documents!$E$2:$E$1421,Documents!$A$2:$A$1421,$A52,Documents!$C$2:$C$1421,"kids")=0,"",maxifs(Documents!$E$2:$E$1421,Documents!$A$2:$A$1421,$A52,Documents!$C$2:$C$1421,"kids")),"")</f>
        <v/>
      </c>
      <c r="N52" s="0" t="str">
        <f aca="false">IFERROR(IF(maxifs(Documents!$E$2:$E$1421,Documents!$A$2:$A$1421,$A52,Documents!$C$2:$C$1421,"villa_plans")=0,"",maxifs(Documents!$E$2:$E$1421,Documents!$A$2:$A$1421,$A52,Documents!$C$2:$C$1421,"villa_plans")),"")</f>
        <v/>
      </c>
      <c r="O52" s="0" t="str">
        <f aca="false">IFERROR(IF(maxifs(Documents!$E$2:$E$1421,Documents!$A$2:$A$1421,$A52,Documents!$C$2:$C$1421,"all_inclusive")=0,"",maxifs(Documents!$E$2:$E$1421,Documents!$A$2:$A$1421,$A52,Documents!$C$2:$C$1421,"all_inclusive")),"")</f>
        <v/>
      </c>
      <c r="P52" s="0" t="str">
        <f aca="false">IFERROR(IF(maxifs(Documents!$E$2:$E$1421,Documents!$A$2:$A$1421,$A52,Documents!$C$2:$C$1421,"sustainability")=0,"",maxifs(Documents!$E$2:$E$1421,Documents!$A$2:$A$1421,$A52,Documents!$C$2:$C$1421,"sustainability")),"")</f>
        <v/>
      </c>
      <c r="Q52" s="0" t="str">
        <f aca="false">IFERROR(IF(maxifs(Documents!$E$2:$E$1421,Documents!$A$2:$A$1421,$A52,Documents!$C$2:$C$1421,"calendar")=0,"",maxifs(Documents!$E$2:$E$1421,Documents!$A$2:$A$1421,$A52,Documents!$C$2:$C$1421,"calendar")),"")</f>
        <v/>
      </c>
      <c r="R52" s="0" t="str">
        <f aca="false">IFERROR(IF(maxifs(Documents!$E$2:$E$1421,Documents!$A$2:$A$1421,$A52,Documents!$C$2:$C$1421,"brochure")=0,"",maxifs(Documents!$E$2:$E$1421,Documents!$A$2:$A$1421,$A52,Documents!$C$2:$C$1421,"brochure")),"")</f>
        <v/>
      </c>
      <c r="S52" s="0" t="str">
        <f aca="false">IFERROR(IF(maxifs(Documents!$E$2:$E$1421,Documents!$A$2:$A$1421,$A52,Documents!$C$2:$C$1421,"press_kit")=0,"",maxifs(Documents!$E$2:$E$1421,Documents!$A$2:$A$1421,$A52,Documents!$C$2:$C$1421,"press_kit")),"")</f>
        <v/>
      </c>
      <c r="T52" s="0" t="str">
        <f aca="false">IFERROR(IF(maxifs(Documents!$E$2:$E$1421,Documents!$A$2:$A$1421,$A52,Documents!$C$2:$C$1421,"other")=0,"",maxifs(Documents!$E$2:$E$1421,Documents!$A$2:$A$1421,$A52,Documents!$C$2:$C$1421,"other")),"")</f>
        <v/>
      </c>
      <c r="U52" s="0" t="str">
        <f aca="false">IFERROR(IF(maxifs(Documents!$E$2:$E$1421,Documents!$A$2:$A$1421,$A52,Documents!$C$2:$C$1421,"obsolete")=0,"",maxifs(Documents!$E$2:$E$1421,Documents!$A$2:$A$1421,$A52,Documents!$C$2:$C$1421,"obsolete")),"")</f>
        <v/>
      </c>
      <c r="V52" s="0" t="n">
        <f aca="false">COUNTIFS(Documents!$A$2:$A$1421,$A52)</f>
        <v>18</v>
      </c>
      <c r="W52" s="0" t="n">
        <f aca="false">COUNTIFS(Documents!$A$2:$A$1421,$A52,Documents!$R$2:$R$1421,"current")</f>
        <v>6</v>
      </c>
      <c r="Y52" s="0" t="s">
        <v>31</v>
      </c>
    </row>
    <row r="53" customFormat="false" ht="15" hidden="false" customHeight="false" outlineLevel="0" collapsed="false">
      <c r="A53" s="0" t="n">
        <v>52</v>
      </c>
      <c r="B53" s="0" t="s">
        <v>100</v>
      </c>
      <c r="C53" s="0" t="s">
        <v>33</v>
      </c>
      <c r="D53" s="0" t="str">
        <f aca="false">IFERROR(IF(maxifs(Documents!$E$2:$E$1421,Documents!$A$2:$A$1421,$A53,Documents!$C$2:$C$1421,"factsheet")=0,"",maxifs(Documents!$E$2:$E$1421,Documents!$A$2:$A$1421,$A53,Documents!$C$2:$C$1421,"factsheet")),"")</f>
        <v/>
      </c>
      <c r="E53" s="0" t="str">
        <f aca="false">IFERROR(IF(maxifs(Documents!$E$2:$E$1421,Documents!$A$2:$A$1421,$A53,Documents!$C$2:$C$1421,"wedding")=0,"",maxifs(Documents!$E$2:$E$1421,Documents!$A$2:$A$1421,$A53,Documents!$C$2:$C$1421,"wedding")),"")</f>
        <v/>
      </c>
      <c r="F53" s="0" t="str">
        <f aca="false">IFERROR(IF(maxifs(Documents!$E$2:$E$1421,Documents!$A$2:$A$1421,$A53,Documents!$C$2:$C$1421,"events")=0,"",maxifs(Documents!$E$2:$E$1421,Documents!$A$2:$A$1421,$A53,Documents!$C$2:$C$1421,"events")),"")</f>
        <v/>
      </c>
      <c r="G53" s="0" t="str">
        <f aca="false">IFERROR(IF(maxifs(Documents!$E$2:$E$1421,Documents!$A$2:$A$1421,$A53,Documents!$C$2:$C$1421,"map")=0,"",maxifs(Documents!$E$2:$E$1421,Documents!$A$2:$A$1421,$A53,Documents!$C$2:$C$1421,"map")),"")</f>
        <v/>
      </c>
      <c r="H53" s="0" t="str">
        <f aca="false">IFERROR(IF(maxifs(Documents!$E$2:$E$1421,Documents!$A$2:$A$1421,$A53,Documents!$C$2:$C$1421,"dive_map")=0,"",maxifs(Documents!$E$2:$E$1421,Documents!$A$2:$A$1421,$A53,Documents!$C$2:$C$1421,"dive_map")),"")</f>
        <v/>
      </c>
      <c r="I53" s="0" t="str">
        <f aca="false">IFERROR(IF(maxifs(Documents!$E$2:$E$1421,Documents!$A$2:$A$1421,$A53,Documents!$C$2:$C$1421,"spa_menu")=0,"",maxifs(Documents!$E$2:$E$1421,Documents!$A$2:$A$1421,$A53,Documents!$C$2:$C$1421,"spa_menu")),"")</f>
        <v/>
      </c>
      <c r="J53" s="0" t="str">
        <f aca="false">IFERROR(IF(maxifs(Documents!$E$2:$E$1421,Documents!$A$2:$A$1421,$A53,Documents!$C$2:$C$1421,"dining_menu")=0,"",maxifs(Documents!$E$2:$E$1421,Documents!$A$2:$A$1421,$A53,Documents!$C$2:$C$1421,"dining_menu")),"")</f>
        <v/>
      </c>
      <c r="K53" s="0" t="str">
        <f aca="false">IFERROR(IF(maxifs(Documents!$E$2:$E$1421,Documents!$A$2:$A$1421,$A53,Documents!$C$2:$C$1421,"dive_prices")=0,"",maxifs(Documents!$E$2:$E$1421,Documents!$A$2:$A$1421,$A53,Documents!$C$2:$C$1421,"dive_prices")),"")</f>
        <v/>
      </c>
      <c r="L53" s="0" t="str">
        <f aca="false">IFERROR(IF(maxifs(Documents!$E$2:$E$1421,Documents!$A$2:$A$1421,$A53,Documents!$C$2:$C$1421,"excursions")=0,"",maxifs(Documents!$E$2:$E$1421,Documents!$A$2:$A$1421,$A53,Documents!$C$2:$C$1421,"excursions")),"")</f>
        <v/>
      </c>
      <c r="M53" s="0" t="str">
        <f aca="false">IFERROR(IF(maxifs(Documents!$E$2:$E$1421,Documents!$A$2:$A$1421,$A53,Documents!$C$2:$C$1421,"kids")=0,"",maxifs(Documents!$E$2:$E$1421,Documents!$A$2:$A$1421,$A53,Documents!$C$2:$C$1421,"kids")),"")</f>
        <v/>
      </c>
      <c r="N53" s="0" t="str">
        <f aca="false">IFERROR(IF(maxifs(Documents!$E$2:$E$1421,Documents!$A$2:$A$1421,$A53,Documents!$C$2:$C$1421,"villa_plans")=0,"",maxifs(Documents!$E$2:$E$1421,Documents!$A$2:$A$1421,$A53,Documents!$C$2:$C$1421,"villa_plans")),"")</f>
        <v/>
      </c>
      <c r="O53" s="0" t="str">
        <f aca="false">IFERROR(IF(maxifs(Documents!$E$2:$E$1421,Documents!$A$2:$A$1421,$A53,Documents!$C$2:$C$1421,"all_inclusive")=0,"",maxifs(Documents!$E$2:$E$1421,Documents!$A$2:$A$1421,$A53,Documents!$C$2:$C$1421,"all_inclusive")),"")</f>
        <v/>
      </c>
      <c r="P53" s="0" t="str">
        <f aca="false">IFERROR(IF(maxifs(Documents!$E$2:$E$1421,Documents!$A$2:$A$1421,$A53,Documents!$C$2:$C$1421,"sustainability")=0,"",maxifs(Documents!$E$2:$E$1421,Documents!$A$2:$A$1421,$A53,Documents!$C$2:$C$1421,"sustainability")),"")</f>
        <v/>
      </c>
      <c r="Q53" s="0" t="str">
        <f aca="false">IFERROR(IF(maxifs(Documents!$E$2:$E$1421,Documents!$A$2:$A$1421,$A53,Documents!$C$2:$C$1421,"calendar")=0,"",maxifs(Documents!$E$2:$E$1421,Documents!$A$2:$A$1421,$A53,Documents!$C$2:$C$1421,"calendar")),"")</f>
        <v/>
      </c>
      <c r="R53" s="0" t="str">
        <f aca="false">IFERROR(IF(maxifs(Documents!$E$2:$E$1421,Documents!$A$2:$A$1421,$A53,Documents!$C$2:$C$1421,"brochure")=0,"",maxifs(Documents!$E$2:$E$1421,Documents!$A$2:$A$1421,$A53,Documents!$C$2:$C$1421,"brochure")),"")</f>
        <v/>
      </c>
      <c r="S53" s="0" t="str">
        <f aca="false">IFERROR(IF(maxifs(Documents!$E$2:$E$1421,Documents!$A$2:$A$1421,$A53,Documents!$C$2:$C$1421,"press_kit")=0,"",maxifs(Documents!$E$2:$E$1421,Documents!$A$2:$A$1421,$A53,Documents!$C$2:$C$1421,"press_kit")),"")</f>
        <v/>
      </c>
      <c r="T53" s="0" t="str">
        <f aca="false">IFERROR(IF(maxifs(Documents!$E$2:$E$1421,Documents!$A$2:$A$1421,$A53,Documents!$C$2:$C$1421,"other")=0,"",maxifs(Documents!$E$2:$E$1421,Documents!$A$2:$A$1421,$A53,Documents!$C$2:$C$1421,"other")),"")</f>
        <v/>
      </c>
      <c r="U53" s="0" t="str">
        <f aca="false">IFERROR(IF(maxifs(Documents!$E$2:$E$1421,Documents!$A$2:$A$1421,$A53,Documents!$C$2:$C$1421,"obsolete")=0,"",maxifs(Documents!$E$2:$E$1421,Documents!$A$2:$A$1421,$A53,Documents!$C$2:$C$1421,"obsolete")),"")</f>
        <v/>
      </c>
      <c r="V53" s="0" t="n">
        <f aca="false">COUNTIFS(Documents!$A$2:$A$1421,$A53)</f>
        <v>17</v>
      </c>
      <c r="W53" s="0" t="n">
        <f aca="false">COUNTIFS(Documents!$A$2:$A$1421,$A53,Documents!$R$2:$R$1421,"current")</f>
        <v>14</v>
      </c>
      <c r="X53" s="0" t="str">
        <f aca="false">HYPERLINK("https://d7h9v39iheghu.cloudfront.net/previews/7837a234-9635-4da8-b132-476aacd9b4c1/d6f35137-6068-41a9-96c1-bb25264b80c9/8ee78a05-4865-4cc5-9e4c-09fb2b6ca406?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2026_Eri Maldives - Factsheet _7_.pdf")</f>
        <v>2026_Eri Maldives - Factsheet _7_.pdf</v>
      </c>
      <c r="Y53" s="0" t="s">
        <v>35</v>
      </c>
    </row>
    <row r="54" customFormat="false" ht="15" hidden="false" customHeight="false" outlineLevel="0" collapsed="false">
      <c r="A54" s="0" t="n">
        <v>53</v>
      </c>
      <c r="B54" s="0" t="s">
        <v>101</v>
      </c>
      <c r="C54" s="0" t="s">
        <v>33</v>
      </c>
      <c r="D54" s="0" t="str">
        <f aca="false">IFERROR(IF(maxifs(Documents!$E$2:$E$1421,Documents!$A$2:$A$1421,$A54,Documents!$C$2:$C$1421,"factsheet")=0,"",maxifs(Documents!$E$2:$E$1421,Documents!$A$2:$A$1421,$A54,Documents!$C$2:$C$1421,"factsheet")),"")</f>
        <v/>
      </c>
      <c r="E54" s="0" t="str">
        <f aca="false">IFERROR(IF(maxifs(Documents!$E$2:$E$1421,Documents!$A$2:$A$1421,$A54,Documents!$C$2:$C$1421,"wedding")=0,"",maxifs(Documents!$E$2:$E$1421,Documents!$A$2:$A$1421,$A54,Documents!$C$2:$C$1421,"wedding")),"")</f>
        <v/>
      </c>
      <c r="F54" s="0" t="str">
        <f aca="false">IFERROR(IF(maxifs(Documents!$E$2:$E$1421,Documents!$A$2:$A$1421,$A54,Documents!$C$2:$C$1421,"events")=0,"",maxifs(Documents!$E$2:$E$1421,Documents!$A$2:$A$1421,$A54,Documents!$C$2:$C$1421,"events")),"")</f>
        <v/>
      </c>
      <c r="G54" s="0" t="str">
        <f aca="false">IFERROR(IF(maxifs(Documents!$E$2:$E$1421,Documents!$A$2:$A$1421,$A54,Documents!$C$2:$C$1421,"map")=0,"",maxifs(Documents!$E$2:$E$1421,Documents!$A$2:$A$1421,$A54,Documents!$C$2:$C$1421,"map")),"")</f>
        <v/>
      </c>
      <c r="H54" s="0" t="str">
        <f aca="false">IFERROR(IF(maxifs(Documents!$E$2:$E$1421,Documents!$A$2:$A$1421,$A54,Documents!$C$2:$C$1421,"dive_map")=0,"",maxifs(Documents!$E$2:$E$1421,Documents!$A$2:$A$1421,$A54,Documents!$C$2:$C$1421,"dive_map")),"")</f>
        <v/>
      </c>
      <c r="I54" s="0" t="str">
        <f aca="false">IFERROR(IF(maxifs(Documents!$E$2:$E$1421,Documents!$A$2:$A$1421,$A54,Documents!$C$2:$C$1421,"spa_menu")=0,"",maxifs(Documents!$E$2:$E$1421,Documents!$A$2:$A$1421,$A54,Documents!$C$2:$C$1421,"spa_menu")),"")</f>
        <v/>
      </c>
      <c r="J54" s="0" t="str">
        <f aca="false">IFERROR(IF(maxifs(Documents!$E$2:$E$1421,Documents!$A$2:$A$1421,$A54,Documents!$C$2:$C$1421,"dining_menu")=0,"",maxifs(Documents!$E$2:$E$1421,Documents!$A$2:$A$1421,$A54,Documents!$C$2:$C$1421,"dining_menu")),"")</f>
        <v/>
      </c>
      <c r="K54" s="0" t="str">
        <f aca="false">IFERROR(IF(maxifs(Documents!$E$2:$E$1421,Documents!$A$2:$A$1421,$A54,Documents!$C$2:$C$1421,"dive_prices")=0,"",maxifs(Documents!$E$2:$E$1421,Documents!$A$2:$A$1421,$A54,Documents!$C$2:$C$1421,"dive_prices")),"")</f>
        <v/>
      </c>
      <c r="L54" s="0" t="str">
        <f aca="false">IFERROR(IF(maxifs(Documents!$E$2:$E$1421,Documents!$A$2:$A$1421,$A54,Documents!$C$2:$C$1421,"excursions")=0,"",maxifs(Documents!$E$2:$E$1421,Documents!$A$2:$A$1421,$A54,Documents!$C$2:$C$1421,"excursions")),"")</f>
        <v/>
      </c>
      <c r="M54" s="0" t="str">
        <f aca="false">IFERROR(IF(maxifs(Documents!$E$2:$E$1421,Documents!$A$2:$A$1421,$A54,Documents!$C$2:$C$1421,"kids")=0,"",maxifs(Documents!$E$2:$E$1421,Documents!$A$2:$A$1421,$A54,Documents!$C$2:$C$1421,"kids")),"")</f>
        <v/>
      </c>
      <c r="N54" s="0" t="str">
        <f aca="false">IFERROR(IF(maxifs(Documents!$E$2:$E$1421,Documents!$A$2:$A$1421,$A54,Documents!$C$2:$C$1421,"villa_plans")=0,"",maxifs(Documents!$E$2:$E$1421,Documents!$A$2:$A$1421,$A54,Documents!$C$2:$C$1421,"villa_plans")),"")</f>
        <v/>
      </c>
      <c r="O54" s="0" t="str">
        <f aca="false">IFERROR(IF(maxifs(Documents!$E$2:$E$1421,Documents!$A$2:$A$1421,$A54,Documents!$C$2:$C$1421,"all_inclusive")=0,"",maxifs(Documents!$E$2:$E$1421,Documents!$A$2:$A$1421,$A54,Documents!$C$2:$C$1421,"all_inclusive")),"")</f>
        <v/>
      </c>
      <c r="P54" s="0" t="str">
        <f aca="false">IFERROR(IF(maxifs(Documents!$E$2:$E$1421,Documents!$A$2:$A$1421,$A54,Documents!$C$2:$C$1421,"sustainability")=0,"",maxifs(Documents!$E$2:$E$1421,Documents!$A$2:$A$1421,$A54,Documents!$C$2:$C$1421,"sustainability")),"")</f>
        <v/>
      </c>
      <c r="Q54" s="0" t="str">
        <f aca="false">IFERROR(IF(maxifs(Documents!$E$2:$E$1421,Documents!$A$2:$A$1421,$A54,Documents!$C$2:$C$1421,"calendar")=0,"",maxifs(Documents!$E$2:$E$1421,Documents!$A$2:$A$1421,$A54,Documents!$C$2:$C$1421,"calendar")),"")</f>
        <v/>
      </c>
      <c r="R54" s="0" t="str">
        <f aca="false">IFERROR(IF(maxifs(Documents!$E$2:$E$1421,Documents!$A$2:$A$1421,$A54,Documents!$C$2:$C$1421,"brochure")=0,"",maxifs(Documents!$E$2:$E$1421,Documents!$A$2:$A$1421,$A54,Documents!$C$2:$C$1421,"brochure")),"")</f>
        <v/>
      </c>
      <c r="S54" s="0" t="str">
        <f aca="false">IFERROR(IF(maxifs(Documents!$E$2:$E$1421,Documents!$A$2:$A$1421,$A54,Documents!$C$2:$C$1421,"press_kit")=0,"",maxifs(Documents!$E$2:$E$1421,Documents!$A$2:$A$1421,$A54,Documents!$C$2:$C$1421,"press_kit")),"")</f>
        <v/>
      </c>
      <c r="T54" s="0" t="str">
        <f aca="false">IFERROR(IF(maxifs(Documents!$E$2:$E$1421,Documents!$A$2:$A$1421,$A54,Documents!$C$2:$C$1421,"other")=0,"",maxifs(Documents!$E$2:$E$1421,Documents!$A$2:$A$1421,$A54,Documents!$C$2:$C$1421,"other")),"")</f>
        <v/>
      </c>
      <c r="U54" s="0" t="str">
        <f aca="false">IFERROR(IF(maxifs(Documents!$E$2:$E$1421,Documents!$A$2:$A$1421,$A54,Documents!$C$2:$C$1421,"obsolete")=0,"",maxifs(Documents!$E$2:$E$1421,Documents!$A$2:$A$1421,$A54,Documents!$C$2:$C$1421,"obsolete")),"")</f>
        <v/>
      </c>
      <c r="V54" s="0" t="n">
        <f aca="false">COUNTIFS(Documents!$A$2:$A$1421,$A54)</f>
        <v>0</v>
      </c>
      <c r="W54" s="0" t="n">
        <f aca="false">COUNTIFS(Documents!$A$2:$A$1421,$A54,Documents!$R$2:$R$1421,"current")</f>
        <v>0</v>
      </c>
      <c r="Y54" s="0" t="s">
        <v>31</v>
      </c>
    </row>
    <row r="55" customFormat="false" ht="15" hidden="false" customHeight="false" outlineLevel="0" collapsed="false">
      <c r="A55" s="0" t="n">
        <v>54</v>
      </c>
      <c r="B55" s="0" t="s">
        <v>102</v>
      </c>
      <c r="C55" s="0" t="s">
        <v>33</v>
      </c>
      <c r="D55" s="0" t="str">
        <f aca="false">IFERROR(IF(maxifs(Documents!$E$2:$E$1421,Documents!$A$2:$A$1421,$A55,Documents!$C$2:$C$1421,"factsheet")=0,"",maxifs(Documents!$E$2:$E$1421,Documents!$A$2:$A$1421,$A55,Documents!$C$2:$C$1421,"factsheet")),"")</f>
        <v/>
      </c>
      <c r="E55" s="0" t="str">
        <f aca="false">IFERROR(IF(maxifs(Documents!$E$2:$E$1421,Documents!$A$2:$A$1421,$A55,Documents!$C$2:$C$1421,"wedding")=0,"",maxifs(Documents!$E$2:$E$1421,Documents!$A$2:$A$1421,$A55,Documents!$C$2:$C$1421,"wedding")),"")</f>
        <v/>
      </c>
      <c r="F55" s="0" t="str">
        <f aca="false">IFERROR(IF(maxifs(Documents!$E$2:$E$1421,Documents!$A$2:$A$1421,$A55,Documents!$C$2:$C$1421,"events")=0,"",maxifs(Documents!$E$2:$E$1421,Documents!$A$2:$A$1421,$A55,Documents!$C$2:$C$1421,"events")),"")</f>
        <v/>
      </c>
      <c r="G55" s="0" t="str">
        <f aca="false">IFERROR(IF(maxifs(Documents!$E$2:$E$1421,Documents!$A$2:$A$1421,$A55,Documents!$C$2:$C$1421,"map")=0,"",maxifs(Documents!$E$2:$E$1421,Documents!$A$2:$A$1421,$A55,Documents!$C$2:$C$1421,"map")),"")</f>
        <v/>
      </c>
      <c r="H55" s="0" t="str">
        <f aca="false">IFERROR(IF(maxifs(Documents!$E$2:$E$1421,Documents!$A$2:$A$1421,$A55,Documents!$C$2:$C$1421,"dive_map")=0,"",maxifs(Documents!$E$2:$E$1421,Documents!$A$2:$A$1421,$A55,Documents!$C$2:$C$1421,"dive_map")),"")</f>
        <v/>
      </c>
      <c r="I55" s="0" t="str">
        <f aca="false">IFERROR(IF(maxifs(Documents!$E$2:$E$1421,Documents!$A$2:$A$1421,$A55,Documents!$C$2:$C$1421,"spa_menu")=0,"",maxifs(Documents!$E$2:$E$1421,Documents!$A$2:$A$1421,$A55,Documents!$C$2:$C$1421,"spa_menu")),"")</f>
        <v/>
      </c>
      <c r="J55" s="0" t="str">
        <f aca="false">IFERROR(IF(maxifs(Documents!$E$2:$E$1421,Documents!$A$2:$A$1421,$A55,Documents!$C$2:$C$1421,"dining_menu")=0,"",maxifs(Documents!$E$2:$E$1421,Documents!$A$2:$A$1421,$A55,Documents!$C$2:$C$1421,"dining_menu")),"")</f>
        <v/>
      </c>
      <c r="K55" s="0" t="str">
        <f aca="false">IFERROR(IF(maxifs(Documents!$E$2:$E$1421,Documents!$A$2:$A$1421,$A55,Documents!$C$2:$C$1421,"dive_prices")=0,"",maxifs(Documents!$E$2:$E$1421,Documents!$A$2:$A$1421,$A55,Documents!$C$2:$C$1421,"dive_prices")),"")</f>
        <v/>
      </c>
      <c r="L55" s="0" t="str">
        <f aca="false">IFERROR(IF(maxifs(Documents!$E$2:$E$1421,Documents!$A$2:$A$1421,$A55,Documents!$C$2:$C$1421,"excursions")=0,"",maxifs(Documents!$E$2:$E$1421,Documents!$A$2:$A$1421,$A55,Documents!$C$2:$C$1421,"excursions")),"")</f>
        <v/>
      </c>
      <c r="M55" s="0" t="str">
        <f aca="false">IFERROR(IF(maxifs(Documents!$E$2:$E$1421,Documents!$A$2:$A$1421,$A55,Documents!$C$2:$C$1421,"kids")=0,"",maxifs(Documents!$E$2:$E$1421,Documents!$A$2:$A$1421,$A55,Documents!$C$2:$C$1421,"kids")),"")</f>
        <v/>
      </c>
      <c r="N55" s="0" t="str">
        <f aca="false">IFERROR(IF(maxifs(Documents!$E$2:$E$1421,Documents!$A$2:$A$1421,$A55,Documents!$C$2:$C$1421,"villa_plans")=0,"",maxifs(Documents!$E$2:$E$1421,Documents!$A$2:$A$1421,$A55,Documents!$C$2:$C$1421,"villa_plans")),"")</f>
        <v/>
      </c>
      <c r="O55" s="0" t="str">
        <f aca="false">IFERROR(IF(maxifs(Documents!$E$2:$E$1421,Documents!$A$2:$A$1421,$A55,Documents!$C$2:$C$1421,"all_inclusive")=0,"",maxifs(Documents!$E$2:$E$1421,Documents!$A$2:$A$1421,$A55,Documents!$C$2:$C$1421,"all_inclusive")),"")</f>
        <v/>
      </c>
      <c r="P55" s="0" t="str">
        <f aca="false">IFERROR(IF(maxifs(Documents!$E$2:$E$1421,Documents!$A$2:$A$1421,$A55,Documents!$C$2:$C$1421,"sustainability")=0,"",maxifs(Documents!$E$2:$E$1421,Documents!$A$2:$A$1421,$A55,Documents!$C$2:$C$1421,"sustainability")),"")</f>
        <v/>
      </c>
      <c r="Q55" s="0" t="str">
        <f aca="false">IFERROR(IF(maxifs(Documents!$E$2:$E$1421,Documents!$A$2:$A$1421,$A55,Documents!$C$2:$C$1421,"calendar")=0,"",maxifs(Documents!$E$2:$E$1421,Documents!$A$2:$A$1421,$A55,Documents!$C$2:$C$1421,"calendar")),"")</f>
        <v/>
      </c>
      <c r="R55" s="0" t="str">
        <f aca="false">IFERROR(IF(maxifs(Documents!$E$2:$E$1421,Documents!$A$2:$A$1421,$A55,Documents!$C$2:$C$1421,"brochure")=0,"",maxifs(Documents!$E$2:$E$1421,Documents!$A$2:$A$1421,$A55,Documents!$C$2:$C$1421,"brochure")),"")</f>
        <v/>
      </c>
      <c r="S55" s="0" t="str">
        <f aca="false">IFERROR(IF(maxifs(Documents!$E$2:$E$1421,Documents!$A$2:$A$1421,$A55,Documents!$C$2:$C$1421,"press_kit")=0,"",maxifs(Documents!$E$2:$E$1421,Documents!$A$2:$A$1421,$A55,Documents!$C$2:$C$1421,"press_kit")),"")</f>
        <v/>
      </c>
      <c r="T55" s="0" t="str">
        <f aca="false">IFERROR(IF(maxifs(Documents!$E$2:$E$1421,Documents!$A$2:$A$1421,$A55,Documents!$C$2:$C$1421,"other")=0,"",maxifs(Documents!$E$2:$E$1421,Documents!$A$2:$A$1421,$A55,Documents!$C$2:$C$1421,"other")),"")</f>
        <v/>
      </c>
      <c r="U55" s="0" t="str">
        <f aca="false">IFERROR(IF(maxifs(Documents!$E$2:$E$1421,Documents!$A$2:$A$1421,$A55,Documents!$C$2:$C$1421,"obsolete")=0,"",maxifs(Documents!$E$2:$E$1421,Documents!$A$2:$A$1421,$A55,Documents!$C$2:$C$1421,"obsolete")),"")</f>
        <v/>
      </c>
      <c r="V55" s="0" t="n">
        <f aca="false">COUNTIFS(Documents!$A$2:$A$1421,$A55)</f>
        <v>13</v>
      </c>
      <c r="W55" s="0" t="n">
        <f aca="false">COUNTIFS(Documents!$A$2:$A$1421,$A55,Documents!$R$2:$R$1421,"current")</f>
        <v>9</v>
      </c>
      <c r="Y55" s="0" t="s">
        <v>31</v>
      </c>
    </row>
    <row r="56" customFormat="false" ht="15" hidden="false" customHeight="false" outlineLevel="0" collapsed="false">
      <c r="A56" s="0" t="n">
        <v>55</v>
      </c>
      <c r="B56" s="0" t="s">
        <v>103</v>
      </c>
      <c r="C56" s="0" t="s">
        <v>39</v>
      </c>
      <c r="D56" s="0" t="str">
        <f aca="false">IFERROR(IF(maxifs(Documents!$E$2:$E$1421,Documents!$A$2:$A$1421,$A56,Documents!$C$2:$C$1421,"factsheet")=0,"",maxifs(Documents!$E$2:$E$1421,Documents!$A$2:$A$1421,$A56,Documents!$C$2:$C$1421,"factsheet")),"")</f>
        <v/>
      </c>
      <c r="E56" s="0" t="str">
        <f aca="false">IFERROR(IF(maxifs(Documents!$E$2:$E$1421,Documents!$A$2:$A$1421,$A56,Documents!$C$2:$C$1421,"wedding")=0,"",maxifs(Documents!$E$2:$E$1421,Documents!$A$2:$A$1421,$A56,Documents!$C$2:$C$1421,"wedding")),"")</f>
        <v/>
      </c>
      <c r="F56" s="0" t="str">
        <f aca="false">IFERROR(IF(maxifs(Documents!$E$2:$E$1421,Documents!$A$2:$A$1421,$A56,Documents!$C$2:$C$1421,"events")=0,"",maxifs(Documents!$E$2:$E$1421,Documents!$A$2:$A$1421,$A56,Documents!$C$2:$C$1421,"events")),"")</f>
        <v/>
      </c>
      <c r="G56" s="0" t="str">
        <f aca="false">IFERROR(IF(maxifs(Documents!$E$2:$E$1421,Documents!$A$2:$A$1421,$A56,Documents!$C$2:$C$1421,"map")=0,"",maxifs(Documents!$E$2:$E$1421,Documents!$A$2:$A$1421,$A56,Documents!$C$2:$C$1421,"map")),"")</f>
        <v/>
      </c>
      <c r="H56" s="0" t="str">
        <f aca="false">IFERROR(IF(maxifs(Documents!$E$2:$E$1421,Documents!$A$2:$A$1421,$A56,Documents!$C$2:$C$1421,"dive_map")=0,"",maxifs(Documents!$E$2:$E$1421,Documents!$A$2:$A$1421,$A56,Documents!$C$2:$C$1421,"dive_map")),"")</f>
        <v/>
      </c>
      <c r="I56" s="0" t="str">
        <f aca="false">IFERROR(IF(maxifs(Documents!$E$2:$E$1421,Documents!$A$2:$A$1421,$A56,Documents!$C$2:$C$1421,"spa_menu")=0,"",maxifs(Documents!$E$2:$E$1421,Documents!$A$2:$A$1421,$A56,Documents!$C$2:$C$1421,"spa_menu")),"")</f>
        <v/>
      </c>
      <c r="J56" s="0" t="str">
        <f aca="false">IFERROR(IF(maxifs(Documents!$E$2:$E$1421,Documents!$A$2:$A$1421,$A56,Documents!$C$2:$C$1421,"dining_menu")=0,"",maxifs(Documents!$E$2:$E$1421,Documents!$A$2:$A$1421,$A56,Documents!$C$2:$C$1421,"dining_menu")),"")</f>
        <v/>
      </c>
      <c r="K56" s="0" t="str">
        <f aca="false">IFERROR(IF(maxifs(Documents!$E$2:$E$1421,Documents!$A$2:$A$1421,$A56,Documents!$C$2:$C$1421,"dive_prices")=0,"",maxifs(Documents!$E$2:$E$1421,Documents!$A$2:$A$1421,$A56,Documents!$C$2:$C$1421,"dive_prices")),"")</f>
        <v/>
      </c>
      <c r="L56" s="0" t="str">
        <f aca="false">IFERROR(IF(maxifs(Documents!$E$2:$E$1421,Documents!$A$2:$A$1421,$A56,Documents!$C$2:$C$1421,"excursions")=0,"",maxifs(Documents!$E$2:$E$1421,Documents!$A$2:$A$1421,$A56,Documents!$C$2:$C$1421,"excursions")),"")</f>
        <v/>
      </c>
      <c r="M56" s="0" t="str">
        <f aca="false">IFERROR(IF(maxifs(Documents!$E$2:$E$1421,Documents!$A$2:$A$1421,$A56,Documents!$C$2:$C$1421,"kids")=0,"",maxifs(Documents!$E$2:$E$1421,Documents!$A$2:$A$1421,$A56,Documents!$C$2:$C$1421,"kids")),"")</f>
        <v/>
      </c>
      <c r="N56" s="0" t="str">
        <f aca="false">IFERROR(IF(maxifs(Documents!$E$2:$E$1421,Documents!$A$2:$A$1421,$A56,Documents!$C$2:$C$1421,"villa_plans")=0,"",maxifs(Documents!$E$2:$E$1421,Documents!$A$2:$A$1421,$A56,Documents!$C$2:$C$1421,"villa_plans")),"")</f>
        <v/>
      </c>
      <c r="O56" s="0" t="str">
        <f aca="false">IFERROR(IF(maxifs(Documents!$E$2:$E$1421,Documents!$A$2:$A$1421,$A56,Documents!$C$2:$C$1421,"all_inclusive")=0,"",maxifs(Documents!$E$2:$E$1421,Documents!$A$2:$A$1421,$A56,Documents!$C$2:$C$1421,"all_inclusive")),"")</f>
        <v/>
      </c>
      <c r="P56" s="0" t="str">
        <f aca="false">IFERROR(IF(maxifs(Documents!$E$2:$E$1421,Documents!$A$2:$A$1421,$A56,Documents!$C$2:$C$1421,"sustainability")=0,"",maxifs(Documents!$E$2:$E$1421,Documents!$A$2:$A$1421,$A56,Documents!$C$2:$C$1421,"sustainability")),"")</f>
        <v/>
      </c>
      <c r="Q56" s="0" t="str">
        <f aca="false">IFERROR(IF(maxifs(Documents!$E$2:$E$1421,Documents!$A$2:$A$1421,$A56,Documents!$C$2:$C$1421,"calendar")=0,"",maxifs(Documents!$E$2:$E$1421,Documents!$A$2:$A$1421,$A56,Documents!$C$2:$C$1421,"calendar")),"")</f>
        <v/>
      </c>
      <c r="R56" s="0" t="str">
        <f aca="false">IFERROR(IF(maxifs(Documents!$E$2:$E$1421,Documents!$A$2:$A$1421,$A56,Documents!$C$2:$C$1421,"brochure")=0,"",maxifs(Documents!$E$2:$E$1421,Documents!$A$2:$A$1421,$A56,Documents!$C$2:$C$1421,"brochure")),"")</f>
        <v/>
      </c>
      <c r="S56" s="0" t="str">
        <f aca="false">IFERROR(IF(maxifs(Documents!$E$2:$E$1421,Documents!$A$2:$A$1421,$A56,Documents!$C$2:$C$1421,"press_kit")=0,"",maxifs(Documents!$E$2:$E$1421,Documents!$A$2:$A$1421,$A56,Documents!$C$2:$C$1421,"press_kit")),"")</f>
        <v/>
      </c>
      <c r="T56" s="0" t="str">
        <f aca="false">IFERROR(IF(maxifs(Documents!$E$2:$E$1421,Documents!$A$2:$A$1421,$A56,Documents!$C$2:$C$1421,"other")=0,"",maxifs(Documents!$E$2:$E$1421,Documents!$A$2:$A$1421,$A56,Documents!$C$2:$C$1421,"other")),"")</f>
        <v/>
      </c>
      <c r="U56" s="0" t="str">
        <f aca="false">IFERROR(IF(maxifs(Documents!$E$2:$E$1421,Documents!$A$2:$A$1421,$A56,Documents!$C$2:$C$1421,"obsolete")=0,"",maxifs(Documents!$E$2:$E$1421,Documents!$A$2:$A$1421,$A56,Documents!$C$2:$C$1421,"obsolete")),"")</f>
        <v/>
      </c>
      <c r="V56" s="0" t="n">
        <f aca="false">COUNTIFS(Documents!$A$2:$A$1421,$A56)</f>
        <v>0</v>
      </c>
      <c r="W56" s="0" t="n">
        <f aca="false">COUNTIFS(Documents!$A$2:$A$1421,$A56,Documents!$R$2:$R$1421,"current")</f>
        <v>0</v>
      </c>
      <c r="Y56" s="0" t="s">
        <v>31</v>
      </c>
    </row>
    <row r="57" customFormat="false" ht="15" hidden="false" customHeight="false" outlineLevel="0" collapsed="false">
      <c r="A57" s="0" t="n">
        <v>56</v>
      </c>
      <c r="B57" s="0" t="s">
        <v>104</v>
      </c>
      <c r="C57" s="0" t="s">
        <v>27</v>
      </c>
      <c r="D57" s="0" t="str">
        <f aca="false">IFERROR(IF(maxifs(Documents!$E$2:$E$1421,Documents!$A$2:$A$1421,$A57,Documents!$C$2:$C$1421,"factsheet")=0,"",maxifs(Documents!$E$2:$E$1421,Documents!$A$2:$A$1421,$A57,Documents!$C$2:$C$1421,"factsheet")),"")</f>
        <v/>
      </c>
      <c r="E57" s="0" t="str">
        <f aca="false">IFERROR(IF(maxifs(Documents!$E$2:$E$1421,Documents!$A$2:$A$1421,$A57,Documents!$C$2:$C$1421,"wedding")=0,"",maxifs(Documents!$E$2:$E$1421,Documents!$A$2:$A$1421,$A57,Documents!$C$2:$C$1421,"wedding")),"")</f>
        <v/>
      </c>
      <c r="F57" s="0" t="str">
        <f aca="false">IFERROR(IF(maxifs(Documents!$E$2:$E$1421,Documents!$A$2:$A$1421,$A57,Documents!$C$2:$C$1421,"events")=0,"",maxifs(Documents!$E$2:$E$1421,Documents!$A$2:$A$1421,$A57,Documents!$C$2:$C$1421,"events")),"")</f>
        <v/>
      </c>
      <c r="G57" s="0" t="str">
        <f aca="false">IFERROR(IF(maxifs(Documents!$E$2:$E$1421,Documents!$A$2:$A$1421,$A57,Documents!$C$2:$C$1421,"map")=0,"",maxifs(Documents!$E$2:$E$1421,Documents!$A$2:$A$1421,$A57,Documents!$C$2:$C$1421,"map")),"")</f>
        <v/>
      </c>
      <c r="H57" s="0" t="str">
        <f aca="false">IFERROR(IF(maxifs(Documents!$E$2:$E$1421,Documents!$A$2:$A$1421,$A57,Documents!$C$2:$C$1421,"dive_map")=0,"",maxifs(Documents!$E$2:$E$1421,Documents!$A$2:$A$1421,$A57,Documents!$C$2:$C$1421,"dive_map")),"")</f>
        <v/>
      </c>
      <c r="I57" s="0" t="str">
        <f aca="false">IFERROR(IF(maxifs(Documents!$E$2:$E$1421,Documents!$A$2:$A$1421,$A57,Documents!$C$2:$C$1421,"spa_menu")=0,"",maxifs(Documents!$E$2:$E$1421,Documents!$A$2:$A$1421,$A57,Documents!$C$2:$C$1421,"spa_menu")),"")</f>
        <v/>
      </c>
      <c r="J57" s="0" t="str">
        <f aca="false">IFERROR(IF(maxifs(Documents!$E$2:$E$1421,Documents!$A$2:$A$1421,$A57,Documents!$C$2:$C$1421,"dining_menu")=0,"",maxifs(Documents!$E$2:$E$1421,Documents!$A$2:$A$1421,$A57,Documents!$C$2:$C$1421,"dining_menu")),"")</f>
        <v/>
      </c>
      <c r="K57" s="0" t="str">
        <f aca="false">IFERROR(IF(maxifs(Documents!$E$2:$E$1421,Documents!$A$2:$A$1421,$A57,Documents!$C$2:$C$1421,"dive_prices")=0,"",maxifs(Documents!$E$2:$E$1421,Documents!$A$2:$A$1421,$A57,Documents!$C$2:$C$1421,"dive_prices")),"")</f>
        <v/>
      </c>
      <c r="L57" s="0" t="str">
        <f aca="false">IFERROR(IF(maxifs(Documents!$E$2:$E$1421,Documents!$A$2:$A$1421,$A57,Documents!$C$2:$C$1421,"excursions")=0,"",maxifs(Documents!$E$2:$E$1421,Documents!$A$2:$A$1421,$A57,Documents!$C$2:$C$1421,"excursions")),"")</f>
        <v/>
      </c>
      <c r="M57" s="0" t="str">
        <f aca="false">IFERROR(IF(maxifs(Documents!$E$2:$E$1421,Documents!$A$2:$A$1421,$A57,Documents!$C$2:$C$1421,"kids")=0,"",maxifs(Documents!$E$2:$E$1421,Documents!$A$2:$A$1421,$A57,Documents!$C$2:$C$1421,"kids")),"")</f>
        <v/>
      </c>
      <c r="N57" s="0" t="str">
        <f aca="false">IFERROR(IF(maxifs(Documents!$E$2:$E$1421,Documents!$A$2:$A$1421,$A57,Documents!$C$2:$C$1421,"villa_plans")=0,"",maxifs(Documents!$E$2:$E$1421,Documents!$A$2:$A$1421,$A57,Documents!$C$2:$C$1421,"villa_plans")),"")</f>
        <v/>
      </c>
      <c r="O57" s="0" t="str">
        <f aca="false">IFERROR(IF(maxifs(Documents!$E$2:$E$1421,Documents!$A$2:$A$1421,$A57,Documents!$C$2:$C$1421,"all_inclusive")=0,"",maxifs(Documents!$E$2:$E$1421,Documents!$A$2:$A$1421,$A57,Documents!$C$2:$C$1421,"all_inclusive")),"")</f>
        <v/>
      </c>
      <c r="P57" s="0" t="str">
        <f aca="false">IFERROR(IF(maxifs(Documents!$E$2:$E$1421,Documents!$A$2:$A$1421,$A57,Documents!$C$2:$C$1421,"sustainability")=0,"",maxifs(Documents!$E$2:$E$1421,Documents!$A$2:$A$1421,$A57,Documents!$C$2:$C$1421,"sustainability")),"")</f>
        <v/>
      </c>
      <c r="Q57" s="0" t="str">
        <f aca="false">IFERROR(IF(maxifs(Documents!$E$2:$E$1421,Documents!$A$2:$A$1421,$A57,Documents!$C$2:$C$1421,"calendar")=0,"",maxifs(Documents!$E$2:$E$1421,Documents!$A$2:$A$1421,$A57,Documents!$C$2:$C$1421,"calendar")),"")</f>
        <v/>
      </c>
      <c r="R57" s="0" t="str">
        <f aca="false">IFERROR(IF(maxifs(Documents!$E$2:$E$1421,Documents!$A$2:$A$1421,$A57,Documents!$C$2:$C$1421,"brochure")=0,"",maxifs(Documents!$E$2:$E$1421,Documents!$A$2:$A$1421,$A57,Documents!$C$2:$C$1421,"brochure")),"")</f>
        <v/>
      </c>
      <c r="S57" s="0" t="str">
        <f aca="false">IFERROR(IF(maxifs(Documents!$E$2:$E$1421,Documents!$A$2:$A$1421,$A57,Documents!$C$2:$C$1421,"press_kit")=0,"",maxifs(Documents!$E$2:$E$1421,Documents!$A$2:$A$1421,$A57,Documents!$C$2:$C$1421,"press_kit")),"")</f>
        <v/>
      </c>
      <c r="T57" s="0" t="str">
        <f aca="false">IFERROR(IF(maxifs(Documents!$E$2:$E$1421,Documents!$A$2:$A$1421,$A57,Documents!$C$2:$C$1421,"other")=0,"",maxifs(Documents!$E$2:$E$1421,Documents!$A$2:$A$1421,$A57,Documents!$C$2:$C$1421,"other")),"")</f>
        <v/>
      </c>
      <c r="U57" s="0" t="str">
        <f aca="false">IFERROR(IF(maxifs(Documents!$E$2:$E$1421,Documents!$A$2:$A$1421,$A57,Documents!$C$2:$C$1421,"obsolete")=0,"",maxifs(Documents!$E$2:$E$1421,Documents!$A$2:$A$1421,$A57,Documents!$C$2:$C$1421,"obsolete")),"")</f>
        <v/>
      </c>
      <c r="V57" s="0" t="n">
        <f aca="false">COUNTIFS(Documents!$A$2:$A$1421,$A57)</f>
        <v>2</v>
      </c>
      <c r="W57" s="0" t="n">
        <f aca="false">COUNTIFS(Documents!$A$2:$A$1421,$A57,Documents!$R$2:$R$1421,"current")</f>
        <v>0</v>
      </c>
      <c r="Y57" s="0" t="s">
        <v>31</v>
      </c>
    </row>
    <row r="58" customFormat="false" ht="15" hidden="false" customHeight="false" outlineLevel="0" collapsed="false">
      <c r="A58" s="0" t="n">
        <v>57</v>
      </c>
      <c r="B58" s="0" t="s">
        <v>105</v>
      </c>
      <c r="C58" s="0" t="s">
        <v>106</v>
      </c>
      <c r="D58" s="0" t="str">
        <f aca="false">IFERROR(IF(maxifs(Documents!$E$2:$E$1421,Documents!$A$2:$A$1421,$A58,Documents!$C$2:$C$1421,"factsheet")=0,"",maxifs(Documents!$E$2:$E$1421,Documents!$A$2:$A$1421,$A58,Documents!$C$2:$C$1421,"factsheet")),"")</f>
        <v/>
      </c>
      <c r="E58" s="0" t="str">
        <f aca="false">IFERROR(IF(maxifs(Documents!$E$2:$E$1421,Documents!$A$2:$A$1421,$A58,Documents!$C$2:$C$1421,"wedding")=0,"",maxifs(Documents!$E$2:$E$1421,Documents!$A$2:$A$1421,$A58,Documents!$C$2:$C$1421,"wedding")),"")</f>
        <v/>
      </c>
      <c r="F58" s="0" t="str">
        <f aca="false">IFERROR(IF(maxifs(Documents!$E$2:$E$1421,Documents!$A$2:$A$1421,$A58,Documents!$C$2:$C$1421,"events")=0,"",maxifs(Documents!$E$2:$E$1421,Documents!$A$2:$A$1421,$A58,Documents!$C$2:$C$1421,"events")),"")</f>
        <v/>
      </c>
      <c r="G58" s="0" t="str">
        <f aca="false">IFERROR(IF(maxifs(Documents!$E$2:$E$1421,Documents!$A$2:$A$1421,$A58,Documents!$C$2:$C$1421,"map")=0,"",maxifs(Documents!$E$2:$E$1421,Documents!$A$2:$A$1421,$A58,Documents!$C$2:$C$1421,"map")),"")</f>
        <v/>
      </c>
      <c r="H58" s="0" t="str">
        <f aca="false">IFERROR(IF(maxifs(Documents!$E$2:$E$1421,Documents!$A$2:$A$1421,$A58,Documents!$C$2:$C$1421,"dive_map")=0,"",maxifs(Documents!$E$2:$E$1421,Documents!$A$2:$A$1421,$A58,Documents!$C$2:$C$1421,"dive_map")),"")</f>
        <v/>
      </c>
      <c r="I58" s="0" t="str">
        <f aca="false">IFERROR(IF(maxifs(Documents!$E$2:$E$1421,Documents!$A$2:$A$1421,$A58,Documents!$C$2:$C$1421,"spa_menu")=0,"",maxifs(Documents!$E$2:$E$1421,Documents!$A$2:$A$1421,$A58,Documents!$C$2:$C$1421,"spa_menu")),"")</f>
        <v/>
      </c>
      <c r="J58" s="0" t="str">
        <f aca="false">IFERROR(IF(maxifs(Documents!$E$2:$E$1421,Documents!$A$2:$A$1421,$A58,Documents!$C$2:$C$1421,"dining_menu")=0,"",maxifs(Documents!$E$2:$E$1421,Documents!$A$2:$A$1421,$A58,Documents!$C$2:$C$1421,"dining_menu")),"")</f>
        <v/>
      </c>
      <c r="K58" s="0" t="str">
        <f aca="false">IFERROR(IF(maxifs(Documents!$E$2:$E$1421,Documents!$A$2:$A$1421,$A58,Documents!$C$2:$C$1421,"dive_prices")=0,"",maxifs(Documents!$E$2:$E$1421,Documents!$A$2:$A$1421,$A58,Documents!$C$2:$C$1421,"dive_prices")),"")</f>
        <v/>
      </c>
      <c r="L58" s="0" t="str">
        <f aca="false">IFERROR(IF(maxifs(Documents!$E$2:$E$1421,Documents!$A$2:$A$1421,$A58,Documents!$C$2:$C$1421,"excursions")=0,"",maxifs(Documents!$E$2:$E$1421,Documents!$A$2:$A$1421,$A58,Documents!$C$2:$C$1421,"excursions")),"")</f>
        <v/>
      </c>
      <c r="M58" s="0" t="str">
        <f aca="false">IFERROR(IF(maxifs(Documents!$E$2:$E$1421,Documents!$A$2:$A$1421,$A58,Documents!$C$2:$C$1421,"kids")=0,"",maxifs(Documents!$E$2:$E$1421,Documents!$A$2:$A$1421,$A58,Documents!$C$2:$C$1421,"kids")),"")</f>
        <v/>
      </c>
      <c r="N58" s="0" t="str">
        <f aca="false">IFERROR(IF(maxifs(Documents!$E$2:$E$1421,Documents!$A$2:$A$1421,$A58,Documents!$C$2:$C$1421,"villa_plans")=0,"",maxifs(Documents!$E$2:$E$1421,Documents!$A$2:$A$1421,$A58,Documents!$C$2:$C$1421,"villa_plans")),"")</f>
        <v/>
      </c>
      <c r="O58" s="0" t="str">
        <f aca="false">IFERROR(IF(maxifs(Documents!$E$2:$E$1421,Documents!$A$2:$A$1421,$A58,Documents!$C$2:$C$1421,"all_inclusive")=0,"",maxifs(Documents!$E$2:$E$1421,Documents!$A$2:$A$1421,$A58,Documents!$C$2:$C$1421,"all_inclusive")),"")</f>
        <v/>
      </c>
      <c r="P58" s="0" t="str">
        <f aca="false">IFERROR(IF(maxifs(Documents!$E$2:$E$1421,Documents!$A$2:$A$1421,$A58,Documents!$C$2:$C$1421,"sustainability")=0,"",maxifs(Documents!$E$2:$E$1421,Documents!$A$2:$A$1421,$A58,Documents!$C$2:$C$1421,"sustainability")),"")</f>
        <v/>
      </c>
      <c r="Q58" s="0" t="str">
        <f aca="false">IFERROR(IF(maxifs(Documents!$E$2:$E$1421,Documents!$A$2:$A$1421,$A58,Documents!$C$2:$C$1421,"calendar")=0,"",maxifs(Documents!$E$2:$E$1421,Documents!$A$2:$A$1421,$A58,Documents!$C$2:$C$1421,"calendar")),"")</f>
        <v/>
      </c>
      <c r="R58" s="0" t="str">
        <f aca="false">IFERROR(IF(maxifs(Documents!$E$2:$E$1421,Documents!$A$2:$A$1421,$A58,Documents!$C$2:$C$1421,"brochure")=0,"",maxifs(Documents!$E$2:$E$1421,Documents!$A$2:$A$1421,$A58,Documents!$C$2:$C$1421,"brochure")),"")</f>
        <v/>
      </c>
      <c r="S58" s="0" t="str">
        <f aca="false">IFERROR(IF(maxifs(Documents!$E$2:$E$1421,Documents!$A$2:$A$1421,$A58,Documents!$C$2:$C$1421,"press_kit")=0,"",maxifs(Documents!$E$2:$E$1421,Documents!$A$2:$A$1421,$A58,Documents!$C$2:$C$1421,"press_kit")),"")</f>
        <v/>
      </c>
      <c r="T58" s="0" t="str">
        <f aca="false">IFERROR(IF(maxifs(Documents!$E$2:$E$1421,Documents!$A$2:$A$1421,$A58,Documents!$C$2:$C$1421,"other")=0,"",maxifs(Documents!$E$2:$E$1421,Documents!$A$2:$A$1421,$A58,Documents!$C$2:$C$1421,"other")),"")</f>
        <v/>
      </c>
      <c r="U58" s="0" t="str">
        <f aca="false">IFERROR(IF(maxifs(Documents!$E$2:$E$1421,Documents!$A$2:$A$1421,$A58,Documents!$C$2:$C$1421,"obsolete")=0,"",maxifs(Documents!$E$2:$E$1421,Documents!$A$2:$A$1421,$A58,Documents!$C$2:$C$1421,"obsolete")),"")</f>
        <v/>
      </c>
      <c r="V58" s="0" t="n">
        <f aca="false">COUNTIFS(Documents!$A$2:$A$1421,$A58)</f>
        <v>1</v>
      </c>
      <c r="W58" s="0" t="n">
        <f aca="false">COUNTIFS(Documents!$A$2:$A$1421,$A58,Documents!$R$2:$R$1421,"current")</f>
        <v>0</v>
      </c>
      <c r="Y58" s="0" t="s">
        <v>31</v>
      </c>
    </row>
    <row r="59" customFormat="false" ht="15" hidden="false" customHeight="false" outlineLevel="0" collapsed="false">
      <c r="A59" s="0" t="n">
        <v>58</v>
      </c>
      <c r="B59" s="0" t="s">
        <v>107</v>
      </c>
      <c r="C59" s="0" t="s">
        <v>30</v>
      </c>
      <c r="D59" s="0" t="str">
        <f aca="false">IFERROR(IF(maxifs(Documents!$E$2:$E$1421,Documents!$A$2:$A$1421,$A59,Documents!$C$2:$C$1421,"factsheet")=0,"",maxifs(Documents!$E$2:$E$1421,Documents!$A$2:$A$1421,$A59,Documents!$C$2:$C$1421,"factsheet")),"")</f>
        <v/>
      </c>
      <c r="E59" s="0" t="str">
        <f aca="false">IFERROR(IF(maxifs(Documents!$E$2:$E$1421,Documents!$A$2:$A$1421,$A59,Documents!$C$2:$C$1421,"wedding")=0,"",maxifs(Documents!$E$2:$E$1421,Documents!$A$2:$A$1421,$A59,Documents!$C$2:$C$1421,"wedding")),"")</f>
        <v/>
      </c>
      <c r="F59" s="0" t="str">
        <f aca="false">IFERROR(IF(maxifs(Documents!$E$2:$E$1421,Documents!$A$2:$A$1421,$A59,Documents!$C$2:$C$1421,"events")=0,"",maxifs(Documents!$E$2:$E$1421,Documents!$A$2:$A$1421,$A59,Documents!$C$2:$C$1421,"events")),"")</f>
        <v/>
      </c>
      <c r="G59" s="0" t="str">
        <f aca="false">IFERROR(IF(maxifs(Documents!$E$2:$E$1421,Documents!$A$2:$A$1421,$A59,Documents!$C$2:$C$1421,"map")=0,"",maxifs(Documents!$E$2:$E$1421,Documents!$A$2:$A$1421,$A59,Documents!$C$2:$C$1421,"map")),"")</f>
        <v/>
      </c>
      <c r="H59" s="0" t="str">
        <f aca="false">IFERROR(IF(maxifs(Documents!$E$2:$E$1421,Documents!$A$2:$A$1421,$A59,Documents!$C$2:$C$1421,"dive_map")=0,"",maxifs(Documents!$E$2:$E$1421,Documents!$A$2:$A$1421,$A59,Documents!$C$2:$C$1421,"dive_map")),"")</f>
        <v/>
      </c>
      <c r="I59" s="0" t="str">
        <f aca="false">IFERROR(IF(maxifs(Documents!$E$2:$E$1421,Documents!$A$2:$A$1421,$A59,Documents!$C$2:$C$1421,"spa_menu")=0,"",maxifs(Documents!$E$2:$E$1421,Documents!$A$2:$A$1421,$A59,Documents!$C$2:$C$1421,"spa_menu")),"")</f>
        <v/>
      </c>
      <c r="J59" s="0" t="str">
        <f aca="false">IFERROR(IF(maxifs(Documents!$E$2:$E$1421,Documents!$A$2:$A$1421,$A59,Documents!$C$2:$C$1421,"dining_menu")=0,"",maxifs(Documents!$E$2:$E$1421,Documents!$A$2:$A$1421,$A59,Documents!$C$2:$C$1421,"dining_menu")),"")</f>
        <v/>
      </c>
      <c r="K59" s="0" t="str">
        <f aca="false">IFERROR(IF(maxifs(Documents!$E$2:$E$1421,Documents!$A$2:$A$1421,$A59,Documents!$C$2:$C$1421,"dive_prices")=0,"",maxifs(Documents!$E$2:$E$1421,Documents!$A$2:$A$1421,$A59,Documents!$C$2:$C$1421,"dive_prices")),"")</f>
        <v/>
      </c>
      <c r="L59" s="0" t="str">
        <f aca="false">IFERROR(IF(maxifs(Documents!$E$2:$E$1421,Documents!$A$2:$A$1421,$A59,Documents!$C$2:$C$1421,"excursions")=0,"",maxifs(Documents!$E$2:$E$1421,Documents!$A$2:$A$1421,$A59,Documents!$C$2:$C$1421,"excursions")),"")</f>
        <v/>
      </c>
      <c r="M59" s="0" t="str">
        <f aca="false">IFERROR(IF(maxifs(Documents!$E$2:$E$1421,Documents!$A$2:$A$1421,$A59,Documents!$C$2:$C$1421,"kids")=0,"",maxifs(Documents!$E$2:$E$1421,Documents!$A$2:$A$1421,$A59,Documents!$C$2:$C$1421,"kids")),"")</f>
        <v/>
      </c>
      <c r="N59" s="0" t="str">
        <f aca="false">IFERROR(IF(maxifs(Documents!$E$2:$E$1421,Documents!$A$2:$A$1421,$A59,Documents!$C$2:$C$1421,"villa_plans")=0,"",maxifs(Documents!$E$2:$E$1421,Documents!$A$2:$A$1421,$A59,Documents!$C$2:$C$1421,"villa_plans")),"")</f>
        <v/>
      </c>
      <c r="O59" s="0" t="str">
        <f aca="false">IFERROR(IF(maxifs(Documents!$E$2:$E$1421,Documents!$A$2:$A$1421,$A59,Documents!$C$2:$C$1421,"all_inclusive")=0,"",maxifs(Documents!$E$2:$E$1421,Documents!$A$2:$A$1421,$A59,Documents!$C$2:$C$1421,"all_inclusive")),"")</f>
        <v/>
      </c>
      <c r="P59" s="0" t="str">
        <f aca="false">IFERROR(IF(maxifs(Documents!$E$2:$E$1421,Documents!$A$2:$A$1421,$A59,Documents!$C$2:$C$1421,"sustainability")=0,"",maxifs(Documents!$E$2:$E$1421,Documents!$A$2:$A$1421,$A59,Documents!$C$2:$C$1421,"sustainability")),"")</f>
        <v/>
      </c>
      <c r="Q59" s="0" t="str">
        <f aca="false">IFERROR(IF(maxifs(Documents!$E$2:$E$1421,Documents!$A$2:$A$1421,$A59,Documents!$C$2:$C$1421,"calendar")=0,"",maxifs(Documents!$E$2:$E$1421,Documents!$A$2:$A$1421,$A59,Documents!$C$2:$C$1421,"calendar")),"")</f>
        <v/>
      </c>
      <c r="R59" s="0" t="str">
        <f aca="false">IFERROR(IF(maxifs(Documents!$E$2:$E$1421,Documents!$A$2:$A$1421,$A59,Documents!$C$2:$C$1421,"brochure")=0,"",maxifs(Documents!$E$2:$E$1421,Documents!$A$2:$A$1421,$A59,Documents!$C$2:$C$1421,"brochure")),"")</f>
        <v/>
      </c>
      <c r="S59" s="0" t="str">
        <f aca="false">IFERROR(IF(maxifs(Documents!$E$2:$E$1421,Documents!$A$2:$A$1421,$A59,Documents!$C$2:$C$1421,"press_kit")=0,"",maxifs(Documents!$E$2:$E$1421,Documents!$A$2:$A$1421,$A59,Documents!$C$2:$C$1421,"press_kit")),"")</f>
        <v/>
      </c>
      <c r="T59" s="0" t="str">
        <f aca="false">IFERROR(IF(maxifs(Documents!$E$2:$E$1421,Documents!$A$2:$A$1421,$A59,Documents!$C$2:$C$1421,"other")=0,"",maxifs(Documents!$E$2:$E$1421,Documents!$A$2:$A$1421,$A59,Documents!$C$2:$C$1421,"other")),"")</f>
        <v/>
      </c>
      <c r="U59" s="0" t="str">
        <f aca="false">IFERROR(IF(maxifs(Documents!$E$2:$E$1421,Documents!$A$2:$A$1421,$A59,Documents!$C$2:$C$1421,"obsolete")=0,"",maxifs(Documents!$E$2:$E$1421,Documents!$A$2:$A$1421,$A59,Documents!$C$2:$C$1421,"obsolete")),"")</f>
        <v/>
      </c>
      <c r="V59" s="0" t="n">
        <f aca="false">COUNTIFS(Documents!$A$2:$A$1421,$A59)</f>
        <v>4</v>
      </c>
      <c r="W59" s="0" t="n">
        <f aca="false">COUNTIFS(Documents!$A$2:$A$1421,$A59,Documents!$R$2:$R$1421,"current")</f>
        <v>1</v>
      </c>
      <c r="X59" s="0" t="str">
        <f aca="false">HYPERLINK("https://www.neoscapesmaldives.com/wp-content/uploads/Fairmont-Maldives-Fact-Sheet-2023.pdf","2023_Fairmont-Maldives-Fact-Sheet-2023.p")</f>
        <v>2023_Fairmont-Maldives-Fact-Sheet-2023.p</v>
      </c>
      <c r="Y59" s="0" t="s">
        <v>28</v>
      </c>
      <c r="Z59" s="0" t="s">
        <v>108</v>
      </c>
    </row>
    <row r="60" customFormat="false" ht="15" hidden="false" customHeight="false" outlineLevel="0" collapsed="false">
      <c r="A60" s="0" t="n">
        <v>59</v>
      </c>
      <c r="B60" s="0" t="s">
        <v>109</v>
      </c>
      <c r="C60" s="0" t="s">
        <v>33</v>
      </c>
      <c r="D60" s="0" t="str">
        <f aca="false">IFERROR(IF(maxifs(Documents!$E$2:$E$1421,Documents!$A$2:$A$1421,$A60,Documents!$C$2:$C$1421,"factsheet")=0,"",maxifs(Documents!$E$2:$E$1421,Documents!$A$2:$A$1421,$A60,Documents!$C$2:$C$1421,"factsheet")),"")</f>
        <v/>
      </c>
      <c r="E60" s="0" t="str">
        <f aca="false">IFERROR(IF(maxifs(Documents!$E$2:$E$1421,Documents!$A$2:$A$1421,$A60,Documents!$C$2:$C$1421,"wedding")=0,"",maxifs(Documents!$E$2:$E$1421,Documents!$A$2:$A$1421,$A60,Documents!$C$2:$C$1421,"wedding")),"")</f>
        <v/>
      </c>
      <c r="F60" s="0" t="str">
        <f aca="false">IFERROR(IF(maxifs(Documents!$E$2:$E$1421,Documents!$A$2:$A$1421,$A60,Documents!$C$2:$C$1421,"events")=0,"",maxifs(Documents!$E$2:$E$1421,Documents!$A$2:$A$1421,$A60,Documents!$C$2:$C$1421,"events")),"")</f>
        <v/>
      </c>
      <c r="G60" s="0" t="str">
        <f aca="false">IFERROR(IF(maxifs(Documents!$E$2:$E$1421,Documents!$A$2:$A$1421,$A60,Documents!$C$2:$C$1421,"map")=0,"",maxifs(Documents!$E$2:$E$1421,Documents!$A$2:$A$1421,$A60,Documents!$C$2:$C$1421,"map")),"")</f>
        <v/>
      </c>
      <c r="H60" s="0" t="str">
        <f aca="false">IFERROR(IF(maxifs(Documents!$E$2:$E$1421,Documents!$A$2:$A$1421,$A60,Documents!$C$2:$C$1421,"dive_map")=0,"",maxifs(Documents!$E$2:$E$1421,Documents!$A$2:$A$1421,$A60,Documents!$C$2:$C$1421,"dive_map")),"")</f>
        <v/>
      </c>
      <c r="I60" s="0" t="str">
        <f aca="false">IFERROR(IF(maxifs(Documents!$E$2:$E$1421,Documents!$A$2:$A$1421,$A60,Documents!$C$2:$C$1421,"spa_menu")=0,"",maxifs(Documents!$E$2:$E$1421,Documents!$A$2:$A$1421,$A60,Documents!$C$2:$C$1421,"spa_menu")),"")</f>
        <v/>
      </c>
      <c r="J60" s="0" t="str">
        <f aca="false">IFERROR(IF(maxifs(Documents!$E$2:$E$1421,Documents!$A$2:$A$1421,$A60,Documents!$C$2:$C$1421,"dining_menu")=0,"",maxifs(Documents!$E$2:$E$1421,Documents!$A$2:$A$1421,$A60,Documents!$C$2:$C$1421,"dining_menu")),"")</f>
        <v/>
      </c>
      <c r="K60" s="0" t="str">
        <f aca="false">IFERROR(IF(maxifs(Documents!$E$2:$E$1421,Documents!$A$2:$A$1421,$A60,Documents!$C$2:$C$1421,"dive_prices")=0,"",maxifs(Documents!$E$2:$E$1421,Documents!$A$2:$A$1421,$A60,Documents!$C$2:$C$1421,"dive_prices")),"")</f>
        <v/>
      </c>
      <c r="L60" s="0" t="str">
        <f aca="false">IFERROR(IF(maxifs(Documents!$E$2:$E$1421,Documents!$A$2:$A$1421,$A60,Documents!$C$2:$C$1421,"excursions")=0,"",maxifs(Documents!$E$2:$E$1421,Documents!$A$2:$A$1421,$A60,Documents!$C$2:$C$1421,"excursions")),"")</f>
        <v/>
      </c>
      <c r="M60" s="0" t="str">
        <f aca="false">IFERROR(IF(maxifs(Documents!$E$2:$E$1421,Documents!$A$2:$A$1421,$A60,Documents!$C$2:$C$1421,"kids")=0,"",maxifs(Documents!$E$2:$E$1421,Documents!$A$2:$A$1421,$A60,Documents!$C$2:$C$1421,"kids")),"")</f>
        <v/>
      </c>
      <c r="N60" s="0" t="str">
        <f aca="false">IFERROR(IF(maxifs(Documents!$E$2:$E$1421,Documents!$A$2:$A$1421,$A60,Documents!$C$2:$C$1421,"villa_plans")=0,"",maxifs(Documents!$E$2:$E$1421,Documents!$A$2:$A$1421,$A60,Documents!$C$2:$C$1421,"villa_plans")),"")</f>
        <v/>
      </c>
      <c r="O60" s="0" t="str">
        <f aca="false">IFERROR(IF(maxifs(Documents!$E$2:$E$1421,Documents!$A$2:$A$1421,$A60,Documents!$C$2:$C$1421,"all_inclusive")=0,"",maxifs(Documents!$E$2:$E$1421,Documents!$A$2:$A$1421,$A60,Documents!$C$2:$C$1421,"all_inclusive")),"")</f>
        <v/>
      </c>
      <c r="P60" s="0" t="str">
        <f aca="false">IFERROR(IF(maxifs(Documents!$E$2:$E$1421,Documents!$A$2:$A$1421,$A60,Documents!$C$2:$C$1421,"sustainability")=0,"",maxifs(Documents!$E$2:$E$1421,Documents!$A$2:$A$1421,$A60,Documents!$C$2:$C$1421,"sustainability")),"")</f>
        <v/>
      </c>
      <c r="Q60" s="0" t="str">
        <f aca="false">IFERROR(IF(maxifs(Documents!$E$2:$E$1421,Documents!$A$2:$A$1421,$A60,Documents!$C$2:$C$1421,"calendar")=0,"",maxifs(Documents!$E$2:$E$1421,Documents!$A$2:$A$1421,$A60,Documents!$C$2:$C$1421,"calendar")),"")</f>
        <v/>
      </c>
      <c r="R60" s="0" t="str">
        <f aca="false">IFERROR(IF(maxifs(Documents!$E$2:$E$1421,Documents!$A$2:$A$1421,$A60,Documents!$C$2:$C$1421,"brochure")=0,"",maxifs(Documents!$E$2:$E$1421,Documents!$A$2:$A$1421,$A60,Documents!$C$2:$C$1421,"brochure")),"")</f>
        <v/>
      </c>
      <c r="S60" s="0" t="str">
        <f aca="false">IFERROR(IF(maxifs(Documents!$E$2:$E$1421,Documents!$A$2:$A$1421,$A60,Documents!$C$2:$C$1421,"press_kit")=0,"",maxifs(Documents!$E$2:$E$1421,Documents!$A$2:$A$1421,$A60,Documents!$C$2:$C$1421,"press_kit")),"")</f>
        <v/>
      </c>
      <c r="T60" s="0" t="str">
        <f aca="false">IFERROR(IF(maxifs(Documents!$E$2:$E$1421,Documents!$A$2:$A$1421,$A60,Documents!$C$2:$C$1421,"other")=0,"",maxifs(Documents!$E$2:$E$1421,Documents!$A$2:$A$1421,$A60,Documents!$C$2:$C$1421,"other")),"")</f>
        <v/>
      </c>
      <c r="U60" s="0" t="str">
        <f aca="false">IFERROR(IF(maxifs(Documents!$E$2:$E$1421,Documents!$A$2:$A$1421,$A60,Documents!$C$2:$C$1421,"obsolete")=0,"",maxifs(Documents!$E$2:$E$1421,Documents!$A$2:$A$1421,$A60,Documents!$C$2:$C$1421,"obsolete")),"")</f>
        <v/>
      </c>
      <c r="V60" s="0" t="n">
        <f aca="false">COUNTIFS(Documents!$A$2:$A$1421,$A60)</f>
        <v>5</v>
      </c>
      <c r="W60" s="0" t="n">
        <f aca="false">COUNTIFS(Documents!$A$2:$A$1421,$A60,Documents!$R$2:$R$1421,"current")</f>
        <v>4</v>
      </c>
      <c r="X60" s="0" t="str">
        <f aca="false">HYPERLINK("https://www.neoscapesmaldives.com/wp-content/uploads/Jumeirah-Olhahali-Island-Resort-Factsheet-2025.pdf","2025_Jumeirah-Olhahali-Island-Resort-Fac")</f>
        <v>2025_Jumeirah-Olhahali-Island-Resort-Fac</v>
      </c>
      <c r="Y60" s="0" t="s">
        <v>28</v>
      </c>
    </row>
    <row r="61" customFormat="false" ht="15" hidden="false" customHeight="false" outlineLevel="0" collapsed="false">
      <c r="A61" s="0" t="n">
        <v>60</v>
      </c>
      <c r="B61" s="0" t="s">
        <v>110</v>
      </c>
      <c r="C61" s="0" t="s">
        <v>30</v>
      </c>
      <c r="D61" s="0" t="str">
        <f aca="false">IFERROR(IF(maxifs(Documents!$E$2:$E$1421,Documents!$A$2:$A$1421,$A61,Documents!$C$2:$C$1421,"factsheet")=0,"",maxifs(Documents!$E$2:$E$1421,Documents!$A$2:$A$1421,$A61,Documents!$C$2:$C$1421,"factsheet")),"")</f>
        <v/>
      </c>
      <c r="E61" s="0" t="str">
        <f aca="false">IFERROR(IF(maxifs(Documents!$E$2:$E$1421,Documents!$A$2:$A$1421,$A61,Documents!$C$2:$C$1421,"wedding")=0,"",maxifs(Documents!$E$2:$E$1421,Documents!$A$2:$A$1421,$A61,Documents!$C$2:$C$1421,"wedding")),"")</f>
        <v/>
      </c>
      <c r="F61" s="0" t="str">
        <f aca="false">IFERROR(IF(maxifs(Documents!$E$2:$E$1421,Documents!$A$2:$A$1421,$A61,Documents!$C$2:$C$1421,"events")=0,"",maxifs(Documents!$E$2:$E$1421,Documents!$A$2:$A$1421,$A61,Documents!$C$2:$C$1421,"events")),"")</f>
        <v/>
      </c>
      <c r="G61" s="0" t="str">
        <f aca="false">IFERROR(IF(maxifs(Documents!$E$2:$E$1421,Documents!$A$2:$A$1421,$A61,Documents!$C$2:$C$1421,"map")=0,"",maxifs(Documents!$E$2:$E$1421,Documents!$A$2:$A$1421,$A61,Documents!$C$2:$C$1421,"map")),"")</f>
        <v/>
      </c>
      <c r="H61" s="0" t="str">
        <f aca="false">IFERROR(IF(maxifs(Documents!$E$2:$E$1421,Documents!$A$2:$A$1421,$A61,Documents!$C$2:$C$1421,"dive_map")=0,"",maxifs(Documents!$E$2:$E$1421,Documents!$A$2:$A$1421,$A61,Documents!$C$2:$C$1421,"dive_map")),"")</f>
        <v/>
      </c>
      <c r="I61" s="0" t="str">
        <f aca="false">IFERROR(IF(maxifs(Documents!$E$2:$E$1421,Documents!$A$2:$A$1421,$A61,Documents!$C$2:$C$1421,"spa_menu")=0,"",maxifs(Documents!$E$2:$E$1421,Documents!$A$2:$A$1421,$A61,Documents!$C$2:$C$1421,"spa_menu")),"")</f>
        <v/>
      </c>
      <c r="J61" s="0" t="str">
        <f aca="false">IFERROR(IF(maxifs(Documents!$E$2:$E$1421,Documents!$A$2:$A$1421,$A61,Documents!$C$2:$C$1421,"dining_menu")=0,"",maxifs(Documents!$E$2:$E$1421,Documents!$A$2:$A$1421,$A61,Documents!$C$2:$C$1421,"dining_menu")),"")</f>
        <v/>
      </c>
      <c r="K61" s="0" t="str">
        <f aca="false">IFERROR(IF(maxifs(Documents!$E$2:$E$1421,Documents!$A$2:$A$1421,$A61,Documents!$C$2:$C$1421,"dive_prices")=0,"",maxifs(Documents!$E$2:$E$1421,Documents!$A$2:$A$1421,$A61,Documents!$C$2:$C$1421,"dive_prices")),"")</f>
        <v/>
      </c>
      <c r="L61" s="0" t="str">
        <f aca="false">IFERROR(IF(maxifs(Documents!$E$2:$E$1421,Documents!$A$2:$A$1421,$A61,Documents!$C$2:$C$1421,"excursions")=0,"",maxifs(Documents!$E$2:$E$1421,Documents!$A$2:$A$1421,$A61,Documents!$C$2:$C$1421,"excursions")),"")</f>
        <v/>
      </c>
      <c r="M61" s="0" t="str">
        <f aca="false">IFERROR(IF(maxifs(Documents!$E$2:$E$1421,Documents!$A$2:$A$1421,$A61,Documents!$C$2:$C$1421,"kids")=0,"",maxifs(Documents!$E$2:$E$1421,Documents!$A$2:$A$1421,$A61,Documents!$C$2:$C$1421,"kids")),"")</f>
        <v/>
      </c>
      <c r="N61" s="0" t="str">
        <f aca="false">IFERROR(IF(maxifs(Documents!$E$2:$E$1421,Documents!$A$2:$A$1421,$A61,Documents!$C$2:$C$1421,"villa_plans")=0,"",maxifs(Documents!$E$2:$E$1421,Documents!$A$2:$A$1421,$A61,Documents!$C$2:$C$1421,"villa_plans")),"")</f>
        <v/>
      </c>
      <c r="O61" s="0" t="str">
        <f aca="false">IFERROR(IF(maxifs(Documents!$E$2:$E$1421,Documents!$A$2:$A$1421,$A61,Documents!$C$2:$C$1421,"all_inclusive")=0,"",maxifs(Documents!$E$2:$E$1421,Documents!$A$2:$A$1421,$A61,Documents!$C$2:$C$1421,"all_inclusive")),"")</f>
        <v/>
      </c>
      <c r="P61" s="0" t="str">
        <f aca="false">IFERROR(IF(maxifs(Documents!$E$2:$E$1421,Documents!$A$2:$A$1421,$A61,Documents!$C$2:$C$1421,"sustainability")=0,"",maxifs(Documents!$E$2:$E$1421,Documents!$A$2:$A$1421,$A61,Documents!$C$2:$C$1421,"sustainability")),"")</f>
        <v/>
      </c>
      <c r="Q61" s="0" t="str">
        <f aca="false">IFERROR(IF(maxifs(Documents!$E$2:$E$1421,Documents!$A$2:$A$1421,$A61,Documents!$C$2:$C$1421,"calendar")=0,"",maxifs(Documents!$E$2:$E$1421,Documents!$A$2:$A$1421,$A61,Documents!$C$2:$C$1421,"calendar")),"")</f>
        <v/>
      </c>
      <c r="R61" s="0" t="str">
        <f aca="false">IFERROR(IF(maxifs(Documents!$E$2:$E$1421,Documents!$A$2:$A$1421,$A61,Documents!$C$2:$C$1421,"brochure")=0,"",maxifs(Documents!$E$2:$E$1421,Documents!$A$2:$A$1421,$A61,Documents!$C$2:$C$1421,"brochure")),"")</f>
        <v/>
      </c>
      <c r="S61" s="0" t="str">
        <f aca="false">IFERROR(IF(maxifs(Documents!$E$2:$E$1421,Documents!$A$2:$A$1421,$A61,Documents!$C$2:$C$1421,"press_kit")=0,"",maxifs(Documents!$E$2:$E$1421,Documents!$A$2:$A$1421,$A61,Documents!$C$2:$C$1421,"press_kit")),"")</f>
        <v/>
      </c>
      <c r="T61" s="0" t="str">
        <f aca="false">IFERROR(IF(maxifs(Documents!$E$2:$E$1421,Documents!$A$2:$A$1421,$A61,Documents!$C$2:$C$1421,"other")=0,"",maxifs(Documents!$E$2:$E$1421,Documents!$A$2:$A$1421,$A61,Documents!$C$2:$C$1421,"other")),"")</f>
        <v/>
      </c>
      <c r="U61" s="0" t="str">
        <f aca="false">IFERROR(IF(maxifs(Documents!$E$2:$E$1421,Documents!$A$2:$A$1421,$A61,Documents!$C$2:$C$1421,"obsolete")=0,"",maxifs(Documents!$E$2:$E$1421,Documents!$A$2:$A$1421,$A61,Documents!$C$2:$C$1421,"obsolete")),"")</f>
        <v/>
      </c>
      <c r="V61" s="0" t="n">
        <f aca="false">COUNTIFS(Documents!$A$2:$A$1421,$A61)</f>
        <v>0</v>
      </c>
      <c r="W61" s="0" t="n">
        <f aca="false">COUNTIFS(Documents!$A$2:$A$1421,$A61,Documents!$R$2:$R$1421,"current")</f>
        <v>0</v>
      </c>
      <c r="Y61" s="0" t="s">
        <v>31</v>
      </c>
    </row>
    <row r="62" customFormat="false" ht="15" hidden="false" customHeight="false" outlineLevel="0" collapsed="false">
      <c r="A62" s="0" t="n">
        <v>61</v>
      </c>
      <c r="B62" s="0" t="s">
        <v>111</v>
      </c>
      <c r="C62" s="0" t="s">
        <v>112</v>
      </c>
      <c r="D62" s="0" t="str">
        <f aca="false">IFERROR(IF(maxifs(Documents!$E$2:$E$1421,Documents!$A$2:$A$1421,$A62,Documents!$C$2:$C$1421,"factsheet")=0,"",maxifs(Documents!$E$2:$E$1421,Documents!$A$2:$A$1421,$A62,Documents!$C$2:$C$1421,"factsheet")),"")</f>
        <v/>
      </c>
      <c r="E62" s="0" t="str">
        <f aca="false">IFERROR(IF(maxifs(Documents!$E$2:$E$1421,Documents!$A$2:$A$1421,$A62,Documents!$C$2:$C$1421,"wedding")=0,"",maxifs(Documents!$E$2:$E$1421,Documents!$A$2:$A$1421,$A62,Documents!$C$2:$C$1421,"wedding")),"")</f>
        <v/>
      </c>
      <c r="F62" s="0" t="str">
        <f aca="false">IFERROR(IF(maxifs(Documents!$E$2:$E$1421,Documents!$A$2:$A$1421,$A62,Documents!$C$2:$C$1421,"events")=0,"",maxifs(Documents!$E$2:$E$1421,Documents!$A$2:$A$1421,$A62,Documents!$C$2:$C$1421,"events")),"")</f>
        <v/>
      </c>
      <c r="G62" s="0" t="str">
        <f aca="false">IFERROR(IF(maxifs(Documents!$E$2:$E$1421,Documents!$A$2:$A$1421,$A62,Documents!$C$2:$C$1421,"map")=0,"",maxifs(Documents!$E$2:$E$1421,Documents!$A$2:$A$1421,$A62,Documents!$C$2:$C$1421,"map")),"")</f>
        <v/>
      </c>
      <c r="H62" s="0" t="str">
        <f aca="false">IFERROR(IF(maxifs(Documents!$E$2:$E$1421,Documents!$A$2:$A$1421,$A62,Documents!$C$2:$C$1421,"dive_map")=0,"",maxifs(Documents!$E$2:$E$1421,Documents!$A$2:$A$1421,$A62,Documents!$C$2:$C$1421,"dive_map")),"")</f>
        <v/>
      </c>
      <c r="I62" s="0" t="str">
        <f aca="false">IFERROR(IF(maxifs(Documents!$E$2:$E$1421,Documents!$A$2:$A$1421,$A62,Documents!$C$2:$C$1421,"spa_menu")=0,"",maxifs(Documents!$E$2:$E$1421,Documents!$A$2:$A$1421,$A62,Documents!$C$2:$C$1421,"spa_menu")),"")</f>
        <v/>
      </c>
      <c r="J62" s="0" t="str">
        <f aca="false">IFERROR(IF(maxifs(Documents!$E$2:$E$1421,Documents!$A$2:$A$1421,$A62,Documents!$C$2:$C$1421,"dining_menu")=0,"",maxifs(Documents!$E$2:$E$1421,Documents!$A$2:$A$1421,$A62,Documents!$C$2:$C$1421,"dining_menu")),"")</f>
        <v/>
      </c>
      <c r="K62" s="0" t="str">
        <f aca="false">IFERROR(IF(maxifs(Documents!$E$2:$E$1421,Documents!$A$2:$A$1421,$A62,Documents!$C$2:$C$1421,"dive_prices")=0,"",maxifs(Documents!$E$2:$E$1421,Documents!$A$2:$A$1421,$A62,Documents!$C$2:$C$1421,"dive_prices")),"")</f>
        <v/>
      </c>
      <c r="L62" s="0" t="str">
        <f aca="false">IFERROR(IF(maxifs(Documents!$E$2:$E$1421,Documents!$A$2:$A$1421,$A62,Documents!$C$2:$C$1421,"excursions")=0,"",maxifs(Documents!$E$2:$E$1421,Documents!$A$2:$A$1421,$A62,Documents!$C$2:$C$1421,"excursions")),"")</f>
        <v/>
      </c>
      <c r="M62" s="0" t="str">
        <f aca="false">IFERROR(IF(maxifs(Documents!$E$2:$E$1421,Documents!$A$2:$A$1421,$A62,Documents!$C$2:$C$1421,"kids")=0,"",maxifs(Documents!$E$2:$E$1421,Documents!$A$2:$A$1421,$A62,Documents!$C$2:$C$1421,"kids")),"")</f>
        <v/>
      </c>
      <c r="N62" s="0" t="str">
        <f aca="false">IFERROR(IF(maxifs(Documents!$E$2:$E$1421,Documents!$A$2:$A$1421,$A62,Documents!$C$2:$C$1421,"villa_plans")=0,"",maxifs(Documents!$E$2:$E$1421,Documents!$A$2:$A$1421,$A62,Documents!$C$2:$C$1421,"villa_plans")),"")</f>
        <v/>
      </c>
      <c r="O62" s="0" t="str">
        <f aca="false">IFERROR(IF(maxifs(Documents!$E$2:$E$1421,Documents!$A$2:$A$1421,$A62,Documents!$C$2:$C$1421,"all_inclusive")=0,"",maxifs(Documents!$E$2:$E$1421,Documents!$A$2:$A$1421,$A62,Documents!$C$2:$C$1421,"all_inclusive")),"")</f>
        <v/>
      </c>
      <c r="P62" s="0" t="str">
        <f aca="false">IFERROR(IF(maxifs(Documents!$E$2:$E$1421,Documents!$A$2:$A$1421,$A62,Documents!$C$2:$C$1421,"sustainability")=0,"",maxifs(Documents!$E$2:$E$1421,Documents!$A$2:$A$1421,$A62,Documents!$C$2:$C$1421,"sustainability")),"")</f>
        <v/>
      </c>
      <c r="Q62" s="0" t="str">
        <f aca="false">IFERROR(IF(maxifs(Documents!$E$2:$E$1421,Documents!$A$2:$A$1421,$A62,Documents!$C$2:$C$1421,"calendar")=0,"",maxifs(Documents!$E$2:$E$1421,Documents!$A$2:$A$1421,$A62,Documents!$C$2:$C$1421,"calendar")),"")</f>
        <v/>
      </c>
      <c r="R62" s="0" t="str">
        <f aca="false">IFERROR(IF(maxifs(Documents!$E$2:$E$1421,Documents!$A$2:$A$1421,$A62,Documents!$C$2:$C$1421,"brochure")=0,"",maxifs(Documents!$E$2:$E$1421,Documents!$A$2:$A$1421,$A62,Documents!$C$2:$C$1421,"brochure")),"")</f>
        <v/>
      </c>
      <c r="S62" s="0" t="str">
        <f aca="false">IFERROR(IF(maxifs(Documents!$E$2:$E$1421,Documents!$A$2:$A$1421,$A62,Documents!$C$2:$C$1421,"press_kit")=0,"",maxifs(Documents!$E$2:$E$1421,Documents!$A$2:$A$1421,$A62,Documents!$C$2:$C$1421,"press_kit")),"")</f>
        <v/>
      </c>
      <c r="T62" s="0" t="str">
        <f aca="false">IFERROR(IF(maxifs(Documents!$E$2:$E$1421,Documents!$A$2:$A$1421,$A62,Documents!$C$2:$C$1421,"other")=0,"",maxifs(Documents!$E$2:$E$1421,Documents!$A$2:$A$1421,$A62,Documents!$C$2:$C$1421,"other")),"")</f>
        <v/>
      </c>
      <c r="U62" s="0" t="str">
        <f aca="false">IFERROR(IF(maxifs(Documents!$E$2:$E$1421,Documents!$A$2:$A$1421,$A62,Documents!$C$2:$C$1421,"obsolete")=0,"",maxifs(Documents!$E$2:$E$1421,Documents!$A$2:$A$1421,$A62,Documents!$C$2:$C$1421,"obsolete")),"")</f>
        <v/>
      </c>
      <c r="V62" s="0" t="n">
        <f aca="false">COUNTIFS(Documents!$A$2:$A$1421,$A62)</f>
        <v>0</v>
      </c>
      <c r="W62" s="0" t="n">
        <f aca="false">COUNTIFS(Documents!$A$2:$A$1421,$A62,Documents!$R$2:$R$1421,"current")</f>
        <v>0</v>
      </c>
      <c r="Y62" s="0" t="s">
        <v>31</v>
      </c>
    </row>
    <row r="63" customFormat="false" ht="15" hidden="false" customHeight="false" outlineLevel="0" collapsed="false">
      <c r="A63" s="0" t="n">
        <v>62</v>
      </c>
      <c r="B63" s="0" t="s">
        <v>113</v>
      </c>
      <c r="C63" s="0" t="s">
        <v>112</v>
      </c>
      <c r="D63" s="0" t="str">
        <f aca="false">IFERROR(IF(maxifs(Documents!$E$2:$E$1421,Documents!$A$2:$A$1421,$A63,Documents!$C$2:$C$1421,"factsheet")=0,"",maxifs(Documents!$E$2:$E$1421,Documents!$A$2:$A$1421,$A63,Documents!$C$2:$C$1421,"factsheet")),"")</f>
        <v/>
      </c>
      <c r="E63" s="0" t="str">
        <f aca="false">IFERROR(IF(maxifs(Documents!$E$2:$E$1421,Documents!$A$2:$A$1421,$A63,Documents!$C$2:$C$1421,"wedding")=0,"",maxifs(Documents!$E$2:$E$1421,Documents!$A$2:$A$1421,$A63,Documents!$C$2:$C$1421,"wedding")),"")</f>
        <v/>
      </c>
      <c r="F63" s="0" t="str">
        <f aca="false">IFERROR(IF(maxifs(Documents!$E$2:$E$1421,Documents!$A$2:$A$1421,$A63,Documents!$C$2:$C$1421,"events")=0,"",maxifs(Documents!$E$2:$E$1421,Documents!$A$2:$A$1421,$A63,Documents!$C$2:$C$1421,"events")),"")</f>
        <v/>
      </c>
      <c r="G63" s="0" t="str">
        <f aca="false">IFERROR(IF(maxifs(Documents!$E$2:$E$1421,Documents!$A$2:$A$1421,$A63,Documents!$C$2:$C$1421,"map")=0,"",maxifs(Documents!$E$2:$E$1421,Documents!$A$2:$A$1421,$A63,Documents!$C$2:$C$1421,"map")),"")</f>
        <v/>
      </c>
      <c r="H63" s="0" t="str">
        <f aca="false">IFERROR(IF(maxifs(Documents!$E$2:$E$1421,Documents!$A$2:$A$1421,$A63,Documents!$C$2:$C$1421,"dive_map")=0,"",maxifs(Documents!$E$2:$E$1421,Documents!$A$2:$A$1421,$A63,Documents!$C$2:$C$1421,"dive_map")),"")</f>
        <v/>
      </c>
      <c r="I63" s="0" t="str">
        <f aca="false">IFERROR(IF(maxifs(Documents!$E$2:$E$1421,Documents!$A$2:$A$1421,$A63,Documents!$C$2:$C$1421,"spa_menu")=0,"",maxifs(Documents!$E$2:$E$1421,Documents!$A$2:$A$1421,$A63,Documents!$C$2:$C$1421,"spa_menu")),"")</f>
        <v/>
      </c>
      <c r="J63" s="0" t="str">
        <f aca="false">IFERROR(IF(maxifs(Documents!$E$2:$E$1421,Documents!$A$2:$A$1421,$A63,Documents!$C$2:$C$1421,"dining_menu")=0,"",maxifs(Documents!$E$2:$E$1421,Documents!$A$2:$A$1421,$A63,Documents!$C$2:$C$1421,"dining_menu")),"")</f>
        <v/>
      </c>
      <c r="K63" s="0" t="str">
        <f aca="false">IFERROR(IF(maxifs(Documents!$E$2:$E$1421,Documents!$A$2:$A$1421,$A63,Documents!$C$2:$C$1421,"dive_prices")=0,"",maxifs(Documents!$E$2:$E$1421,Documents!$A$2:$A$1421,$A63,Documents!$C$2:$C$1421,"dive_prices")),"")</f>
        <v/>
      </c>
      <c r="L63" s="0" t="str">
        <f aca="false">IFERROR(IF(maxifs(Documents!$E$2:$E$1421,Documents!$A$2:$A$1421,$A63,Documents!$C$2:$C$1421,"excursions")=0,"",maxifs(Documents!$E$2:$E$1421,Documents!$A$2:$A$1421,$A63,Documents!$C$2:$C$1421,"excursions")),"")</f>
        <v/>
      </c>
      <c r="M63" s="0" t="str">
        <f aca="false">IFERROR(IF(maxifs(Documents!$E$2:$E$1421,Documents!$A$2:$A$1421,$A63,Documents!$C$2:$C$1421,"kids")=0,"",maxifs(Documents!$E$2:$E$1421,Documents!$A$2:$A$1421,$A63,Documents!$C$2:$C$1421,"kids")),"")</f>
        <v/>
      </c>
      <c r="N63" s="0" t="str">
        <f aca="false">IFERROR(IF(maxifs(Documents!$E$2:$E$1421,Documents!$A$2:$A$1421,$A63,Documents!$C$2:$C$1421,"villa_plans")=0,"",maxifs(Documents!$E$2:$E$1421,Documents!$A$2:$A$1421,$A63,Documents!$C$2:$C$1421,"villa_plans")),"")</f>
        <v/>
      </c>
      <c r="O63" s="0" t="str">
        <f aca="false">IFERROR(IF(maxifs(Documents!$E$2:$E$1421,Documents!$A$2:$A$1421,$A63,Documents!$C$2:$C$1421,"all_inclusive")=0,"",maxifs(Documents!$E$2:$E$1421,Documents!$A$2:$A$1421,$A63,Documents!$C$2:$C$1421,"all_inclusive")),"")</f>
        <v/>
      </c>
      <c r="P63" s="0" t="str">
        <f aca="false">IFERROR(IF(maxifs(Documents!$E$2:$E$1421,Documents!$A$2:$A$1421,$A63,Documents!$C$2:$C$1421,"sustainability")=0,"",maxifs(Documents!$E$2:$E$1421,Documents!$A$2:$A$1421,$A63,Documents!$C$2:$C$1421,"sustainability")),"")</f>
        <v/>
      </c>
      <c r="Q63" s="0" t="str">
        <f aca="false">IFERROR(IF(maxifs(Documents!$E$2:$E$1421,Documents!$A$2:$A$1421,$A63,Documents!$C$2:$C$1421,"calendar")=0,"",maxifs(Documents!$E$2:$E$1421,Documents!$A$2:$A$1421,$A63,Documents!$C$2:$C$1421,"calendar")),"")</f>
        <v/>
      </c>
      <c r="R63" s="0" t="str">
        <f aca="false">IFERROR(IF(maxifs(Documents!$E$2:$E$1421,Documents!$A$2:$A$1421,$A63,Documents!$C$2:$C$1421,"brochure")=0,"",maxifs(Documents!$E$2:$E$1421,Documents!$A$2:$A$1421,$A63,Documents!$C$2:$C$1421,"brochure")),"")</f>
        <v/>
      </c>
      <c r="S63" s="0" t="str">
        <f aca="false">IFERROR(IF(maxifs(Documents!$E$2:$E$1421,Documents!$A$2:$A$1421,$A63,Documents!$C$2:$C$1421,"press_kit")=0,"",maxifs(Documents!$E$2:$E$1421,Documents!$A$2:$A$1421,$A63,Documents!$C$2:$C$1421,"press_kit")),"")</f>
        <v/>
      </c>
      <c r="T63" s="0" t="str">
        <f aca="false">IFERROR(IF(maxifs(Documents!$E$2:$E$1421,Documents!$A$2:$A$1421,$A63,Documents!$C$2:$C$1421,"other")=0,"",maxifs(Documents!$E$2:$E$1421,Documents!$A$2:$A$1421,$A63,Documents!$C$2:$C$1421,"other")),"")</f>
        <v/>
      </c>
      <c r="U63" s="0" t="str">
        <f aca="false">IFERROR(IF(maxifs(Documents!$E$2:$E$1421,Documents!$A$2:$A$1421,$A63,Documents!$C$2:$C$1421,"obsolete")=0,"",maxifs(Documents!$E$2:$E$1421,Documents!$A$2:$A$1421,$A63,Documents!$C$2:$C$1421,"obsolete")),"")</f>
        <v/>
      </c>
      <c r="V63" s="0" t="n">
        <f aca="false">COUNTIFS(Documents!$A$2:$A$1421,$A63)</f>
        <v>3</v>
      </c>
      <c r="W63" s="0" t="n">
        <f aca="false">COUNTIFS(Documents!$A$2:$A$1421,$A63,Documents!$R$2:$R$1421,"current")</f>
        <v>2</v>
      </c>
      <c r="X63" s="0" t="str">
        <f aca="false">HYPERLINK("https://www.neoscapesmaldives.com/wp-content/uploads/CCM-Factsheet.pdf","2021_CCM-Factsheet.pdf")</f>
        <v>2021_CCM-Factsheet.pdf</v>
      </c>
      <c r="Y63" s="0" t="s">
        <v>28</v>
      </c>
    </row>
    <row r="64" customFormat="false" ht="15" hidden="false" customHeight="false" outlineLevel="0" collapsed="false">
      <c r="A64" s="0" t="n">
        <v>63</v>
      </c>
      <c r="B64" s="0" t="s">
        <v>114</v>
      </c>
      <c r="C64" s="0" t="s">
        <v>112</v>
      </c>
      <c r="D64" s="0" t="str">
        <f aca="false">IFERROR(IF(maxifs(Documents!$E$2:$E$1421,Documents!$A$2:$A$1421,$A64,Documents!$C$2:$C$1421,"factsheet")=0,"",maxifs(Documents!$E$2:$E$1421,Documents!$A$2:$A$1421,$A64,Documents!$C$2:$C$1421,"factsheet")),"")</f>
        <v/>
      </c>
      <c r="E64" s="0" t="str">
        <f aca="false">IFERROR(IF(maxifs(Documents!$E$2:$E$1421,Documents!$A$2:$A$1421,$A64,Documents!$C$2:$C$1421,"wedding")=0,"",maxifs(Documents!$E$2:$E$1421,Documents!$A$2:$A$1421,$A64,Documents!$C$2:$C$1421,"wedding")),"")</f>
        <v/>
      </c>
      <c r="F64" s="0" t="str">
        <f aca="false">IFERROR(IF(maxifs(Documents!$E$2:$E$1421,Documents!$A$2:$A$1421,$A64,Documents!$C$2:$C$1421,"events")=0,"",maxifs(Documents!$E$2:$E$1421,Documents!$A$2:$A$1421,$A64,Documents!$C$2:$C$1421,"events")),"")</f>
        <v/>
      </c>
      <c r="G64" s="0" t="str">
        <f aca="false">IFERROR(IF(maxifs(Documents!$E$2:$E$1421,Documents!$A$2:$A$1421,$A64,Documents!$C$2:$C$1421,"map")=0,"",maxifs(Documents!$E$2:$E$1421,Documents!$A$2:$A$1421,$A64,Documents!$C$2:$C$1421,"map")),"")</f>
        <v/>
      </c>
      <c r="H64" s="0" t="str">
        <f aca="false">IFERROR(IF(maxifs(Documents!$E$2:$E$1421,Documents!$A$2:$A$1421,$A64,Documents!$C$2:$C$1421,"dive_map")=0,"",maxifs(Documents!$E$2:$E$1421,Documents!$A$2:$A$1421,$A64,Documents!$C$2:$C$1421,"dive_map")),"")</f>
        <v/>
      </c>
      <c r="I64" s="0" t="str">
        <f aca="false">IFERROR(IF(maxifs(Documents!$E$2:$E$1421,Documents!$A$2:$A$1421,$A64,Documents!$C$2:$C$1421,"spa_menu")=0,"",maxifs(Documents!$E$2:$E$1421,Documents!$A$2:$A$1421,$A64,Documents!$C$2:$C$1421,"spa_menu")),"")</f>
        <v/>
      </c>
      <c r="J64" s="0" t="str">
        <f aca="false">IFERROR(IF(maxifs(Documents!$E$2:$E$1421,Documents!$A$2:$A$1421,$A64,Documents!$C$2:$C$1421,"dining_menu")=0,"",maxifs(Documents!$E$2:$E$1421,Documents!$A$2:$A$1421,$A64,Documents!$C$2:$C$1421,"dining_menu")),"")</f>
        <v/>
      </c>
      <c r="K64" s="0" t="str">
        <f aca="false">IFERROR(IF(maxifs(Documents!$E$2:$E$1421,Documents!$A$2:$A$1421,$A64,Documents!$C$2:$C$1421,"dive_prices")=0,"",maxifs(Documents!$E$2:$E$1421,Documents!$A$2:$A$1421,$A64,Documents!$C$2:$C$1421,"dive_prices")),"")</f>
        <v/>
      </c>
      <c r="L64" s="0" t="str">
        <f aca="false">IFERROR(IF(maxifs(Documents!$E$2:$E$1421,Documents!$A$2:$A$1421,$A64,Documents!$C$2:$C$1421,"excursions")=0,"",maxifs(Documents!$E$2:$E$1421,Documents!$A$2:$A$1421,$A64,Documents!$C$2:$C$1421,"excursions")),"")</f>
        <v/>
      </c>
      <c r="M64" s="0" t="str">
        <f aca="false">IFERROR(IF(maxifs(Documents!$E$2:$E$1421,Documents!$A$2:$A$1421,$A64,Documents!$C$2:$C$1421,"kids")=0,"",maxifs(Documents!$E$2:$E$1421,Documents!$A$2:$A$1421,$A64,Documents!$C$2:$C$1421,"kids")),"")</f>
        <v/>
      </c>
      <c r="N64" s="0" t="str">
        <f aca="false">IFERROR(IF(maxifs(Documents!$E$2:$E$1421,Documents!$A$2:$A$1421,$A64,Documents!$C$2:$C$1421,"villa_plans")=0,"",maxifs(Documents!$E$2:$E$1421,Documents!$A$2:$A$1421,$A64,Documents!$C$2:$C$1421,"villa_plans")),"")</f>
        <v/>
      </c>
      <c r="O64" s="0" t="str">
        <f aca="false">IFERROR(IF(maxifs(Documents!$E$2:$E$1421,Documents!$A$2:$A$1421,$A64,Documents!$C$2:$C$1421,"all_inclusive")=0,"",maxifs(Documents!$E$2:$E$1421,Documents!$A$2:$A$1421,$A64,Documents!$C$2:$C$1421,"all_inclusive")),"")</f>
        <v/>
      </c>
      <c r="P64" s="0" t="str">
        <f aca="false">IFERROR(IF(maxifs(Documents!$E$2:$E$1421,Documents!$A$2:$A$1421,$A64,Documents!$C$2:$C$1421,"sustainability")=0,"",maxifs(Documents!$E$2:$E$1421,Documents!$A$2:$A$1421,$A64,Documents!$C$2:$C$1421,"sustainability")),"")</f>
        <v/>
      </c>
      <c r="Q64" s="0" t="str">
        <f aca="false">IFERROR(IF(maxifs(Documents!$E$2:$E$1421,Documents!$A$2:$A$1421,$A64,Documents!$C$2:$C$1421,"calendar")=0,"",maxifs(Documents!$E$2:$E$1421,Documents!$A$2:$A$1421,$A64,Documents!$C$2:$C$1421,"calendar")),"")</f>
        <v/>
      </c>
      <c r="R64" s="0" t="str">
        <f aca="false">IFERROR(IF(maxifs(Documents!$E$2:$E$1421,Documents!$A$2:$A$1421,$A64,Documents!$C$2:$C$1421,"brochure")=0,"",maxifs(Documents!$E$2:$E$1421,Documents!$A$2:$A$1421,$A64,Documents!$C$2:$C$1421,"brochure")),"")</f>
        <v/>
      </c>
      <c r="S64" s="0" t="str">
        <f aca="false">IFERROR(IF(maxifs(Documents!$E$2:$E$1421,Documents!$A$2:$A$1421,$A64,Documents!$C$2:$C$1421,"press_kit")=0,"",maxifs(Documents!$E$2:$E$1421,Documents!$A$2:$A$1421,$A64,Documents!$C$2:$C$1421,"press_kit")),"")</f>
        <v/>
      </c>
      <c r="T64" s="0" t="str">
        <f aca="false">IFERROR(IF(maxifs(Documents!$E$2:$E$1421,Documents!$A$2:$A$1421,$A64,Documents!$C$2:$C$1421,"other")=0,"",maxifs(Documents!$E$2:$E$1421,Documents!$A$2:$A$1421,$A64,Documents!$C$2:$C$1421,"other")),"")</f>
        <v/>
      </c>
      <c r="U64" s="0" t="str">
        <f aca="false">IFERROR(IF(maxifs(Documents!$E$2:$E$1421,Documents!$A$2:$A$1421,$A64,Documents!$C$2:$C$1421,"obsolete")=0,"",maxifs(Documents!$E$2:$E$1421,Documents!$A$2:$A$1421,$A64,Documents!$C$2:$C$1421,"obsolete")),"")</f>
        <v/>
      </c>
      <c r="V64" s="0" t="n">
        <f aca="false">COUNTIFS(Documents!$A$2:$A$1421,$A64)</f>
        <v>0</v>
      </c>
      <c r="W64" s="0" t="n">
        <f aca="false">COUNTIFS(Documents!$A$2:$A$1421,$A64,Documents!$R$2:$R$1421,"current")</f>
        <v>0</v>
      </c>
      <c r="Y64" s="0" t="s">
        <v>31</v>
      </c>
    </row>
    <row r="65" customFormat="false" ht="15" hidden="false" customHeight="false" outlineLevel="0" collapsed="false">
      <c r="A65" s="0" t="n">
        <v>64</v>
      </c>
      <c r="B65" s="0" t="s">
        <v>115</v>
      </c>
      <c r="C65" s="0" t="s">
        <v>30</v>
      </c>
      <c r="D65" s="0" t="str">
        <f aca="false">IFERROR(IF(maxifs(Documents!$E$2:$E$1421,Documents!$A$2:$A$1421,$A65,Documents!$C$2:$C$1421,"factsheet")=0,"",maxifs(Documents!$E$2:$E$1421,Documents!$A$2:$A$1421,$A65,Documents!$C$2:$C$1421,"factsheet")),"")</f>
        <v/>
      </c>
      <c r="E65" s="0" t="str">
        <f aca="false">IFERROR(IF(maxifs(Documents!$E$2:$E$1421,Documents!$A$2:$A$1421,$A65,Documents!$C$2:$C$1421,"wedding")=0,"",maxifs(Documents!$E$2:$E$1421,Documents!$A$2:$A$1421,$A65,Documents!$C$2:$C$1421,"wedding")),"")</f>
        <v/>
      </c>
      <c r="F65" s="0" t="str">
        <f aca="false">IFERROR(IF(maxifs(Documents!$E$2:$E$1421,Documents!$A$2:$A$1421,$A65,Documents!$C$2:$C$1421,"events")=0,"",maxifs(Documents!$E$2:$E$1421,Documents!$A$2:$A$1421,$A65,Documents!$C$2:$C$1421,"events")),"")</f>
        <v/>
      </c>
      <c r="G65" s="0" t="str">
        <f aca="false">IFERROR(IF(maxifs(Documents!$E$2:$E$1421,Documents!$A$2:$A$1421,$A65,Documents!$C$2:$C$1421,"map")=0,"",maxifs(Documents!$E$2:$E$1421,Documents!$A$2:$A$1421,$A65,Documents!$C$2:$C$1421,"map")),"")</f>
        <v/>
      </c>
      <c r="H65" s="0" t="str">
        <f aca="false">IFERROR(IF(maxifs(Documents!$E$2:$E$1421,Documents!$A$2:$A$1421,$A65,Documents!$C$2:$C$1421,"dive_map")=0,"",maxifs(Documents!$E$2:$E$1421,Documents!$A$2:$A$1421,$A65,Documents!$C$2:$C$1421,"dive_map")),"")</f>
        <v/>
      </c>
      <c r="I65" s="0" t="str">
        <f aca="false">IFERROR(IF(maxifs(Documents!$E$2:$E$1421,Documents!$A$2:$A$1421,$A65,Documents!$C$2:$C$1421,"spa_menu")=0,"",maxifs(Documents!$E$2:$E$1421,Documents!$A$2:$A$1421,$A65,Documents!$C$2:$C$1421,"spa_menu")),"")</f>
        <v/>
      </c>
      <c r="J65" s="0" t="str">
        <f aca="false">IFERROR(IF(maxifs(Documents!$E$2:$E$1421,Documents!$A$2:$A$1421,$A65,Documents!$C$2:$C$1421,"dining_menu")=0,"",maxifs(Documents!$E$2:$E$1421,Documents!$A$2:$A$1421,$A65,Documents!$C$2:$C$1421,"dining_menu")),"")</f>
        <v/>
      </c>
      <c r="K65" s="0" t="str">
        <f aca="false">IFERROR(IF(maxifs(Documents!$E$2:$E$1421,Documents!$A$2:$A$1421,$A65,Documents!$C$2:$C$1421,"dive_prices")=0,"",maxifs(Documents!$E$2:$E$1421,Documents!$A$2:$A$1421,$A65,Documents!$C$2:$C$1421,"dive_prices")),"")</f>
        <v/>
      </c>
      <c r="L65" s="0" t="str">
        <f aca="false">IFERROR(IF(maxifs(Documents!$E$2:$E$1421,Documents!$A$2:$A$1421,$A65,Documents!$C$2:$C$1421,"excursions")=0,"",maxifs(Documents!$E$2:$E$1421,Documents!$A$2:$A$1421,$A65,Documents!$C$2:$C$1421,"excursions")),"")</f>
        <v/>
      </c>
      <c r="M65" s="0" t="str">
        <f aca="false">IFERROR(IF(maxifs(Documents!$E$2:$E$1421,Documents!$A$2:$A$1421,$A65,Documents!$C$2:$C$1421,"kids")=0,"",maxifs(Documents!$E$2:$E$1421,Documents!$A$2:$A$1421,$A65,Documents!$C$2:$C$1421,"kids")),"")</f>
        <v/>
      </c>
      <c r="N65" s="0" t="str">
        <f aca="false">IFERROR(IF(maxifs(Documents!$E$2:$E$1421,Documents!$A$2:$A$1421,$A65,Documents!$C$2:$C$1421,"villa_plans")=0,"",maxifs(Documents!$E$2:$E$1421,Documents!$A$2:$A$1421,$A65,Documents!$C$2:$C$1421,"villa_plans")),"")</f>
        <v/>
      </c>
      <c r="O65" s="0" t="str">
        <f aca="false">IFERROR(IF(maxifs(Documents!$E$2:$E$1421,Documents!$A$2:$A$1421,$A65,Documents!$C$2:$C$1421,"all_inclusive")=0,"",maxifs(Documents!$E$2:$E$1421,Documents!$A$2:$A$1421,$A65,Documents!$C$2:$C$1421,"all_inclusive")),"")</f>
        <v/>
      </c>
      <c r="P65" s="0" t="str">
        <f aca="false">IFERROR(IF(maxifs(Documents!$E$2:$E$1421,Documents!$A$2:$A$1421,$A65,Documents!$C$2:$C$1421,"sustainability")=0,"",maxifs(Documents!$E$2:$E$1421,Documents!$A$2:$A$1421,$A65,Documents!$C$2:$C$1421,"sustainability")),"")</f>
        <v/>
      </c>
      <c r="Q65" s="0" t="str">
        <f aca="false">IFERROR(IF(maxifs(Documents!$E$2:$E$1421,Documents!$A$2:$A$1421,$A65,Documents!$C$2:$C$1421,"calendar")=0,"",maxifs(Documents!$E$2:$E$1421,Documents!$A$2:$A$1421,$A65,Documents!$C$2:$C$1421,"calendar")),"")</f>
        <v/>
      </c>
      <c r="R65" s="0" t="str">
        <f aca="false">IFERROR(IF(maxifs(Documents!$E$2:$E$1421,Documents!$A$2:$A$1421,$A65,Documents!$C$2:$C$1421,"brochure")=0,"",maxifs(Documents!$E$2:$E$1421,Documents!$A$2:$A$1421,$A65,Documents!$C$2:$C$1421,"brochure")),"")</f>
        <v/>
      </c>
      <c r="S65" s="0" t="str">
        <f aca="false">IFERROR(IF(maxifs(Documents!$E$2:$E$1421,Documents!$A$2:$A$1421,$A65,Documents!$C$2:$C$1421,"press_kit")=0,"",maxifs(Documents!$E$2:$E$1421,Documents!$A$2:$A$1421,$A65,Documents!$C$2:$C$1421,"press_kit")),"")</f>
        <v/>
      </c>
      <c r="T65" s="0" t="str">
        <f aca="false">IFERROR(IF(maxifs(Documents!$E$2:$E$1421,Documents!$A$2:$A$1421,$A65,Documents!$C$2:$C$1421,"other")=0,"",maxifs(Documents!$E$2:$E$1421,Documents!$A$2:$A$1421,$A65,Documents!$C$2:$C$1421,"other")),"")</f>
        <v/>
      </c>
      <c r="U65" s="0" t="str">
        <f aca="false">IFERROR(IF(maxifs(Documents!$E$2:$E$1421,Documents!$A$2:$A$1421,$A65,Documents!$C$2:$C$1421,"obsolete")=0,"",maxifs(Documents!$E$2:$E$1421,Documents!$A$2:$A$1421,$A65,Documents!$C$2:$C$1421,"obsolete")),"")</f>
        <v/>
      </c>
      <c r="V65" s="0" t="n">
        <f aca="false">COUNTIFS(Documents!$A$2:$A$1421,$A65)</f>
        <v>3</v>
      </c>
      <c r="W65" s="0" t="n">
        <f aca="false">COUNTIFS(Documents!$A$2:$A$1421,$A65,Documents!$R$2:$R$1421,"current")</f>
        <v>3</v>
      </c>
      <c r="Y65" s="0" t="s">
        <v>31</v>
      </c>
    </row>
    <row r="66" customFormat="false" ht="15" hidden="false" customHeight="false" outlineLevel="0" collapsed="false">
      <c r="A66" s="0" t="n">
        <v>65</v>
      </c>
      <c r="B66" s="0" t="s">
        <v>116</v>
      </c>
      <c r="C66" s="0" t="s">
        <v>112</v>
      </c>
      <c r="D66" s="0" t="str">
        <f aca="false">IFERROR(IF(maxifs(Documents!$E$2:$E$1421,Documents!$A$2:$A$1421,$A66,Documents!$C$2:$C$1421,"factsheet")=0,"",maxifs(Documents!$E$2:$E$1421,Documents!$A$2:$A$1421,$A66,Documents!$C$2:$C$1421,"factsheet")),"")</f>
        <v/>
      </c>
      <c r="E66" s="0" t="str">
        <f aca="false">IFERROR(IF(maxifs(Documents!$E$2:$E$1421,Documents!$A$2:$A$1421,$A66,Documents!$C$2:$C$1421,"wedding")=0,"",maxifs(Documents!$E$2:$E$1421,Documents!$A$2:$A$1421,$A66,Documents!$C$2:$C$1421,"wedding")),"")</f>
        <v/>
      </c>
      <c r="F66" s="0" t="str">
        <f aca="false">IFERROR(IF(maxifs(Documents!$E$2:$E$1421,Documents!$A$2:$A$1421,$A66,Documents!$C$2:$C$1421,"events")=0,"",maxifs(Documents!$E$2:$E$1421,Documents!$A$2:$A$1421,$A66,Documents!$C$2:$C$1421,"events")),"")</f>
        <v/>
      </c>
      <c r="G66" s="0" t="str">
        <f aca="false">IFERROR(IF(maxifs(Documents!$E$2:$E$1421,Documents!$A$2:$A$1421,$A66,Documents!$C$2:$C$1421,"map")=0,"",maxifs(Documents!$E$2:$E$1421,Documents!$A$2:$A$1421,$A66,Documents!$C$2:$C$1421,"map")),"")</f>
        <v/>
      </c>
      <c r="H66" s="0" t="str">
        <f aca="false">IFERROR(IF(maxifs(Documents!$E$2:$E$1421,Documents!$A$2:$A$1421,$A66,Documents!$C$2:$C$1421,"dive_map")=0,"",maxifs(Documents!$E$2:$E$1421,Documents!$A$2:$A$1421,$A66,Documents!$C$2:$C$1421,"dive_map")),"")</f>
        <v/>
      </c>
      <c r="I66" s="0" t="str">
        <f aca="false">IFERROR(IF(maxifs(Documents!$E$2:$E$1421,Documents!$A$2:$A$1421,$A66,Documents!$C$2:$C$1421,"spa_menu")=0,"",maxifs(Documents!$E$2:$E$1421,Documents!$A$2:$A$1421,$A66,Documents!$C$2:$C$1421,"spa_menu")),"")</f>
        <v/>
      </c>
      <c r="J66" s="0" t="str">
        <f aca="false">IFERROR(IF(maxifs(Documents!$E$2:$E$1421,Documents!$A$2:$A$1421,$A66,Documents!$C$2:$C$1421,"dining_menu")=0,"",maxifs(Documents!$E$2:$E$1421,Documents!$A$2:$A$1421,$A66,Documents!$C$2:$C$1421,"dining_menu")),"")</f>
        <v/>
      </c>
      <c r="K66" s="0" t="str">
        <f aca="false">IFERROR(IF(maxifs(Documents!$E$2:$E$1421,Documents!$A$2:$A$1421,$A66,Documents!$C$2:$C$1421,"dive_prices")=0,"",maxifs(Documents!$E$2:$E$1421,Documents!$A$2:$A$1421,$A66,Documents!$C$2:$C$1421,"dive_prices")),"")</f>
        <v/>
      </c>
      <c r="L66" s="0" t="str">
        <f aca="false">IFERROR(IF(maxifs(Documents!$E$2:$E$1421,Documents!$A$2:$A$1421,$A66,Documents!$C$2:$C$1421,"excursions")=0,"",maxifs(Documents!$E$2:$E$1421,Documents!$A$2:$A$1421,$A66,Documents!$C$2:$C$1421,"excursions")),"")</f>
        <v/>
      </c>
      <c r="M66" s="0" t="str">
        <f aca="false">IFERROR(IF(maxifs(Documents!$E$2:$E$1421,Documents!$A$2:$A$1421,$A66,Documents!$C$2:$C$1421,"kids")=0,"",maxifs(Documents!$E$2:$E$1421,Documents!$A$2:$A$1421,$A66,Documents!$C$2:$C$1421,"kids")),"")</f>
        <v/>
      </c>
      <c r="N66" s="0" t="str">
        <f aca="false">IFERROR(IF(maxifs(Documents!$E$2:$E$1421,Documents!$A$2:$A$1421,$A66,Documents!$C$2:$C$1421,"villa_plans")=0,"",maxifs(Documents!$E$2:$E$1421,Documents!$A$2:$A$1421,$A66,Documents!$C$2:$C$1421,"villa_plans")),"")</f>
        <v/>
      </c>
      <c r="O66" s="0" t="str">
        <f aca="false">IFERROR(IF(maxifs(Documents!$E$2:$E$1421,Documents!$A$2:$A$1421,$A66,Documents!$C$2:$C$1421,"all_inclusive")=0,"",maxifs(Documents!$E$2:$E$1421,Documents!$A$2:$A$1421,$A66,Documents!$C$2:$C$1421,"all_inclusive")),"")</f>
        <v/>
      </c>
      <c r="P66" s="0" t="str">
        <f aca="false">IFERROR(IF(maxifs(Documents!$E$2:$E$1421,Documents!$A$2:$A$1421,$A66,Documents!$C$2:$C$1421,"sustainability")=0,"",maxifs(Documents!$E$2:$E$1421,Documents!$A$2:$A$1421,$A66,Documents!$C$2:$C$1421,"sustainability")),"")</f>
        <v/>
      </c>
      <c r="Q66" s="0" t="str">
        <f aca="false">IFERROR(IF(maxifs(Documents!$E$2:$E$1421,Documents!$A$2:$A$1421,$A66,Documents!$C$2:$C$1421,"calendar")=0,"",maxifs(Documents!$E$2:$E$1421,Documents!$A$2:$A$1421,$A66,Documents!$C$2:$C$1421,"calendar")),"")</f>
        <v/>
      </c>
      <c r="R66" s="0" t="str">
        <f aca="false">IFERROR(IF(maxifs(Documents!$E$2:$E$1421,Documents!$A$2:$A$1421,$A66,Documents!$C$2:$C$1421,"brochure")=0,"",maxifs(Documents!$E$2:$E$1421,Documents!$A$2:$A$1421,$A66,Documents!$C$2:$C$1421,"brochure")),"")</f>
        <v/>
      </c>
      <c r="S66" s="0" t="str">
        <f aca="false">IFERROR(IF(maxifs(Documents!$E$2:$E$1421,Documents!$A$2:$A$1421,$A66,Documents!$C$2:$C$1421,"press_kit")=0,"",maxifs(Documents!$E$2:$E$1421,Documents!$A$2:$A$1421,$A66,Documents!$C$2:$C$1421,"press_kit")),"")</f>
        <v/>
      </c>
      <c r="T66" s="0" t="str">
        <f aca="false">IFERROR(IF(maxifs(Documents!$E$2:$E$1421,Documents!$A$2:$A$1421,$A66,Documents!$C$2:$C$1421,"other")=0,"",maxifs(Documents!$E$2:$E$1421,Documents!$A$2:$A$1421,$A66,Documents!$C$2:$C$1421,"other")),"")</f>
        <v/>
      </c>
      <c r="U66" s="0" t="str">
        <f aca="false">IFERROR(IF(maxifs(Documents!$E$2:$E$1421,Documents!$A$2:$A$1421,$A66,Documents!$C$2:$C$1421,"obsolete")=0,"",maxifs(Documents!$E$2:$E$1421,Documents!$A$2:$A$1421,$A66,Documents!$C$2:$C$1421,"obsolete")),"")</f>
        <v/>
      </c>
      <c r="V66" s="0" t="n">
        <f aca="false">COUNTIFS(Documents!$A$2:$A$1421,$A66)</f>
        <v>3</v>
      </c>
      <c r="W66" s="0" t="n">
        <f aca="false">COUNTIFS(Documents!$A$2:$A$1421,$A66,Documents!$R$2:$R$1421,"current")</f>
        <v>1</v>
      </c>
      <c r="X66" s="0" t="str">
        <f aca="false">HYPERLINK("https://awesomegetawaymaldives.com/wp-content/uploads/2026/04/Cheval-Blanc-Randheli.pdf","2026_Cheval-Blanc-Randheli.pdf")</f>
        <v>2026_Cheval-Blanc-Randheli.pdf</v>
      </c>
      <c r="Y66" s="0" t="s">
        <v>28</v>
      </c>
    </row>
    <row r="67" customFormat="false" ht="15" hidden="false" customHeight="false" outlineLevel="0" collapsed="false">
      <c r="A67" s="0" t="n">
        <v>66</v>
      </c>
      <c r="B67" s="0" t="s">
        <v>117</v>
      </c>
      <c r="C67" s="0" t="s">
        <v>112</v>
      </c>
      <c r="D67" s="0" t="str">
        <f aca="false">IFERROR(IF(maxifs(Documents!$E$2:$E$1421,Documents!$A$2:$A$1421,$A67,Documents!$C$2:$C$1421,"factsheet")=0,"",maxifs(Documents!$E$2:$E$1421,Documents!$A$2:$A$1421,$A67,Documents!$C$2:$C$1421,"factsheet")),"")</f>
        <v/>
      </c>
      <c r="E67" s="0" t="str">
        <f aca="false">IFERROR(IF(maxifs(Documents!$E$2:$E$1421,Documents!$A$2:$A$1421,$A67,Documents!$C$2:$C$1421,"wedding")=0,"",maxifs(Documents!$E$2:$E$1421,Documents!$A$2:$A$1421,$A67,Documents!$C$2:$C$1421,"wedding")),"")</f>
        <v/>
      </c>
      <c r="F67" s="0" t="str">
        <f aca="false">IFERROR(IF(maxifs(Documents!$E$2:$E$1421,Documents!$A$2:$A$1421,$A67,Documents!$C$2:$C$1421,"events")=0,"",maxifs(Documents!$E$2:$E$1421,Documents!$A$2:$A$1421,$A67,Documents!$C$2:$C$1421,"events")),"")</f>
        <v/>
      </c>
      <c r="G67" s="0" t="str">
        <f aca="false">IFERROR(IF(maxifs(Documents!$E$2:$E$1421,Documents!$A$2:$A$1421,$A67,Documents!$C$2:$C$1421,"map")=0,"",maxifs(Documents!$E$2:$E$1421,Documents!$A$2:$A$1421,$A67,Documents!$C$2:$C$1421,"map")),"")</f>
        <v/>
      </c>
      <c r="H67" s="0" t="str">
        <f aca="false">IFERROR(IF(maxifs(Documents!$E$2:$E$1421,Documents!$A$2:$A$1421,$A67,Documents!$C$2:$C$1421,"dive_map")=0,"",maxifs(Documents!$E$2:$E$1421,Documents!$A$2:$A$1421,$A67,Documents!$C$2:$C$1421,"dive_map")),"")</f>
        <v/>
      </c>
      <c r="I67" s="0" t="str">
        <f aca="false">IFERROR(IF(maxifs(Documents!$E$2:$E$1421,Documents!$A$2:$A$1421,$A67,Documents!$C$2:$C$1421,"spa_menu")=0,"",maxifs(Documents!$E$2:$E$1421,Documents!$A$2:$A$1421,$A67,Documents!$C$2:$C$1421,"spa_menu")),"")</f>
        <v/>
      </c>
      <c r="J67" s="0" t="str">
        <f aca="false">IFERROR(IF(maxifs(Documents!$E$2:$E$1421,Documents!$A$2:$A$1421,$A67,Documents!$C$2:$C$1421,"dining_menu")=0,"",maxifs(Documents!$E$2:$E$1421,Documents!$A$2:$A$1421,$A67,Documents!$C$2:$C$1421,"dining_menu")),"")</f>
        <v/>
      </c>
      <c r="K67" s="0" t="str">
        <f aca="false">IFERROR(IF(maxifs(Documents!$E$2:$E$1421,Documents!$A$2:$A$1421,$A67,Documents!$C$2:$C$1421,"dive_prices")=0,"",maxifs(Documents!$E$2:$E$1421,Documents!$A$2:$A$1421,$A67,Documents!$C$2:$C$1421,"dive_prices")),"")</f>
        <v/>
      </c>
      <c r="L67" s="0" t="str">
        <f aca="false">IFERROR(IF(maxifs(Documents!$E$2:$E$1421,Documents!$A$2:$A$1421,$A67,Documents!$C$2:$C$1421,"excursions")=0,"",maxifs(Documents!$E$2:$E$1421,Documents!$A$2:$A$1421,$A67,Documents!$C$2:$C$1421,"excursions")),"")</f>
        <v/>
      </c>
      <c r="M67" s="0" t="str">
        <f aca="false">IFERROR(IF(maxifs(Documents!$E$2:$E$1421,Documents!$A$2:$A$1421,$A67,Documents!$C$2:$C$1421,"kids")=0,"",maxifs(Documents!$E$2:$E$1421,Documents!$A$2:$A$1421,$A67,Documents!$C$2:$C$1421,"kids")),"")</f>
        <v/>
      </c>
      <c r="N67" s="0" t="str">
        <f aca="false">IFERROR(IF(maxifs(Documents!$E$2:$E$1421,Documents!$A$2:$A$1421,$A67,Documents!$C$2:$C$1421,"villa_plans")=0,"",maxifs(Documents!$E$2:$E$1421,Documents!$A$2:$A$1421,$A67,Documents!$C$2:$C$1421,"villa_plans")),"")</f>
        <v/>
      </c>
      <c r="O67" s="0" t="str">
        <f aca="false">IFERROR(IF(maxifs(Documents!$E$2:$E$1421,Documents!$A$2:$A$1421,$A67,Documents!$C$2:$C$1421,"all_inclusive")=0,"",maxifs(Documents!$E$2:$E$1421,Documents!$A$2:$A$1421,$A67,Documents!$C$2:$C$1421,"all_inclusive")),"")</f>
        <v/>
      </c>
      <c r="P67" s="0" t="str">
        <f aca="false">IFERROR(IF(maxifs(Documents!$E$2:$E$1421,Documents!$A$2:$A$1421,$A67,Documents!$C$2:$C$1421,"sustainability")=0,"",maxifs(Documents!$E$2:$E$1421,Documents!$A$2:$A$1421,$A67,Documents!$C$2:$C$1421,"sustainability")),"")</f>
        <v/>
      </c>
      <c r="Q67" s="0" t="str">
        <f aca="false">IFERROR(IF(maxifs(Documents!$E$2:$E$1421,Documents!$A$2:$A$1421,$A67,Documents!$C$2:$C$1421,"calendar")=0,"",maxifs(Documents!$E$2:$E$1421,Documents!$A$2:$A$1421,$A67,Documents!$C$2:$C$1421,"calendar")),"")</f>
        <v/>
      </c>
      <c r="R67" s="0" t="str">
        <f aca="false">IFERROR(IF(maxifs(Documents!$E$2:$E$1421,Documents!$A$2:$A$1421,$A67,Documents!$C$2:$C$1421,"brochure")=0,"",maxifs(Documents!$E$2:$E$1421,Documents!$A$2:$A$1421,$A67,Documents!$C$2:$C$1421,"brochure")),"")</f>
        <v/>
      </c>
      <c r="S67" s="0" t="str">
        <f aca="false">IFERROR(IF(maxifs(Documents!$E$2:$E$1421,Documents!$A$2:$A$1421,$A67,Documents!$C$2:$C$1421,"press_kit")=0,"",maxifs(Documents!$E$2:$E$1421,Documents!$A$2:$A$1421,$A67,Documents!$C$2:$C$1421,"press_kit")),"")</f>
        <v/>
      </c>
      <c r="T67" s="0" t="str">
        <f aca="false">IFERROR(IF(maxifs(Documents!$E$2:$E$1421,Documents!$A$2:$A$1421,$A67,Documents!$C$2:$C$1421,"other")=0,"",maxifs(Documents!$E$2:$E$1421,Documents!$A$2:$A$1421,$A67,Documents!$C$2:$C$1421,"other")),"")</f>
        <v/>
      </c>
      <c r="U67" s="0" t="str">
        <f aca="false">IFERROR(IF(maxifs(Documents!$E$2:$E$1421,Documents!$A$2:$A$1421,$A67,Documents!$C$2:$C$1421,"obsolete")=0,"",maxifs(Documents!$E$2:$E$1421,Documents!$A$2:$A$1421,$A67,Documents!$C$2:$C$1421,"obsolete")),"")</f>
        <v/>
      </c>
      <c r="V67" s="0" t="n">
        <f aca="false">COUNTIFS(Documents!$A$2:$A$1421,$A67)</f>
        <v>2</v>
      </c>
      <c r="W67" s="0" t="n">
        <f aca="false">COUNTIFS(Documents!$A$2:$A$1421,$A67,Documents!$R$2:$R$1421,"current")</f>
        <v>0</v>
      </c>
      <c r="X67" s="0" t="str">
        <f aca="false">HYPERLINK("https://neoscapesmaldives.com/wp-content/uploads/COMO-Maalifushi-Fact-Sheet.pdf","2019_COMO-Maalifushi-Fact-Sheet.pdf")</f>
        <v>2019_COMO-Maalifushi-Fact-Sheet.pdf</v>
      </c>
      <c r="Y67" s="0" t="s">
        <v>28</v>
      </c>
    </row>
    <row r="68" customFormat="false" ht="15" hidden="false" customHeight="false" outlineLevel="0" collapsed="false">
      <c r="A68" s="0" t="n">
        <v>67</v>
      </c>
      <c r="B68" s="0" t="s">
        <v>118</v>
      </c>
      <c r="C68" s="0" t="s">
        <v>112</v>
      </c>
      <c r="D68" s="0" t="str">
        <f aca="false">IFERROR(IF(maxifs(Documents!$E$2:$E$1421,Documents!$A$2:$A$1421,$A68,Documents!$C$2:$C$1421,"factsheet")=0,"",maxifs(Documents!$E$2:$E$1421,Documents!$A$2:$A$1421,$A68,Documents!$C$2:$C$1421,"factsheet")),"")</f>
        <v/>
      </c>
      <c r="E68" s="0" t="str">
        <f aca="false">IFERROR(IF(maxifs(Documents!$E$2:$E$1421,Documents!$A$2:$A$1421,$A68,Documents!$C$2:$C$1421,"wedding")=0,"",maxifs(Documents!$E$2:$E$1421,Documents!$A$2:$A$1421,$A68,Documents!$C$2:$C$1421,"wedding")),"")</f>
        <v/>
      </c>
      <c r="F68" s="0" t="str">
        <f aca="false">IFERROR(IF(maxifs(Documents!$E$2:$E$1421,Documents!$A$2:$A$1421,$A68,Documents!$C$2:$C$1421,"events")=0,"",maxifs(Documents!$E$2:$E$1421,Documents!$A$2:$A$1421,$A68,Documents!$C$2:$C$1421,"events")),"")</f>
        <v/>
      </c>
      <c r="G68" s="0" t="str">
        <f aca="false">IFERROR(IF(maxifs(Documents!$E$2:$E$1421,Documents!$A$2:$A$1421,$A68,Documents!$C$2:$C$1421,"map")=0,"",maxifs(Documents!$E$2:$E$1421,Documents!$A$2:$A$1421,$A68,Documents!$C$2:$C$1421,"map")),"")</f>
        <v/>
      </c>
      <c r="H68" s="0" t="str">
        <f aca="false">IFERROR(IF(maxifs(Documents!$E$2:$E$1421,Documents!$A$2:$A$1421,$A68,Documents!$C$2:$C$1421,"dive_map")=0,"",maxifs(Documents!$E$2:$E$1421,Documents!$A$2:$A$1421,$A68,Documents!$C$2:$C$1421,"dive_map")),"")</f>
        <v/>
      </c>
      <c r="I68" s="0" t="str">
        <f aca="false">IFERROR(IF(maxifs(Documents!$E$2:$E$1421,Documents!$A$2:$A$1421,$A68,Documents!$C$2:$C$1421,"spa_menu")=0,"",maxifs(Documents!$E$2:$E$1421,Documents!$A$2:$A$1421,$A68,Documents!$C$2:$C$1421,"spa_menu")),"")</f>
        <v/>
      </c>
      <c r="J68" s="0" t="str">
        <f aca="false">IFERROR(IF(maxifs(Documents!$E$2:$E$1421,Documents!$A$2:$A$1421,$A68,Documents!$C$2:$C$1421,"dining_menu")=0,"",maxifs(Documents!$E$2:$E$1421,Documents!$A$2:$A$1421,$A68,Documents!$C$2:$C$1421,"dining_menu")),"")</f>
        <v/>
      </c>
      <c r="K68" s="0" t="str">
        <f aca="false">IFERROR(IF(maxifs(Documents!$E$2:$E$1421,Documents!$A$2:$A$1421,$A68,Documents!$C$2:$C$1421,"dive_prices")=0,"",maxifs(Documents!$E$2:$E$1421,Documents!$A$2:$A$1421,$A68,Documents!$C$2:$C$1421,"dive_prices")),"")</f>
        <v/>
      </c>
      <c r="L68" s="0" t="str">
        <f aca="false">IFERROR(IF(maxifs(Documents!$E$2:$E$1421,Documents!$A$2:$A$1421,$A68,Documents!$C$2:$C$1421,"excursions")=0,"",maxifs(Documents!$E$2:$E$1421,Documents!$A$2:$A$1421,$A68,Documents!$C$2:$C$1421,"excursions")),"")</f>
        <v/>
      </c>
      <c r="M68" s="0" t="str">
        <f aca="false">IFERROR(IF(maxifs(Documents!$E$2:$E$1421,Documents!$A$2:$A$1421,$A68,Documents!$C$2:$C$1421,"kids")=0,"",maxifs(Documents!$E$2:$E$1421,Documents!$A$2:$A$1421,$A68,Documents!$C$2:$C$1421,"kids")),"")</f>
        <v/>
      </c>
      <c r="N68" s="0" t="str">
        <f aca="false">IFERROR(IF(maxifs(Documents!$E$2:$E$1421,Documents!$A$2:$A$1421,$A68,Documents!$C$2:$C$1421,"villa_plans")=0,"",maxifs(Documents!$E$2:$E$1421,Documents!$A$2:$A$1421,$A68,Documents!$C$2:$C$1421,"villa_plans")),"")</f>
        <v/>
      </c>
      <c r="O68" s="0" t="str">
        <f aca="false">IFERROR(IF(maxifs(Documents!$E$2:$E$1421,Documents!$A$2:$A$1421,$A68,Documents!$C$2:$C$1421,"all_inclusive")=0,"",maxifs(Documents!$E$2:$E$1421,Documents!$A$2:$A$1421,$A68,Documents!$C$2:$C$1421,"all_inclusive")),"")</f>
        <v/>
      </c>
      <c r="P68" s="0" t="str">
        <f aca="false">IFERROR(IF(maxifs(Documents!$E$2:$E$1421,Documents!$A$2:$A$1421,$A68,Documents!$C$2:$C$1421,"sustainability")=0,"",maxifs(Documents!$E$2:$E$1421,Documents!$A$2:$A$1421,$A68,Documents!$C$2:$C$1421,"sustainability")),"")</f>
        <v/>
      </c>
      <c r="Q68" s="0" t="str">
        <f aca="false">IFERROR(IF(maxifs(Documents!$E$2:$E$1421,Documents!$A$2:$A$1421,$A68,Documents!$C$2:$C$1421,"calendar")=0,"",maxifs(Documents!$E$2:$E$1421,Documents!$A$2:$A$1421,$A68,Documents!$C$2:$C$1421,"calendar")),"")</f>
        <v/>
      </c>
      <c r="R68" s="0" t="str">
        <f aca="false">IFERROR(IF(maxifs(Documents!$E$2:$E$1421,Documents!$A$2:$A$1421,$A68,Documents!$C$2:$C$1421,"brochure")=0,"",maxifs(Documents!$E$2:$E$1421,Documents!$A$2:$A$1421,$A68,Documents!$C$2:$C$1421,"brochure")),"")</f>
        <v/>
      </c>
      <c r="S68" s="0" t="str">
        <f aca="false">IFERROR(IF(maxifs(Documents!$E$2:$E$1421,Documents!$A$2:$A$1421,$A68,Documents!$C$2:$C$1421,"press_kit")=0,"",maxifs(Documents!$E$2:$E$1421,Documents!$A$2:$A$1421,$A68,Documents!$C$2:$C$1421,"press_kit")),"")</f>
        <v/>
      </c>
      <c r="T68" s="0" t="str">
        <f aca="false">IFERROR(IF(maxifs(Documents!$E$2:$E$1421,Documents!$A$2:$A$1421,$A68,Documents!$C$2:$C$1421,"other")=0,"",maxifs(Documents!$E$2:$E$1421,Documents!$A$2:$A$1421,$A68,Documents!$C$2:$C$1421,"other")),"")</f>
        <v/>
      </c>
      <c r="U68" s="0" t="str">
        <f aca="false">IFERROR(IF(maxifs(Documents!$E$2:$E$1421,Documents!$A$2:$A$1421,$A68,Documents!$C$2:$C$1421,"obsolete")=0,"",maxifs(Documents!$E$2:$E$1421,Documents!$A$2:$A$1421,$A68,Documents!$C$2:$C$1421,"obsolete")),"")</f>
        <v/>
      </c>
      <c r="V68" s="0" t="n">
        <f aca="false">COUNTIFS(Documents!$A$2:$A$1421,$A68)</f>
        <v>5</v>
      </c>
      <c r="W68" s="0" t="n">
        <f aca="false">COUNTIFS(Documents!$A$2:$A$1421,$A68,Documents!$R$2:$R$1421,"current")</f>
        <v>4</v>
      </c>
      <c r="X68" s="0" t="str">
        <f aca="false">HYPERLINK("https://www.neoscapesmaldives.com/wp-content/uploads/Fact-Sheet.pdf","2025_Fact-Sheet.pdf")</f>
        <v>2025_Fact-Sheet.pdf</v>
      </c>
      <c r="Y68" s="0" t="s">
        <v>28</v>
      </c>
    </row>
    <row r="69" customFormat="false" ht="15" hidden="false" customHeight="false" outlineLevel="0" collapsed="false">
      <c r="A69" s="0" t="n">
        <v>68</v>
      </c>
      <c r="B69" s="0" t="s">
        <v>119</v>
      </c>
      <c r="C69" s="0" t="s">
        <v>112</v>
      </c>
      <c r="D69" s="0" t="str">
        <f aca="false">IFERROR(IF(maxifs(Documents!$E$2:$E$1421,Documents!$A$2:$A$1421,$A69,Documents!$C$2:$C$1421,"factsheet")=0,"",maxifs(Documents!$E$2:$E$1421,Documents!$A$2:$A$1421,$A69,Documents!$C$2:$C$1421,"factsheet")),"")</f>
        <v/>
      </c>
      <c r="E69" s="0" t="str">
        <f aca="false">IFERROR(IF(maxifs(Documents!$E$2:$E$1421,Documents!$A$2:$A$1421,$A69,Documents!$C$2:$C$1421,"wedding")=0,"",maxifs(Documents!$E$2:$E$1421,Documents!$A$2:$A$1421,$A69,Documents!$C$2:$C$1421,"wedding")),"")</f>
        <v/>
      </c>
      <c r="F69" s="0" t="str">
        <f aca="false">IFERROR(IF(maxifs(Documents!$E$2:$E$1421,Documents!$A$2:$A$1421,$A69,Documents!$C$2:$C$1421,"events")=0,"",maxifs(Documents!$E$2:$E$1421,Documents!$A$2:$A$1421,$A69,Documents!$C$2:$C$1421,"events")),"")</f>
        <v/>
      </c>
      <c r="G69" s="0" t="str">
        <f aca="false">IFERROR(IF(maxifs(Documents!$E$2:$E$1421,Documents!$A$2:$A$1421,$A69,Documents!$C$2:$C$1421,"map")=0,"",maxifs(Documents!$E$2:$E$1421,Documents!$A$2:$A$1421,$A69,Documents!$C$2:$C$1421,"map")),"")</f>
        <v/>
      </c>
      <c r="H69" s="0" t="str">
        <f aca="false">IFERROR(IF(maxifs(Documents!$E$2:$E$1421,Documents!$A$2:$A$1421,$A69,Documents!$C$2:$C$1421,"dive_map")=0,"",maxifs(Documents!$E$2:$E$1421,Documents!$A$2:$A$1421,$A69,Documents!$C$2:$C$1421,"dive_map")),"")</f>
        <v/>
      </c>
      <c r="I69" s="0" t="str">
        <f aca="false">IFERROR(IF(maxifs(Documents!$E$2:$E$1421,Documents!$A$2:$A$1421,$A69,Documents!$C$2:$C$1421,"spa_menu")=0,"",maxifs(Documents!$E$2:$E$1421,Documents!$A$2:$A$1421,$A69,Documents!$C$2:$C$1421,"spa_menu")),"")</f>
        <v/>
      </c>
      <c r="J69" s="0" t="str">
        <f aca="false">IFERROR(IF(maxifs(Documents!$E$2:$E$1421,Documents!$A$2:$A$1421,$A69,Documents!$C$2:$C$1421,"dining_menu")=0,"",maxifs(Documents!$E$2:$E$1421,Documents!$A$2:$A$1421,$A69,Documents!$C$2:$C$1421,"dining_menu")),"")</f>
        <v/>
      </c>
      <c r="K69" s="0" t="str">
        <f aca="false">IFERROR(IF(maxifs(Documents!$E$2:$E$1421,Documents!$A$2:$A$1421,$A69,Documents!$C$2:$C$1421,"dive_prices")=0,"",maxifs(Documents!$E$2:$E$1421,Documents!$A$2:$A$1421,$A69,Documents!$C$2:$C$1421,"dive_prices")),"")</f>
        <v/>
      </c>
      <c r="L69" s="0" t="str">
        <f aca="false">IFERROR(IF(maxifs(Documents!$E$2:$E$1421,Documents!$A$2:$A$1421,$A69,Documents!$C$2:$C$1421,"excursions")=0,"",maxifs(Documents!$E$2:$E$1421,Documents!$A$2:$A$1421,$A69,Documents!$C$2:$C$1421,"excursions")),"")</f>
        <v/>
      </c>
      <c r="M69" s="0" t="str">
        <f aca="false">IFERROR(IF(maxifs(Documents!$E$2:$E$1421,Documents!$A$2:$A$1421,$A69,Documents!$C$2:$C$1421,"kids")=0,"",maxifs(Documents!$E$2:$E$1421,Documents!$A$2:$A$1421,$A69,Documents!$C$2:$C$1421,"kids")),"")</f>
        <v/>
      </c>
      <c r="N69" s="0" t="str">
        <f aca="false">IFERROR(IF(maxifs(Documents!$E$2:$E$1421,Documents!$A$2:$A$1421,$A69,Documents!$C$2:$C$1421,"villa_plans")=0,"",maxifs(Documents!$E$2:$E$1421,Documents!$A$2:$A$1421,$A69,Documents!$C$2:$C$1421,"villa_plans")),"")</f>
        <v/>
      </c>
      <c r="O69" s="0" t="str">
        <f aca="false">IFERROR(IF(maxifs(Documents!$E$2:$E$1421,Documents!$A$2:$A$1421,$A69,Documents!$C$2:$C$1421,"all_inclusive")=0,"",maxifs(Documents!$E$2:$E$1421,Documents!$A$2:$A$1421,$A69,Documents!$C$2:$C$1421,"all_inclusive")),"")</f>
        <v/>
      </c>
      <c r="P69" s="0" t="str">
        <f aca="false">IFERROR(IF(maxifs(Documents!$E$2:$E$1421,Documents!$A$2:$A$1421,$A69,Documents!$C$2:$C$1421,"sustainability")=0,"",maxifs(Documents!$E$2:$E$1421,Documents!$A$2:$A$1421,$A69,Documents!$C$2:$C$1421,"sustainability")),"")</f>
        <v/>
      </c>
      <c r="Q69" s="0" t="str">
        <f aca="false">IFERROR(IF(maxifs(Documents!$E$2:$E$1421,Documents!$A$2:$A$1421,$A69,Documents!$C$2:$C$1421,"calendar")=0,"",maxifs(Documents!$E$2:$E$1421,Documents!$A$2:$A$1421,$A69,Documents!$C$2:$C$1421,"calendar")),"")</f>
        <v/>
      </c>
      <c r="R69" s="0" t="str">
        <f aca="false">IFERROR(IF(maxifs(Documents!$E$2:$E$1421,Documents!$A$2:$A$1421,$A69,Documents!$C$2:$C$1421,"brochure")=0,"",maxifs(Documents!$E$2:$E$1421,Documents!$A$2:$A$1421,$A69,Documents!$C$2:$C$1421,"brochure")),"")</f>
        <v/>
      </c>
      <c r="S69" s="0" t="str">
        <f aca="false">IFERROR(IF(maxifs(Documents!$E$2:$E$1421,Documents!$A$2:$A$1421,$A69,Documents!$C$2:$C$1421,"press_kit")=0,"",maxifs(Documents!$E$2:$E$1421,Documents!$A$2:$A$1421,$A69,Documents!$C$2:$C$1421,"press_kit")),"")</f>
        <v/>
      </c>
      <c r="T69" s="0" t="str">
        <f aca="false">IFERROR(IF(maxifs(Documents!$E$2:$E$1421,Documents!$A$2:$A$1421,$A69,Documents!$C$2:$C$1421,"other")=0,"",maxifs(Documents!$E$2:$E$1421,Documents!$A$2:$A$1421,$A69,Documents!$C$2:$C$1421,"other")),"")</f>
        <v/>
      </c>
      <c r="U69" s="0" t="str">
        <f aca="false">IFERROR(IF(maxifs(Documents!$E$2:$E$1421,Documents!$A$2:$A$1421,$A69,Documents!$C$2:$C$1421,"obsolete")=0,"",maxifs(Documents!$E$2:$E$1421,Documents!$A$2:$A$1421,$A69,Documents!$C$2:$C$1421,"obsolete")),"")</f>
        <v/>
      </c>
      <c r="V69" s="0" t="n">
        <f aca="false">COUNTIFS(Documents!$A$2:$A$1421,$A69)</f>
        <v>3</v>
      </c>
      <c r="W69" s="0" t="n">
        <f aca="false">COUNTIFS(Documents!$A$2:$A$1421,$A69,Documents!$R$2:$R$1421,"current")</f>
        <v>1</v>
      </c>
      <c r="X69" s="0" t="str">
        <f aca="false">HYPERLINK("https://www.neoscapesmaldives.com/wp-content/uploads/ja-jam-factsheet-digital.pdf","2024_ja-jam-factsheet-digital.pdf")</f>
        <v>2024_ja-jam-factsheet-digital.pdf</v>
      </c>
      <c r="Y69" s="0" t="s">
        <v>28</v>
      </c>
    </row>
    <row r="70" customFormat="false" ht="15" hidden="false" customHeight="false" outlineLevel="0" collapsed="false">
      <c r="A70" s="0" t="n">
        <v>69</v>
      </c>
      <c r="B70" s="0" t="s">
        <v>120</v>
      </c>
      <c r="C70" s="0" t="s">
        <v>112</v>
      </c>
      <c r="D70" s="0" t="str">
        <f aca="false">IFERROR(IF(maxifs(Documents!$E$2:$E$1421,Documents!$A$2:$A$1421,$A70,Documents!$C$2:$C$1421,"factsheet")=0,"",maxifs(Documents!$E$2:$E$1421,Documents!$A$2:$A$1421,$A70,Documents!$C$2:$C$1421,"factsheet")),"")</f>
        <v/>
      </c>
      <c r="E70" s="0" t="str">
        <f aca="false">IFERROR(IF(maxifs(Documents!$E$2:$E$1421,Documents!$A$2:$A$1421,$A70,Documents!$C$2:$C$1421,"wedding")=0,"",maxifs(Documents!$E$2:$E$1421,Documents!$A$2:$A$1421,$A70,Documents!$C$2:$C$1421,"wedding")),"")</f>
        <v/>
      </c>
      <c r="F70" s="0" t="str">
        <f aca="false">IFERROR(IF(maxifs(Documents!$E$2:$E$1421,Documents!$A$2:$A$1421,$A70,Documents!$C$2:$C$1421,"events")=0,"",maxifs(Documents!$E$2:$E$1421,Documents!$A$2:$A$1421,$A70,Documents!$C$2:$C$1421,"events")),"")</f>
        <v/>
      </c>
      <c r="G70" s="0" t="str">
        <f aca="false">IFERROR(IF(maxifs(Documents!$E$2:$E$1421,Documents!$A$2:$A$1421,$A70,Documents!$C$2:$C$1421,"map")=0,"",maxifs(Documents!$E$2:$E$1421,Documents!$A$2:$A$1421,$A70,Documents!$C$2:$C$1421,"map")),"")</f>
        <v/>
      </c>
      <c r="H70" s="0" t="str">
        <f aca="false">IFERROR(IF(maxifs(Documents!$E$2:$E$1421,Documents!$A$2:$A$1421,$A70,Documents!$C$2:$C$1421,"dive_map")=0,"",maxifs(Documents!$E$2:$E$1421,Documents!$A$2:$A$1421,$A70,Documents!$C$2:$C$1421,"dive_map")),"")</f>
        <v/>
      </c>
      <c r="I70" s="0" t="str">
        <f aca="false">IFERROR(IF(maxifs(Documents!$E$2:$E$1421,Documents!$A$2:$A$1421,$A70,Documents!$C$2:$C$1421,"spa_menu")=0,"",maxifs(Documents!$E$2:$E$1421,Documents!$A$2:$A$1421,$A70,Documents!$C$2:$C$1421,"spa_menu")),"")</f>
        <v/>
      </c>
      <c r="J70" s="0" t="str">
        <f aca="false">IFERROR(IF(maxifs(Documents!$E$2:$E$1421,Documents!$A$2:$A$1421,$A70,Documents!$C$2:$C$1421,"dining_menu")=0,"",maxifs(Documents!$E$2:$E$1421,Documents!$A$2:$A$1421,$A70,Documents!$C$2:$C$1421,"dining_menu")),"")</f>
        <v/>
      </c>
      <c r="K70" s="0" t="str">
        <f aca="false">IFERROR(IF(maxifs(Documents!$E$2:$E$1421,Documents!$A$2:$A$1421,$A70,Documents!$C$2:$C$1421,"dive_prices")=0,"",maxifs(Documents!$E$2:$E$1421,Documents!$A$2:$A$1421,$A70,Documents!$C$2:$C$1421,"dive_prices")),"")</f>
        <v/>
      </c>
      <c r="L70" s="0" t="str">
        <f aca="false">IFERROR(IF(maxifs(Documents!$E$2:$E$1421,Documents!$A$2:$A$1421,$A70,Documents!$C$2:$C$1421,"excursions")=0,"",maxifs(Documents!$E$2:$E$1421,Documents!$A$2:$A$1421,$A70,Documents!$C$2:$C$1421,"excursions")),"")</f>
        <v/>
      </c>
      <c r="M70" s="0" t="str">
        <f aca="false">IFERROR(IF(maxifs(Documents!$E$2:$E$1421,Documents!$A$2:$A$1421,$A70,Documents!$C$2:$C$1421,"kids")=0,"",maxifs(Documents!$E$2:$E$1421,Documents!$A$2:$A$1421,$A70,Documents!$C$2:$C$1421,"kids")),"")</f>
        <v/>
      </c>
      <c r="N70" s="0" t="str">
        <f aca="false">IFERROR(IF(maxifs(Documents!$E$2:$E$1421,Documents!$A$2:$A$1421,$A70,Documents!$C$2:$C$1421,"villa_plans")=0,"",maxifs(Documents!$E$2:$E$1421,Documents!$A$2:$A$1421,$A70,Documents!$C$2:$C$1421,"villa_plans")),"")</f>
        <v/>
      </c>
      <c r="O70" s="0" t="str">
        <f aca="false">IFERROR(IF(maxifs(Documents!$E$2:$E$1421,Documents!$A$2:$A$1421,$A70,Documents!$C$2:$C$1421,"all_inclusive")=0,"",maxifs(Documents!$E$2:$E$1421,Documents!$A$2:$A$1421,$A70,Documents!$C$2:$C$1421,"all_inclusive")),"")</f>
        <v/>
      </c>
      <c r="P70" s="0" t="str">
        <f aca="false">IFERROR(IF(maxifs(Documents!$E$2:$E$1421,Documents!$A$2:$A$1421,$A70,Documents!$C$2:$C$1421,"sustainability")=0,"",maxifs(Documents!$E$2:$E$1421,Documents!$A$2:$A$1421,$A70,Documents!$C$2:$C$1421,"sustainability")),"")</f>
        <v/>
      </c>
      <c r="Q70" s="0" t="str">
        <f aca="false">IFERROR(IF(maxifs(Documents!$E$2:$E$1421,Documents!$A$2:$A$1421,$A70,Documents!$C$2:$C$1421,"calendar")=0,"",maxifs(Documents!$E$2:$E$1421,Documents!$A$2:$A$1421,$A70,Documents!$C$2:$C$1421,"calendar")),"")</f>
        <v/>
      </c>
      <c r="R70" s="0" t="str">
        <f aca="false">IFERROR(IF(maxifs(Documents!$E$2:$E$1421,Documents!$A$2:$A$1421,$A70,Documents!$C$2:$C$1421,"brochure")=0,"",maxifs(Documents!$E$2:$E$1421,Documents!$A$2:$A$1421,$A70,Documents!$C$2:$C$1421,"brochure")),"")</f>
        <v/>
      </c>
      <c r="S70" s="0" t="str">
        <f aca="false">IFERROR(IF(maxifs(Documents!$E$2:$E$1421,Documents!$A$2:$A$1421,$A70,Documents!$C$2:$C$1421,"press_kit")=0,"",maxifs(Documents!$E$2:$E$1421,Documents!$A$2:$A$1421,$A70,Documents!$C$2:$C$1421,"press_kit")),"")</f>
        <v/>
      </c>
      <c r="T70" s="0" t="str">
        <f aca="false">IFERROR(IF(maxifs(Documents!$E$2:$E$1421,Documents!$A$2:$A$1421,$A70,Documents!$C$2:$C$1421,"other")=0,"",maxifs(Documents!$E$2:$E$1421,Documents!$A$2:$A$1421,$A70,Documents!$C$2:$C$1421,"other")),"")</f>
        <v/>
      </c>
      <c r="U70" s="0" t="str">
        <f aca="false">IFERROR(IF(maxifs(Documents!$E$2:$E$1421,Documents!$A$2:$A$1421,$A70,Documents!$C$2:$C$1421,"obsolete")=0,"",maxifs(Documents!$E$2:$E$1421,Documents!$A$2:$A$1421,$A70,Documents!$C$2:$C$1421,"obsolete")),"")</f>
        <v/>
      </c>
      <c r="V70" s="0" t="n">
        <f aca="false">COUNTIFS(Documents!$A$2:$A$1421,$A70)</f>
        <v>8</v>
      </c>
      <c r="W70" s="0" t="n">
        <f aca="false">COUNTIFS(Documents!$A$2:$A$1421,$A70,Documents!$R$2:$R$1421,"current")</f>
        <v>2</v>
      </c>
      <c r="X70" s="0" t="str">
        <f aca="false">HYPERLINK("https://www.neoscapesmaldives.com/wp-content/uploads/Fact-Sheet-Adaaran-Club-Rannalhi.pdf","2025_Fact-Sheet-Adaaran-Club-Rannalhi.pd")</f>
        <v>2025_Fact-Sheet-Adaaran-Club-Rannalhi.pd</v>
      </c>
      <c r="Y70" s="0" t="s">
        <v>28</v>
      </c>
    </row>
    <row r="71" customFormat="false" ht="15" hidden="false" customHeight="false" outlineLevel="0" collapsed="false">
      <c r="A71" s="0" t="n">
        <v>70</v>
      </c>
      <c r="B71" s="0" t="s">
        <v>121</v>
      </c>
      <c r="C71" s="0" t="s">
        <v>112</v>
      </c>
      <c r="D71" s="0" t="str">
        <f aca="false">IFERROR(IF(maxifs(Documents!$E$2:$E$1421,Documents!$A$2:$A$1421,$A71,Documents!$C$2:$C$1421,"factsheet")=0,"",maxifs(Documents!$E$2:$E$1421,Documents!$A$2:$A$1421,$A71,Documents!$C$2:$C$1421,"factsheet")),"")</f>
        <v/>
      </c>
      <c r="E71" s="0" t="str">
        <f aca="false">IFERROR(IF(maxifs(Documents!$E$2:$E$1421,Documents!$A$2:$A$1421,$A71,Documents!$C$2:$C$1421,"wedding")=0,"",maxifs(Documents!$E$2:$E$1421,Documents!$A$2:$A$1421,$A71,Documents!$C$2:$C$1421,"wedding")),"")</f>
        <v/>
      </c>
      <c r="F71" s="0" t="str">
        <f aca="false">IFERROR(IF(maxifs(Documents!$E$2:$E$1421,Documents!$A$2:$A$1421,$A71,Documents!$C$2:$C$1421,"events")=0,"",maxifs(Documents!$E$2:$E$1421,Documents!$A$2:$A$1421,$A71,Documents!$C$2:$C$1421,"events")),"")</f>
        <v/>
      </c>
      <c r="G71" s="0" t="str">
        <f aca="false">IFERROR(IF(maxifs(Documents!$E$2:$E$1421,Documents!$A$2:$A$1421,$A71,Documents!$C$2:$C$1421,"map")=0,"",maxifs(Documents!$E$2:$E$1421,Documents!$A$2:$A$1421,$A71,Documents!$C$2:$C$1421,"map")),"")</f>
        <v/>
      </c>
      <c r="H71" s="0" t="str">
        <f aca="false">IFERROR(IF(maxifs(Documents!$E$2:$E$1421,Documents!$A$2:$A$1421,$A71,Documents!$C$2:$C$1421,"dive_map")=0,"",maxifs(Documents!$E$2:$E$1421,Documents!$A$2:$A$1421,$A71,Documents!$C$2:$C$1421,"dive_map")),"")</f>
        <v/>
      </c>
      <c r="I71" s="0" t="str">
        <f aca="false">IFERROR(IF(maxifs(Documents!$E$2:$E$1421,Documents!$A$2:$A$1421,$A71,Documents!$C$2:$C$1421,"spa_menu")=0,"",maxifs(Documents!$E$2:$E$1421,Documents!$A$2:$A$1421,$A71,Documents!$C$2:$C$1421,"spa_menu")),"")</f>
        <v/>
      </c>
      <c r="J71" s="0" t="str">
        <f aca="false">IFERROR(IF(maxifs(Documents!$E$2:$E$1421,Documents!$A$2:$A$1421,$A71,Documents!$C$2:$C$1421,"dining_menu")=0,"",maxifs(Documents!$E$2:$E$1421,Documents!$A$2:$A$1421,$A71,Documents!$C$2:$C$1421,"dining_menu")),"")</f>
        <v/>
      </c>
      <c r="K71" s="0" t="str">
        <f aca="false">IFERROR(IF(maxifs(Documents!$E$2:$E$1421,Documents!$A$2:$A$1421,$A71,Documents!$C$2:$C$1421,"dive_prices")=0,"",maxifs(Documents!$E$2:$E$1421,Documents!$A$2:$A$1421,$A71,Documents!$C$2:$C$1421,"dive_prices")),"")</f>
        <v/>
      </c>
      <c r="L71" s="0" t="str">
        <f aca="false">IFERROR(IF(maxifs(Documents!$E$2:$E$1421,Documents!$A$2:$A$1421,$A71,Documents!$C$2:$C$1421,"excursions")=0,"",maxifs(Documents!$E$2:$E$1421,Documents!$A$2:$A$1421,$A71,Documents!$C$2:$C$1421,"excursions")),"")</f>
        <v/>
      </c>
      <c r="M71" s="0" t="str">
        <f aca="false">IFERROR(IF(maxifs(Documents!$E$2:$E$1421,Documents!$A$2:$A$1421,$A71,Documents!$C$2:$C$1421,"kids")=0,"",maxifs(Documents!$E$2:$E$1421,Documents!$A$2:$A$1421,$A71,Documents!$C$2:$C$1421,"kids")),"")</f>
        <v/>
      </c>
      <c r="N71" s="0" t="str">
        <f aca="false">IFERROR(IF(maxifs(Documents!$E$2:$E$1421,Documents!$A$2:$A$1421,$A71,Documents!$C$2:$C$1421,"villa_plans")=0,"",maxifs(Documents!$E$2:$E$1421,Documents!$A$2:$A$1421,$A71,Documents!$C$2:$C$1421,"villa_plans")),"")</f>
        <v/>
      </c>
      <c r="O71" s="0" t="str">
        <f aca="false">IFERROR(IF(maxifs(Documents!$E$2:$E$1421,Documents!$A$2:$A$1421,$A71,Documents!$C$2:$C$1421,"all_inclusive")=0,"",maxifs(Documents!$E$2:$E$1421,Documents!$A$2:$A$1421,$A71,Documents!$C$2:$C$1421,"all_inclusive")),"")</f>
        <v/>
      </c>
      <c r="P71" s="0" t="str">
        <f aca="false">IFERROR(IF(maxifs(Documents!$E$2:$E$1421,Documents!$A$2:$A$1421,$A71,Documents!$C$2:$C$1421,"sustainability")=0,"",maxifs(Documents!$E$2:$E$1421,Documents!$A$2:$A$1421,$A71,Documents!$C$2:$C$1421,"sustainability")),"")</f>
        <v/>
      </c>
      <c r="Q71" s="0" t="str">
        <f aca="false">IFERROR(IF(maxifs(Documents!$E$2:$E$1421,Documents!$A$2:$A$1421,$A71,Documents!$C$2:$C$1421,"calendar")=0,"",maxifs(Documents!$E$2:$E$1421,Documents!$A$2:$A$1421,$A71,Documents!$C$2:$C$1421,"calendar")),"")</f>
        <v/>
      </c>
      <c r="R71" s="0" t="str">
        <f aca="false">IFERROR(IF(maxifs(Documents!$E$2:$E$1421,Documents!$A$2:$A$1421,$A71,Documents!$C$2:$C$1421,"brochure")=0,"",maxifs(Documents!$E$2:$E$1421,Documents!$A$2:$A$1421,$A71,Documents!$C$2:$C$1421,"brochure")),"")</f>
        <v/>
      </c>
      <c r="S71" s="0" t="str">
        <f aca="false">IFERROR(IF(maxifs(Documents!$E$2:$E$1421,Documents!$A$2:$A$1421,$A71,Documents!$C$2:$C$1421,"press_kit")=0,"",maxifs(Documents!$E$2:$E$1421,Documents!$A$2:$A$1421,$A71,Documents!$C$2:$C$1421,"press_kit")),"")</f>
        <v/>
      </c>
      <c r="T71" s="0" t="str">
        <f aca="false">IFERROR(IF(maxifs(Documents!$E$2:$E$1421,Documents!$A$2:$A$1421,$A71,Documents!$C$2:$C$1421,"other")=0,"",maxifs(Documents!$E$2:$E$1421,Documents!$A$2:$A$1421,$A71,Documents!$C$2:$C$1421,"other")),"")</f>
        <v/>
      </c>
      <c r="U71" s="0" t="str">
        <f aca="false">IFERROR(IF(maxifs(Documents!$E$2:$E$1421,Documents!$A$2:$A$1421,$A71,Documents!$C$2:$C$1421,"obsolete")=0,"",maxifs(Documents!$E$2:$E$1421,Documents!$A$2:$A$1421,$A71,Documents!$C$2:$C$1421,"obsolete")),"")</f>
        <v/>
      </c>
      <c r="V71" s="0" t="n">
        <f aca="false">COUNTIFS(Documents!$A$2:$A$1421,$A71)</f>
        <v>4</v>
      </c>
      <c r="W71" s="0" t="n">
        <f aca="false">COUNTIFS(Documents!$A$2:$A$1421,$A71,Documents!$R$2:$R$1421,"current")</f>
        <v>4</v>
      </c>
      <c r="X71" s="0" t="str">
        <f aca="false">HYPERLINK("https://d7h9v39iheghu.cloudfront.net/previews/42de57ca-7efe-4d5a-8d86-d9172148eacf/712f206d-41a8-4b34-9995-3943d4414af0/712f206d-41a8-4b34-9995-3943d4414af0?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2026_Villa Park - Two Bedroom Beach Pool")</f>
        <v>2026_Villa Park - Two Bedroom Beach Pool</v>
      </c>
      <c r="Y71" s="0" t="s">
        <v>28</v>
      </c>
    </row>
    <row r="72" customFormat="false" ht="15" hidden="false" customHeight="false" outlineLevel="0" collapsed="false">
      <c r="A72" s="0" t="n">
        <v>71</v>
      </c>
      <c r="B72" s="0" t="s">
        <v>122</v>
      </c>
      <c r="C72" s="0" t="s">
        <v>112</v>
      </c>
      <c r="D72" s="0" t="str">
        <f aca="false">IFERROR(IF(maxifs(Documents!$E$2:$E$1421,Documents!$A$2:$A$1421,$A72,Documents!$C$2:$C$1421,"factsheet")=0,"",maxifs(Documents!$E$2:$E$1421,Documents!$A$2:$A$1421,$A72,Documents!$C$2:$C$1421,"factsheet")),"")</f>
        <v/>
      </c>
      <c r="E72" s="0" t="str">
        <f aca="false">IFERROR(IF(maxifs(Documents!$E$2:$E$1421,Documents!$A$2:$A$1421,$A72,Documents!$C$2:$C$1421,"wedding")=0,"",maxifs(Documents!$E$2:$E$1421,Documents!$A$2:$A$1421,$A72,Documents!$C$2:$C$1421,"wedding")),"")</f>
        <v/>
      </c>
      <c r="F72" s="0" t="str">
        <f aca="false">IFERROR(IF(maxifs(Documents!$E$2:$E$1421,Documents!$A$2:$A$1421,$A72,Documents!$C$2:$C$1421,"events")=0,"",maxifs(Documents!$E$2:$E$1421,Documents!$A$2:$A$1421,$A72,Documents!$C$2:$C$1421,"events")),"")</f>
        <v/>
      </c>
      <c r="G72" s="0" t="str">
        <f aca="false">IFERROR(IF(maxifs(Documents!$E$2:$E$1421,Documents!$A$2:$A$1421,$A72,Documents!$C$2:$C$1421,"map")=0,"",maxifs(Documents!$E$2:$E$1421,Documents!$A$2:$A$1421,$A72,Documents!$C$2:$C$1421,"map")),"")</f>
        <v/>
      </c>
      <c r="H72" s="0" t="str">
        <f aca="false">IFERROR(IF(maxifs(Documents!$E$2:$E$1421,Documents!$A$2:$A$1421,$A72,Documents!$C$2:$C$1421,"dive_map")=0,"",maxifs(Documents!$E$2:$E$1421,Documents!$A$2:$A$1421,$A72,Documents!$C$2:$C$1421,"dive_map")),"")</f>
        <v/>
      </c>
      <c r="I72" s="0" t="str">
        <f aca="false">IFERROR(IF(maxifs(Documents!$E$2:$E$1421,Documents!$A$2:$A$1421,$A72,Documents!$C$2:$C$1421,"spa_menu")=0,"",maxifs(Documents!$E$2:$E$1421,Documents!$A$2:$A$1421,$A72,Documents!$C$2:$C$1421,"spa_menu")),"")</f>
        <v/>
      </c>
      <c r="J72" s="0" t="str">
        <f aca="false">IFERROR(IF(maxifs(Documents!$E$2:$E$1421,Documents!$A$2:$A$1421,$A72,Documents!$C$2:$C$1421,"dining_menu")=0,"",maxifs(Documents!$E$2:$E$1421,Documents!$A$2:$A$1421,$A72,Documents!$C$2:$C$1421,"dining_menu")),"")</f>
        <v/>
      </c>
      <c r="K72" s="0" t="str">
        <f aca="false">IFERROR(IF(maxifs(Documents!$E$2:$E$1421,Documents!$A$2:$A$1421,$A72,Documents!$C$2:$C$1421,"dive_prices")=0,"",maxifs(Documents!$E$2:$E$1421,Documents!$A$2:$A$1421,$A72,Documents!$C$2:$C$1421,"dive_prices")),"")</f>
        <v/>
      </c>
      <c r="L72" s="0" t="str">
        <f aca="false">IFERROR(IF(maxifs(Documents!$E$2:$E$1421,Documents!$A$2:$A$1421,$A72,Documents!$C$2:$C$1421,"excursions")=0,"",maxifs(Documents!$E$2:$E$1421,Documents!$A$2:$A$1421,$A72,Documents!$C$2:$C$1421,"excursions")),"")</f>
        <v/>
      </c>
      <c r="M72" s="0" t="str">
        <f aca="false">IFERROR(IF(maxifs(Documents!$E$2:$E$1421,Documents!$A$2:$A$1421,$A72,Documents!$C$2:$C$1421,"kids")=0,"",maxifs(Documents!$E$2:$E$1421,Documents!$A$2:$A$1421,$A72,Documents!$C$2:$C$1421,"kids")),"")</f>
        <v/>
      </c>
      <c r="N72" s="0" t="str">
        <f aca="false">IFERROR(IF(maxifs(Documents!$E$2:$E$1421,Documents!$A$2:$A$1421,$A72,Documents!$C$2:$C$1421,"villa_plans")=0,"",maxifs(Documents!$E$2:$E$1421,Documents!$A$2:$A$1421,$A72,Documents!$C$2:$C$1421,"villa_plans")),"")</f>
        <v/>
      </c>
      <c r="O72" s="0" t="str">
        <f aca="false">IFERROR(IF(maxifs(Documents!$E$2:$E$1421,Documents!$A$2:$A$1421,$A72,Documents!$C$2:$C$1421,"all_inclusive")=0,"",maxifs(Documents!$E$2:$E$1421,Documents!$A$2:$A$1421,$A72,Documents!$C$2:$C$1421,"all_inclusive")),"")</f>
        <v/>
      </c>
      <c r="P72" s="0" t="str">
        <f aca="false">IFERROR(IF(maxifs(Documents!$E$2:$E$1421,Documents!$A$2:$A$1421,$A72,Documents!$C$2:$C$1421,"sustainability")=0,"",maxifs(Documents!$E$2:$E$1421,Documents!$A$2:$A$1421,$A72,Documents!$C$2:$C$1421,"sustainability")),"")</f>
        <v/>
      </c>
      <c r="Q72" s="0" t="str">
        <f aca="false">IFERROR(IF(maxifs(Documents!$E$2:$E$1421,Documents!$A$2:$A$1421,$A72,Documents!$C$2:$C$1421,"calendar")=0,"",maxifs(Documents!$E$2:$E$1421,Documents!$A$2:$A$1421,$A72,Documents!$C$2:$C$1421,"calendar")),"")</f>
        <v/>
      </c>
      <c r="R72" s="0" t="str">
        <f aca="false">IFERROR(IF(maxifs(Documents!$E$2:$E$1421,Documents!$A$2:$A$1421,$A72,Documents!$C$2:$C$1421,"brochure")=0,"",maxifs(Documents!$E$2:$E$1421,Documents!$A$2:$A$1421,$A72,Documents!$C$2:$C$1421,"brochure")),"")</f>
        <v/>
      </c>
      <c r="S72" s="0" t="str">
        <f aca="false">IFERROR(IF(maxifs(Documents!$E$2:$E$1421,Documents!$A$2:$A$1421,$A72,Documents!$C$2:$C$1421,"press_kit")=0,"",maxifs(Documents!$E$2:$E$1421,Documents!$A$2:$A$1421,$A72,Documents!$C$2:$C$1421,"press_kit")),"")</f>
        <v/>
      </c>
      <c r="T72" s="0" t="str">
        <f aca="false">IFERROR(IF(maxifs(Documents!$E$2:$E$1421,Documents!$A$2:$A$1421,$A72,Documents!$C$2:$C$1421,"other")=0,"",maxifs(Documents!$E$2:$E$1421,Documents!$A$2:$A$1421,$A72,Documents!$C$2:$C$1421,"other")),"")</f>
        <v/>
      </c>
      <c r="U72" s="0" t="str">
        <f aca="false">IFERROR(IF(maxifs(Documents!$E$2:$E$1421,Documents!$A$2:$A$1421,$A72,Documents!$C$2:$C$1421,"obsolete")=0,"",maxifs(Documents!$E$2:$E$1421,Documents!$A$2:$A$1421,$A72,Documents!$C$2:$C$1421,"obsolete")),"")</f>
        <v/>
      </c>
      <c r="V72" s="0" t="n">
        <f aca="false">COUNTIFS(Documents!$A$2:$A$1421,$A72)</f>
        <v>16</v>
      </c>
      <c r="W72" s="0" t="n">
        <f aca="false">COUNTIFS(Documents!$A$2:$A$1421,$A72,Documents!$R$2:$R$1421,"current")</f>
        <v>4</v>
      </c>
      <c r="X72" s="0" t="str">
        <f aca="false">HYPERLINK("https://sales.crownandchamparesorts.com/wp-content/uploads/2023/08/FactSheetKagi11012210312322Rev011122_compressed-1.pdf","2023_FactSheetKagi11012210312322Rev01112")</f>
        <v>2023_FactSheetKagi11012210312322Rev01112</v>
      </c>
      <c r="Y72" s="0" t="s">
        <v>28</v>
      </c>
    </row>
    <row r="73" customFormat="false" ht="15" hidden="false" customHeight="false" outlineLevel="0" collapsed="false">
      <c r="A73" s="0" t="n">
        <v>72</v>
      </c>
      <c r="B73" s="0" t="s">
        <v>123</v>
      </c>
      <c r="C73" s="0" t="s">
        <v>112</v>
      </c>
      <c r="D73" s="0" t="str">
        <f aca="false">IFERROR(IF(maxifs(Documents!$E$2:$E$1421,Documents!$A$2:$A$1421,$A73,Documents!$C$2:$C$1421,"factsheet")=0,"",maxifs(Documents!$E$2:$E$1421,Documents!$A$2:$A$1421,$A73,Documents!$C$2:$C$1421,"factsheet")),"")</f>
        <v/>
      </c>
      <c r="E73" s="0" t="str">
        <f aca="false">IFERROR(IF(maxifs(Documents!$E$2:$E$1421,Documents!$A$2:$A$1421,$A73,Documents!$C$2:$C$1421,"wedding")=0,"",maxifs(Documents!$E$2:$E$1421,Documents!$A$2:$A$1421,$A73,Documents!$C$2:$C$1421,"wedding")),"")</f>
        <v/>
      </c>
      <c r="F73" s="0" t="str">
        <f aca="false">IFERROR(IF(maxifs(Documents!$E$2:$E$1421,Documents!$A$2:$A$1421,$A73,Documents!$C$2:$C$1421,"events")=0,"",maxifs(Documents!$E$2:$E$1421,Documents!$A$2:$A$1421,$A73,Documents!$C$2:$C$1421,"events")),"")</f>
        <v/>
      </c>
      <c r="G73" s="0" t="str">
        <f aca="false">IFERROR(IF(maxifs(Documents!$E$2:$E$1421,Documents!$A$2:$A$1421,$A73,Documents!$C$2:$C$1421,"map")=0,"",maxifs(Documents!$E$2:$E$1421,Documents!$A$2:$A$1421,$A73,Documents!$C$2:$C$1421,"map")),"")</f>
        <v/>
      </c>
      <c r="H73" s="0" t="str">
        <f aca="false">IFERROR(IF(maxifs(Documents!$E$2:$E$1421,Documents!$A$2:$A$1421,$A73,Documents!$C$2:$C$1421,"dive_map")=0,"",maxifs(Documents!$E$2:$E$1421,Documents!$A$2:$A$1421,$A73,Documents!$C$2:$C$1421,"dive_map")),"")</f>
        <v/>
      </c>
      <c r="I73" s="0" t="str">
        <f aca="false">IFERROR(IF(maxifs(Documents!$E$2:$E$1421,Documents!$A$2:$A$1421,$A73,Documents!$C$2:$C$1421,"spa_menu")=0,"",maxifs(Documents!$E$2:$E$1421,Documents!$A$2:$A$1421,$A73,Documents!$C$2:$C$1421,"spa_menu")),"")</f>
        <v/>
      </c>
      <c r="J73" s="0" t="str">
        <f aca="false">IFERROR(IF(maxifs(Documents!$E$2:$E$1421,Documents!$A$2:$A$1421,$A73,Documents!$C$2:$C$1421,"dining_menu")=0,"",maxifs(Documents!$E$2:$E$1421,Documents!$A$2:$A$1421,$A73,Documents!$C$2:$C$1421,"dining_menu")),"")</f>
        <v/>
      </c>
      <c r="K73" s="0" t="str">
        <f aca="false">IFERROR(IF(maxifs(Documents!$E$2:$E$1421,Documents!$A$2:$A$1421,$A73,Documents!$C$2:$C$1421,"dive_prices")=0,"",maxifs(Documents!$E$2:$E$1421,Documents!$A$2:$A$1421,$A73,Documents!$C$2:$C$1421,"dive_prices")),"")</f>
        <v/>
      </c>
      <c r="L73" s="0" t="str">
        <f aca="false">IFERROR(IF(maxifs(Documents!$E$2:$E$1421,Documents!$A$2:$A$1421,$A73,Documents!$C$2:$C$1421,"excursions")=0,"",maxifs(Documents!$E$2:$E$1421,Documents!$A$2:$A$1421,$A73,Documents!$C$2:$C$1421,"excursions")),"")</f>
        <v/>
      </c>
      <c r="M73" s="0" t="str">
        <f aca="false">IFERROR(IF(maxifs(Documents!$E$2:$E$1421,Documents!$A$2:$A$1421,$A73,Documents!$C$2:$C$1421,"kids")=0,"",maxifs(Documents!$E$2:$E$1421,Documents!$A$2:$A$1421,$A73,Documents!$C$2:$C$1421,"kids")),"")</f>
        <v/>
      </c>
      <c r="N73" s="0" t="str">
        <f aca="false">IFERROR(IF(maxifs(Documents!$E$2:$E$1421,Documents!$A$2:$A$1421,$A73,Documents!$C$2:$C$1421,"villa_plans")=0,"",maxifs(Documents!$E$2:$E$1421,Documents!$A$2:$A$1421,$A73,Documents!$C$2:$C$1421,"villa_plans")),"")</f>
        <v/>
      </c>
      <c r="O73" s="0" t="str">
        <f aca="false">IFERROR(IF(maxifs(Documents!$E$2:$E$1421,Documents!$A$2:$A$1421,$A73,Documents!$C$2:$C$1421,"all_inclusive")=0,"",maxifs(Documents!$E$2:$E$1421,Documents!$A$2:$A$1421,$A73,Documents!$C$2:$C$1421,"all_inclusive")),"")</f>
        <v/>
      </c>
      <c r="P73" s="0" t="str">
        <f aca="false">IFERROR(IF(maxifs(Documents!$E$2:$E$1421,Documents!$A$2:$A$1421,$A73,Documents!$C$2:$C$1421,"sustainability")=0,"",maxifs(Documents!$E$2:$E$1421,Documents!$A$2:$A$1421,$A73,Documents!$C$2:$C$1421,"sustainability")),"")</f>
        <v/>
      </c>
      <c r="Q73" s="0" t="str">
        <f aca="false">IFERROR(IF(maxifs(Documents!$E$2:$E$1421,Documents!$A$2:$A$1421,$A73,Documents!$C$2:$C$1421,"calendar")=0,"",maxifs(Documents!$E$2:$E$1421,Documents!$A$2:$A$1421,$A73,Documents!$C$2:$C$1421,"calendar")),"")</f>
        <v/>
      </c>
      <c r="R73" s="0" t="str">
        <f aca="false">IFERROR(IF(maxifs(Documents!$E$2:$E$1421,Documents!$A$2:$A$1421,$A73,Documents!$C$2:$C$1421,"brochure")=0,"",maxifs(Documents!$E$2:$E$1421,Documents!$A$2:$A$1421,$A73,Documents!$C$2:$C$1421,"brochure")),"")</f>
        <v/>
      </c>
      <c r="S73" s="0" t="str">
        <f aca="false">IFERROR(IF(maxifs(Documents!$E$2:$E$1421,Documents!$A$2:$A$1421,$A73,Documents!$C$2:$C$1421,"press_kit")=0,"",maxifs(Documents!$E$2:$E$1421,Documents!$A$2:$A$1421,$A73,Documents!$C$2:$C$1421,"press_kit")),"")</f>
        <v/>
      </c>
      <c r="T73" s="0" t="str">
        <f aca="false">IFERROR(IF(maxifs(Documents!$E$2:$E$1421,Documents!$A$2:$A$1421,$A73,Documents!$C$2:$C$1421,"other")=0,"",maxifs(Documents!$E$2:$E$1421,Documents!$A$2:$A$1421,$A73,Documents!$C$2:$C$1421,"other")),"")</f>
        <v/>
      </c>
      <c r="U73" s="0" t="str">
        <f aca="false">IFERROR(IF(maxifs(Documents!$E$2:$E$1421,Documents!$A$2:$A$1421,$A73,Documents!$C$2:$C$1421,"obsolete")=0,"",maxifs(Documents!$E$2:$E$1421,Documents!$A$2:$A$1421,$A73,Documents!$C$2:$C$1421,"obsolete")),"")</f>
        <v/>
      </c>
      <c r="V73" s="0" t="n">
        <f aca="false">COUNTIFS(Documents!$A$2:$A$1421,$A73)</f>
        <v>0</v>
      </c>
      <c r="W73" s="0" t="n">
        <f aca="false">COUNTIFS(Documents!$A$2:$A$1421,$A73,Documents!$R$2:$R$1421,"current")</f>
        <v>0</v>
      </c>
      <c r="Y73" s="0" t="s">
        <v>31</v>
      </c>
    </row>
    <row r="74" customFormat="false" ht="15" hidden="false" customHeight="false" outlineLevel="0" collapsed="false">
      <c r="A74" s="0" t="n">
        <v>73</v>
      </c>
      <c r="B74" s="0" t="s">
        <v>124</v>
      </c>
      <c r="C74" s="0" t="s">
        <v>112</v>
      </c>
      <c r="D74" s="0" t="str">
        <f aca="false">IFERROR(IF(maxifs(Documents!$E$2:$E$1421,Documents!$A$2:$A$1421,$A74,Documents!$C$2:$C$1421,"factsheet")=0,"",maxifs(Documents!$E$2:$E$1421,Documents!$A$2:$A$1421,$A74,Documents!$C$2:$C$1421,"factsheet")),"")</f>
        <v/>
      </c>
      <c r="E74" s="0" t="str">
        <f aca="false">IFERROR(IF(maxifs(Documents!$E$2:$E$1421,Documents!$A$2:$A$1421,$A74,Documents!$C$2:$C$1421,"wedding")=0,"",maxifs(Documents!$E$2:$E$1421,Documents!$A$2:$A$1421,$A74,Documents!$C$2:$C$1421,"wedding")),"")</f>
        <v/>
      </c>
      <c r="F74" s="0" t="str">
        <f aca="false">IFERROR(IF(maxifs(Documents!$E$2:$E$1421,Documents!$A$2:$A$1421,$A74,Documents!$C$2:$C$1421,"events")=0,"",maxifs(Documents!$E$2:$E$1421,Documents!$A$2:$A$1421,$A74,Documents!$C$2:$C$1421,"events")),"")</f>
        <v/>
      </c>
      <c r="G74" s="0" t="str">
        <f aca="false">IFERROR(IF(maxifs(Documents!$E$2:$E$1421,Documents!$A$2:$A$1421,$A74,Documents!$C$2:$C$1421,"map")=0,"",maxifs(Documents!$E$2:$E$1421,Documents!$A$2:$A$1421,$A74,Documents!$C$2:$C$1421,"map")),"")</f>
        <v/>
      </c>
      <c r="H74" s="0" t="str">
        <f aca="false">IFERROR(IF(maxifs(Documents!$E$2:$E$1421,Documents!$A$2:$A$1421,$A74,Documents!$C$2:$C$1421,"dive_map")=0,"",maxifs(Documents!$E$2:$E$1421,Documents!$A$2:$A$1421,$A74,Documents!$C$2:$C$1421,"dive_map")),"")</f>
        <v/>
      </c>
      <c r="I74" s="0" t="str">
        <f aca="false">IFERROR(IF(maxifs(Documents!$E$2:$E$1421,Documents!$A$2:$A$1421,$A74,Documents!$C$2:$C$1421,"spa_menu")=0,"",maxifs(Documents!$E$2:$E$1421,Documents!$A$2:$A$1421,$A74,Documents!$C$2:$C$1421,"spa_menu")),"")</f>
        <v/>
      </c>
      <c r="J74" s="0" t="str">
        <f aca="false">IFERROR(IF(maxifs(Documents!$E$2:$E$1421,Documents!$A$2:$A$1421,$A74,Documents!$C$2:$C$1421,"dining_menu")=0,"",maxifs(Documents!$E$2:$E$1421,Documents!$A$2:$A$1421,$A74,Documents!$C$2:$C$1421,"dining_menu")),"")</f>
        <v/>
      </c>
      <c r="K74" s="0" t="str">
        <f aca="false">IFERROR(IF(maxifs(Documents!$E$2:$E$1421,Documents!$A$2:$A$1421,$A74,Documents!$C$2:$C$1421,"dive_prices")=0,"",maxifs(Documents!$E$2:$E$1421,Documents!$A$2:$A$1421,$A74,Documents!$C$2:$C$1421,"dive_prices")),"")</f>
        <v/>
      </c>
      <c r="L74" s="0" t="str">
        <f aca="false">IFERROR(IF(maxifs(Documents!$E$2:$E$1421,Documents!$A$2:$A$1421,$A74,Documents!$C$2:$C$1421,"excursions")=0,"",maxifs(Documents!$E$2:$E$1421,Documents!$A$2:$A$1421,$A74,Documents!$C$2:$C$1421,"excursions")),"")</f>
        <v/>
      </c>
      <c r="M74" s="0" t="str">
        <f aca="false">IFERROR(IF(maxifs(Documents!$E$2:$E$1421,Documents!$A$2:$A$1421,$A74,Documents!$C$2:$C$1421,"kids")=0,"",maxifs(Documents!$E$2:$E$1421,Documents!$A$2:$A$1421,$A74,Documents!$C$2:$C$1421,"kids")),"")</f>
        <v/>
      </c>
      <c r="N74" s="0" t="str">
        <f aca="false">IFERROR(IF(maxifs(Documents!$E$2:$E$1421,Documents!$A$2:$A$1421,$A74,Documents!$C$2:$C$1421,"villa_plans")=0,"",maxifs(Documents!$E$2:$E$1421,Documents!$A$2:$A$1421,$A74,Documents!$C$2:$C$1421,"villa_plans")),"")</f>
        <v/>
      </c>
      <c r="O74" s="0" t="str">
        <f aca="false">IFERROR(IF(maxifs(Documents!$E$2:$E$1421,Documents!$A$2:$A$1421,$A74,Documents!$C$2:$C$1421,"all_inclusive")=0,"",maxifs(Documents!$E$2:$E$1421,Documents!$A$2:$A$1421,$A74,Documents!$C$2:$C$1421,"all_inclusive")),"")</f>
        <v/>
      </c>
      <c r="P74" s="0" t="str">
        <f aca="false">IFERROR(IF(maxifs(Documents!$E$2:$E$1421,Documents!$A$2:$A$1421,$A74,Documents!$C$2:$C$1421,"sustainability")=0,"",maxifs(Documents!$E$2:$E$1421,Documents!$A$2:$A$1421,$A74,Documents!$C$2:$C$1421,"sustainability")),"")</f>
        <v/>
      </c>
      <c r="Q74" s="0" t="str">
        <f aca="false">IFERROR(IF(maxifs(Documents!$E$2:$E$1421,Documents!$A$2:$A$1421,$A74,Documents!$C$2:$C$1421,"calendar")=0,"",maxifs(Documents!$E$2:$E$1421,Documents!$A$2:$A$1421,$A74,Documents!$C$2:$C$1421,"calendar")),"")</f>
        <v/>
      </c>
      <c r="R74" s="0" t="str">
        <f aca="false">IFERROR(IF(maxifs(Documents!$E$2:$E$1421,Documents!$A$2:$A$1421,$A74,Documents!$C$2:$C$1421,"brochure")=0,"",maxifs(Documents!$E$2:$E$1421,Documents!$A$2:$A$1421,$A74,Documents!$C$2:$C$1421,"brochure")),"")</f>
        <v/>
      </c>
      <c r="S74" s="0" t="str">
        <f aca="false">IFERROR(IF(maxifs(Documents!$E$2:$E$1421,Documents!$A$2:$A$1421,$A74,Documents!$C$2:$C$1421,"press_kit")=0,"",maxifs(Documents!$E$2:$E$1421,Documents!$A$2:$A$1421,$A74,Documents!$C$2:$C$1421,"press_kit")),"")</f>
        <v/>
      </c>
      <c r="T74" s="0" t="str">
        <f aca="false">IFERROR(IF(maxifs(Documents!$E$2:$E$1421,Documents!$A$2:$A$1421,$A74,Documents!$C$2:$C$1421,"other")=0,"",maxifs(Documents!$E$2:$E$1421,Documents!$A$2:$A$1421,$A74,Documents!$C$2:$C$1421,"other")),"")</f>
        <v/>
      </c>
      <c r="U74" s="0" t="str">
        <f aca="false">IFERROR(IF(maxifs(Documents!$E$2:$E$1421,Documents!$A$2:$A$1421,$A74,Documents!$C$2:$C$1421,"obsolete")=0,"",maxifs(Documents!$E$2:$E$1421,Documents!$A$2:$A$1421,$A74,Documents!$C$2:$C$1421,"obsolete")),"")</f>
        <v/>
      </c>
      <c r="V74" s="0" t="n">
        <f aca="false">COUNTIFS(Documents!$A$2:$A$1421,$A74)</f>
        <v>0</v>
      </c>
      <c r="W74" s="0" t="n">
        <f aca="false">COUNTIFS(Documents!$A$2:$A$1421,$A74,Documents!$R$2:$R$1421,"current")</f>
        <v>0</v>
      </c>
      <c r="Y74" s="0" t="s">
        <v>31</v>
      </c>
    </row>
    <row r="75" customFormat="false" ht="15" hidden="false" customHeight="false" outlineLevel="0" collapsed="false">
      <c r="A75" s="0" t="n">
        <v>74</v>
      </c>
      <c r="B75" s="0" t="s">
        <v>125</v>
      </c>
      <c r="C75" s="0" t="s">
        <v>112</v>
      </c>
      <c r="D75" s="0" t="str">
        <f aca="false">IFERROR(IF(maxifs(Documents!$E$2:$E$1421,Documents!$A$2:$A$1421,$A75,Documents!$C$2:$C$1421,"factsheet")=0,"",maxifs(Documents!$E$2:$E$1421,Documents!$A$2:$A$1421,$A75,Documents!$C$2:$C$1421,"factsheet")),"")</f>
        <v/>
      </c>
      <c r="E75" s="0" t="str">
        <f aca="false">IFERROR(IF(maxifs(Documents!$E$2:$E$1421,Documents!$A$2:$A$1421,$A75,Documents!$C$2:$C$1421,"wedding")=0,"",maxifs(Documents!$E$2:$E$1421,Documents!$A$2:$A$1421,$A75,Documents!$C$2:$C$1421,"wedding")),"")</f>
        <v/>
      </c>
      <c r="F75" s="0" t="str">
        <f aca="false">IFERROR(IF(maxifs(Documents!$E$2:$E$1421,Documents!$A$2:$A$1421,$A75,Documents!$C$2:$C$1421,"events")=0,"",maxifs(Documents!$E$2:$E$1421,Documents!$A$2:$A$1421,$A75,Documents!$C$2:$C$1421,"events")),"")</f>
        <v/>
      </c>
      <c r="G75" s="0" t="str">
        <f aca="false">IFERROR(IF(maxifs(Documents!$E$2:$E$1421,Documents!$A$2:$A$1421,$A75,Documents!$C$2:$C$1421,"map")=0,"",maxifs(Documents!$E$2:$E$1421,Documents!$A$2:$A$1421,$A75,Documents!$C$2:$C$1421,"map")),"")</f>
        <v/>
      </c>
      <c r="H75" s="0" t="str">
        <f aca="false">IFERROR(IF(maxifs(Documents!$E$2:$E$1421,Documents!$A$2:$A$1421,$A75,Documents!$C$2:$C$1421,"dive_map")=0,"",maxifs(Documents!$E$2:$E$1421,Documents!$A$2:$A$1421,$A75,Documents!$C$2:$C$1421,"dive_map")),"")</f>
        <v/>
      </c>
      <c r="I75" s="0" t="str">
        <f aca="false">IFERROR(IF(maxifs(Documents!$E$2:$E$1421,Documents!$A$2:$A$1421,$A75,Documents!$C$2:$C$1421,"spa_menu")=0,"",maxifs(Documents!$E$2:$E$1421,Documents!$A$2:$A$1421,$A75,Documents!$C$2:$C$1421,"spa_menu")),"")</f>
        <v/>
      </c>
      <c r="J75" s="0" t="str">
        <f aca="false">IFERROR(IF(maxifs(Documents!$E$2:$E$1421,Documents!$A$2:$A$1421,$A75,Documents!$C$2:$C$1421,"dining_menu")=0,"",maxifs(Documents!$E$2:$E$1421,Documents!$A$2:$A$1421,$A75,Documents!$C$2:$C$1421,"dining_menu")),"")</f>
        <v/>
      </c>
      <c r="K75" s="0" t="str">
        <f aca="false">IFERROR(IF(maxifs(Documents!$E$2:$E$1421,Documents!$A$2:$A$1421,$A75,Documents!$C$2:$C$1421,"dive_prices")=0,"",maxifs(Documents!$E$2:$E$1421,Documents!$A$2:$A$1421,$A75,Documents!$C$2:$C$1421,"dive_prices")),"")</f>
        <v/>
      </c>
      <c r="L75" s="0" t="str">
        <f aca="false">IFERROR(IF(maxifs(Documents!$E$2:$E$1421,Documents!$A$2:$A$1421,$A75,Documents!$C$2:$C$1421,"excursions")=0,"",maxifs(Documents!$E$2:$E$1421,Documents!$A$2:$A$1421,$A75,Documents!$C$2:$C$1421,"excursions")),"")</f>
        <v/>
      </c>
      <c r="M75" s="0" t="str">
        <f aca="false">IFERROR(IF(maxifs(Documents!$E$2:$E$1421,Documents!$A$2:$A$1421,$A75,Documents!$C$2:$C$1421,"kids")=0,"",maxifs(Documents!$E$2:$E$1421,Documents!$A$2:$A$1421,$A75,Documents!$C$2:$C$1421,"kids")),"")</f>
        <v/>
      </c>
      <c r="N75" s="0" t="str">
        <f aca="false">IFERROR(IF(maxifs(Documents!$E$2:$E$1421,Documents!$A$2:$A$1421,$A75,Documents!$C$2:$C$1421,"villa_plans")=0,"",maxifs(Documents!$E$2:$E$1421,Documents!$A$2:$A$1421,$A75,Documents!$C$2:$C$1421,"villa_plans")),"")</f>
        <v/>
      </c>
      <c r="O75" s="0" t="str">
        <f aca="false">IFERROR(IF(maxifs(Documents!$E$2:$E$1421,Documents!$A$2:$A$1421,$A75,Documents!$C$2:$C$1421,"all_inclusive")=0,"",maxifs(Documents!$E$2:$E$1421,Documents!$A$2:$A$1421,$A75,Documents!$C$2:$C$1421,"all_inclusive")),"")</f>
        <v/>
      </c>
      <c r="P75" s="0" t="str">
        <f aca="false">IFERROR(IF(maxifs(Documents!$E$2:$E$1421,Documents!$A$2:$A$1421,$A75,Documents!$C$2:$C$1421,"sustainability")=0,"",maxifs(Documents!$E$2:$E$1421,Documents!$A$2:$A$1421,$A75,Documents!$C$2:$C$1421,"sustainability")),"")</f>
        <v/>
      </c>
      <c r="Q75" s="0" t="str">
        <f aca="false">IFERROR(IF(maxifs(Documents!$E$2:$E$1421,Documents!$A$2:$A$1421,$A75,Documents!$C$2:$C$1421,"calendar")=0,"",maxifs(Documents!$E$2:$E$1421,Documents!$A$2:$A$1421,$A75,Documents!$C$2:$C$1421,"calendar")),"")</f>
        <v/>
      </c>
      <c r="R75" s="0" t="str">
        <f aca="false">IFERROR(IF(maxifs(Documents!$E$2:$E$1421,Documents!$A$2:$A$1421,$A75,Documents!$C$2:$C$1421,"brochure")=0,"",maxifs(Documents!$E$2:$E$1421,Documents!$A$2:$A$1421,$A75,Documents!$C$2:$C$1421,"brochure")),"")</f>
        <v/>
      </c>
      <c r="S75" s="0" t="str">
        <f aca="false">IFERROR(IF(maxifs(Documents!$E$2:$E$1421,Documents!$A$2:$A$1421,$A75,Documents!$C$2:$C$1421,"press_kit")=0,"",maxifs(Documents!$E$2:$E$1421,Documents!$A$2:$A$1421,$A75,Documents!$C$2:$C$1421,"press_kit")),"")</f>
        <v/>
      </c>
      <c r="T75" s="0" t="str">
        <f aca="false">IFERROR(IF(maxifs(Documents!$E$2:$E$1421,Documents!$A$2:$A$1421,$A75,Documents!$C$2:$C$1421,"other")=0,"",maxifs(Documents!$E$2:$E$1421,Documents!$A$2:$A$1421,$A75,Documents!$C$2:$C$1421,"other")),"")</f>
        <v/>
      </c>
      <c r="U75" s="0" t="str">
        <f aca="false">IFERROR(IF(maxifs(Documents!$E$2:$E$1421,Documents!$A$2:$A$1421,$A75,Documents!$C$2:$C$1421,"obsolete")=0,"",maxifs(Documents!$E$2:$E$1421,Documents!$A$2:$A$1421,$A75,Documents!$C$2:$C$1421,"obsolete")),"")</f>
        <v/>
      </c>
      <c r="V75" s="0" t="n">
        <f aca="false">COUNTIFS(Documents!$A$2:$A$1421,$A75)</f>
        <v>2</v>
      </c>
      <c r="W75" s="0" t="n">
        <f aca="false">COUNTIFS(Documents!$A$2:$A$1421,$A75,Documents!$R$2:$R$1421,"current")</f>
        <v>0</v>
      </c>
      <c r="X75" s="0" t="str">
        <f aca="false">HYPERLINK("https://www.neoscapesmaldives.com/wp-content/uploads/kandolhu-maldives-factsheet.pdf","2019_kandolhu-maldives-factsheet.pdf")</f>
        <v>2019_kandolhu-maldives-factsheet.pdf</v>
      </c>
      <c r="Y75" s="0" t="s">
        <v>28</v>
      </c>
    </row>
    <row r="76" customFormat="false" ht="15" hidden="false" customHeight="false" outlineLevel="0" collapsed="false">
      <c r="A76" s="0" t="n">
        <v>75</v>
      </c>
      <c r="B76" s="0" t="s">
        <v>126</v>
      </c>
      <c r="C76" s="0" t="s">
        <v>112</v>
      </c>
      <c r="D76" s="0" t="str">
        <f aca="false">IFERROR(IF(maxifs(Documents!$E$2:$E$1421,Documents!$A$2:$A$1421,$A76,Documents!$C$2:$C$1421,"factsheet")=0,"",maxifs(Documents!$E$2:$E$1421,Documents!$A$2:$A$1421,$A76,Documents!$C$2:$C$1421,"factsheet")),"")</f>
        <v/>
      </c>
      <c r="E76" s="0" t="str">
        <f aca="false">IFERROR(IF(maxifs(Documents!$E$2:$E$1421,Documents!$A$2:$A$1421,$A76,Documents!$C$2:$C$1421,"wedding")=0,"",maxifs(Documents!$E$2:$E$1421,Documents!$A$2:$A$1421,$A76,Documents!$C$2:$C$1421,"wedding")),"")</f>
        <v/>
      </c>
      <c r="F76" s="0" t="str">
        <f aca="false">IFERROR(IF(maxifs(Documents!$E$2:$E$1421,Documents!$A$2:$A$1421,$A76,Documents!$C$2:$C$1421,"events")=0,"",maxifs(Documents!$E$2:$E$1421,Documents!$A$2:$A$1421,$A76,Documents!$C$2:$C$1421,"events")),"")</f>
        <v/>
      </c>
      <c r="G76" s="0" t="str">
        <f aca="false">IFERROR(IF(maxifs(Documents!$E$2:$E$1421,Documents!$A$2:$A$1421,$A76,Documents!$C$2:$C$1421,"map")=0,"",maxifs(Documents!$E$2:$E$1421,Documents!$A$2:$A$1421,$A76,Documents!$C$2:$C$1421,"map")),"")</f>
        <v/>
      </c>
      <c r="H76" s="0" t="str">
        <f aca="false">IFERROR(IF(maxifs(Documents!$E$2:$E$1421,Documents!$A$2:$A$1421,$A76,Documents!$C$2:$C$1421,"dive_map")=0,"",maxifs(Documents!$E$2:$E$1421,Documents!$A$2:$A$1421,$A76,Documents!$C$2:$C$1421,"dive_map")),"")</f>
        <v/>
      </c>
      <c r="I76" s="0" t="str">
        <f aca="false">IFERROR(IF(maxifs(Documents!$E$2:$E$1421,Documents!$A$2:$A$1421,$A76,Documents!$C$2:$C$1421,"spa_menu")=0,"",maxifs(Documents!$E$2:$E$1421,Documents!$A$2:$A$1421,$A76,Documents!$C$2:$C$1421,"spa_menu")),"")</f>
        <v/>
      </c>
      <c r="J76" s="0" t="str">
        <f aca="false">IFERROR(IF(maxifs(Documents!$E$2:$E$1421,Documents!$A$2:$A$1421,$A76,Documents!$C$2:$C$1421,"dining_menu")=0,"",maxifs(Documents!$E$2:$E$1421,Documents!$A$2:$A$1421,$A76,Documents!$C$2:$C$1421,"dining_menu")),"")</f>
        <v/>
      </c>
      <c r="K76" s="0" t="str">
        <f aca="false">IFERROR(IF(maxifs(Documents!$E$2:$E$1421,Documents!$A$2:$A$1421,$A76,Documents!$C$2:$C$1421,"dive_prices")=0,"",maxifs(Documents!$E$2:$E$1421,Documents!$A$2:$A$1421,$A76,Documents!$C$2:$C$1421,"dive_prices")),"")</f>
        <v/>
      </c>
      <c r="L76" s="0" t="str">
        <f aca="false">IFERROR(IF(maxifs(Documents!$E$2:$E$1421,Documents!$A$2:$A$1421,$A76,Documents!$C$2:$C$1421,"excursions")=0,"",maxifs(Documents!$E$2:$E$1421,Documents!$A$2:$A$1421,$A76,Documents!$C$2:$C$1421,"excursions")),"")</f>
        <v/>
      </c>
      <c r="M76" s="0" t="str">
        <f aca="false">IFERROR(IF(maxifs(Documents!$E$2:$E$1421,Documents!$A$2:$A$1421,$A76,Documents!$C$2:$C$1421,"kids")=0,"",maxifs(Documents!$E$2:$E$1421,Documents!$A$2:$A$1421,$A76,Documents!$C$2:$C$1421,"kids")),"")</f>
        <v/>
      </c>
      <c r="N76" s="0" t="str">
        <f aca="false">IFERROR(IF(maxifs(Documents!$E$2:$E$1421,Documents!$A$2:$A$1421,$A76,Documents!$C$2:$C$1421,"villa_plans")=0,"",maxifs(Documents!$E$2:$E$1421,Documents!$A$2:$A$1421,$A76,Documents!$C$2:$C$1421,"villa_plans")),"")</f>
        <v/>
      </c>
      <c r="O76" s="0" t="str">
        <f aca="false">IFERROR(IF(maxifs(Documents!$E$2:$E$1421,Documents!$A$2:$A$1421,$A76,Documents!$C$2:$C$1421,"all_inclusive")=0,"",maxifs(Documents!$E$2:$E$1421,Documents!$A$2:$A$1421,$A76,Documents!$C$2:$C$1421,"all_inclusive")),"")</f>
        <v/>
      </c>
      <c r="P76" s="0" t="str">
        <f aca="false">IFERROR(IF(maxifs(Documents!$E$2:$E$1421,Documents!$A$2:$A$1421,$A76,Documents!$C$2:$C$1421,"sustainability")=0,"",maxifs(Documents!$E$2:$E$1421,Documents!$A$2:$A$1421,$A76,Documents!$C$2:$C$1421,"sustainability")),"")</f>
        <v/>
      </c>
      <c r="Q76" s="0" t="str">
        <f aca="false">IFERROR(IF(maxifs(Documents!$E$2:$E$1421,Documents!$A$2:$A$1421,$A76,Documents!$C$2:$C$1421,"calendar")=0,"",maxifs(Documents!$E$2:$E$1421,Documents!$A$2:$A$1421,$A76,Documents!$C$2:$C$1421,"calendar")),"")</f>
        <v/>
      </c>
      <c r="R76" s="0" t="str">
        <f aca="false">IFERROR(IF(maxifs(Documents!$E$2:$E$1421,Documents!$A$2:$A$1421,$A76,Documents!$C$2:$C$1421,"brochure")=0,"",maxifs(Documents!$E$2:$E$1421,Documents!$A$2:$A$1421,$A76,Documents!$C$2:$C$1421,"brochure")),"")</f>
        <v/>
      </c>
      <c r="S76" s="0" t="str">
        <f aca="false">IFERROR(IF(maxifs(Documents!$E$2:$E$1421,Documents!$A$2:$A$1421,$A76,Documents!$C$2:$C$1421,"press_kit")=0,"",maxifs(Documents!$E$2:$E$1421,Documents!$A$2:$A$1421,$A76,Documents!$C$2:$C$1421,"press_kit")),"")</f>
        <v/>
      </c>
      <c r="T76" s="0" t="str">
        <f aca="false">IFERROR(IF(maxifs(Documents!$E$2:$E$1421,Documents!$A$2:$A$1421,$A76,Documents!$C$2:$C$1421,"other")=0,"",maxifs(Documents!$E$2:$E$1421,Documents!$A$2:$A$1421,$A76,Documents!$C$2:$C$1421,"other")),"")</f>
        <v/>
      </c>
      <c r="U76" s="0" t="str">
        <f aca="false">IFERROR(IF(maxifs(Documents!$E$2:$E$1421,Documents!$A$2:$A$1421,$A76,Documents!$C$2:$C$1421,"obsolete")=0,"",maxifs(Documents!$E$2:$E$1421,Documents!$A$2:$A$1421,$A76,Documents!$C$2:$C$1421,"obsolete")),"")</f>
        <v/>
      </c>
      <c r="V76" s="0" t="n">
        <f aca="false">COUNTIFS(Documents!$A$2:$A$1421,$A76)</f>
        <v>13</v>
      </c>
      <c r="W76" s="0" t="n">
        <f aca="false">COUNTIFS(Documents!$A$2:$A$1421,$A76,Documents!$R$2:$R$1421,"current")</f>
        <v>4</v>
      </c>
      <c r="X76" s="0" t="str">
        <f aca="false">HYPERLINK("https://d7h9v39iheghu.cloudfront.net/previews/7837a234-9635-4da8-b132-476aacd9b4c1/08d5fb4a-3c75-4f03-9593-362d00c15bcf/e2bbc463-d094-42fa-b480-fd9cdbb53f46?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2025_Kandima Maldives Enhanced Facilitie")</f>
        <v>2025_Kandima Maldives Enhanced Facilitie</v>
      </c>
      <c r="Y76" s="0" t="s">
        <v>35</v>
      </c>
    </row>
    <row r="77" customFormat="false" ht="15" hidden="false" customHeight="false" outlineLevel="0" collapsed="false">
      <c r="A77" s="0" t="n">
        <v>76</v>
      </c>
      <c r="B77" s="0" t="s">
        <v>127</v>
      </c>
      <c r="C77" s="0" t="s">
        <v>112</v>
      </c>
      <c r="D77" s="0" t="str">
        <f aca="false">IFERROR(IF(maxifs(Documents!$E$2:$E$1421,Documents!$A$2:$A$1421,$A77,Documents!$C$2:$C$1421,"factsheet")=0,"",maxifs(Documents!$E$2:$E$1421,Documents!$A$2:$A$1421,$A77,Documents!$C$2:$C$1421,"factsheet")),"")</f>
        <v/>
      </c>
      <c r="E77" s="0" t="str">
        <f aca="false">IFERROR(IF(maxifs(Documents!$E$2:$E$1421,Documents!$A$2:$A$1421,$A77,Documents!$C$2:$C$1421,"wedding")=0,"",maxifs(Documents!$E$2:$E$1421,Documents!$A$2:$A$1421,$A77,Documents!$C$2:$C$1421,"wedding")),"")</f>
        <v/>
      </c>
      <c r="F77" s="0" t="str">
        <f aca="false">IFERROR(IF(maxifs(Documents!$E$2:$E$1421,Documents!$A$2:$A$1421,$A77,Documents!$C$2:$C$1421,"events")=0,"",maxifs(Documents!$E$2:$E$1421,Documents!$A$2:$A$1421,$A77,Documents!$C$2:$C$1421,"events")),"")</f>
        <v/>
      </c>
      <c r="G77" s="0" t="str">
        <f aca="false">IFERROR(IF(maxifs(Documents!$E$2:$E$1421,Documents!$A$2:$A$1421,$A77,Documents!$C$2:$C$1421,"map")=0,"",maxifs(Documents!$E$2:$E$1421,Documents!$A$2:$A$1421,$A77,Documents!$C$2:$C$1421,"map")),"")</f>
        <v/>
      </c>
      <c r="H77" s="0" t="str">
        <f aca="false">IFERROR(IF(maxifs(Documents!$E$2:$E$1421,Documents!$A$2:$A$1421,$A77,Documents!$C$2:$C$1421,"dive_map")=0,"",maxifs(Documents!$E$2:$E$1421,Documents!$A$2:$A$1421,$A77,Documents!$C$2:$C$1421,"dive_map")),"")</f>
        <v/>
      </c>
      <c r="I77" s="0" t="str">
        <f aca="false">IFERROR(IF(maxifs(Documents!$E$2:$E$1421,Documents!$A$2:$A$1421,$A77,Documents!$C$2:$C$1421,"spa_menu")=0,"",maxifs(Documents!$E$2:$E$1421,Documents!$A$2:$A$1421,$A77,Documents!$C$2:$C$1421,"spa_menu")),"")</f>
        <v/>
      </c>
      <c r="J77" s="0" t="str">
        <f aca="false">IFERROR(IF(maxifs(Documents!$E$2:$E$1421,Documents!$A$2:$A$1421,$A77,Documents!$C$2:$C$1421,"dining_menu")=0,"",maxifs(Documents!$E$2:$E$1421,Documents!$A$2:$A$1421,$A77,Documents!$C$2:$C$1421,"dining_menu")),"")</f>
        <v/>
      </c>
      <c r="K77" s="0" t="str">
        <f aca="false">IFERROR(IF(maxifs(Documents!$E$2:$E$1421,Documents!$A$2:$A$1421,$A77,Documents!$C$2:$C$1421,"dive_prices")=0,"",maxifs(Documents!$E$2:$E$1421,Documents!$A$2:$A$1421,$A77,Documents!$C$2:$C$1421,"dive_prices")),"")</f>
        <v/>
      </c>
      <c r="L77" s="0" t="str">
        <f aca="false">IFERROR(IF(maxifs(Documents!$E$2:$E$1421,Documents!$A$2:$A$1421,$A77,Documents!$C$2:$C$1421,"excursions")=0,"",maxifs(Documents!$E$2:$E$1421,Documents!$A$2:$A$1421,$A77,Documents!$C$2:$C$1421,"excursions")),"")</f>
        <v/>
      </c>
      <c r="M77" s="0" t="str">
        <f aca="false">IFERROR(IF(maxifs(Documents!$E$2:$E$1421,Documents!$A$2:$A$1421,$A77,Documents!$C$2:$C$1421,"kids")=0,"",maxifs(Documents!$E$2:$E$1421,Documents!$A$2:$A$1421,$A77,Documents!$C$2:$C$1421,"kids")),"")</f>
        <v/>
      </c>
      <c r="N77" s="0" t="str">
        <f aca="false">IFERROR(IF(maxifs(Documents!$E$2:$E$1421,Documents!$A$2:$A$1421,$A77,Documents!$C$2:$C$1421,"villa_plans")=0,"",maxifs(Documents!$E$2:$E$1421,Documents!$A$2:$A$1421,$A77,Documents!$C$2:$C$1421,"villa_plans")),"")</f>
        <v/>
      </c>
      <c r="O77" s="0" t="str">
        <f aca="false">IFERROR(IF(maxifs(Documents!$E$2:$E$1421,Documents!$A$2:$A$1421,$A77,Documents!$C$2:$C$1421,"all_inclusive")=0,"",maxifs(Documents!$E$2:$E$1421,Documents!$A$2:$A$1421,$A77,Documents!$C$2:$C$1421,"all_inclusive")),"")</f>
        <v/>
      </c>
      <c r="P77" s="0" t="str">
        <f aca="false">IFERROR(IF(maxifs(Documents!$E$2:$E$1421,Documents!$A$2:$A$1421,$A77,Documents!$C$2:$C$1421,"sustainability")=0,"",maxifs(Documents!$E$2:$E$1421,Documents!$A$2:$A$1421,$A77,Documents!$C$2:$C$1421,"sustainability")),"")</f>
        <v/>
      </c>
      <c r="Q77" s="0" t="str">
        <f aca="false">IFERROR(IF(maxifs(Documents!$E$2:$E$1421,Documents!$A$2:$A$1421,$A77,Documents!$C$2:$C$1421,"calendar")=0,"",maxifs(Documents!$E$2:$E$1421,Documents!$A$2:$A$1421,$A77,Documents!$C$2:$C$1421,"calendar")),"")</f>
        <v/>
      </c>
      <c r="R77" s="0" t="str">
        <f aca="false">IFERROR(IF(maxifs(Documents!$E$2:$E$1421,Documents!$A$2:$A$1421,$A77,Documents!$C$2:$C$1421,"brochure")=0,"",maxifs(Documents!$E$2:$E$1421,Documents!$A$2:$A$1421,$A77,Documents!$C$2:$C$1421,"brochure")),"")</f>
        <v/>
      </c>
      <c r="S77" s="0" t="str">
        <f aca="false">IFERROR(IF(maxifs(Documents!$E$2:$E$1421,Documents!$A$2:$A$1421,$A77,Documents!$C$2:$C$1421,"press_kit")=0,"",maxifs(Documents!$E$2:$E$1421,Documents!$A$2:$A$1421,$A77,Documents!$C$2:$C$1421,"press_kit")),"")</f>
        <v/>
      </c>
      <c r="T77" s="0" t="str">
        <f aca="false">IFERROR(IF(maxifs(Documents!$E$2:$E$1421,Documents!$A$2:$A$1421,$A77,Documents!$C$2:$C$1421,"other")=0,"",maxifs(Documents!$E$2:$E$1421,Documents!$A$2:$A$1421,$A77,Documents!$C$2:$C$1421,"other")),"")</f>
        <v/>
      </c>
      <c r="U77" s="0" t="str">
        <f aca="false">IFERROR(IF(maxifs(Documents!$E$2:$E$1421,Documents!$A$2:$A$1421,$A77,Documents!$C$2:$C$1421,"obsolete")=0,"",maxifs(Documents!$E$2:$E$1421,Documents!$A$2:$A$1421,$A77,Documents!$C$2:$C$1421,"obsolete")),"")</f>
        <v/>
      </c>
      <c r="V77" s="0" t="n">
        <f aca="false">COUNTIFS(Documents!$A$2:$A$1421,$A77)</f>
        <v>2</v>
      </c>
      <c r="W77" s="0" t="n">
        <f aca="false">COUNTIFS(Documents!$A$2:$A$1421,$A77,Documents!$R$2:$R$1421,"current")</f>
        <v>0</v>
      </c>
      <c r="X77" s="0" t="str">
        <f aca="false">HYPERLINK("https://www.neoscapesmaldives.com/wp-content/uploads/Factsheet-Hideaway-Beach-Maldives-NEO.pdf","2020_Factsheet-Hideaway-Beach-Maldives-N")</f>
        <v>2020_Factsheet-Hideaway-Beach-Maldives-N</v>
      </c>
      <c r="Y77" s="0" t="s">
        <v>28</v>
      </c>
    </row>
    <row r="78" customFormat="false" ht="15" hidden="false" customHeight="false" outlineLevel="0" collapsed="false">
      <c r="A78" s="0" t="n">
        <v>77</v>
      </c>
      <c r="B78" s="0" t="s">
        <v>128</v>
      </c>
      <c r="C78" s="0" t="s">
        <v>112</v>
      </c>
      <c r="D78" s="0" t="str">
        <f aca="false">IFERROR(IF(maxifs(Documents!$E$2:$E$1421,Documents!$A$2:$A$1421,$A78,Documents!$C$2:$C$1421,"factsheet")=0,"",maxifs(Documents!$E$2:$E$1421,Documents!$A$2:$A$1421,$A78,Documents!$C$2:$C$1421,"factsheet")),"")</f>
        <v/>
      </c>
      <c r="E78" s="0" t="str">
        <f aca="false">IFERROR(IF(maxifs(Documents!$E$2:$E$1421,Documents!$A$2:$A$1421,$A78,Documents!$C$2:$C$1421,"wedding")=0,"",maxifs(Documents!$E$2:$E$1421,Documents!$A$2:$A$1421,$A78,Documents!$C$2:$C$1421,"wedding")),"")</f>
        <v/>
      </c>
      <c r="F78" s="0" t="str">
        <f aca="false">IFERROR(IF(maxifs(Documents!$E$2:$E$1421,Documents!$A$2:$A$1421,$A78,Documents!$C$2:$C$1421,"events")=0,"",maxifs(Documents!$E$2:$E$1421,Documents!$A$2:$A$1421,$A78,Documents!$C$2:$C$1421,"events")),"")</f>
        <v/>
      </c>
      <c r="G78" s="0" t="str">
        <f aca="false">IFERROR(IF(maxifs(Documents!$E$2:$E$1421,Documents!$A$2:$A$1421,$A78,Documents!$C$2:$C$1421,"map")=0,"",maxifs(Documents!$E$2:$E$1421,Documents!$A$2:$A$1421,$A78,Documents!$C$2:$C$1421,"map")),"")</f>
        <v/>
      </c>
      <c r="H78" s="0" t="str">
        <f aca="false">IFERROR(IF(maxifs(Documents!$E$2:$E$1421,Documents!$A$2:$A$1421,$A78,Documents!$C$2:$C$1421,"dive_map")=0,"",maxifs(Documents!$E$2:$E$1421,Documents!$A$2:$A$1421,$A78,Documents!$C$2:$C$1421,"dive_map")),"")</f>
        <v/>
      </c>
      <c r="I78" s="0" t="str">
        <f aca="false">IFERROR(IF(maxifs(Documents!$E$2:$E$1421,Documents!$A$2:$A$1421,$A78,Documents!$C$2:$C$1421,"spa_menu")=0,"",maxifs(Documents!$E$2:$E$1421,Documents!$A$2:$A$1421,$A78,Documents!$C$2:$C$1421,"spa_menu")),"")</f>
        <v/>
      </c>
      <c r="J78" s="0" t="str">
        <f aca="false">IFERROR(IF(maxifs(Documents!$E$2:$E$1421,Documents!$A$2:$A$1421,$A78,Documents!$C$2:$C$1421,"dining_menu")=0,"",maxifs(Documents!$E$2:$E$1421,Documents!$A$2:$A$1421,$A78,Documents!$C$2:$C$1421,"dining_menu")),"")</f>
        <v/>
      </c>
      <c r="K78" s="0" t="str">
        <f aca="false">IFERROR(IF(maxifs(Documents!$E$2:$E$1421,Documents!$A$2:$A$1421,$A78,Documents!$C$2:$C$1421,"dive_prices")=0,"",maxifs(Documents!$E$2:$E$1421,Documents!$A$2:$A$1421,$A78,Documents!$C$2:$C$1421,"dive_prices")),"")</f>
        <v/>
      </c>
      <c r="L78" s="0" t="str">
        <f aca="false">IFERROR(IF(maxifs(Documents!$E$2:$E$1421,Documents!$A$2:$A$1421,$A78,Documents!$C$2:$C$1421,"excursions")=0,"",maxifs(Documents!$E$2:$E$1421,Documents!$A$2:$A$1421,$A78,Documents!$C$2:$C$1421,"excursions")),"")</f>
        <v/>
      </c>
      <c r="M78" s="0" t="str">
        <f aca="false">IFERROR(IF(maxifs(Documents!$E$2:$E$1421,Documents!$A$2:$A$1421,$A78,Documents!$C$2:$C$1421,"kids")=0,"",maxifs(Documents!$E$2:$E$1421,Documents!$A$2:$A$1421,$A78,Documents!$C$2:$C$1421,"kids")),"")</f>
        <v/>
      </c>
      <c r="N78" s="0" t="str">
        <f aca="false">IFERROR(IF(maxifs(Documents!$E$2:$E$1421,Documents!$A$2:$A$1421,$A78,Documents!$C$2:$C$1421,"villa_plans")=0,"",maxifs(Documents!$E$2:$E$1421,Documents!$A$2:$A$1421,$A78,Documents!$C$2:$C$1421,"villa_plans")),"")</f>
        <v/>
      </c>
      <c r="O78" s="0" t="str">
        <f aca="false">IFERROR(IF(maxifs(Documents!$E$2:$E$1421,Documents!$A$2:$A$1421,$A78,Documents!$C$2:$C$1421,"all_inclusive")=0,"",maxifs(Documents!$E$2:$E$1421,Documents!$A$2:$A$1421,$A78,Documents!$C$2:$C$1421,"all_inclusive")),"")</f>
        <v/>
      </c>
      <c r="P78" s="0" t="str">
        <f aca="false">IFERROR(IF(maxifs(Documents!$E$2:$E$1421,Documents!$A$2:$A$1421,$A78,Documents!$C$2:$C$1421,"sustainability")=0,"",maxifs(Documents!$E$2:$E$1421,Documents!$A$2:$A$1421,$A78,Documents!$C$2:$C$1421,"sustainability")),"")</f>
        <v/>
      </c>
      <c r="Q78" s="0" t="str">
        <f aca="false">IFERROR(IF(maxifs(Documents!$E$2:$E$1421,Documents!$A$2:$A$1421,$A78,Documents!$C$2:$C$1421,"calendar")=0,"",maxifs(Documents!$E$2:$E$1421,Documents!$A$2:$A$1421,$A78,Documents!$C$2:$C$1421,"calendar")),"")</f>
        <v/>
      </c>
      <c r="R78" s="0" t="str">
        <f aca="false">IFERROR(IF(maxifs(Documents!$E$2:$E$1421,Documents!$A$2:$A$1421,$A78,Documents!$C$2:$C$1421,"brochure")=0,"",maxifs(Documents!$E$2:$E$1421,Documents!$A$2:$A$1421,$A78,Documents!$C$2:$C$1421,"brochure")),"")</f>
        <v/>
      </c>
      <c r="S78" s="0" t="str">
        <f aca="false">IFERROR(IF(maxifs(Documents!$E$2:$E$1421,Documents!$A$2:$A$1421,$A78,Documents!$C$2:$C$1421,"press_kit")=0,"",maxifs(Documents!$E$2:$E$1421,Documents!$A$2:$A$1421,$A78,Documents!$C$2:$C$1421,"press_kit")),"")</f>
        <v/>
      </c>
      <c r="T78" s="0" t="str">
        <f aca="false">IFERROR(IF(maxifs(Documents!$E$2:$E$1421,Documents!$A$2:$A$1421,$A78,Documents!$C$2:$C$1421,"other")=0,"",maxifs(Documents!$E$2:$E$1421,Documents!$A$2:$A$1421,$A78,Documents!$C$2:$C$1421,"other")),"")</f>
        <v/>
      </c>
      <c r="U78" s="0" t="str">
        <f aca="false">IFERROR(IF(maxifs(Documents!$E$2:$E$1421,Documents!$A$2:$A$1421,$A78,Documents!$C$2:$C$1421,"obsolete")=0,"",maxifs(Documents!$E$2:$E$1421,Documents!$A$2:$A$1421,$A78,Documents!$C$2:$C$1421,"obsolete")),"")</f>
        <v/>
      </c>
      <c r="V78" s="0" t="n">
        <f aca="false">COUNTIFS(Documents!$A$2:$A$1421,$A78)</f>
        <v>3</v>
      </c>
      <c r="W78" s="0" t="n">
        <f aca="false">COUNTIFS(Documents!$A$2:$A$1421,$A78,Documents!$R$2:$R$1421,"current")</f>
        <v>1</v>
      </c>
      <c r="Y78" s="0" t="s">
        <v>31</v>
      </c>
    </row>
    <row r="79" customFormat="false" ht="15" hidden="false" customHeight="false" outlineLevel="0" collapsed="false">
      <c r="A79" s="0" t="n">
        <v>78</v>
      </c>
      <c r="B79" s="0" t="s">
        <v>129</v>
      </c>
      <c r="C79" s="0" t="s">
        <v>112</v>
      </c>
      <c r="D79" s="0" t="str">
        <f aca="false">IFERROR(IF(maxifs(Documents!$E$2:$E$1421,Documents!$A$2:$A$1421,$A79,Documents!$C$2:$C$1421,"factsheet")=0,"",maxifs(Documents!$E$2:$E$1421,Documents!$A$2:$A$1421,$A79,Documents!$C$2:$C$1421,"factsheet")),"")</f>
        <v/>
      </c>
      <c r="E79" s="0" t="str">
        <f aca="false">IFERROR(IF(maxifs(Documents!$E$2:$E$1421,Documents!$A$2:$A$1421,$A79,Documents!$C$2:$C$1421,"wedding")=0,"",maxifs(Documents!$E$2:$E$1421,Documents!$A$2:$A$1421,$A79,Documents!$C$2:$C$1421,"wedding")),"")</f>
        <v/>
      </c>
      <c r="F79" s="0" t="str">
        <f aca="false">IFERROR(IF(maxifs(Documents!$E$2:$E$1421,Documents!$A$2:$A$1421,$A79,Documents!$C$2:$C$1421,"events")=0,"",maxifs(Documents!$E$2:$E$1421,Documents!$A$2:$A$1421,$A79,Documents!$C$2:$C$1421,"events")),"")</f>
        <v/>
      </c>
      <c r="G79" s="0" t="str">
        <f aca="false">IFERROR(IF(maxifs(Documents!$E$2:$E$1421,Documents!$A$2:$A$1421,$A79,Documents!$C$2:$C$1421,"map")=0,"",maxifs(Documents!$E$2:$E$1421,Documents!$A$2:$A$1421,$A79,Documents!$C$2:$C$1421,"map")),"")</f>
        <v/>
      </c>
      <c r="H79" s="0" t="str">
        <f aca="false">IFERROR(IF(maxifs(Documents!$E$2:$E$1421,Documents!$A$2:$A$1421,$A79,Documents!$C$2:$C$1421,"dive_map")=0,"",maxifs(Documents!$E$2:$E$1421,Documents!$A$2:$A$1421,$A79,Documents!$C$2:$C$1421,"dive_map")),"")</f>
        <v/>
      </c>
      <c r="I79" s="0" t="str">
        <f aca="false">IFERROR(IF(maxifs(Documents!$E$2:$E$1421,Documents!$A$2:$A$1421,$A79,Documents!$C$2:$C$1421,"spa_menu")=0,"",maxifs(Documents!$E$2:$E$1421,Documents!$A$2:$A$1421,$A79,Documents!$C$2:$C$1421,"spa_menu")),"")</f>
        <v/>
      </c>
      <c r="J79" s="0" t="str">
        <f aca="false">IFERROR(IF(maxifs(Documents!$E$2:$E$1421,Documents!$A$2:$A$1421,$A79,Documents!$C$2:$C$1421,"dining_menu")=0,"",maxifs(Documents!$E$2:$E$1421,Documents!$A$2:$A$1421,$A79,Documents!$C$2:$C$1421,"dining_menu")),"")</f>
        <v/>
      </c>
      <c r="K79" s="0" t="str">
        <f aca="false">IFERROR(IF(maxifs(Documents!$E$2:$E$1421,Documents!$A$2:$A$1421,$A79,Documents!$C$2:$C$1421,"dive_prices")=0,"",maxifs(Documents!$E$2:$E$1421,Documents!$A$2:$A$1421,$A79,Documents!$C$2:$C$1421,"dive_prices")),"")</f>
        <v/>
      </c>
      <c r="L79" s="0" t="str">
        <f aca="false">IFERROR(IF(maxifs(Documents!$E$2:$E$1421,Documents!$A$2:$A$1421,$A79,Documents!$C$2:$C$1421,"excursions")=0,"",maxifs(Documents!$E$2:$E$1421,Documents!$A$2:$A$1421,$A79,Documents!$C$2:$C$1421,"excursions")),"")</f>
        <v/>
      </c>
      <c r="M79" s="0" t="str">
        <f aca="false">IFERROR(IF(maxifs(Documents!$E$2:$E$1421,Documents!$A$2:$A$1421,$A79,Documents!$C$2:$C$1421,"kids")=0,"",maxifs(Documents!$E$2:$E$1421,Documents!$A$2:$A$1421,$A79,Documents!$C$2:$C$1421,"kids")),"")</f>
        <v/>
      </c>
      <c r="N79" s="0" t="str">
        <f aca="false">IFERROR(IF(maxifs(Documents!$E$2:$E$1421,Documents!$A$2:$A$1421,$A79,Documents!$C$2:$C$1421,"villa_plans")=0,"",maxifs(Documents!$E$2:$E$1421,Documents!$A$2:$A$1421,$A79,Documents!$C$2:$C$1421,"villa_plans")),"")</f>
        <v/>
      </c>
      <c r="O79" s="0" t="str">
        <f aca="false">IFERROR(IF(maxifs(Documents!$E$2:$E$1421,Documents!$A$2:$A$1421,$A79,Documents!$C$2:$C$1421,"all_inclusive")=0,"",maxifs(Documents!$E$2:$E$1421,Documents!$A$2:$A$1421,$A79,Documents!$C$2:$C$1421,"all_inclusive")),"")</f>
        <v/>
      </c>
      <c r="P79" s="0" t="str">
        <f aca="false">IFERROR(IF(maxifs(Documents!$E$2:$E$1421,Documents!$A$2:$A$1421,$A79,Documents!$C$2:$C$1421,"sustainability")=0,"",maxifs(Documents!$E$2:$E$1421,Documents!$A$2:$A$1421,$A79,Documents!$C$2:$C$1421,"sustainability")),"")</f>
        <v/>
      </c>
      <c r="Q79" s="0" t="str">
        <f aca="false">IFERROR(IF(maxifs(Documents!$E$2:$E$1421,Documents!$A$2:$A$1421,$A79,Documents!$C$2:$C$1421,"calendar")=0,"",maxifs(Documents!$E$2:$E$1421,Documents!$A$2:$A$1421,$A79,Documents!$C$2:$C$1421,"calendar")),"")</f>
        <v/>
      </c>
      <c r="R79" s="0" t="str">
        <f aca="false">IFERROR(IF(maxifs(Documents!$E$2:$E$1421,Documents!$A$2:$A$1421,$A79,Documents!$C$2:$C$1421,"brochure")=0,"",maxifs(Documents!$E$2:$E$1421,Documents!$A$2:$A$1421,$A79,Documents!$C$2:$C$1421,"brochure")),"")</f>
        <v/>
      </c>
      <c r="S79" s="0" t="str">
        <f aca="false">IFERROR(IF(maxifs(Documents!$E$2:$E$1421,Documents!$A$2:$A$1421,$A79,Documents!$C$2:$C$1421,"press_kit")=0,"",maxifs(Documents!$E$2:$E$1421,Documents!$A$2:$A$1421,$A79,Documents!$C$2:$C$1421,"press_kit")),"")</f>
        <v/>
      </c>
      <c r="T79" s="0" t="str">
        <f aca="false">IFERROR(IF(maxifs(Documents!$E$2:$E$1421,Documents!$A$2:$A$1421,$A79,Documents!$C$2:$C$1421,"other")=0,"",maxifs(Documents!$E$2:$E$1421,Documents!$A$2:$A$1421,$A79,Documents!$C$2:$C$1421,"other")),"")</f>
        <v/>
      </c>
      <c r="U79" s="0" t="str">
        <f aca="false">IFERROR(IF(maxifs(Documents!$E$2:$E$1421,Documents!$A$2:$A$1421,$A79,Documents!$C$2:$C$1421,"obsolete")=0,"",maxifs(Documents!$E$2:$E$1421,Documents!$A$2:$A$1421,$A79,Documents!$C$2:$C$1421,"obsolete")),"")</f>
        <v/>
      </c>
      <c r="V79" s="0" t="n">
        <f aca="false">COUNTIFS(Documents!$A$2:$A$1421,$A79)</f>
        <v>9</v>
      </c>
      <c r="W79" s="0" t="n">
        <f aca="false">COUNTIFS(Documents!$A$2:$A$1421,$A79,Documents!$R$2:$R$1421,"current")</f>
        <v>3</v>
      </c>
      <c r="X79" s="0" t="str">
        <f aca="false">HYPERLINK("https://sales.crownandchamparesorts.com/wp-content/uploads/2025/12/FactSheetMeeru110125103126Ver01022025.pdf","2025_FactSheetMeeru110125103126Ver010220")</f>
        <v>2025_FactSheetMeeru110125103126Ver010220</v>
      </c>
      <c r="Y79" s="0" t="s">
        <v>28</v>
      </c>
    </row>
    <row r="80" customFormat="false" ht="15" hidden="false" customHeight="false" outlineLevel="0" collapsed="false">
      <c r="A80" s="0" t="n">
        <v>79</v>
      </c>
      <c r="B80" s="0" t="s">
        <v>130</v>
      </c>
      <c r="C80" s="0" t="s">
        <v>112</v>
      </c>
      <c r="D80" s="0" t="str">
        <f aca="false">IFERROR(IF(maxifs(Documents!$E$2:$E$1421,Documents!$A$2:$A$1421,$A80,Documents!$C$2:$C$1421,"factsheet")=0,"",maxifs(Documents!$E$2:$E$1421,Documents!$A$2:$A$1421,$A80,Documents!$C$2:$C$1421,"factsheet")),"")</f>
        <v/>
      </c>
      <c r="E80" s="0" t="str">
        <f aca="false">IFERROR(IF(maxifs(Documents!$E$2:$E$1421,Documents!$A$2:$A$1421,$A80,Documents!$C$2:$C$1421,"wedding")=0,"",maxifs(Documents!$E$2:$E$1421,Documents!$A$2:$A$1421,$A80,Documents!$C$2:$C$1421,"wedding")),"")</f>
        <v/>
      </c>
      <c r="F80" s="0" t="str">
        <f aca="false">IFERROR(IF(maxifs(Documents!$E$2:$E$1421,Documents!$A$2:$A$1421,$A80,Documents!$C$2:$C$1421,"events")=0,"",maxifs(Documents!$E$2:$E$1421,Documents!$A$2:$A$1421,$A80,Documents!$C$2:$C$1421,"events")),"")</f>
        <v/>
      </c>
      <c r="G80" s="0" t="str">
        <f aca="false">IFERROR(IF(maxifs(Documents!$E$2:$E$1421,Documents!$A$2:$A$1421,$A80,Documents!$C$2:$C$1421,"map")=0,"",maxifs(Documents!$E$2:$E$1421,Documents!$A$2:$A$1421,$A80,Documents!$C$2:$C$1421,"map")),"")</f>
        <v/>
      </c>
      <c r="H80" s="0" t="str">
        <f aca="false">IFERROR(IF(maxifs(Documents!$E$2:$E$1421,Documents!$A$2:$A$1421,$A80,Documents!$C$2:$C$1421,"dive_map")=0,"",maxifs(Documents!$E$2:$E$1421,Documents!$A$2:$A$1421,$A80,Documents!$C$2:$C$1421,"dive_map")),"")</f>
        <v/>
      </c>
      <c r="I80" s="0" t="str">
        <f aca="false">IFERROR(IF(maxifs(Documents!$E$2:$E$1421,Documents!$A$2:$A$1421,$A80,Documents!$C$2:$C$1421,"spa_menu")=0,"",maxifs(Documents!$E$2:$E$1421,Documents!$A$2:$A$1421,$A80,Documents!$C$2:$C$1421,"spa_menu")),"")</f>
        <v/>
      </c>
      <c r="J80" s="0" t="str">
        <f aca="false">IFERROR(IF(maxifs(Documents!$E$2:$E$1421,Documents!$A$2:$A$1421,$A80,Documents!$C$2:$C$1421,"dining_menu")=0,"",maxifs(Documents!$E$2:$E$1421,Documents!$A$2:$A$1421,$A80,Documents!$C$2:$C$1421,"dining_menu")),"")</f>
        <v/>
      </c>
      <c r="K80" s="0" t="str">
        <f aca="false">IFERROR(IF(maxifs(Documents!$E$2:$E$1421,Documents!$A$2:$A$1421,$A80,Documents!$C$2:$C$1421,"dive_prices")=0,"",maxifs(Documents!$E$2:$E$1421,Documents!$A$2:$A$1421,$A80,Documents!$C$2:$C$1421,"dive_prices")),"")</f>
        <v/>
      </c>
      <c r="L80" s="0" t="str">
        <f aca="false">IFERROR(IF(maxifs(Documents!$E$2:$E$1421,Documents!$A$2:$A$1421,$A80,Documents!$C$2:$C$1421,"excursions")=0,"",maxifs(Documents!$E$2:$E$1421,Documents!$A$2:$A$1421,$A80,Documents!$C$2:$C$1421,"excursions")),"")</f>
        <v/>
      </c>
      <c r="M80" s="0" t="str">
        <f aca="false">IFERROR(IF(maxifs(Documents!$E$2:$E$1421,Documents!$A$2:$A$1421,$A80,Documents!$C$2:$C$1421,"kids")=0,"",maxifs(Documents!$E$2:$E$1421,Documents!$A$2:$A$1421,$A80,Documents!$C$2:$C$1421,"kids")),"")</f>
        <v/>
      </c>
      <c r="N80" s="0" t="str">
        <f aca="false">IFERROR(IF(maxifs(Documents!$E$2:$E$1421,Documents!$A$2:$A$1421,$A80,Documents!$C$2:$C$1421,"villa_plans")=0,"",maxifs(Documents!$E$2:$E$1421,Documents!$A$2:$A$1421,$A80,Documents!$C$2:$C$1421,"villa_plans")),"")</f>
        <v/>
      </c>
      <c r="O80" s="0" t="str">
        <f aca="false">IFERROR(IF(maxifs(Documents!$E$2:$E$1421,Documents!$A$2:$A$1421,$A80,Documents!$C$2:$C$1421,"all_inclusive")=0,"",maxifs(Documents!$E$2:$E$1421,Documents!$A$2:$A$1421,$A80,Documents!$C$2:$C$1421,"all_inclusive")),"")</f>
        <v/>
      </c>
      <c r="P80" s="0" t="str">
        <f aca="false">IFERROR(IF(maxifs(Documents!$E$2:$E$1421,Documents!$A$2:$A$1421,$A80,Documents!$C$2:$C$1421,"sustainability")=0,"",maxifs(Documents!$E$2:$E$1421,Documents!$A$2:$A$1421,$A80,Documents!$C$2:$C$1421,"sustainability")),"")</f>
        <v/>
      </c>
      <c r="Q80" s="0" t="str">
        <f aca="false">IFERROR(IF(maxifs(Documents!$E$2:$E$1421,Documents!$A$2:$A$1421,$A80,Documents!$C$2:$C$1421,"calendar")=0,"",maxifs(Documents!$E$2:$E$1421,Documents!$A$2:$A$1421,$A80,Documents!$C$2:$C$1421,"calendar")),"")</f>
        <v/>
      </c>
      <c r="R80" s="0" t="str">
        <f aca="false">IFERROR(IF(maxifs(Documents!$E$2:$E$1421,Documents!$A$2:$A$1421,$A80,Documents!$C$2:$C$1421,"brochure")=0,"",maxifs(Documents!$E$2:$E$1421,Documents!$A$2:$A$1421,$A80,Documents!$C$2:$C$1421,"brochure")),"")</f>
        <v/>
      </c>
      <c r="S80" s="0" t="str">
        <f aca="false">IFERROR(IF(maxifs(Documents!$E$2:$E$1421,Documents!$A$2:$A$1421,$A80,Documents!$C$2:$C$1421,"press_kit")=0,"",maxifs(Documents!$E$2:$E$1421,Documents!$A$2:$A$1421,$A80,Documents!$C$2:$C$1421,"press_kit")),"")</f>
        <v/>
      </c>
      <c r="T80" s="0" t="str">
        <f aca="false">IFERROR(IF(maxifs(Documents!$E$2:$E$1421,Documents!$A$2:$A$1421,$A80,Documents!$C$2:$C$1421,"other")=0,"",maxifs(Documents!$E$2:$E$1421,Documents!$A$2:$A$1421,$A80,Documents!$C$2:$C$1421,"other")),"")</f>
        <v/>
      </c>
      <c r="U80" s="0" t="str">
        <f aca="false">IFERROR(IF(maxifs(Documents!$E$2:$E$1421,Documents!$A$2:$A$1421,$A80,Documents!$C$2:$C$1421,"obsolete")=0,"",maxifs(Documents!$E$2:$E$1421,Documents!$A$2:$A$1421,$A80,Documents!$C$2:$C$1421,"obsolete")),"")</f>
        <v/>
      </c>
      <c r="V80" s="0" t="n">
        <f aca="false">COUNTIFS(Documents!$A$2:$A$1421,$A80)</f>
        <v>7</v>
      </c>
      <c r="W80" s="0" t="n">
        <f aca="false">COUNTIFS(Documents!$A$2:$A$1421,$A80,Documents!$R$2:$R$1421,"current")</f>
        <v>3</v>
      </c>
      <c r="X80" s="0" t="str">
        <f aca="false">HYPERLINK("https://sales.crownandchamparesorts.com/wp-content/uploads/2025/12/KomandooFactsheet110125103126Ver170824.pdf","2025_KomandooFactsheet110125103126Ver170")</f>
        <v>2025_KomandooFactsheet110125103126Ver170</v>
      </c>
      <c r="Y80" s="0" t="s">
        <v>28</v>
      </c>
    </row>
    <row r="81" customFormat="false" ht="15" hidden="false" customHeight="false" outlineLevel="0" collapsed="false">
      <c r="A81" s="0" t="n">
        <v>80</v>
      </c>
      <c r="B81" s="0" t="s">
        <v>131</v>
      </c>
      <c r="C81" s="0" t="s">
        <v>112</v>
      </c>
      <c r="D81" s="0" t="str">
        <f aca="false">IFERROR(IF(maxifs(Documents!$E$2:$E$1421,Documents!$A$2:$A$1421,$A81,Documents!$C$2:$C$1421,"factsheet")=0,"",maxifs(Documents!$E$2:$E$1421,Documents!$A$2:$A$1421,$A81,Documents!$C$2:$C$1421,"factsheet")),"")</f>
        <v/>
      </c>
      <c r="E81" s="0" t="str">
        <f aca="false">IFERROR(IF(maxifs(Documents!$E$2:$E$1421,Documents!$A$2:$A$1421,$A81,Documents!$C$2:$C$1421,"wedding")=0,"",maxifs(Documents!$E$2:$E$1421,Documents!$A$2:$A$1421,$A81,Documents!$C$2:$C$1421,"wedding")),"")</f>
        <v/>
      </c>
      <c r="F81" s="0" t="str">
        <f aca="false">IFERROR(IF(maxifs(Documents!$E$2:$E$1421,Documents!$A$2:$A$1421,$A81,Documents!$C$2:$C$1421,"events")=0,"",maxifs(Documents!$E$2:$E$1421,Documents!$A$2:$A$1421,$A81,Documents!$C$2:$C$1421,"events")),"")</f>
        <v/>
      </c>
      <c r="G81" s="0" t="str">
        <f aca="false">IFERROR(IF(maxifs(Documents!$E$2:$E$1421,Documents!$A$2:$A$1421,$A81,Documents!$C$2:$C$1421,"map")=0,"",maxifs(Documents!$E$2:$E$1421,Documents!$A$2:$A$1421,$A81,Documents!$C$2:$C$1421,"map")),"")</f>
        <v/>
      </c>
      <c r="H81" s="0" t="str">
        <f aca="false">IFERROR(IF(maxifs(Documents!$E$2:$E$1421,Documents!$A$2:$A$1421,$A81,Documents!$C$2:$C$1421,"dive_map")=0,"",maxifs(Documents!$E$2:$E$1421,Documents!$A$2:$A$1421,$A81,Documents!$C$2:$C$1421,"dive_map")),"")</f>
        <v/>
      </c>
      <c r="I81" s="0" t="str">
        <f aca="false">IFERROR(IF(maxifs(Documents!$E$2:$E$1421,Documents!$A$2:$A$1421,$A81,Documents!$C$2:$C$1421,"spa_menu")=0,"",maxifs(Documents!$E$2:$E$1421,Documents!$A$2:$A$1421,$A81,Documents!$C$2:$C$1421,"spa_menu")),"")</f>
        <v/>
      </c>
      <c r="J81" s="0" t="str">
        <f aca="false">IFERROR(IF(maxifs(Documents!$E$2:$E$1421,Documents!$A$2:$A$1421,$A81,Documents!$C$2:$C$1421,"dining_menu")=0,"",maxifs(Documents!$E$2:$E$1421,Documents!$A$2:$A$1421,$A81,Documents!$C$2:$C$1421,"dining_menu")),"")</f>
        <v/>
      </c>
      <c r="K81" s="0" t="str">
        <f aca="false">IFERROR(IF(maxifs(Documents!$E$2:$E$1421,Documents!$A$2:$A$1421,$A81,Documents!$C$2:$C$1421,"dive_prices")=0,"",maxifs(Documents!$E$2:$E$1421,Documents!$A$2:$A$1421,$A81,Documents!$C$2:$C$1421,"dive_prices")),"")</f>
        <v/>
      </c>
      <c r="L81" s="0" t="str">
        <f aca="false">IFERROR(IF(maxifs(Documents!$E$2:$E$1421,Documents!$A$2:$A$1421,$A81,Documents!$C$2:$C$1421,"excursions")=0,"",maxifs(Documents!$E$2:$E$1421,Documents!$A$2:$A$1421,$A81,Documents!$C$2:$C$1421,"excursions")),"")</f>
        <v/>
      </c>
      <c r="M81" s="0" t="str">
        <f aca="false">IFERROR(IF(maxifs(Documents!$E$2:$E$1421,Documents!$A$2:$A$1421,$A81,Documents!$C$2:$C$1421,"kids")=0,"",maxifs(Documents!$E$2:$E$1421,Documents!$A$2:$A$1421,$A81,Documents!$C$2:$C$1421,"kids")),"")</f>
        <v/>
      </c>
      <c r="N81" s="0" t="str">
        <f aca="false">IFERROR(IF(maxifs(Documents!$E$2:$E$1421,Documents!$A$2:$A$1421,$A81,Documents!$C$2:$C$1421,"villa_plans")=0,"",maxifs(Documents!$E$2:$E$1421,Documents!$A$2:$A$1421,$A81,Documents!$C$2:$C$1421,"villa_plans")),"")</f>
        <v/>
      </c>
      <c r="O81" s="0" t="str">
        <f aca="false">IFERROR(IF(maxifs(Documents!$E$2:$E$1421,Documents!$A$2:$A$1421,$A81,Documents!$C$2:$C$1421,"all_inclusive")=0,"",maxifs(Documents!$E$2:$E$1421,Documents!$A$2:$A$1421,$A81,Documents!$C$2:$C$1421,"all_inclusive")),"")</f>
        <v/>
      </c>
      <c r="P81" s="0" t="str">
        <f aca="false">IFERROR(IF(maxifs(Documents!$E$2:$E$1421,Documents!$A$2:$A$1421,$A81,Documents!$C$2:$C$1421,"sustainability")=0,"",maxifs(Documents!$E$2:$E$1421,Documents!$A$2:$A$1421,$A81,Documents!$C$2:$C$1421,"sustainability")),"")</f>
        <v/>
      </c>
      <c r="Q81" s="0" t="str">
        <f aca="false">IFERROR(IF(maxifs(Documents!$E$2:$E$1421,Documents!$A$2:$A$1421,$A81,Documents!$C$2:$C$1421,"calendar")=0,"",maxifs(Documents!$E$2:$E$1421,Documents!$A$2:$A$1421,$A81,Documents!$C$2:$C$1421,"calendar")),"")</f>
        <v/>
      </c>
      <c r="R81" s="0" t="str">
        <f aca="false">IFERROR(IF(maxifs(Documents!$E$2:$E$1421,Documents!$A$2:$A$1421,$A81,Documents!$C$2:$C$1421,"brochure")=0,"",maxifs(Documents!$E$2:$E$1421,Documents!$A$2:$A$1421,$A81,Documents!$C$2:$C$1421,"brochure")),"")</f>
        <v/>
      </c>
      <c r="S81" s="0" t="str">
        <f aca="false">IFERROR(IF(maxifs(Documents!$E$2:$E$1421,Documents!$A$2:$A$1421,$A81,Documents!$C$2:$C$1421,"press_kit")=0,"",maxifs(Documents!$E$2:$E$1421,Documents!$A$2:$A$1421,$A81,Documents!$C$2:$C$1421,"press_kit")),"")</f>
        <v/>
      </c>
      <c r="T81" s="0" t="str">
        <f aca="false">IFERROR(IF(maxifs(Documents!$E$2:$E$1421,Documents!$A$2:$A$1421,$A81,Documents!$C$2:$C$1421,"other")=0,"",maxifs(Documents!$E$2:$E$1421,Documents!$A$2:$A$1421,$A81,Documents!$C$2:$C$1421,"other")),"")</f>
        <v/>
      </c>
      <c r="U81" s="0" t="str">
        <f aca="false">IFERROR(IF(maxifs(Documents!$E$2:$E$1421,Documents!$A$2:$A$1421,$A81,Documents!$C$2:$C$1421,"obsolete")=0,"",maxifs(Documents!$E$2:$E$1421,Documents!$A$2:$A$1421,$A81,Documents!$C$2:$C$1421,"obsolete")),"")</f>
        <v/>
      </c>
      <c r="V81" s="0" t="n">
        <f aca="false">COUNTIFS(Documents!$A$2:$A$1421,$A81)</f>
        <v>2</v>
      </c>
      <c r="W81" s="0" t="n">
        <f aca="false">COUNTIFS(Documents!$A$2:$A$1421,$A81,Documents!$R$2:$R$1421,"current")</f>
        <v>2</v>
      </c>
      <c r="Y81" s="0" t="s">
        <v>31</v>
      </c>
    </row>
    <row r="82" customFormat="false" ht="15" hidden="false" customHeight="false" outlineLevel="0" collapsed="false">
      <c r="A82" s="0" t="n">
        <v>81</v>
      </c>
      <c r="B82" s="0" t="s">
        <v>132</v>
      </c>
      <c r="C82" s="0" t="s">
        <v>112</v>
      </c>
      <c r="D82" s="0" t="str">
        <f aca="false">IFERROR(IF(maxifs(Documents!$E$2:$E$1421,Documents!$A$2:$A$1421,$A82,Documents!$C$2:$C$1421,"factsheet")=0,"",maxifs(Documents!$E$2:$E$1421,Documents!$A$2:$A$1421,$A82,Documents!$C$2:$C$1421,"factsheet")),"")</f>
        <v/>
      </c>
      <c r="E82" s="0" t="str">
        <f aca="false">IFERROR(IF(maxifs(Documents!$E$2:$E$1421,Documents!$A$2:$A$1421,$A82,Documents!$C$2:$C$1421,"wedding")=0,"",maxifs(Documents!$E$2:$E$1421,Documents!$A$2:$A$1421,$A82,Documents!$C$2:$C$1421,"wedding")),"")</f>
        <v/>
      </c>
      <c r="F82" s="0" t="str">
        <f aca="false">IFERROR(IF(maxifs(Documents!$E$2:$E$1421,Documents!$A$2:$A$1421,$A82,Documents!$C$2:$C$1421,"events")=0,"",maxifs(Documents!$E$2:$E$1421,Documents!$A$2:$A$1421,$A82,Documents!$C$2:$C$1421,"events")),"")</f>
        <v/>
      </c>
      <c r="G82" s="0" t="str">
        <f aca="false">IFERROR(IF(maxifs(Documents!$E$2:$E$1421,Documents!$A$2:$A$1421,$A82,Documents!$C$2:$C$1421,"map")=0,"",maxifs(Documents!$E$2:$E$1421,Documents!$A$2:$A$1421,$A82,Documents!$C$2:$C$1421,"map")),"")</f>
        <v/>
      </c>
      <c r="H82" s="0" t="str">
        <f aca="false">IFERROR(IF(maxifs(Documents!$E$2:$E$1421,Documents!$A$2:$A$1421,$A82,Documents!$C$2:$C$1421,"dive_map")=0,"",maxifs(Documents!$E$2:$E$1421,Documents!$A$2:$A$1421,$A82,Documents!$C$2:$C$1421,"dive_map")),"")</f>
        <v/>
      </c>
      <c r="I82" s="0" t="str">
        <f aca="false">IFERROR(IF(maxifs(Documents!$E$2:$E$1421,Documents!$A$2:$A$1421,$A82,Documents!$C$2:$C$1421,"spa_menu")=0,"",maxifs(Documents!$E$2:$E$1421,Documents!$A$2:$A$1421,$A82,Documents!$C$2:$C$1421,"spa_menu")),"")</f>
        <v/>
      </c>
      <c r="J82" s="0" t="str">
        <f aca="false">IFERROR(IF(maxifs(Documents!$E$2:$E$1421,Documents!$A$2:$A$1421,$A82,Documents!$C$2:$C$1421,"dining_menu")=0,"",maxifs(Documents!$E$2:$E$1421,Documents!$A$2:$A$1421,$A82,Documents!$C$2:$C$1421,"dining_menu")),"")</f>
        <v/>
      </c>
      <c r="K82" s="0" t="str">
        <f aca="false">IFERROR(IF(maxifs(Documents!$E$2:$E$1421,Documents!$A$2:$A$1421,$A82,Documents!$C$2:$C$1421,"dive_prices")=0,"",maxifs(Documents!$E$2:$E$1421,Documents!$A$2:$A$1421,$A82,Documents!$C$2:$C$1421,"dive_prices")),"")</f>
        <v/>
      </c>
      <c r="L82" s="0" t="str">
        <f aca="false">IFERROR(IF(maxifs(Documents!$E$2:$E$1421,Documents!$A$2:$A$1421,$A82,Documents!$C$2:$C$1421,"excursions")=0,"",maxifs(Documents!$E$2:$E$1421,Documents!$A$2:$A$1421,$A82,Documents!$C$2:$C$1421,"excursions")),"")</f>
        <v/>
      </c>
      <c r="M82" s="0" t="str">
        <f aca="false">IFERROR(IF(maxifs(Documents!$E$2:$E$1421,Documents!$A$2:$A$1421,$A82,Documents!$C$2:$C$1421,"kids")=0,"",maxifs(Documents!$E$2:$E$1421,Documents!$A$2:$A$1421,$A82,Documents!$C$2:$C$1421,"kids")),"")</f>
        <v/>
      </c>
      <c r="N82" s="0" t="str">
        <f aca="false">IFERROR(IF(maxifs(Documents!$E$2:$E$1421,Documents!$A$2:$A$1421,$A82,Documents!$C$2:$C$1421,"villa_plans")=0,"",maxifs(Documents!$E$2:$E$1421,Documents!$A$2:$A$1421,$A82,Documents!$C$2:$C$1421,"villa_plans")),"")</f>
        <v/>
      </c>
      <c r="O82" s="0" t="str">
        <f aca="false">IFERROR(IF(maxifs(Documents!$E$2:$E$1421,Documents!$A$2:$A$1421,$A82,Documents!$C$2:$C$1421,"all_inclusive")=0,"",maxifs(Documents!$E$2:$E$1421,Documents!$A$2:$A$1421,$A82,Documents!$C$2:$C$1421,"all_inclusive")),"")</f>
        <v/>
      </c>
      <c r="P82" s="0" t="str">
        <f aca="false">IFERROR(IF(maxifs(Documents!$E$2:$E$1421,Documents!$A$2:$A$1421,$A82,Documents!$C$2:$C$1421,"sustainability")=0,"",maxifs(Documents!$E$2:$E$1421,Documents!$A$2:$A$1421,$A82,Documents!$C$2:$C$1421,"sustainability")),"")</f>
        <v/>
      </c>
      <c r="Q82" s="0" t="str">
        <f aca="false">IFERROR(IF(maxifs(Documents!$E$2:$E$1421,Documents!$A$2:$A$1421,$A82,Documents!$C$2:$C$1421,"calendar")=0,"",maxifs(Documents!$E$2:$E$1421,Documents!$A$2:$A$1421,$A82,Documents!$C$2:$C$1421,"calendar")),"")</f>
        <v/>
      </c>
      <c r="R82" s="0" t="str">
        <f aca="false">IFERROR(IF(maxifs(Documents!$E$2:$E$1421,Documents!$A$2:$A$1421,$A82,Documents!$C$2:$C$1421,"brochure")=0,"",maxifs(Documents!$E$2:$E$1421,Documents!$A$2:$A$1421,$A82,Documents!$C$2:$C$1421,"brochure")),"")</f>
        <v/>
      </c>
      <c r="S82" s="0" t="str">
        <f aca="false">IFERROR(IF(maxifs(Documents!$E$2:$E$1421,Documents!$A$2:$A$1421,$A82,Documents!$C$2:$C$1421,"press_kit")=0,"",maxifs(Documents!$E$2:$E$1421,Documents!$A$2:$A$1421,$A82,Documents!$C$2:$C$1421,"press_kit")),"")</f>
        <v/>
      </c>
      <c r="T82" s="0" t="str">
        <f aca="false">IFERROR(IF(maxifs(Documents!$E$2:$E$1421,Documents!$A$2:$A$1421,$A82,Documents!$C$2:$C$1421,"other")=0,"",maxifs(Documents!$E$2:$E$1421,Documents!$A$2:$A$1421,$A82,Documents!$C$2:$C$1421,"other")),"")</f>
        <v/>
      </c>
      <c r="U82" s="0" t="str">
        <f aca="false">IFERROR(IF(maxifs(Documents!$E$2:$E$1421,Documents!$A$2:$A$1421,$A82,Documents!$C$2:$C$1421,"obsolete")=0,"",maxifs(Documents!$E$2:$E$1421,Documents!$A$2:$A$1421,$A82,Documents!$C$2:$C$1421,"obsolete")),"")</f>
        <v/>
      </c>
      <c r="V82" s="0" t="n">
        <f aca="false">COUNTIFS(Documents!$A$2:$A$1421,$A82)</f>
        <v>7</v>
      </c>
      <c r="W82" s="0" t="n">
        <f aca="false">COUNTIFS(Documents!$A$2:$A$1421,$A82,Documents!$R$2:$R$1421,"current")</f>
        <v>2</v>
      </c>
      <c r="X82" s="0" t="str">
        <f aca="false">HYPERLINK("https://sales.crownandchamparesorts.com/wp-content/uploads/2025/12/KureduFactsheet110125103126Rev301025.pdf","2025_KureduFactsheet110125103126Rev30102")</f>
        <v>2025_KureduFactsheet110125103126Rev30102</v>
      </c>
      <c r="Y82" s="0" t="s">
        <v>28</v>
      </c>
    </row>
    <row r="83" customFormat="false" ht="15" hidden="false" customHeight="false" outlineLevel="0" collapsed="false">
      <c r="A83" s="0" t="n">
        <v>82</v>
      </c>
      <c r="B83" s="0" t="s">
        <v>133</v>
      </c>
      <c r="C83" s="0" t="s">
        <v>112</v>
      </c>
      <c r="D83" s="0" t="str">
        <f aca="false">IFERROR(IF(maxifs(Documents!$E$2:$E$1421,Documents!$A$2:$A$1421,$A83,Documents!$C$2:$C$1421,"factsheet")=0,"",maxifs(Documents!$E$2:$E$1421,Documents!$A$2:$A$1421,$A83,Documents!$C$2:$C$1421,"factsheet")),"")</f>
        <v/>
      </c>
      <c r="E83" s="0" t="str">
        <f aca="false">IFERROR(IF(maxifs(Documents!$E$2:$E$1421,Documents!$A$2:$A$1421,$A83,Documents!$C$2:$C$1421,"wedding")=0,"",maxifs(Documents!$E$2:$E$1421,Documents!$A$2:$A$1421,$A83,Documents!$C$2:$C$1421,"wedding")),"")</f>
        <v/>
      </c>
      <c r="F83" s="0" t="str">
        <f aca="false">IFERROR(IF(maxifs(Documents!$E$2:$E$1421,Documents!$A$2:$A$1421,$A83,Documents!$C$2:$C$1421,"events")=0,"",maxifs(Documents!$E$2:$E$1421,Documents!$A$2:$A$1421,$A83,Documents!$C$2:$C$1421,"events")),"")</f>
        <v/>
      </c>
      <c r="G83" s="0" t="str">
        <f aca="false">IFERROR(IF(maxifs(Documents!$E$2:$E$1421,Documents!$A$2:$A$1421,$A83,Documents!$C$2:$C$1421,"map")=0,"",maxifs(Documents!$E$2:$E$1421,Documents!$A$2:$A$1421,$A83,Documents!$C$2:$C$1421,"map")),"")</f>
        <v/>
      </c>
      <c r="H83" s="0" t="str">
        <f aca="false">IFERROR(IF(maxifs(Documents!$E$2:$E$1421,Documents!$A$2:$A$1421,$A83,Documents!$C$2:$C$1421,"dive_map")=0,"",maxifs(Documents!$E$2:$E$1421,Documents!$A$2:$A$1421,$A83,Documents!$C$2:$C$1421,"dive_map")),"")</f>
        <v/>
      </c>
      <c r="I83" s="0" t="str">
        <f aca="false">IFERROR(IF(maxifs(Documents!$E$2:$E$1421,Documents!$A$2:$A$1421,$A83,Documents!$C$2:$C$1421,"spa_menu")=0,"",maxifs(Documents!$E$2:$E$1421,Documents!$A$2:$A$1421,$A83,Documents!$C$2:$C$1421,"spa_menu")),"")</f>
        <v/>
      </c>
      <c r="J83" s="0" t="str">
        <f aca="false">IFERROR(IF(maxifs(Documents!$E$2:$E$1421,Documents!$A$2:$A$1421,$A83,Documents!$C$2:$C$1421,"dining_menu")=0,"",maxifs(Documents!$E$2:$E$1421,Documents!$A$2:$A$1421,$A83,Documents!$C$2:$C$1421,"dining_menu")),"")</f>
        <v/>
      </c>
      <c r="K83" s="0" t="str">
        <f aca="false">IFERROR(IF(maxifs(Documents!$E$2:$E$1421,Documents!$A$2:$A$1421,$A83,Documents!$C$2:$C$1421,"dive_prices")=0,"",maxifs(Documents!$E$2:$E$1421,Documents!$A$2:$A$1421,$A83,Documents!$C$2:$C$1421,"dive_prices")),"")</f>
        <v/>
      </c>
      <c r="L83" s="0" t="str">
        <f aca="false">IFERROR(IF(maxifs(Documents!$E$2:$E$1421,Documents!$A$2:$A$1421,$A83,Documents!$C$2:$C$1421,"excursions")=0,"",maxifs(Documents!$E$2:$E$1421,Documents!$A$2:$A$1421,$A83,Documents!$C$2:$C$1421,"excursions")),"")</f>
        <v/>
      </c>
      <c r="M83" s="0" t="str">
        <f aca="false">IFERROR(IF(maxifs(Documents!$E$2:$E$1421,Documents!$A$2:$A$1421,$A83,Documents!$C$2:$C$1421,"kids")=0,"",maxifs(Documents!$E$2:$E$1421,Documents!$A$2:$A$1421,$A83,Documents!$C$2:$C$1421,"kids")),"")</f>
        <v/>
      </c>
      <c r="N83" s="0" t="str">
        <f aca="false">IFERROR(IF(maxifs(Documents!$E$2:$E$1421,Documents!$A$2:$A$1421,$A83,Documents!$C$2:$C$1421,"villa_plans")=0,"",maxifs(Documents!$E$2:$E$1421,Documents!$A$2:$A$1421,$A83,Documents!$C$2:$C$1421,"villa_plans")),"")</f>
        <v/>
      </c>
      <c r="O83" s="0" t="str">
        <f aca="false">IFERROR(IF(maxifs(Documents!$E$2:$E$1421,Documents!$A$2:$A$1421,$A83,Documents!$C$2:$C$1421,"all_inclusive")=0,"",maxifs(Documents!$E$2:$E$1421,Documents!$A$2:$A$1421,$A83,Documents!$C$2:$C$1421,"all_inclusive")),"")</f>
        <v/>
      </c>
      <c r="P83" s="0" t="str">
        <f aca="false">IFERROR(IF(maxifs(Documents!$E$2:$E$1421,Documents!$A$2:$A$1421,$A83,Documents!$C$2:$C$1421,"sustainability")=0,"",maxifs(Documents!$E$2:$E$1421,Documents!$A$2:$A$1421,$A83,Documents!$C$2:$C$1421,"sustainability")),"")</f>
        <v/>
      </c>
      <c r="Q83" s="0" t="str">
        <f aca="false">IFERROR(IF(maxifs(Documents!$E$2:$E$1421,Documents!$A$2:$A$1421,$A83,Documents!$C$2:$C$1421,"calendar")=0,"",maxifs(Documents!$E$2:$E$1421,Documents!$A$2:$A$1421,$A83,Documents!$C$2:$C$1421,"calendar")),"")</f>
        <v/>
      </c>
      <c r="R83" s="0" t="str">
        <f aca="false">IFERROR(IF(maxifs(Documents!$E$2:$E$1421,Documents!$A$2:$A$1421,$A83,Documents!$C$2:$C$1421,"brochure")=0,"",maxifs(Documents!$E$2:$E$1421,Documents!$A$2:$A$1421,$A83,Documents!$C$2:$C$1421,"brochure")),"")</f>
        <v/>
      </c>
      <c r="S83" s="0" t="str">
        <f aca="false">IFERROR(IF(maxifs(Documents!$E$2:$E$1421,Documents!$A$2:$A$1421,$A83,Documents!$C$2:$C$1421,"press_kit")=0,"",maxifs(Documents!$E$2:$E$1421,Documents!$A$2:$A$1421,$A83,Documents!$C$2:$C$1421,"press_kit")),"")</f>
        <v/>
      </c>
      <c r="T83" s="0" t="str">
        <f aca="false">IFERROR(IF(maxifs(Documents!$E$2:$E$1421,Documents!$A$2:$A$1421,$A83,Documents!$C$2:$C$1421,"other")=0,"",maxifs(Documents!$E$2:$E$1421,Documents!$A$2:$A$1421,$A83,Documents!$C$2:$C$1421,"other")),"")</f>
        <v/>
      </c>
      <c r="U83" s="0" t="str">
        <f aca="false">IFERROR(IF(maxifs(Documents!$E$2:$E$1421,Documents!$A$2:$A$1421,$A83,Documents!$C$2:$C$1421,"obsolete")=0,"",maxifs(Documents!$E$2:$E$1421,Documents!$A$2:$A$1421,$A83,Documents!$C$2:$C$1421,"obsolete")),"")</f>
        <v/>
      </c>
      <c r="V83" s="0" t="n">
        <f aca="false">COUNTIFS(Documents!$A$2:$A$1421,$A83)</f>
        <v>2</v>
      </c>
      <c r="W83" s="0" t="n">
        <f aca="false">COUNTIFS(Documents!$A$2:$A$1421,$A83,Documents!$R$2:$R$1421,"current")</f>
        <v>0</v>
      </c>
      <c r="X83" s="0" t="str">
        <f aca="false">HYPERLINK("https://www.neoscapesmaldives.com/wp-content/uploads/IFURU-ISLAND-MALDIVES-Fact-Sheet.pdf","2023_IFURU-ISLAND-MALDIVES-Fact-Sheet.pd")</f>
        <v>2023_IFURU-ISLAND-MALDIVES-Fact-Sheet.pd</v>
      </c>
      <c r="Y83" s="0" t="s">
        <v>28</v>
      </c>
    </row>
    <row r="84" customFormat="false" ht="15" hidden="false" customHeight="false" outlineLevel="0" collapsed="false">
      <c r="A84" s="0" t="n">
        <v>83</v>
      </c>
      <c r="B84" s="0" t="s">
        <v>134</v>
      </c>
      <c r="C84" s="0" t="s">
        <v>112</v>
      </c>
      <c r="D84" s="0" t="str">
        <f aca="false">IFERROR(IF(maxifs(Documents!$E$2:$E$1421,Documents!$A$2:$A$1421,$A84,Documents!$C$2:$C$1421,"factsheet")=0,"",maxifs(Documents!$E$2:$E$1421,Documents!$A$2:$A$1421,$A84,Documents!$C$2:$C$1421,"factsheet")),"")</f>
        <v/>
      </c>
      <c r="E84" s="0" t="str">
        <f aca="false">IFERROR(IF(maxifs(Documents!$E$2:$E$1421,Documents!$A$2:$A$1421,$A84,Documents!$C$2:$C$1421,"wedding")=0,"",maxifs(Documents!$E$2:$E$1421,Documents!$A$2:$A$1421,$A84,Documents!$C$2:$C$1421,"wedding")),"")</f>
        <v/>
      </c>
      <c r="F84" s="0" t="str">
        <f aca="false">IFERROR(IF(maxifs(Documents!$E$2:$E$1421,Documents!$A$2:$A$1421,$A84,Documents!$C$2:$C$1421,"events")=0,"",maxifs(Documents!$E$2:$E$1421,Documents!$A$2:$A$1421,$A84,Documents!$C$2:$C$1421,"events")),"")</f>
        <v/>
      </c>
      <c r="G84" s="0" t="str">
        <f aca="false">IFERROR(IF(maxifs(Documents!$E$2:$E$1421,Documents!$A$2:$A$1421,$A84,Documents!$C$2:$C$1421,"map")=0,"",maxifs(Documents!$E$2:$E$1421,Documents!$A$2:$A$1421,$A84,Documents!$C$2:$C$1421,"map")),"")</f>
        <v/>
      </c>
      <c r="H84" s="0" t="str">
        <f aca="false">IFERROR(IF(maxifs(Documents!$E$2:$E$1421,Documents!$A$2:$A$1421,$A84,Documents!$C$2:$C$1421,"dive_map")=0,"",maxifs(Documents!$E$2:$E$1421,Documents!$A$2:$A$1421,$A84,Documents!$C$2:$C$1421,"dive_map")),"")</f>
        <v/>
      </c>
      <c r="I84" s="0" t="str">
        <f aca="false">IFERROR(IF(maxifs(Documents!$E$2:$E$1421,Documents!$A$2:$A$1421,$A84,Documents!$C$2:$C$1421,"spa_menu")=0,"",maxifs(Documents!$E$2:$E$1421,Documents!$A$2:$A$1421,$A84,Documents!$C$2:$C$1421,"spa_menu")),"")</f>
        <v/>
      </c>
      <c r="J84" s="0" t="str">
        <f aca="false">IFERROR(IF(maxifs(Documents!$E$2:$E$1421,Documents!$A$2:$A$1421,$A84,Documents!$C$2:$C$1421,"dining_menu")=0,"",maxifs(Documents!$E$2:$E$1421,Documents!$A$2:$A$1421,$A84,Documents!$C$2:$C$1421,"dining_menu")),"")</f>
        <v/>
      </c>
      <c r="K84" s="0" t="str">
        <f aca="false">IFERROR(IF(maxifs(Documents!$E$2:$E$1421,Documents!$A$2:$A$1421,$A84,Documents!$C$2:$C$1421,"dive_prices")=0,"",maxifs(Documents!$E$2:$E$1421,Documents!$A$2:$A$1421,$A84,Documents!$C$2:$C$1421,"dive_prices")),"")</f>
        <v/>
      </c>
      <c r="L84" s="0" t="str">
        <f aca="false">IFERROR(IF(maxifs(Documents!$E$2:$E$1421,Documents!$A$2:$A$1421,$A84,Documents!$C$2:$C$1421,"excursions")=0,"",maxifs(Documents!$E$2:$E$1421,Documents!$A$2:$A$1421,$A84,Documents!$C$2:$C$1421,"excursions")),"")</f>
        <v/>
      </c>
      <c r="M84" s="0" t="str">
        <f aca="false">IFERROR(IF(maxifs(Documents!$E$2:$E$1421,Documents!$A$2:$A$1421,$A84,Documents!$C$2:$C$1421,"kids")=0,"",maxifs(Documents!$E$2:$E$1421,Documents!$A$2:$A$1421,$A84,Documents!$C$2:$C$1421,"kids")),"")</f>
        <v/>
      </c>
      <c r="N84" s="0" t="str">
        <f aca="false">IFERROR(IF(maxifs(Documents!$E$2:$E$1421,Documents!$A$2:$A$1421,$A84,Documents!$C$2:$C$1421,"villa_plans")=0,"",maxifs(Documents!$E$2:$E$1421,Documents!$A$2:$A$1421,$A84,Documents!$C$2:$C$1421,"villa_plans")),"")</f>
        <v/>
      </c>
      <c r="O84" s="0" t="str">
        <f aca="false">IFERROR(IF(maxifs(Documents!$E$2:$E$1421,Documents!$A$2:$A$1421,$A84,Documents!$C$2:$C$1421,"all_inclusive")=0,"",maxifs(Documents!$E$2:$E$1421,Documents!$A$2:$A$1421,$A84,Documents!$C$2:$C$1421,"all_inclusive")),"")</f>
        <v/>
      </c>
      <c r="P84" s="0" t="str">
        <f aca="false">IFERROR(IF(maxifs(Documents!$E$2:$E$1421,Documents!$A$2:$A$1421,$A84,Documents!$C$2:$C$1421,"sustainability")=0,"",maxifs(Documents!$E$2:$E$1421,Documents!$A$2:$A$1421,$A84,Documents!$C$2:$C$1421,"sustainability")),"")</f>
        <v/>
      </c>
      <c r="Q84" s="0" t="str">
        <f aca="false">IFERROR(IF(maxifs(Documents!$E$2:$E$1421,Documents!$A$2:$A$1421,$A84,Documents!$C$2:$C$1421,"calendar")=0,"",maxifs(Documents!$E$2:$E$1421,Documents!$A$2:$A$1421,$A84,Documents!$C$2:$C$1421,"calendar")),"")</f>
        <v/>
      </c>
      <c r="R84" s="0" t="str">
        <f aca="false">IFERROR(IF(maxifs(Documents!$E$2:$E$1421,Documents!$A$2:$A$1421,$A84,Documents!$C$2:$C$1421,"brochure")=0,"",maxifs(Documents!$E$2:$E$1421,Documents!$A$2:$A$1421,$A84,Documents!$C$2:$C$1421,"brochure")),"")</f>
        <v/>
      </c>
      <c r="S84" s="0" t="str">
        <f aca="false">IFERROR(IF(maxifs(Documents!$E$2:$E$1421,Documents!$A$2:$A$1421,$A84,Documents!$C$2:$C$1421,"press_kit")=0,"",maxifs(Documents!$E$2:$E$1421,Documents!$A$2:$A$1421,$A84,Documents!$C$2:$C$1421,"press_kit")),"")</f>
        <v/>
      </c>
      <c r="T84" s="0" t="str">
        <f aca="false">IFERROR(IF(maxifs(Documents!$E$2:$E$1421,Documents!$A$2:$A$1421,$A84,Documents!$C$2:$C$1421,"other")=0,"",maxifs(Documents!$E$2:$E$1421,Documents!$A$2:$A$1421,$A84,Documents!$C$2:$C$1421,"other")),"")</f>
        <v/>
      </c>
      <c r="U84" s="0" t="str">
        <f aca="false">IFERROR(IF(maxifs(Documents!$E$2:$E$1421,Documents!$A$2:$A$1421,$A84,Documents!$C$2:$C$1421,"obsolete")=0,"",maxifs(Documents!$E$2:$E$1421,Documents!$A$2:$A$1421,$A84,Documents!$C$2:$C$1421,"obsolete")),"")</f>
        <v/>
      </c>
      <c r="V84" s="0" t="n">
        <f aca="false">COUNTIFS(Documents!$A$2:$A$1421,$A84)</f>
        <v>3</v>
      </c>
      <c r="W84" s="0" t="n">
        <f aca="false">COUNTIFS(Documents!$A$2:$A$1421,$A84,Documents!$R$2:$R$1421,"current")</f>
        <v>1</v>
      </c>
      <c r="X84" s="0" t="str">
        <f aca="false">HYPERLINK("https://sales.crownandchamparesorts.com/wp-content/uploads/2026/04/NalaMaldivesFactsheet011125311026Ver030426.pdf","2025_NalaMaldivesFactsheet011125311026Ve")</f>
        <v>2025_NalaMaldivesFactsheet011125311026Ve</v>
      </c>
      <c r="Y84" s="0" t="s">
        <v>28</v>
      </c>
      <c r="Z84" s="0" t="s">
        <v>69</v>
      </c>
    </row>
    <row r="85" customFormat="false" ht="15" hidden="false" customHeight="false" outlineLevel="0" collapsed="false">
      <c r="A85" s="0" t="n">
        <v>84</v>
      </c>
      <c r="B85" s="0" t="s">
        <v>135</v>
      </c>
      <c r="C85" s="0" t="s">
        <v>112</v>
      </c>
      <c r="D85" s="0" t="str">
        <f aca="false">IFERROR(IF(maxifs(Documents!$E$2:$E$1421,Documents!$A$2:$A$1421,$A85,Documents!$C$2:$C$1421,"factsheet")=0,"",maxifs(Documents!$E$2:$E$1421,Documents!$A$2:$A$1421,$A85,Documents!$C$2:$C$1421,"factsheet")),"")</f>
        <v/>
      </c>
      <c r="E85" s="0" t="str">
        <f aca="false">IFERROR(IF(maxifs(Documents!$E$2:$E$1421,Documents!$A$2:$A$1421,$A85,Documents!$C$2:$C$1421,"wedding")=0,"",maxifs(Documents!$E$2:$E$1421,Documents!$A$2:$A$1421,$A85,Documents!$C$2:$C$1421,"wedding")),"")</f>
        <v/>
      </c>
      <c r="F85" s="0" t="str">
        <f aca="false">IFERROR(IF(maxifs(Documents!$E$2:$E$1421,Documents!$A$2:$A$1421,$A85,Documents!$C$2:$C$1421,"events")=0,"",maxifs(Documents!$E$2:$E$1421,Documents!$A$2:$A$1421,$A85,Documents!$C$2:$C$1421,"events")),"")</f>
        <v/>
      </c>
      <c r="G85" s="0" t="str">
        <f aca="false">IFERROR(IF(maxifs(Documents!$E$2:$E$1421,Documents!$A$2:$A$1421,$A85,Documents!$C$2:$C$1421,"map")=0,"",maxifs(Documents!$E$2:$E$1421,Documents!$A$2:$A$1421,$A85,Documents!$C$2:$C$1421,"map")),"")</f>
        <v/>
      </c>
      <c r="H85" s="0" t="str">
        <f aca="false">IFERROR(IF(maxifs(Documents!$E$2:$E$1421,Documents!$A$2:$A$1421,$A85,Documents!$C$2:$C$1421,"dive_map")=0,"",maxifs(Documents!$E$2:$E$1421,Documents!$A$2:$A$1421,$A85,Documents!$C$2:$C$1421,"dive_map")),"")</f>
        <v/>
      </c>
      <c r="I85" s="0" t="str">
        <f aca="false">IFERROR(IF(maxifs(Documents!$E$2:$E$1421,Documents!$A$2:$A$1421,$A85,Documents!$C$2:$C$1421,"spa_menu")=0,"",maxifs(Documents!$E$2:$E$1421,Documents!$A$2:$A$1421,$A85,Documents!$C$2:$C$1421,"spa_menu")),"")</f>
        <v/>
      </c>
      <c r="J85" s="0" t="str">
        <f aca="false">IFERROR(IF(maxifs(Documents!$E$2:$E$1421,Documents!$A$2:$A$1421,$A85,Documents!$C$2:$C$1421,"dining_menu")=0,"",maxifs(Documents!$E$2:$E$1421,Documents!$A$2:$A$1421,$A85,Documents!$C$2:$C$1421,"dining_menu")),"")</f>
        <v/>
      </c>
      <c r="K85" s="0" t="str">
        <f aca="false">IFERROR(IF(maxifs(Documents!$E$2:$E$1421,Documents!$A$2:$A$1421,$A85,Documents!$C$2:$C$1421,"dive_prices")=0,"",maxifs(Documents!$E$2:$E$1421,Documents!$A$2:$A$1421,$A85,Documents!$C$2:$C$1421,"dive_prices")),"")</f>
        <v/>
      </c>
      <c r="L85" s="0" t="str">
        <f aca="false">IFERROR(IF(maxifs(Documents!$E$2:$E$1421,Documents!$A$2:$A$1421,$A85,Documents!$C$2:$C$1421,"excursions")=0,"",maxifs(Documents!$E$2:$E$1421,Documents!$A$2:$A$1421,$A85,Documents!$C$2:$C$1421,"excursions")),"")</f>
        <v/>
      </c>
      <c r="M85" s="0" t="str">
        <f aca="false">IFERROR(IF(maxifs(Documents!$E$2:$E$1421,Documents!$A$2:$A$1421,$A85,Documents!$C$2:$C$1421,"kids")=0,"",maxifs(Documents!$E$2:$E$1421,Documents!$A$2:$A$1421,$A85,Documents!$C$2:$C$1421,"kids")),"")</f>
        <v/>
      </c>
      <c r="N85" s="0" t="str">
        <f aca="false">IFERROR(IF(maxifs(Documents!$E$2:$E$1421,Documents!$A$2:$A$1421,$A85,Documents!$C$2:$C$1421,"villa_plans")=0,"",maxifs(Documents!$E$2:$E$1421,Documents!$A$2:$A$1421,$A85,Documents!$C$2:$C$1421,"villa_plans")),"")</f>
        <v/>
      </c>
      <c r="O85" s="0" t="str">
        <f aca="false">IFERROR(IF(maxifs(Documents!$E$2:$E$1421,Documents!$A$2:$A$1421,$A85,Documents!$C$2:$C$1421,"all_inclusive")=0,"",maxifs(Documents!$E$2:$E$1421,Documents!$A$2:$A$1421,$A85,Documents!$C$2:$C$1421,"all_inclusive")),"")</f>
        <v/>
      </c>
      <c r="P85" s="0" t="str">
        <f aca="false">IFERROR(IF(maxifs(Documents!$E$2:$E$1421,Documents!$A$2:$A$1421,$A85,Documents!$C$2:$C$1421,"sustainability")=0,"",maxifs(Documents!$E$2:$E$1421,Documents!$A$2:$A$1421,$A85,Documents!$C$2:$C$1421,"sustainability")),"")</f>
        <v/>
      </c>
      <c r="Q85" s="0" t="str">
        <f aca="false">IFERROR(IF(maxifs(Documents!$E$2:$E$1421,Documents!$A$2:$A$1421,$A85,Documents!$C$2:$C$1421,"calendar")=0,"",maxifs(Documents!$E$2:$E$1421,Documents!$A$2:$A$1421,$A85,Documents!$C$2:$C$1421,"calendar")),"")</f>
        <v/>
      </c>
      <c r="R85" s="0" t="str">
        <f aca="false">IFERROR(IF(maxifs(Documents!$E$2:$E$1421,Documents!$A$2:$A$1421,$A85,Documents!$C$2:$C$1421,"brochure")=0,"",maxifs(Documents!$E$2:$E$1421,Documents!$A$2:$A$1421,$A85,Documents!$C$2:$C$1421,"brochure")),"")</f>
        <v/>
      </c>
      <c r="S85" s="0" t="str">
        <f aca="false">IFERROR(IF(maxifs(Documents!$E$2:$E$1421,Documents!$A$2:$A$1421,$A85,Documents!$C$2:$C$1421,"press_kit")=0,"",maxifs(Documents!$E$2:$E$1421,Documents!$A$2:$A$1421,$A85,Documents!$C$2:$C$1421,"press_kit")),"")</f>
        <v/>
      </c>
      <c r="T85" s="0" t="str">
        <f aca="false">IFERROR(IF(maxifs(Documents!$E$2:$E$1421,Documents!$A$2:$A$1421,$A85,Documents!$C$2:$C$1421,"other")=0,"",maxifs(Documents!$E$2:$E$1421,Documents!$A$2:$A$1421,$A85,Documents!$C$2:$C$1421,"other")),"")</f>
        <v/>
      </c>
      <c r="U85" s="0" t="str">
        <f aca="false">IFERROR(IF(maxifs(Documents!$E$2:$E$1421,Documents!$A$2:$A$1421,$A85,Documents!$C$2:$C$1421,"obsolete")=0,"",maxifs(Documents!$E$2:$E$1421,Documents!$A$2:$A$1421,$A85,Documents!$C$2:$C$1421,"obsolete")),"")</f>
        <v/>
      </c>
      <c r="V85" s="0" t="n">
        <f aca="false">COUNTIFS(Documents!$A$2:$A$1421,$A85)</f>
        <v>0</v>
      </c>
      <c r="W85" s="0" t="n">
        <f aca="false">COUNTIFS(Documents!$A$2:$A$1421,$A85,Documents!$R$2:$R$1421,"current")</f>
        <v>0</v>
      </c>
      <c r="Y85" s="0" t="s">
        <v>31</v>
      </c>
    </row>
    <row r="86" customFormat="false" ht="15" hidden="false" customHeight="false" outlineLevel="0" collapsed="false">
      <c r="A86" s="0" t="n">
        <v>85</v>
      </c>
      <c r="B86" s="0" t="s">
        <v>136</v>
      </c>
      <c r="C86" s="0" t="s">
        <v>112</v>
      </c>
      <c r="D86" s="0" t="str">
        <f aca="false">IFERROR(IF(maxifs(Documents!$E$2:$E$1421,Documents!$A$2:$A$1421,$A86,Documents!$C$2:$C$1421,"factsheet")=0,"",maxifs(Documents!$E$2:$E$1421,Documents!$A$2:$A$1421,$A86,Documents!$C$2:$C$1421,"factsheet")),"")</f>
        <v/>
      </c>
      <c r="E86" s="0" t="str">
        <f aca="false">IFERROR(IF(maxifs(Documents!$E$2:$E$1421,Documents!$A$2:$A$1421,$A86,Documents!$C$2:$C$1421,"wedding")=0,"",maxifs(Documents!$E$2:$E$1421,Documents!$A$2:$A$1421,$A86,Documents!$C$2:$C$1421,"wedding")),"")</f>
        <v/>
      </c>
      <c r="F86" s="0" t="str">
        <f aca="false">IFERROR(IF(maxifs(Documents!$E$2:$E$1421,Documents!$A$2:$A$1421,$A86,Documents!$C$2:$C$1421,"events")=0,"",maxifs(Documents!$E$2:$E$1421,Documents!$A$2:$A$1421,$A86,Documents!$C$2:$C$1421,"events")),"")</f>
        <v/>
      </c>
      <c r="G86" s="0" t="str">
        <f aca="false">IFERROR(IF(maxifs(Documents!$E$2:$E$1421,Documents!$A$2:$A$1421,$A86,Documents!$C$2:$C$1421,"map")=0,"",maxifs(Documents!$E$2:$E$1421,Documents!$A$2:$A$1421,$A86,Documents!$C$2:$C$1421,"map")),"")</f>
        <v/>
      </c>
      <c r="H86" s="0" t="str">
        <f aca="false">IFERROR(IF(maxifs(Documents!$E$2:$E$1421,Documents!$A$2:$A$1421,$A86,Documents!$C$2:$C$1421,"dive_map")=0,"",maxifs(Documents!$E$2:$E$1421,Documents!$A$2:$A$1421,$A86,Documents!$C$2:$C$1421,"dive_map")),"")</f>
        <v/>
      </c>
      <c r="I86" s="0" t="str">
        <f aca="false">IFERROR(IF(maxifs(Documents!$E$2:$E$1421,Documents!$A$2:$A$1421,$A86,Documents!$C$2:$C$1421,"spa_menu")=0,"",maxifs(Documents!$E$2:$E$1421,Documents!$A$2:$A$1421,$A86,Documents!$C$2:$C$1421,"spa_menu")),"")</f>
        <v/>
      </c>
      <c r="J86" s="0" t="str">
        <f aca="false">IFERROR(IF(maxifs(Documents!$E$2:$E$1421,Documents!$A$2:$A$1421,$A86,Documents!$C$2:$C$1421,"dining_menu")=0,"",maxifs(Documents!$E$2:$E$1421,Documents!$A$2:$A$1421,$A86,Documents!$C$2:$C$1421,"dining_menu")),"")</f>
        <v/>
      </c>
      <c r="K86" s="0" t="str">
        <f aca="false">IFERROR(IF(maxifs(Documents!$E$2:$E$1421,Documents!$A$2:$A$1421,$A86,Documents!$C$2:$C$1421,"dive_prices")=0,"",maxifs(Documents!$E$2:$E$1421,Documents!$A$2:$A$1421,$A86,Documents!$C$2:$C$1421,"dive_prices")),"")</f>
        <v/>
      </c>
      <c r="L86" s="0" t="str">
        <f aca="false">IFERROR(IF(maxifs(Documents!$E$2:$E$1421,Documents!$A$2:$A$1421,$A86,Documents!$C$2:$C$1421,"excursions")=0,"",maxifs(Documents!$E$2:$E$1421,Documents!$A$2:$A$1421,$A86,Documents!$C$2:$C$1421,"excursions")),"")</f>
        <v/>
      </c>
      <c r="M86" s="0" t="str">
        <f aca="false">IFERROR(IF(maxifs(Documents!$E$2:$E$1421,Documents!$A$2:$A$1421,$A86,Documents!$C$2:$C$1421,"kids")=0,"",maxifs(Documents!$E$2:$E$1421,Documents!$A$2:$A$1421,$A86,Documents!$C$2:$C$1421,"kids")),"")</f>
        <v/>
      </c>
      <c r="N86" s="0" t="str">
        <f aca="false">IFERROR(IF(maxifs(Documents!$E$2:$E$1421,Documents!$A$2:$A$1421,$A86,Documents!$C$2:$C$1421,"villa_plans")=0,"",maxifs(Documents!$E$2:$E$1421,Documents!$A$2:$A$1421,$A86,Documents!$C$2:$C$1421,"villa_plans")),"")</f>
        <v/>
      </c>
      <c r="O86" s="0" t="str">
        <f aca="false">IFERROR(IF(maxifs(Documents!$E$2:$E$1421,Documents!$A$2:$A$1421,$A86,Documents!$C$2:$C$1421,"all_inclusive")=0,"",maxifs(Documents!$E$2:$E$1421,Documents!$A$2:$A$1421,$A86,Documents!$C$2:$C$1421,"all_inclusive")),"")</f>
        <v/>
      </c>
      <c r="P86" s="0" t="str">
        <f aca="false">IFERROR(IF(maxifs(Documents!$E$2:$E$1421,Documents!$A$2:$A$1421,$A86,Documents!$C$2:$C$1421,"sustainability")=0,"",maxifs(Documents!$E$2:$E$1421,Documents!$A$2:$A$1421,$A86,Documents!$C$2:$C$1421,"sustainability")),"")</f>
        <v/>
      </c>
      <c r="Q86" s="0" t="str">
        <f aca="false">IFERROR(IF(maxifs(Documents!$E$2:$E$1421,Documents!$A$2:$A$1421,$A86,Documents!$C$2:$C$1421,"calendar")=0,"",maxifs(Documents!$E$2:$E$1421,Documents!$A$2:$A$1421,$A86,Documents!$C$2:$C$1421,"calendar")),"")</f>
        <v/>
      </c>
      <c r="R86" s="0" t="str">
        <f aca="false">IFERROR(IF(maxifs(Documents!$E$2:$E$1421,Documents!$A$2:$A$1421,$A86,Documents!$C$2:$C$1421,"brochure")=0,"",maxifs(Documents!$E$2:$E$1421,Documents!$A$2:$A$1421,$A86,Documents!$C$2:$C$1421,"brochure")),"")</f>
        <v/>
      </c>
      <c r="S86" s="0" t="str">
        <f aca="false">IFERROR(IF(maxifs(Documents!$E$2:$E$1421,Documents!$A$2:$A$1421,$A86,Documents!$C$2:$C$1421,"press_kit")=0,"",maxifs(Documents!$E$2:$E$1421,Documents!$A$2:$A$1421,$A86,Documents!$C$2:$C$1421,"press_kit")),"")</f>
        <v/>
      </c>
      <c r="T86" s="0" t="str">
        <f aca="false">IFERROR(IF(maxifs(Documents!$E$2:$E$1421,Documents!$A$2:$A$1421,$A86,Documents!$C$2:$C$1421,"other")=0,"",maxifs(Documents!$E$2:$E$1421,Documents!$A$2:$A$1421,$A86,Documents!$C$2:$C$1421,"other")),"")</f>
        <v/>
      </c>
      <c r="U86" s="0" t="str">
        <f aca="false">IFERROR(IF(maxifs(Documents!$E$2:$E$1421,Documents!$A$2:$A$1421,$A86,Documents!$C$2:$C$1421,"obsolete")=0,"",maxifs(Documents!$E$2:$E$1421,Documents!$A$2:$A$1421,$A86,Documents!$C$2:$C$1421,"obsolete")),"")</f>
        <v/>
      </c>
      <c r="V86" s="0" t="n">
        <f aca="false">COUNTIFS(Documents!$A$2:$A$1421,$A86)</f>
        <v>4</v>
      </c>
      <c r="W86" s="0" t="n">
        <f aca="false">COUNTIFS(Documents!$A$2:$A$1421,$A86,Documents!$R$2:$R$1421,"current")</f>
        <v>3</v>
      </c>
      <c r="X86" s="0" t="str">
        <f aca="false">HYPERLINK("https://www.neoscapesmaldives.com/wp-content/uploads/Centara-Mirage-Lagoon-Factsheet-October-2025.pdf","2025_Centara-Mirage-Lagoon-Factsheet-Oct")</f>
        <v>2025_Centara-Mirage-Lagoon-Factsheet-Oct</v>
      </c>
      <c r="Y86" s="0" t="s">
        <v>28</v>
      </c>
      <c r="Z86" s="0" t="s">
        <v>137</v>
      </c>
    </row>
    <row r="87" customFormat="false" ht="15" hidden="false" customHeight="false" outlineLevel="0" collapsed="false">
      <c r="A87" s="0" t="n">
        <v>86</v>
      </c>
      <c r="B87" s="0" t="s">
        <v>138</v>
      </c>
      <c r="C87" s="0" t="s">
        <v>112</v>
      </c>
      <c r="D87" s="0" t="str">
        <f aca="false">IFERROR(IF(maxifs(Documents!$E$2:$E$1421,Documents!$A$2:$A$1421,$A87,Documents!$C$2:$C$1421,"factsheet")=0,"",maxifs(Documents!$E$2:$E$1421,Documents!$A$2:$A$1421,$A87,Documents!$C$2:$C$1421,"factsheet")),"")</f>
        <v/>
      </c>
      <c r="E87" s="0" t="str">
        <f aca="false">IFERROR(IF(maxifs(Documents!$E$2:$E$1421,Documents!$A$2:$A$1421,$A87,Documents!$C$2:$C$1421,"wedding")=0,"",maxifs(Documents!$E$2:$E$1421,Documents!$A$2:$A$1421,$A87,Documents!$C$2:$C$1421,"wedding")),"")</f>
        <v/>
      </c>
      <c r="F87" s="0" t="str">
        <f aca="false">IFERROR(IF(maxifs(Documents!$E$2:$E$1421,Documents!$A$2:$A$1421,$A87,Documents!$C$2:$C$1421,"events")=0,"",maxifs(Documents!$E$2:$E$1421,Documents!$A$2:$A$1421,$A87,Documents!$C$2:$C$1421,"events")),"")</f>
        <v/>
      </c>
      <c r="G87" s="0" t="str">
        <f aca="false">IFERROR(IF(maxifs(Documents!$E$2:$E$1421,Documents!$A$2:$A$1421,$A87,Documents!$C$2:$C$1421,"map")=0,"",maxifs(Documents!$E$2:$E$1421,Documents!$A$2:$A$1421,$A87,Documents!$C$2:$C$1421,"map")),"")</f>
        <v/>
      </c>
      <c r="H87" s="0" t="str">
        <f aca="false">IFERROR(IF(maxifs(Documents!$E$2:$E$1421,Documents!$A$2:$A$1421,$A87,Documents!$C$2:$C$1421,"dive_map")=0,"",maxifs(Documents!$E$2:$E$1421,Documents!$A$2:$A$1421,$A87,Documents!$C$2:$C$1421,"dive_map")),"")</f>
        <v/>
      </c>
      <c r="I87" s="0" t="str">
        <f aca="false">IFERROR(IF(maxifs(Documents!$E$2:$E$1421,Documents!$A$2:$A$1421,$A87,Documents!$C$2:$C$1421,"spa_menu")=0,"",maxifs(Documents!$E$2:$E$1421,Documents!$A$2:$A$1421,$A87,Documents!$C$2:$C$1421,"spa_menu")),"")</f>
        <v/>
      </c>
      <c r="J87" s="0" t="str">
        <f aca="false">IFERROR(IF(maxifs(Documents!$E$2:$E$1421,Documents!$A$2:$A$1421,$A87,Documents!$C$2:$C$1421,"dining_menu")=0,"",maxifs(Documents!$E$2:$E$1421,Documents!$A$2:$A$1421,$A87,Documents!$C$2:$C$1421,"dining_menu")),"")</f>
        <v/>
      </c>
      <c r="K87" s="0" t="str">
        <f aca="false">IFERROR(IF(maxifs(Documents!$E$2:$E$1421,Documents!$A$2:$A$1421,$A87,Documents!$C$2:$C$1421,"dive_prices")=0,"",maxifs(Documents!$E$2:$E$1421,Documents!$A$2:$A$1421,$A87,Documents!$C$2:$C$1421,"dive_prices")),"")</f>
        <v/>
      </c>
      <c r="L87" s="0" t="str">
        <f aca="false">IFERROR(IF(maxifs(Documents!$E$2:$E$1421,Documents!$A$2:$A$1421,$A87,Documents!$C$2:$C$1421,"excursions")=0,"",maxifs(Documents!$E$2:$E$1421,Documents!$A$2:$A$1421,$A87,Documents!$C$2:$C$1421,"excursions")),"")</f>
        <v/>
      </c>
      <c r="M87" s="0" t="str">
        <f aca="false">IFERROR(IF(maxifs(Documents!$E$2:$E$1421,Documents!$A$2:$A$1421,$A87,Documents!$C$2:$C$1421,"kids")=0,"",maxifs(Documents!$E$2:$E$1421,Documents!$A$2:$A$1421,$A87,Documents!$C$2:$C$1421,"kids")),"")</f>
        <v/>
      </c>
      <c r="N87" s="0" t="str">
        <f aca="false">IFERROR(IF(maxifs(Documents!$E$2:$E$1421,Documents!$A$2:$A$1421,$A87,Documents!$C$2:$C$1421,"villa_plans")=0,"",maxifs(Documents!$E$2:$E$1421,Documents!$A$2:$A$1421,$A87,Documents!$C$2:$C$1421,"villa_plans")),"")</f>
        <v/>
      </c>
      <c r="O87" s="0" t="str">
        <f aca="false">IFERROR(IF(maxifs(Documents!$E$2:$E$1421,Documents!$A$2:$A$1421,$A87,Documents!$C$2:$C$1421,"all_inclusive")=0,"",maxifs(Documents!$E$2:$E$1421,Documents!$A$2:$A$1421,$A87,Documents!$C$2:$C$1421,"all_inclusive")),"")</f>
        <v/>
      </c>
      <c r="P87" s="0" t="str">
        <f aca="false">IFERROR(IF(maxifs(Documents!$E$2:$E$1421,Documents!$A$2:$A$1421,$A87,Documents!$C$2:$C$1421,"sustainability")=0,"",maxifs(Documents!$E$2:$E$1421,Documents!$A$2:$A$1421,$A87,Documents!$C$2:$C$1421,"sustainability")),"")</f>
        <v/>
      </c>
      <c r="Q87" s="0" t="str">
        <f aca="false">IFERROR(IF(maxifs(Documents!$E$2:$E$1421,Documents!$A$2:$A$1421,$A87,Documents!$C$2:$C$1421,"calendar")=0,"",maxifs(Documents!$E$2:$E$1421,Documents!$A$2:$A$1421,$A87,Documents!$C$2:$C$1421,"calendar")),"")</f>
        <v/>
      </c>
      <c r="R87" s="0" t="str">
        <f aca="false">IFERROR(IF(maxifs(Documents!$E$2:$E$1421,Documents!$A$2:$A$1421,$A87,Documents!$C$2:$C$1421,"brochure")=0,"",maxifs(Documents!$E$2:$E$1421,Documents!$A$2:$A$1421,$A87,Documents!$C$2:$C$1421,"brochure")),"")</f>
        <v/>
      </c>
      <c r="S87" s="0" t="str">
        <f aca="false">IFERROR(IF(maxifs(Documents!$E$2:$E$1421,Documents!$A$2:$A$1421,$A87,Documents!$C$2:$C$1421,"press_kit")=0,"",maxifs(Documents!$E$2:$E$1421,Documents!$A$2:$A$1421,$A87,Documents!$C$2:$C$1421,"press_kit")),"")</f>
        <v/>
      </c>
      <c r="T87" s="0" t="str">
        <f aca="false">IFERROR(IF(maxifs(Documents!$E$2:$E$1421,Documents!$A$2:$A$1421,$A87,Documents!$C$2:$C$1421,"other")=0,"",maxifs(Documents!$E$2:$E$1421,Documents!$A$2:$A$1421,$A87,Documents!$C$2:$C$1421,"other")),"")</f>
        <v/>
      </c>
      <c r="U87" s="0" t="str">
        <f aca="false">IFERROR(IF(maxifs(Documents!$E$2:$E$1421,Documents!$A$2:$A$1421,$A87,Documents!$C$2:$C$1421,"obsolete")=0,"",maxifs(Documents!$E$2:$E$1421,Documents!$A$2:$A$1421,$A87,Documents!$C$2:$C$1421,"obsolete")),"")</f>
        <v/>
      </c>
      <c r="V87" s="0" t="n">
        <f aca="false">COUNTIFS(Documents!$A$2:$A$1421,$A87)</f>
        <v>0</v>
      </c>
      <c r="W87" s="0" t="n">
        <f aca="false">COUNTIFS(Documents!$A$2:$A$1421,$A87,Documents!$R$2:$R$1421,"current")</f>
        <v>0</v>
      </c>
      <c r="Y87" s="0" t="s">
        <v>31</v>
      </c>
    </row>
    <row r="88" customFormat="false" ht="15" hidden="false" customHeight="false" outlineLevel="0" collapsed="false">
      <c r="A88" s="0" t="n">
        <v>87</v>
      </c>
      <c r="B88" s="0" t="s">
        <v>139</v>
      </c>
      <c r="C88" s="0" t="s">
        <v>112</v>
      </c>
      <c r="D88" s="0" t="str">
        <f aca="false">IFERROR(IF(maxifs(Documents!$E$2:$E$1421,Documents!$A$2:$A$1421,$A88,Documents!$C$2:$C$1421,"factsheet")=0,"",maxifs(Documents!$E$2:$E$1421,Documents!$A$2:$A$1421,$A88,Documents!$C$2:$C$1421,"factsheet")),"")</f>
        <v/>
      </c>
      <c r="E88" s="0" t="str">
        <f aca="false">IFERROR(IF(maxifs(Documents!$E$2:$E$1421,Documents!$A$2:$A$1421,$A88,Documents!$C$2:$C$1421,"wedding")=0,"",maxifs(Documents!$E$2:$E$1421,Documents!$A$2:$A$1421,$A88,Documents!$C$2:$C$1421,"wedding")),"")</f>
        <v/>
      </c>
      <c r="F88" s="0" t="str">
        <f aca="false">IFERROR(IF(maxifs(Documents!$E$2:$E$1421,Documents!$A$2:$A$1421,$A88,Documents!$C$2:$C$1421,"events")=0,"",maxifs(Documents!$E$2:$E$1421,Documents!$A$2:$A$1421,$A88,Documents!$C$2:$C$1421,"events")),"")</f>
        <v/>
      </c>
      <c r="G88" s="0" t="str">
        <f aca="false">IFERROR(IF(maxifs(Documents!$E$2:$E$1421,Documents!$A$2:$A$1421,$A88,Documents!$C$2:$C$1421,"map")=0,"",maxifs(Documents!$E$2:$E$1421,Documents!$A$2:$A$1421,$A88,Documents!$C$2:$C$1421,"map")),"")</f>
        <v/>
      </c>
      <c r="H88" s="0" t="str">
        <f aca="false">IFERROR(IF(maxifs(Documents!$E$2:$E$1421,Documents!$A$2:$A$1421,$A88,Documents!$C$2:$C$1421,"dive_map")=0,"",maxifs(Documents!$E$2:$E$1421,Documents!$A$2:$A$1421,$A88,Documents!$C$2:$C$1421,"dive_map")),"")</f>
        <v/>
      </c>
      <c r="I88" s="0" t="str">
        <f aca="false">IFERROR(IF(maxifs(Documents!$E$2:$E$1421,Documents!$A$2:$A$1421,$A88,Documents!$C$2:$C$1421,"spa_menu")=0,"",maxifs(Documents!$E$2:$E$1421,Documents!$A$2:$A$1421,$A88,Documents!$C$2:$C$1421,"spa_menu")),"")</f>
        <v/>
      </c>
      <c r="J88" s="0" t="str">
        <f aca="false">IFERROR(IF(maxifs(Documents!$E$2:$E$1421,Documents!$A$2:$A$1421,$A88,Documents!$C$2:$C$1421,"dining_menu")=0,"",maxifs(Documents!$E$2:$E$1421,Documents!$A$2:$A$1421,$A88,Documents!$C$2:$C$1421,"dining_menu")),"")</f>
        <v/>
      </c>
      <c r="K88" s="0" t="str">
        <f aca="false">IFERROR(IF(maxifs(Documents!$E$2:$E$1421,Documents!$A$2:$A$1421,$A88,Documents!$C$2:$C$1421,"dive_prices")=0,"",maxifs(Documents!$E$2:$E$1421,Documents!$A$2:$A$1421,$A88,Documents!$C$2:$C$1421,"dive_prices")),"")</f>
        <v/>
      </c>
      <c r="L88" s="0" t="str">
        <f aca="false">IFERROR(IF(maxifs(Documents!$E$2:$E$1421,Documents!$A$2:$A$1421,$A88,Documents!$C$2:$C$1421,"excursions")=0,"",maxifs(Documents!$E$2:$E$1421,Documents!$A$2:$A$1421,$A88,Documents!$C$2:$C$1421,"excursions")),"")</f>
        <v/>
      </c>
      <c r="M88" s="0" t="str">
        <f aca="false">IFERROR(IF(maxifs(Documents!$E$2:$E$1421,Documents!$A$2:$A$1421,$A88,Documents!$C$2:$C$1421,"kids")=0,"",maxifs(Documents!$E$2:$E$1421,Documents!$A$2:$A$1421,$A88,Documents!$C$2:$C$1421,"kids")),"")</f>
        <v/>
      </c>
      <c r="N88" s="0" t="str">
        <f aca="false">IFERROR(IF(maxifs(Documents!$E$2:$E$1421,Documents!$A$2:$A$1421,$A88,Documents!$C$2:$C$1421,"villa_plans")=0,"",maxifs(Documents!$E$2:$E$1421,Documents!$A$2:$A$1421,$A88,Documents!$C$2:$C$1421,"villa_plans")),"")</f>
        <v/>
      </c>
      <c r="O88" s="0" t="str">
        <f aca="false">IFERROR(IF(maxifs(Documents!$E$2:$E$1421,Documents!$A$2:$A$1421,$A88,Documents!$C$2:$C$1421,"all_inclusive")=0,"",maxifs(Documents!$E$2:$E$1421,Documents!$A$2:$A$1421,$A88,Documents!$C$2:$C$1421,"all_inclusive")),"")</f>
        <v/>
      </c>
      <c r="P88" s="0" t="str">
        <f aca="false">IFERROR(IF(maxifs(Documents!$E$2:$E$1421,Documents!$A$2:$A$1421,$A88,Documents!$C$2:$C$1421,"sustainability")=0,"",maxifs(Documents!$E$2:$E$1421,Documents!$A$2:$A$1421,$A88,Documents!$C$2:$C$1421,"sustainability")),"")</f>
        <v/>
      </c>
      <c r="Q88" s="0" t="str">
        <f aca="false">IFERROR(IF(maxifs(Documents!$E$2:$E$1421,Documents!$A$2:$A$1421,$A88,Documents!$C$2:$C$1421,"calendar")=0,"",maxifs(Documents!$E$2:$E$1421,Documents!$A$2:$A$1421,$A88,Documents!$C$2:$C$1421,"calendar")),"")</f>
        <v/>
      </c>
      <c r="R88" s="0" t="str">
        <f aca="false">IFERROR(IF(maxifs(Documents!$E$2:$E$1421,Documents!$A$2:$A$1421,$A88,Documents!$C$2:$C$1421,"brochure")=0,"",maxifs(Documents!$E$2:$E$1421,Documents!$A$2:$A$1421,$A88,Documents!$C$2:$C$1421,"brochure")),"")</f>
        <v/>
      </c>
      <c r="S88" s="0" t="str">
        <f aca="false">IFERROR(IF(maxifs(Documents!$E$2:$E$1421,Documents!$A$2:$A$1421,$A88,Documents!$C$2:$C$1421,"press_kit")=0,"",maxifs(Documents!$E$2:$E$1421,Documents!$A$2:$A$1421,$A88,Documents!$C$2:$C$1421,"press_kit")),"")</f>
        <v/>
      </c>
      <c r="T88" s="0" t="str">
        <f aca="false">IFERROR(IF(maxifs(Documents!$E$2:$E$1421,Documents!$A$2:$A$1421,$A88,Documents!$C$2:$C$1421,"other")=0,"",maxifs(Documents!$E$2:$E$1421,Documents!$A$2:$A$1421,$A88,Documents!$C$2:$C$1421,"other")),"")</f>
        <v/>
      </c>
      <c r="U88" s="0" t="str">
        <f aca="false">IFERROR(IF(maxifs(Documents!$E$2:$E$1421,Documents!$A$2:$A$1421,$A88,Documents!$C$2:$C$1421,"obsolete")=0,"",maxifs(Documents!$E$2:$E$1421,Documents!$A$2:$A$1421,$A88,Documents!$C$2:$C$1421,"obsolete")),"")</f>
        <v/>
      </c>
      <c r="V88" s="0" t="n">
        <f aca="false">COUNTIFS(Documents!$A$2:$A$1421,$A88)</f>
        <v>4</v>
      </c>
      <c r="W88" s="0" t="n">
        <f aca="false">COUNTIFS(Documents!$A$2:$A$1421,$A88,Documents!$R$2:$R$1421,"current")</f>
        <v>1</v>
      </c>
      <c r="Y88" s="0" t="s">
        <v>31</v>
      </c>
    </row>
    <row r="89" customFormat="false" ht="15" hidden="false" customHeight="false" outlineLevel="0" collapsed="false">
      <c r="A89" s="0" t="n">
        <v>88</v>
      </c>
      <c r="B89" s="0" t="s">
        <v>140</v>
      </c>
      <c r="C89" s="0" t="s">
        <v>112</v>
      </c>
      <c r="D89" s="0" t="str">
        <f aca="false">IFERROR(IF(maxifs(Documents!$E$2:$E$1421,Documents!$A$2:$A$1421,$A89,Documents!$C$2:$C$1421,"factsheet")=0,"",maxifs(Documents!$E$2:$E$1421,Documents!$A$2:$A$1421,$A89,Documents!$C$2:$C$1421,"factsheet")),"")</f>
        <v/>
      </c>
      <c r="E89" s="0" t="str">
        <f aca="false">IFERROR(IF(maxifs(Documents!$E$2:$E$1421,Documents!$A$2:$A$1421,$A89,Documents!$C$2:$C$1421,"wedding")=0,"",maxifs(Documents!$E$2:$E$1421,Documents!$A$2:$A$1421,$A89,Documents!$C$2:$C$1421,"wedding")),"")</f>
        <v/>
      </c>
      <c r="F89" s="0" t="str">
        <f aca="false">IFERROR(IF(maxifs(Documents!$E$2:$E$1421,Documents!$A$2:$A$1421,$A89,Documents!$C$2:$C$1421,"events")=0,"",maxifs(Documents!$E$2:$E$1421,Documents!$A$2:$A$1421,$A89,Documents!$C$2:$C$1421,"events")),"")</f>
        <v/>
      </c>
      <c r="G89" s="0" t="str">
        <f aca="false">IFERROR(IF(maxifs(Documents!$E$2:$E$1421,Documents!$A$2:$A$1421,$A89,Documents!$C$2:$C$1421,"map")=0,"",maxifs(Documents!$E$2:$E$1421,Documents!$A$2:$A$1421,$A89,Documents!$C$2:$C$1421,"map")),"")</f>
        <v/>
      </c>
      <c r="H89" s="0" t="str">
        <f aca="false">IFERROR(IF(maxifs(Documents!$E$2:$E$1421,Documents!$A$2:$A$1421,$A89,Documents!$C$2:$C$1421,"dive_map")=0,"",maxifs(Documents!$E$2:$E$1421,Documents!$A$2:$A$1421,$A89,Documents!$C$2:$C$1421,"dive_map")),"")</f>
        <v/>
      </c>
      <c r="I89" s="0" t="str">
        <f aca="false">IFERROR(IF(maxifs(Documents!$E$2:$E$1421,Documents!$A$2:$A$1421,$A89,Documents!$C$2:$C$1421,"spa_menu")=0,"",maxifs(Documents!$E$2:$E$1421,Documents!$A$2:$A$1421,$A89,Documents!$C$2:$C$1421,"spa_menu")),"")</f>
        <v/>
      </c>
      <c r="J89" s="0" t="str">
        <f aca="false">IFERROR(IF(maxifs(Documents!$E$2:$E$1421,Documents!$A$2:$A$1421,$A89,Documents!$C$2:$C$1421,"dining_menu")=0,"",maxifs(Documents!$E$2:$E$1421,Documents!$A$2:$A$1421,$A89,Documents!$C$2:$C$1421,"dining_menu")),"")</f>
        <v/>
      </c>
      <c r="K89" s="0" t="str">
        <f aca="false">IFERROR(IF(maxifs(Documents!$E$2:$E$1421,Documents!$A$2:$A$1421,$A89,Documents!$C$2:$C$1421,"dive_prices")=0,"",maxifs(Documents!$E$2:$E$1421,Documents!$A$2:$A$1421,$A89,Documents!$C$2:$C$1421,"dive_prices")),"")</f>
        <v/>
      </c>
      <c r="L89" s="0" t="str">
        <f aca="false">IFERROR(IF(maxifs(Documents!$E$2:$E$1421,Documents!$A$2:$A$1421,$A89,Documents!$C$2:$C$1421,"excursions")=0,"",maxifs(Documents!$E$2:$E$1421,Documents!$A$2:$A$1421,$A89,Documents!$C$2:$C$1421,"excursions")),"")</f>
        <v/>
      </c>
      <c r="M89" s="0" t="str">
        <f aca="false">IFERROR(IF(maxifs(Documents!$E$2:$E$1421,Documents!$A$2:$A$1421,$A89,Documents!$C$2:$C$1421,"kids")=0,"",maxifs(Documents!$E$2:$E$1421,Documents!$A$2:$A$1421,$A89,Documents!$C$2:$C$1421,"kids")),"")</f>
        <v/>
      </c>
      <c r="N89" s="0" t="str">
        <f aca="false">IFERROR(IF(maxifs(Documents!$E$2:$E$1421,Documents!$A$2:$A$1421,$A89,Documents!$C$2:$C$1421,"villa_plans")=0,"",maxifs(Documents!$E$2:$E$1421,Documents!$A$2:$A$1421,$A89,Documents!$C$2:$C$1421,"villa_plans")),"")</f>
        <v/>
      </c>
      <c r="O89" s="0" t="str">
        <f aca="false">IFERROR(IF(maxifs(Documents!$E$2:$E$1421,Documents!$A$2:$A$1421,$A89,Documents!$C$2:$C$1421,"all_inclusive")=0,"",maxifs(Documents!$E$2:$E$1421,Documents!$A$2:$A$1421,$A89,Documents!$C$2:$C$1421,"all_inclusive")),"")</f>
        <v/>
      </c>
      <c r="P89" s="0" t="str">
        <f aca="false">IFERROR(IF(maxifs(Documents!$E$2:$E$1421,Documents!$A$2:$A$1421,$A89,Documents!$C$2:$C$1421,"sustainability")=0,"",maxifs(Documents!$E$2:$E$1421,Documents!$A$2:$A$1421,$A89,Documents!$C$2:$C$1421,"sustainability")),"")</f>
        <v/>
      </c>
      <c r="Q89" s="0" t="str">
        <f aca="false">IFERROR(IF(maxifs(Documents!$E$2:$E$1421,Documents!$A$2:$A$1421,$A89,Documents!$C$2:$C$1421,"calendar")=0,"",maxifs(Documents!$E$2:$E$1421,Documents!$A$2:$A$1421,$A89,Documents!$C$2:$C$1421,"calendar")),"")</f>
        <v/>
      </c>
      <c r="R89" s="0" t="str">
        <f aca="false">IFERROR(IF(maxifs(Documents!$E$2:$E$1421,Documents!$A$2:$A$1421,$A89,Documents!$C$2:$C$1421,"brochure")=0,"",maxifs(Documents!$E$2:$E$1421,Documents!$A$2:$A$1421,$A89,Documents!$C$2:$C$1421,"brochure")),"")</f>
        <v/>
      </c>
      <c r="S89" s="0" t="str">
        <f aca="false">IFERROR(IF(maxifs(Documents!$E$2:$E$1421,Documents!$A$2:$A$1421,$A89,Documents!$C$2:$C$1421,"press_kit")=0,"",maxifs(Documents!$E$2:$E$1421,Documents!$A$2:$A$1421,$A89,Documents!$C$2:$C$1421,"press_kit")),"")</f>
        <v/>
      </c>
      <c r="T89" s="0" t="str">
        <f aca="false">IFERROR(IF(maxifs(Documents!$E$2:$E$1421,Documents!$A$2:$A$1421,$A89,Documents!$C$2:$C$1421,"other")=0,"",maxifs(Documents!$E$2:$E$1421,Documents!$A$2:$A$1421,$A89,Documents!$C$2:$C$1421,"other")),"")</f>
        <v/>
      </c>
      <c r="U89" s="0" t="str">
        <f aca="false">IFERROR(IF(maxifs(Documents!$E$2:$E$1421,Documents!$A$2:$A$1421,$A89,Documents!$C$2:$C$1421,"obsolete")=0,"",maxifs(Documents!$E$2:$E$1421,Documents!$A$2:$A$1421,$A89,Documents!$C$2:$C$1421,"obsolete")),"")</f>
        <v/>
      </c>
      <c r="V89" s="0" t="n">
        <f aca="false">COUNTIFS(Documents!$A$2:$A$1421,$A89)</f>
        <v>0</v>
      </c>
      <c r="W89" s="0" t="n">
        <f aca="false">COUNTIFS(Documents!$A$2:$A$1421,$A89,Documents!$R$2:$R$1421,"current")</f>
        <v>0</v>
      </c>
      <c r="Y89" s="0" t="s">
        <v>31</v>
      </c>
    </row>
    <row r="90" customFormat="false" ht="15" hidden="false" customHeight="false" outlineLevel="0" collapsed="false">
      <c r="A90" s="0" t="n">
        <v>89</v>
      </c>
      <c r="B90" s="0" t="s">
        <v>141</v>
      </c>
      <c r="C90" s="0" t="s">
        <v>112</v>
      </c>
      <c r="D90" s="0" t="str">
        <f aca="false">IFERROR(IF(maxifs(Documents!$E$2:$E$1421,Documents!$A$2:$A$1421,$A90,Documents!$C$2:$C$1421,"factsheet")=0,"",maxifs(Documents!$E$2:$E$1421,Documents!$A$2:$A$1421,$A90,Documents!$C$2:$C$1421,"factsheet")),"")</f>
        <v/>
      </c>
      <c r="E90" s="0" t="str">
        <f aca="false">IFERROR(IF(maxifs(Documents!$E$2:$E$1421,Documents!$A$2:$A$1421,$A90,Documents!$C$2:$C$1421,"wedding")=0,"",maxifs(Documents!$E$2:$E$1421,Documents!$A$2:$A$1421,$A90,Documents!$C$2:$C$1421,"wedding")),"")</f>
        <v/>
      </c>
      <c r="F90" s="0" t="str">
        <f aca="false">IFERROR(IF(maxifs(Documents!$E$2:$E$1421,Documents!$A$2:$A$1421,$A90,Documents!$C$2:$C$1421,"events")=0,"",maxifs(Documents!$E$2:$E$1421,Documents!$A$2:$A$1421,$A90,Documents!$C$2:$C$1421,"events")),"")</f>
        <v/>
      </c>
      <c r="G90" s="0" t="str">
        <f aca="false">IFERROR(IF(maxifs(Documents!$E$2:$E$1421,Documents!$A$2:$A$1421,$A90,Documents!$C$2:$C$1421,"map")=0,"",maxifs(Documents!$E$2:$E$1421,Documents!$A$2:$A$1421,$A90,Documents!$C$2:$C$1421,"map")),"")</f>
        <v/>
      </c>
      <c r="H90" s="0" t="str">
        <f aca="false">IFERROR(IF(maxifs(Documents!$E$2:$E$1421,Documents!$A$2:$A$1421,$A90,Documents!$C$2:$C$1421,"dive_map")=0,"",maxifs(Documents!$E$2:$E$1421,Documents!$A$2:$A$1421,$A90,Documents!$C$2:$C$1421,"dive_map")),"")</f>
        <v/>
      </c>
      <c r="I90" s="0" t="str">
        <f aca="false">IFERROR(IF(maxifs(Documents!$E$2:$E$1421,Documents!$A$2:$A$1421,$A90,Documents!$C$2:$C$1421,"spa_menu")=0,"",maxifs(Documents!$E$2:$E$1421,Documents!$A$2:$A$1421,$A90,Documents!$C$2:$C$1421,"spa_menu")),"")</f>
        <v/>
      </c>
      <c r="J90" s="0" t="str">
        <f aca="false">IFERROR(IF(maxifs(Documents!$E$2:$E$1421,Documents!$A$2:$A$1421,$A90,Documents!$C$2:$C$1421,"dining_menu")=0,"",maxifs(Documents!$E$2:$E$1421,Documents!$A$2:$A$1421,$A90,Documents!$C$2:$C$1421,"dining_menu")),"")</f>
        <v/>
      </c>
      <c r="K90" s="0" t="str">
        <f aca="false">IFERROR(IF(maxifs(Documents!$E$2:$E$1421,Documents!$A$2:$A$1421,$A90,Documents!$C$2:$C$1421,"dive_prices")=0,"",maxifs(Documents!$E$2:$E$1421,Documents!$A$2:$A$1421,$A90,Documents!$C$2:$C$1421,"dive_prices")),"")</f>
        <v/>
      </c>
      <c r="L90" s="0" t="str">
        <f aca="false">IFERROR(IF(maxifs(Documents!$E$2:$E$1421,Documents!$A$2:$A$1421,$A90,Documents!$C$2:$C$1421,"excursions")=0,"",maxifs(Documents!$E$2:$E$1421,Documents!$A$2:$A$1421,$A90,Documents!$C$2:$C$1421,"excursions")),"")</f>
        <v/>
      </c>
      <c r="M90" s="0" t="str">
        <f aca="false">IFERROR(IF(maxifs(Documents!$E$2:$E$1421,Documents!$A$2:$A$1421,$A90,Documents!$C$2:$C$1421,"kids")=0,"",maxifs(Documents!$E$2:$E$1421,Documents!$A$2:$A$1421,$A90,Documents!$C$2:$C$1421,"kids")),"")</f>
        <v/>
      </c>
      <c r="N90" s="0" t="str">
        <f aca="false">IFERROR(IF(maxifs(Documents!$E$2:$E$1421,Documents!$A$2:$A$1421,$A90,Documents!$C$2:$C$1421,"villa_plans")=0,"",maxifs(Documents!$E$2:$E$1421,Documents!$A$2:$A$1421,$A90,Documents!$C$2:$C$1421,"villa_plans")),"")</f>
        <v/>
      </c>
      <c r="O90" s="0" t="str">
        <f aca="false">IFERROR(IF(maxifs(Documents!$E$2:$E$1421,Documents!$A$2:$A$1421,$A90,Documents!$C$2:$C$1421,"all_inclusive")=0,"",maxifs(Documents!$E$2:$E$1421,Documents!$A$2:$A$1421,$A90,Documents!$C$2:$C$1421,"all_inclusive")),"")</f>
        <v/>
      </c>
      <c r="P90" s="0" t="str">
        <f aca="false">IFERROR(IF(maxifs(Documents!$E$2:$E$1421,Documents!$A$2:$A$1421,$A90,Documents!$C$2:$C$1421,"sustainability")=0,"",maxifs(Documents!$E$2:$E$1421,Documents!$A$2:$A$1421,$A90,Documents!$C$2:$C$1421,"sustainability")),"")</f>
        <v/>
      </c>
      <c r="Q90" s="0" t="str">
        <f aca="false">IFERROR(IF(maxifs(Documents!$E$2:$E$1421,Documents!$A$2:$A$1421,$A90,Documents!$C$2:$C$1421,"calendar")=0,"",maxifs(Documents!$E$2:$E$1421,Documents!$A$2:$A$1421,$A90,Documents!$C$2:$C$1421,"calendar")),"")</f>
        <v/>
      </c>
      <c r="R90" s="0" t="str">
        <f aca="false">IFERROR(IF(maxifs(Documents!$E$2:$E$1421,Documents!$A$2:$A$1421,$A90,Documents!$C$2:$C$1421,"brochure")=0,"",maxifs(Documents!$E$2:$E$1421,Documents!$A$2:$A$1421,$A90,Documents!$C$2:$C$1421,"brochure")),"")</f>
        <v/>
      </c>
      <c r="S90" s="0" t="str">
        <f aca="false">IFERROR(IF(maxifs(Documents!$E$2:$E$1421,Documents!$A$2:$A$1421,$A90,Documents!$C$2:$C$1421,"press_kit")=0,"",maxifs(Documents!$E$2:$E$1421,Documents!$A$2:$A$1421,$A90,Documents!$C$2:$C$1421,"press_kit")),"")</f>
        <v/>
      </c>
      <c r="T90" s="0" t="str">
        <f aca="false">IFERROR(IF(maxifs(Documents!$E$2:$E$1421,Documents!$A$2:$A$1421,$A90,Documents!$C$2:$C$1421,"other")=0,"",maxifs(Documents!$E$2:$E$1421,Documents!$A$2:$A$1421,$A90,Documents!$C$2:$C$1421,"other")),"")</f>
        <v/>
      </c>
      <c r="U90" s="0" t="str">
        <f aca="false">IFERROR(IF(maxifs(Documents!$E$2:$E$1421,Documents!$A$2:$A$1421,$A90,Documents!$C$2:$C$1421,"obsolete")=0,"",maxifs(Documents!$E$2:$E$1421,Documents!$A$2:$A$1421,$A90,Documents!$C$2:$C$1421,"obsolete")),"")</f>
        <v/>
      </c>
      <c r="V90" s="0" t="n">
        <f aca="false">COUNTIFS(Documents!$A$2:$A$1421,$A90)</f>
        <v>1</v>
      </c>
      <c r="W90" s="0" t="n">
        <f aca="false">COUNTIFS(Documents!$A$2:$A$1421,$A90,Documents!$R$2:$R$1421,"current")</f>
        <v>0</v>
      </c>
      <c r="X90" s="0" t="str">
        <f aca="false">HYPERLINK("https://www.neoscapesmaldives.com/wp-content/uploads/InterContinental-Maldives-Maamunagau-Resort-Factsheet-NEO.pdf","2020_InterContinental-Maldives-Maamunaga")</f>
        <v>2020_InterContinental-Maldives-Maamunaga</v>
      </c>
      <c r="Y90" s="0" t="s">
        <v>28</v>
      </c>
    </row>
    <row r="91" customFormat="false" ht="15" hidden="false" customHeight="false" outlineLevel="0" collapsed="false">
      <c r="A91" s="0" t="n">
        <v>90</v>
      </c>
      <c r="B91" s="0" t="s">
        <v>142</v>
      </c>
      <c r="C91" s="0" t="s">
        <v>112</v>
      </c>
      <c r="D91" s="0" t="str">
        <f aca="false">IFERROR(IF(maxifs(Documents!$E$2:$E$1421,Documents!$A$2:$A$1421,$A91,Documents!$C$2:$C$1421,"factsheet")=0,"",maxifs(Documents!$E$2:$E$1421,Documents!$A$2:$A$1421,$A91,Documents!$C$2:$C$1421,"factsheet")),"")</f>
        <v/>
      </c>
      <c r="E91" s="0" t="str">
        <f aca="false">IFERROR(IF(maxifs(Documents!$E$2:$E$1421,Documents!$A$2:$A$1421,$A91,Documents!$C$2:$C$1421,"wedding")=0,"",maxifs(Documents!$E$2:$E$1421,Documents!$A$2:$A$1421,$A91,Documents!$C$2:$C$1421,"wedding")),"")</f>
        <v/>
      </c>
      <c r="F91" s="0" t="str">
        <f aca="false">IFERROR(IF(maxifs(Documents!$E$2:$E$1421,Documents!$A$2:$A$1421,$A91,Documents!$C$2:$C$1421,"events")=0,"",maxifs(Documents!$E$2:$E$1421,Documents!$A$2:$A$1421,$A91,Documents!$C$2:$C$1421,"events")),"")</f>
        <v/>
      </c>
      <c r="G91" s="0" t="str">
        <f aca="false">IFERROR(IF(maxifs(Documents!$E$2:$E$1421,Documents!$A$2:$A$1421,$A91,Documents!$C$2:$C$1421,"map")=0,"",maxifs(Documents!$E$2:$E$1421,Documents!$A$2:$A$1421,$A91,Documents!$C$2:$C$1421,"map")),"")</f>
        <v/>
      </c>
      <c r="H91" s="0" t="str">
        <f aca="false">IFERROR(IF(maxifs(Documents!$E$2:$E$1421,Documents!$A$2:$A$1421,$A91,Documents!$C$2:$C$1421,"dive_map")=0,"",maxifs(Documents!$E$2:$E$1421,Documents!$A$2:$A$1421,$A91,Documents!$C$2:$C$1421,"dive_map")),"")</f>
        <v/>
      </c>
      <c r="I91" s="0" t="str">
        <f aca="false">IFERROR(IF(maxifs(Documents!$E$2:$E$1421,Documents!$A$2:$A$1421,$A91,Documents!$C$2:$C$1421,"spa_menu")=0,"",maxifs(Documents!$E$2:$E$1421,Documents!$A$2:$A$1421,$A91,Documents!$C$2:$C$1421,"spa_menu")),"")</f>
        <v/>
      </c>
      <c r="J91" s="0" t="str">
        <f aca="false">IFERROR(IF(maxifs(Documents!$E$2:$E$1421,Documents!$A$2:$A$1421,$A91,Documents!$C$2:$C$1421,"dining_menu")=0,"",maxifs(Documents!$E$2:$E$1421,Documents!$A$2:$A$1421,$A91,Documents!$C$2:$C$1421,"dining_menu")),"")</f>
        <v/>
      </c>
      <c r="K91" s="0" t="str">
        <f aca="false">IFERROR(IF(maxifs(Documents!$E$2:$E$1421,Documents!$A$2:$A$1421,$A91,Documents!$C$2:$C$1421,"dive_prices")=0,"",maxifs(Documents!$E$2:$E$1421,Documents!$A$2:$A$1421,$A91,Documents!$C$2:$C$1421,"dive_prices")),"")</f>
        <v/>
      </c>
      <c r="L91" s="0" t="str">
        <f aca="false">IFERROR(IF(maxifs(Documents!$E$2:$E$1421,Documents!$A$2:$A$1421,$A91,Documents!$C$2:$C$1421,"excursions")=0,"",maxifs(Documents!$E$2:$E$1421,Documents!$A$2:$A$1421,$A91,Documents!$C$2:$C$1421,"excursions")),"")</f>
        <v/>
      </c>
      <c r="M91" s="0" t="str">
        <f aca="false">IFERROR(IF(maxifs(Documents!$E$2:$E$1421,Documents!$A$2:$A$1421,$A91,Documents!$C$2:$C$1421,"kids")=0,"",maxifs(Documents!$E$2:$E$1421,Documents!$A$2:$A$1421,$A91,Documents!$C$2:$C$1421,"kids")),"")</f>
        <v/>
      </c>
      <c r="N91" s="0" t="str">
        <f aca="false">IFERROR(IF(maxifs(Documents!$E$2:$E$1421,Documents!$A$2:$A$1421,$A91,Documents!$C$2:$C$1421,"villa_plans")=0,"",maxifs(Documents!$E$2:$E$1421,Documents!$A$2:$A$1421,$A91,Documents!$C$2:$C$1421,"villa_plans")),"")</f>
        <v/>
      </c>
      <c r="O91" s="0" t="str">
        <f aca="false">IFERROR(IF(maxifs(Documents!$E$2:$E$1421,Documents!$A$2:$A$1421,$A91,Documents!$C$2:$C$1421,"all_inclusive")=0,"",maxifs(Documents!$E$2:$E$1421,Documents!$A$2:$A$1421,$A91,Documents!$C$2:$C$1421,"all_inclusive")),"")</f>
        <v/>
      </c>
      <c r="P91" s="0" t="str">
        <f aca="false">IFERROR(IF(maxifs(Documents!$E$2:$E$1421,Documents!$A$2:$A$1421,$A91,Documents!$C$2:$C$1421,"sustainability")=0,"",maxifs(Documents!$E$2:$E$1421,Documents!$A$2:$A$1421,$A91,Documents!$C$2:$C$1421,"sustainability")),"")</f>
        <v/>
      </c>
      <c r="Q91" s="0" t="str">
        <f aca="false">IFERROR(IF(maxifs(Documents!$E$2:$E$1421,Documents!$A$2:$A$1421,$A91,Documents!$C$2:$C$1421,"calendar")=0,"",maxifs(Documents!$E$2:$E$1421,Documents!$A$2:$A$1421,$A91,Documents!$C$2:$C$1421,"calendar")),"")</f>
        <v/>
      </c>
      <c r="R91" s="0" t="str">
        <f aca="false">IFERROR(IF(maxifs(Documents!$E$2:$E$1421,Documents!$A$2:$A$1421,$A91,Documents!$C$2:$C$1421,"brochure")=0,"",maxifs(Documents!$E$2:$E$1421,Documents!$A$2:$A$1421,$A91,Documents!$C$2:$C$1421,"brochure")),"")</f>
        <v/>
      </c>
      <c r="S91" s="0" t="str">
        <f aca="false">IFERROR(IF(maxifs(Documents!$E$2:$E$1421,Documents!$A$2:$A$1421,$A91,Documents!$C$2:$C$1421,"press_kit")=0,"",maxifs(Documents!$E$2:$E$1421,Documents!$A$2:$A$1421,$A91,Documents!$C$2:$C$1421,"press_kit")),"")</f>
        <v/>
      </c>
      <c r="T91" s="0" t="str">
        <f aca="false">IFERROR(IF(maxifs(Documents!$E$2:$E$1421,Documents!$A$2:$A$1421,$A91,Documents!$C$2:$C$1421,"other")=0,"",maxifs(Documents!$E$2:$E$1421,Documents!$A$2:$A$1421,$A91,Documents!$C$2:$C$1421,"other")),"")</f>
        <v/>
      </c>
      <c r="U91" s="0" t="str">
        <f aca="false">IFERROR(IF(maxifs(Documents!$E$2:$E$1421,Documents!$A$2:$A$1421,$A91,Documents!$C$2:$C$1421,"obsolete")=0,"",maxifs(Documents!$E$2:$E$1421,Documents!$A$2:$A$1421,$A91,Documents!$C$2:$C$1421,"obsolete")),"")</f>
        <v/>
      </c>
      <c r="V91" s="0" t="n">
        <f aca="false">COUNTIFS(Documents!$A$2:$A$1421,$A91)</f>
        <v>2</v>
      </c>
      <c r="W91" s="0" t="n">
        <f aca="false">COUNTIFS(Documents!$A$2:$A$1421,$A91,Documents!$R$2:$R$1421,"current")</f>
        <v>1</v>
      </c>
      <c r="X91" s="0" t="str">
        <f aca="false">HYPERLINK("https://www.neoscapesmaldives.com/wp-content/uploads/Factsheet_2018_NEW.pdf","2018_Factsheet_2018_NEW.pdf")</f>
        <v>2018_Factsheet_2018_NEW.pdf</v>
      </c>
      <c r="Y91" s="0" t="s">
        <v>28</v>
      </c>
    </row>
    <row r="92" customFormat="false" ht="15" hidden="false" customHeight="false" outlineLevel="0" collapsed="false">
      <c r="A92" s="0" t="n">
        <v>91</v>
      </c>
      <c r="B92" s="0" t="s">
        <v>143</v>
      </c>
      <c r="C92" s="0" t="s">
        <v>112</v>
      </c>
      <c r="D92" s="0" t="str">
        <f aca="false">IFERROR(IF(maxifs(Documents!$E$2:$E$1421,Documents!$A$2:$A$1421,$A92,Documents!$C$2:$C$1421,"factsheet")=0,"",maxifs(Documents!$E$2:$E$1421,Documents!$A$2:$A$1421,$A92,Documents!$C$2:$C$1421,"factsheet")),"")</f>
        <v/>
      </c>
      <c r="E92" s="0" t="str">
        <f aca="false">IFERROR(IF(maxifs(Documents!$E$2:$E$1421,Documents!$A$2:$A$1421,$A92,Documents!$C$2:$C$1421,"wedding")=0,"",maxifs(Documents!$E$2:$E$1421,Documents!$A$2:$A$1421,$A92,Documents!$C$2:$C$1421,"wedding")),"")</f>
        <v/>
      </c>
      <c r="F92" s="0" t="str">
        <f aca="false">IFERROR(IF(maxifs(Documents!$E$2:$E$1421,Documents!$A$2:$A$1421,$A92,Documents!$C$2:$C$1421,"events")=0,"",maxifs(Documents!$E$2:$E$1421,Documents!$A$2:$A$1421,$A92,Documents!$C$2:$C$1421,"events")),"")</f>
        <v/>
      </c>
      <c r="G92" s="0" t="str">
        <f aca="false">IFERROR(IF(maxifs(Documents!$E$2:$E$1421,Documents!$A$2:$A$1421,$A92,Documents!$C$2:$C$1421,"map")=0,"",maxifs(Documents!$E$2:$E$1421,Documents!$A$2:$A$1421,$A92,Documents!$C$2:$C$1421,"map")),"")</f>
        <v/>
      </c>
      <c r="H92" s="0" t="str">
        <f aca="false">IFERROR(IF(maxifs(Documents!$E$2:$E$1421,Documents!$A$2:$A$1421,$A92,Documents!$C$2:$C$1421,"dive_map")=0,"",maxifs(Documents!$E$2:$E$1421,Documents!$A$2:$A$1421,$A92,Documents!$C$2:$C$1421,"dive_map")),"")</f>
        <v/>
      </c>
      <c r="I92" s="0" t="str">
        <f aca="false">IFERROR(IF(maxifs(Documents!$E$2:$E$1421,Documents!$A$2:$A$1421,$A92,Documents!$C$2:$C$1421,"spa_menu")=0,"",maxifs(Documents!$E$2:$E$1421,Documents!$A$2:$A$1421,$A92,Documents!$C$2:$C$1421,"spa_menu")),"")</f>
        <v/>
      </c>
      <c r="J92" s="0" t="str">
        <f aca="false">IFERROR(IF(maxifs(Documents!$E$2:$E$1421,Documents!$A$2:$A$1421,$A92,Documents!$C$2:$C$1421,"dining_menu")=0,"",maxifs(Documents!$E$2:$E$1421,Documents!$A$2:$A$1421,$A92,Documents!$C$2:$C$1421,"dining_menu")),"")</f>
        <v/>
      </c>
      <c r="K92" s="0" t="str">
        <f aca="false">IFERROR(IF(maxifs(Documents!$E$2:$E$1421,Documents!$A$2:$A$1421,$A92,Documents!$C$2:$C$1421,"dive_prices")=0,"",maxifs(Documents!$E$2:$E$1421,Documents!$A$2:$A$1421,$A92,Documents!$C$2:$C$1421,"dive_prices")),"")</f>
        <v/>
      </c>
      <c r="L92" s="0" t="str">
        <f aca="false">IFERROR(IF(maxifs(Documents!$E$2:$E$1421,Documents!$A$2:$A$1421,$A92,Documents!$C$2:$C$1421,"excursions")=0,"",maxifs(Documents!$E$2:$E$1421,Documents!$A$2:$A$1421,$A92,Documents!$C$2:$C$1421,"excursions")),"")</f>
        <v/>
      </c>
      <c r="M92" s="0" t="str">
        <f aca="false">IFERROR(IF(maxifs(Documents!$E$2:$E$1421,Documents!$A$2:$A$1421,$A92,Documents!$C$2:$C$1421,"kids")=0,"",maxifs(Documents!$E$2:$E$1421,Documents!$A$2:$A$1421,$A92,Documents!$C$2:$C$1421,"kids")),"")</f>
        <v/>
      </c>
      <c r="N92" s="0" t="str">
        <f aca="false">IFERROR(IF(maxifs(Documents!$E$2:$E$1421,Documents!$A$2:$A$1421,$A92,Documents!$C$2:$C$1421,"villa_plans")=0,"",maxifs(Documents!$E$2:$E$1421,Documents!$A$2:$A$1421,$A92,Documents!$C$2:$C$1421,"villa_plans")),"")</f>
        <v/>
      </c>
      <c r="O92" s="0" t="str">
        <f aca="false">IFERROR(IF(maxifs(Documents!$E$2:$E$1421,Documents!$A$2:$A$1421,$A92,Documents!$C$2:$C$1421,"all_inclusive")=0,"",maxifs(Documents!$E$2:$E$1421,Documents!$A$2:$A$1421,$A92,Documents!$C$2:$C$1421,"all_inclusive")),"")</f>
        <v/>
      </c>
      <c r="P92" s="0" t="str">
        <f aca="false">IFERROR(IF(maxifs(Documents!$E$2:$E$1421,Documents!$A$2:$A$1421,$A92,Documents!$C$2:$C$1421,"sustainability")=0,"",maxifs(Documents!$E$2:$E$1421,Documents!$A$2:$A$1421,$A92,Documents!$C$2:$C$1421,"sustainability")),"")</f>
        <v/>
      </c>
      <c r="Q92" s="0" t="str">
        <f aca="false">IFERROR(IF(maxifs(Documents!$E$2:$E$1421,Documents!$A$2:$A$1421,$A92,Documents!$C$2:$C$1421,"calendar")=0,"",maxifs(Documents!$E$2:$E$1421,Documents!$A$2:$A$1421,$A92,Documents!$C$2:$C$1421,"calendar")),"")</f>
        <v/>
      </c>
      <c r="R92" s="0" t="str">
        <f aca="false">IFERROR(IF(maxifs(Documents!$E$2:$E$1421,Documents!$A$2:$A$1421,$A92,Documents!$C$2:$C$1421,"brochure")=0,"",maxifs(Documents!$E$2:$E$1421,Documents!$A$2:$A$1421,$A92,Documents!$C$2:$C$1421,"brochure")),"")</f>
        <v/>
      </c>
      <c r="S92" s="0" t="str">
        <f aca="false">IFERROR(IF(maxifs(Documents!$E$2:$E$1421,Documents!$A$2:$A$1421,$A92,Documents!$C$2:$C$1421,"press_kit")=0,"",maxifs(Documents!$E$2:$E$1421,Documents!$A$2:$A$1421,$A92,Documents!$C$2:$C$1421,"press_kit")),"")</f>
        <v/>
      </c>
      <c r="T92" s="0" t="str">
        <f aca="false">IFERROR(IF(maxifs(Documents!$E$2:$E$1421,Documents!$A$2:$A$1421,$A92,Documents!$C$2:$C$1421,"other")=0,"",maxifs(Documents!$E$2:$E$1421,Documents!$A$2:$A$1421,$A92,Documents!$C$2:$C$1421,"other")),"")</f>
        <v/>
      </c>
      <c r="U92" s="0" t="str">
        <f aca="false">IFERROR(IF(maxifs(Documents!$E$2:$E$1421,Documents!$A$2:$A$1421,$A92,Documents!$C$2:$C$1421,"obsolete")=0,"",maxifs(Documents!$E$2:$E$1421,Documents!$A$2:$A$1421,$A92,Documents!$C$2:$C$1421,"obsolete")),"")</f>
        <v/>
      </c>
      <c r="V92" s="0" t="n">
        <f aca="false">COUNTIFS(Documents!$A$2:$A$1421,$A92)</f>
        <v>2</v>
      </c>
      <c r="W92" s="0" t="n">
        <f aca="false">COUNTIFS(Documents!$A$2:$A$1421,$A92,Documents!$R$2:$R$1421,"current")</f>
        <v>0</v>
      </c>
      <c r="X92" s="0" t="str">
        <f aca="false">HYPERLINK("https://www.neoscapesmaldives.com/wp-content/uploads/LilyBeach-Factsheet-Resort-NEO.pdf","2020_LilyBeach-Factsheet-Resort-NEO.pdf")</f>
        <v>2020_LilyBeach-Factsheet-Resort-NEO.pdf</v>
      </c>
      <c r="Y92" s="0" t="s">
        <v>28</v>
      </c>
    </row>
    <row r="93" customFormat="false" ht="15" hidden="false" customHeight="false" outlineLevel="0" collapsed="false">
      <c r="A93" s="0" t="n">
        <v>92</v>
      </c>
      <c r="B93" s="0" t="s">
        <v>144</v>
      </c>
      <c r="C93" s="0" t="s">
        <v>112</v>
      </c>
      <c r="D93" s="0" t="str">
        <f aca="false">IFERROR(IF(maxifs(Documents!$E$2:$E$1421,Documents!$A$2:$A$1421,$A93,Documents!$C$2:$C$1421,"factsheet")=0,"",maxifs(Documents!$E$2:$E$1421,Documents!$A$2:$A$1421,$A93,Documents!$C$2:$C$1421,"factsheet")),"")</f>
        <v/>
      </c>
      <c r="E93" s="0" t="str">
        <f aca="false">IFERROR(IF(maxifs(Documents!$E$2:$E$1421,Documents!$A$2:$A$1421,$A93,Documents!$C$2:$C$1421,"wedding")=0,"",maxifs(Documents!$E$2:$E$1421,Documents!$A$2:$A$1421,$A93,Documents!$C$2:$C$1421,"wedding")),"")</f>
        <v/>
      </c>
      <c r="F93" s="0" t="str">
        <f aca="false">IFERROR(IF(maxifs(Documents!$E$2:$E$1421,Documents!$A$2:$A$1421,$A93,Documents!$C$2:$C$1421,"events")=0,"",maxifs(Documents!$E$2:$E$1421,Documents!$A$2:$A$1421,$A93,Documents!$C$2:$C$1421,"events")),"")</f>
        <v/>
      </c>
      <c r="G93" s="0" t="str">
        <f aca="false">IFERROR(IF(maxifs(Documents!$E$2:$E$1421,Documents!$A$2:$A$1421,$A93,Documents!$C$2:$C$1421,"map")=0,"",maxifs(Documents!$E$2:$E$1421,Documents!$A$2:$A$1421,$A93,Documents!$C$2:$C$1421,"map")),"")</f>
        <v/>
      </c>
      <c r="H93" s="0" t="str">
        <f aca="false">IFERROR(IF(maxifs(Documents!$E$2:$E$1421,Documents!$A$2:$A$1421,$A93,Documents!$C$2:$C$1421,"dive_map")=0,"",maxifs(Documents!$E$2:$E$1421,Documents!$A$2:$A$1421,$A93,Documents!$C$2:$C$1421,"dive_map")),"")</f>
        <v/>
      </c>
      <c r="I93" s="0" t="str">
        <f aca="false">IFERROR(IF(maxifs(Documents!$E$2:$E$1421,Documents!$A$2:$A$1421,$A93,Documents!$C$2:$C$1421,"spa_menu")=0,"",maxifs(Documents!$E$2:$E$1421,Documents!$A$2:$A$1421,$A93,Documents!$C$2:$C$1421,"spa_menu")),"")</f>
        <v/>
      </c>
      <c r="J93" s="0" t="str">
        <f aca="false">IFERROR(IF(maxifs(Documents!$E$2:$E$1421,Documents!$A$2:$A$1421,$A93,Documents!$C$2:$C$1421,"dining_menu")=0,"",maxifs(Documents!$E$2:$E$1421,Documents!$A$2:$A$1421,$A93,Documents!$C$2:$C$1421,"dining_menu")),"")</f>
        <v/>
      </c>
      <c r="K93" s="0" t="str">
        <f aca="false">IFERROR(IF(maxifs(Documents!$E$2:$E$1421,Documents!$A$2:$A$1421,$A93,Documents!$C$2:$C$1421,"dive_prices")=0,"",maxifs(Documents!$E$2:$E$1421,Documents!$A$2:$A$1421,$A93,Documents!$C$2:$C$1421,"dive_prices")),"")</f>
        <v/>
      </c>
      <c r="L93" s="0" t="str">
        <f aca="false">IFERROR(IF(maxifs(Documents!$E$2:$E$1421,Documents!$A$2:$A$1421,$A93,Documents!$C$2:$C$1421,"excursions")=0,"",maxifs(Documents!$E$2:$E$1421,Documents!$A$2:$A$1421,$A93,Documents!$C$2:$C$1421,"excursions")),"")</f>
        <v/>
      </c>
      <c r="M93" s="0" t="str">
        <f aca="false">IFERROR(IF(maxifs(Documents!$E$2:$E$1421,Documents!$A$2:$A$1421,$A93,Documents!$C$2:$C$1421,"kids")=0,"",maxifs(Documents!$E$2:$E$1421,Documents!$A$2:$A$1421,$A93,Documents!$C$2:$C$1421,"kids")),"")</f>
        <v/>
      </c>
      <c r="N93" s="0" t="str">
        <f aca="false">IFERROR(IF(maxifs(Documents!$E$2:$E$1421,Documents!$A$2:$A$1421,$A93,Documents!$C$2:$C$1421,"villa_plans")=0,"",maxifs(Documents!$E$2:$E$1421,Documents!$A$2:$A$1421,$A93,Documents!$C$2:$C$1421,"villa_plans")),"")</f>
        <v/>
      </c>
      <c r="O93" s="0" t="str">
        <f aca="false">IFERROR(IF(maxifs(Documents!$E$2:$E$1421,Documents!$A$2:$A$1421,$A93,Documents!$C$2:$C$1421,"all_inclusive")=0,"",maxifs(Documents!$E$2:$E$1421,Documents!$A$2:$A$1421,$A93,Documents!$C$2:$C$1421,"all_inclusive")),"")</f>
        <v/>
      </c>
      <c r="P93" s="0" t="str">
        <f aca="false">IFERROR(IF(maxifs(Documents!$E$2:$E$1421,Documents!$A$2:$A$1421,$A93,Documents!$C$2:$C$1421,"sustainability")=0,"",maxifs(Documents!$E$2:$E$1421,Documents!$A$2:$A$1421,$A93,Documents!$C$2:$C$1421,"sustainability")),"")</f>
        <v/>
      </c>
      <c r="Q93" s="0" t="str">
        <f aca="false">IFERROR(IF(maxifs(Documents!$E$2:$E$1421,Documents!$A$2:$A$1421,$A93,Documents!$C$2:$C$1421,"calendar")=0,"",maxifs(Documents!$E$2:$E$1421,Documents!$A$2:$A$1421,$A93,Documents!$C$2:$C$1421,"calendar")),"")</f>
        <v/>
      </c>
      <c r="R93" s="0" t="str">
        <f aca="false">IFERROR(IF(maxifs(Documents!$E$2:$E$1421,Documents!$A$2:$A$1421,$A93,Documents!$C$2:$C$1421,"brochure")=0,"",maxifs(Documents!$E$2:$E$1421,Documents!$A$2:$A$1421,$A93,Documents!$C$2:$C$1421,"brochure")),"")</f>
        <v/>
      </c>
      <c r="S93" s="0" t="str">
        <f aca="false">IFERROR(IF(maxifs(Documents!$E$2:$E$1421,Documents!$A$2:$A$1421,$A93,Documents!$C$2:$C$1421,"press_kit")=0,"",maxifs(Documents!$E$2:$E$1421,Documents!$A$2:$A$1421,$A93,Documents!$C$2:$C$1421,"press_kit")),"")</f>
        <v/>
      </c>
      <c r="T93" s="0" t="str">
        <f aca="false">IFERROR(IF(maxifs(Documents!$E$2:$E$1421,Documents!$A$2:$A$1421,$A93,Documents!$C$2:$C$1421,"other")=0,"",maxifs(Documents!$E$2:$E$1421,Documents!$A$2:$A$1421,$A93,Documents!$C$2:$C$1421,"other")),"")</f>
        <v/>
      </c>
      <c r="U93" s="0" t="str">
        <f aca="false">IFERROR(IF(maxifs(Documents!$E$2:$E$1421,Documents!$A$2:$A$1421,$A93,Documents!$C$2:$C$1421,"obsolete")=0,"",maxifs(Documents!$E$2:$E$1421,Documents!$A$2:$A$1421,$A93,Documents!$C$2:$C$1421,"obsolete")),"")</f>
        <v/>
      </c>
      <c r="V93" s="0" t="n">
        <f aca="false">COUNTIFS(Documents!$A$2:$A$1421,$A93)</f>
        <v>2</v>
      </c>
      <c r="W93" s="0" t="n">
        <f aca="false">COUNTIFS(Documents!$A$2:$A$1421,$A93,Documents!$R$2:$R$1421,"current")</f>
        <v>0</v>
      </c>
      <c r="X93" s="0" t="str">
        <f aca="false">HYPERLINK("https://www.neoscapesmaldives.com/wp-content/uploads/NH-Maldives-Kuda-Rah-Fact-Sheet.pdf","2024_NH-Maldives-Kuda-Rah-Fact-Sheet.pdf")</f>
        <v>2024_NH-Maldives-Kuda-Rah-Fact-Sheet.pdf</v>
      </c>
      <c r="Y93" s="0" t="s">
        <v>28</v>
      </c>
      <c r="Z93" s="0" t="s">
        <v>145</v>
      </c>
    </row>
    <row r="94" customFormat="false" ht="15" hidden="false" customHeight="false" outlineLevel="0" collapsed="false">
      <c r="A94" s="0" t="n">
        <v>93</v>
      </c>
      <c r="B94" s="0" t="s">
        <v>146</v>
      </c>
      <c r="C94" s="0" t="s">
        <v>112</v>
      </c>
      <c r="D94" s="0" t="str">
        <f aca="false">IFERROR(IF(maxifs(Documents!$E$2:$E$1421,Documents!$A$2:$A$1421,$A94,Documents!$C$2:$C$1421,"factsheet")=0,"",maxifs(Documents!$E$2:$E$1421,Documents!$A$2:$A$1421,$A94,Documents!$C$2:$C$1421,"factsheet")),"")</f>
        <v/>
      </c>
      <c r="E94" s="0" t="str">
        <f aca="false">IFERROR(IF(maxifs(Documents!$E$2:$E$1421,Documents!$A$2:$A$1421,$A94,Documents!$C$2:$C$1421,"wedding")=0,"",maxifs(Documents!$E$2:$E$1421,Documents!$A$2:$A$1421,$A94,Documents!$C$2:$C$1421,"wedding")),"")</f>
        <v/>
      </c>
      <c r="F94" s="0" t="str">
        <f aca="false">IFERROR(IF(maxifs(Documents!$E$2:$E$1421,Documents!$A$2:$A$1421,$A94,Documents!$C$2:$C$1421,"events")=0,"",maxifs(Documents!$E$2:$E$1421,Documents!$A$2:$A$1421,$A94,Documents!$C$2:$C$1421,"events")),"")</f>
        <v/>
      </c>
      <c r="G94" s="0" t="str">
        <f aca="false">IFERROR(IF(maxifs(Documents!$E$2:$E$1421,Documents!$A$2:$A$1421,$A94,Documents!$C$2:$C$1421,"map")=0,"",maxifs(Documents!$E$2:$E$1421,Documents!$A$2:$A$1421,$A94,Documents!$C$2:$C$1421,"map")),"")</f>
        <v/>
      </c>
      <c r="H94" s="0" t="str">
        <f aca="false">IFERROR(IF(maxifs(Documents!$E$2:$E$1421,Documents!$A$2:$A$1421,$A94,Documents!$C$2:$C$1421,"dive_map")=0,"",maxifs(Documents!$E$2:$E$1421,Documents!$A$2:$A$1421,$A94,Documents!$C$2:$C$1421,"dive_map")),"")</f>
        <v/>
      </c>
      <c r="I94" s="0" t="str">
        <f aca="false">IFERROR(IF(maxifs(Documents!$E$2:$E$1421,Documents!$A$2:$A$1421,$A94,Documents!$C$2:$C$1421,"spa_menu")=0,"",maxifs(Documents!$E$2:$E$1421,Documents!$A$2:$A$1421,$A94,Documents!$C$2:$C$1421,"spa_menu")),"")</f>
        <v/>
      </c>
      <c r="J94" s="0" t="str">
        <f aca="false">IFERROR(IF(maxifs(Documents!$E$2:$E$1421,Documents!$A$2:$A$1421,$A94,Documents!$C$2:$C$1421,"dining_menu")=0,"",maxifs(Documents!$E$2:$E$1421,Documents!$A$2:$A$1421,$A94,Documents!$C$2:$C$1421,"dining_menu")),"")</f>
        <v/>
      </c>
      <c r="K94" s="0" t="str">
        <f aca="false">IFERROR(IF(maxifs(Documents!$E$2:$E$1421,Documents!$A$2:$A$1421,$A94,Documents!$C$2:$C$1421,"dive_prices")=0,"",maxifs(Documents!$E$2:$E$1421,Documents!$A$2:$A$1421,$A94,Documents!$C$2:$C$1421,"dive_prices")),"")</f>
        <v/>
      </c>
      <c r="L94" s="0" t="str">
        <f aca="false">IFERROR(IF(maxifs(Documents!$E$2:$E$1421,Documents!$A$2:$A$1421,$A94,Documents!$C$2:$C$1421,"excursions")=0,"",maxifs(Documents!$E$2:$E$1421,Documents!$A$2:$A$1421,$A94,Documents!$C$2:$C$1421,"excursions")),"")</f>
        <v/>
      </c>
      <c r="M94" s="0" t="str">
        <f aca="false">IFERROR(IF(maxifs(Documents!$E$2:$E$1421,Documents!$A$2:$A$1421,$A94,Documents!$C$2:$C$1421,"kids")=0,"",maxifs(Documents!$E$2:$E$1421,Documents!$A$2:$A$1421,$A94,Documents!$C$2:$C$1421,"kids")),"")</f>
        <v/>
      </c>
      <c r="N94" s="0" t="str">
        <f aca="false">IFERROR(IF(maxifs(Documents!$E$2:$E$1421,Documents!$A$2:$A$1421,$A94,Documents!$C$2:$C$1421,"villa_plans")=0,"",maxifs(Documents!$E$2:$E$1421,Documents!$A$2:$A$1421,$A94,Documents!$C$2:$C$1421,"villa_plans")),"")</f>
        <v/>
      </c>
      <c r="O94" s="0" t="str">
        <f aca="false">IFERROR(IF(maxifs(Documents!$E$2:$E$1421,Documents!$A$2:$A$1421,$A94,Documents!$C$2:$C$1421,"all_inclusive")=0,"",maxifs(Documents!$E$2:$E$1421,Documents!$A$2:$A$1421,$A94,Documents!$C$2:$C$1421,"all_inclusive")),"")</f>
        <v/>
      </c>
      <c r="P94" s="0" t="str">
        <f aca="false">IFERROR(IF(maxifs(Documents!$E$2:$E$1421,Documents!$A$2:$A$1421,$A94,Documents!$C$2:$C$1421,"sustainability")=0,"",maxifs(Documents!$E$2:$E$1421,Documents!$A$2:$A$1421,$A94,Documents!$C$2:$C$1421,"sustainability")),"")</f>
        <v/>
      </c>
      <c r="Q94" s="0" t="str">
        <f aca="false">IFERROR(IF(maxifs(Documents!$E$2:$E$1421,Documents!$A$2:$A$1421,$A94,Documents!$C$2:$C$1421,"calendar")=0,"",maxifs(Documents!$E$2:$E$1421,Documents!$A$2:$A$1421,$A94,Documents!$C$2:$C$1421,"calendar")),"")</f>
        <v/>
      </c>
      <c r="R94" s="0" t="str">
        <f aca="false">IFERROR(IF(maxifs(Documents!$E$2:$E$1421,Documents!$A$2:$A$1421,$A94,Documents!$C$2:$C$1421,"brochure")=0,"",maxifs(Documents!$E$2:$E$1421,Documents!$A$2:$A$1421,$A94,Documents!$C$2:$C$1421,"brochure")),"")</f>
        <v/>
      </c>
      <c r="S94" s="0" t="str">
        <f aca="false">IFERROR(IF(maxifs(Documents!$E$2:$E$1421,Documents!$A$2:$A$1421,$A94,Documents!$C$2:$C$1421,"press_kit")=0,"",maxifs(Documents!$E$2:$E$1421,Documents!$A$2:$A$1421,$A94,Documents!$C$2:$C$1421,"press_kit")),"")</f>
        <v/>
      </c>
      <c r="T94" s="0" t="str">
        <f aca="false">IFERROR(IF(maxifs(Documents!$E$2:$E$1421,Documents!$A$2:$A$1421,$A94,Documents!$C$2:$C$1421,"other")=0,"",maxifs(Documents!$E$2:$E$1421,Documents!$A$2:$A$1421,$A94,Documents!$C$2:$C$1421,"other")),"")</f>
        <v/>
      </c>
      <c r="U94" s="0" t="str">
        <f aca="false">IFERROR(IF(maxifs(Documents!$E$2:$E$1421,Documents!$A$2:$A$1421,$A94,Documents!$C$2:$C$1421,"obsolete")=0,"",maxifs(Documents!$E$2:$E$1421,Documents!$A$2:$A$1421,$A94,Documents!$C$2:$C$1421,"obsolete")),"")</f>
        <v/>
      </c>
      <c r="V94" s="0" t="n">
        <f aca="false">COUNTIFS(Documents!$A$2:$A$1421,$A94)</f>
        <v>0</v>
      </c>
      <c r="W94" s="0" t="n">
        <f aca="false">COUNTIFS(Documents!$A$2:$A$1421,$A94,Documents!$R$2:$R$1421,"current")</f>
        <v>0</v>
      </c>
      <c r="Y94" s="0" t="s">
        <v>31</v>
      </c>
    </row>
    <row r="95" customFormat="false" ht="15" hidden="false" customHeight="false" outlineLevel="0" collapsed="false">
      <c r="A95" s="0" t="n">
        <v>94</v>
      </c>
      <c r="B95" s="0" t="s">
        <v>147</v>
      </c>
      <c r="C95" s="0" t="s">
        <v>112</v>
      </c>
      <c r="D95" s="0" t="str">
        <f aca="false">IFERROR(IF(maxifs(Documents!$E$2:$E$1421,Documents!$A$2:$A$1421,$A95,Documents!$C$2:$C$1421,"factsheet")=0,"",maxifs(Documents!$E$2:$E$1421,Documents!$A$2:$A$1421,$A95,Documents!$C$2:$C$1421,"factsheet")),"")</f>
        <v/>
      </c>
      <c r="E95" s="0" t="str">
        <f aca="false">IFERROR(IF(maxifs(Documents!$E$2:$E$1421,Documents!$A$2:$A$1421,$A95,Documents!$C$2:$C$1421,"wedding")=0,"",maxifs(Documents!$E$2:$E$1421,Documents!$A$2:$A$1421,$A95,Documents!$C$2:$C$1421,"wedding")),"")</f>
        <v/>
      </c>
      <c r="F95" s="0" t="str">
        <f aca="false">IFERROR(IF(maxifs(Documents!$E$2:$E$1421,Documents!$A$2:$A$1421,$A95,Documents!$C$2:$C$1421,"events")=0,"",maxifs(Documents!$E$2:$E$1421,Documents!$A$2:$A$1421,$A95,Documents!$C$2:$C$1421,"events")),"")</f>
        <v/>
      </c>
      <c r="G95" s="0" t="str">
        <f aca="false">IFERROR(IF(maxifs(Documents!$E$2:$E$1421,Documents!$A$2:$A$1421,$A95,Documents!$C$2:$C$1421,"map")=0,"",maxifs(Documents!$E$2:$E$1421,Documents!$A$2:$A$1421,$A95,Documents!$C$2:$C$1421,"map")),"")</f>
        <v/>
      </c>
      <c r="H95" s="0" t="str">
        <f aca="false">IFERROR(IF(maxifs(Documents!$E$2:$E$1421,Documents!$A$2:$A$1421,$A95,Documents!$C$2:$C$1421,"dive_map")=0,"",maxifs(Documents!$E$2:$E$1421,Documents!$A$2:$A$1421,$A95,Documents!$C$2:$C$1421,"dive_map")),"")</f>
        <v/>
      </c>
      <c r="I95" s="0" t="str">
        <f aca="false">IFERROR(IF(maxifs(Documents!$E$2:$E$1421,Documents!$A$2:$A$1421,$A95,Documents!$C$2:$C$1421,"spa_menu")=0,"",maxifs(Documents!$E$2:$E$1421,Documents!$A$2:$A$1421,$A95,Documents!$C$2:$C$1421,"spa_menu")),"")</f>
        <v/>
      </c>
      <c r="J95" s="0" t="str">
        <f aca="false">IFERROR(IF(maxifs(Documents!$E$2:$E$1421,Documents!$A$2:$A$1421,$A95,Documents!$C$2:$C$1421,"dining_menu")=0,"",maxifs(Documents!$E$2:$E$1421,Documents!$A$2:$A$1421,$A95,Documents!$C$2:$C$1421,"dining_menu")),"")</f>
        <v/>
      </c>
      <c r="K95" s="0" t="str">
        <f aca="false">IFERROR(IF(maxifs(Documents!$E$2:$E$1421,Documents!$A$2:$A$1421,$A95,Documents!$C$2:$C$1421,"dive_prices")=0,"",maxifs(Documents!$E$2:$E$1421,Documents!$A$2:$A$1421,$A95,Documents!$C$2:$C$1421,"dive_prices")),"")</f>
        <v/>
      </c>
      <c r="L95" s="0" t="str">
        <f aca="false">IFERROR(IF(maxifs(Documents!$E$2:$E$1421,Documents!$A$2:$A$1421,$A95,Documents!$C$2:$C$1421,"excursions")=0,"",maxifs(Documents!$E$2:$E$1421,Documents!$A$2:$A$1421,$A95,Documents!$C$2:$C$1421,"excursions")),"")</f>
        <v/>
      </c>
      <c r="M95" s="0" t="str">
        <f aca="false">IFERROR(IF(maxifs(Documents!$E$2:$E$1421,Documents!$A$2:$A$1421,$A95,Documents!$C$2:$C$1421,"kids")=0,"",maxifs(Documents!$E$2:$E$1421,Documents!$A$2:$A$1421,$A95,Documents!$C$2:$C$1421,"kids")),"")</f>
        <v/>
      </c>
      <c r="N95" s="0" t="str">
        <f aca="false">IFERROR(IF(maxifs(Documents!$E$2:$E$1421,Documents!$A$2:$A$1421,$A95,Documents!$C$2:$C$1421,"villa_plans")=0,"",maxifs(Documents!$E$2:$E$1421,Documents!$A$2:$A$1421,$A95,Documents!$C$2:$C$1421,"villa_plans")),"")</f>
        <v/>
      </c>
      <c r="O95" s="0" t="str">
        <f aca="false">IFERROR(IF(maxifs(Documents!$E$2:$E$1421,Documents!$A$2:$A$1421,$A95,Documents!$C$2:$C$1421,"all_inclusive")=0,"",maxifs(Documents!$E$2:$E$1421,Documents!$A$2:$A$1421,$A95,Documents!$C$2:$C$1421,"all_inclusive")),"")</f>
        <v/>
      </c>
      <c r="P95" s="0" t="str">
        <f aca="false">IFERROR(IF(maxifs(Documents!$E$2:$E$1421,Documents!$A$2:$A$1421,$A95,Documents!$C$2:$C$1421,"sustainability")=0,"",maxifs(Documents!$E$2:$E$1421,Documents!$A$2:$A$1421,$A95,Documents!$C$2:$C$1421,"sustainability")),"")</f>
        <v/>
      </c>
      <c r="Q95" s="0" t="str">
        <f aca="false">IFERROR(IF(maxifs(Documents!$E$2:$E$1421,Documents!$A$2:$A$1421,$A95,Documents!$C$2:$C$1421,"calendar")=0,"",maxifs(Documents!$E$2:$E$1421,Documents!$A$2:$A$1421,$A95,Documents!$C$2:$C$1421,"calendar")),"")</f>
        <v/>
      </c>
      <c r="R95" s="0" t="str">
        <f aca="false">IFERROR(IF(maxifs(Documents!$E$2:$E$1421,Documents!$A$2:$A$1421,$A95,Documents!$C$2:$C$1421,"brochure")=0,"",maxifs(Documents!$E$2:$E$1421,Documents!$A$2:$A$1421,$A95,Documents!$C$2:$C$1421,"brochure")),"")</f>
        <v/>
      </c>
      <c r="S95" s="0" t="str">
        <f aca="false">IFERROR(IF(maxifs(Documents!$E$2:$E$1421,Documents!$A$2:$A$1421,$A95,Documents!$C$2:$C$1421,"press_kit")=0,"",maxifs(Documents!$E$2:$E$1421,Documents!$A$2:$A$1421,$A95,Documents!$C$2:$C$1421,"press_kit")),"")</f>
        <v/>
      </c>
      <c r="T95" s="0" t="str">
        <f aca="false">IFERROR(IF(maxifs(Documents!$E$2:$E$1421,Documents!$A$2:$A$1421,$A95,Documents!$C$2:$C$1421,"other")=0,"",maxifs(Documents!$E$2:$E$1421,Documents!$A$2:$A$1421,$A95,Documents!$C$2:$C$1421,"other")),"")</f>
        <v/>
      </c>
      <c r="U95" s="0" t="str">
        <f aca="false">IFERROR(IF(maxifs(Documents!$E$2:$E$1421,Documents!$A$2:$A$1421,$A95,Documents!$C$2:$C$1421,"obsolete")=0,"",maxifs(Documents!$E$2:$E$1421,Documents!$A$2:$A$1421,$A95,Documents!$C$2:$C$1421,"obsolete")),"")</f>
        <v/>
      </c>
      <c r="V95" s="0" t="n">
        <f aca="false">COUNTIFS(Documents!$A$2:$A$1421,$A95)</f>
        <v>0</v>
      </c>
      <c r="W95" s="0" t="n">
        <f aca="false">COUNTIFS(Documents!$A$2:$A$1421,$A95,Documents!$R$2:$R$1421,"current")</f>
        <v>0</v>
      </c>
      <c r="Y95" s="0" t="s">
        <v>31</v>
      </c>
    </row>
    <row r="96" customFormat="false" ht="15" hidden="false" customHeight="false" outlineLevel="0" collapsed="false">
      <c r="A96" s="0" t="n">
        <v>95</v>
      </c>
      <c r="B96" s="0" t="s">
        <v>148</v>
      </c>
      <c r="C96" s="0" t="s">
        <v>112</v>
      </c>
      <c r="D96" s="0" t="str">
        <f aca="false">IFERROR(IF(maxifs(Documents!$E$2:$E$1421,Documents!$A$2:$A$1421,$A96,Documents!$C$2:$C$1421,"factsheet")=0,"",maxifs(Documents!$E$2:$E$1421,Documents!$A$2:$A$1421,$A96,Documents!$C$2:$C$1421,"factsheet")),"")</f>
        <v/>
      </c>
      <c r="E96" s="0" t="str">
        <f aca="false">IFERROR(IF(maxifs(Documents!$E$2:$E$1421,Documents!$A$2:$A$1421,$A96,Documents!$C$2:$C$1421,"wedding")=0,"",maxifs(Documents!$E$2:$E$1421,Documents!$A$2:$A$1421,$A96,Documents!$C$2:$C$1421,"wedding")),"")</f>
        <v/>
      </c>
      <c r="F96" s="0" t="str">
        <f aca="false">IFERROR(IF(maxifs(Documents!$E$2:$E$1421,Documents!$A$2:$A$1421,$A96,Documents!$C$2:$C$1421,"events")=0,"",maxifs(Documents!$E$2:$E$1421,Documents!$A$2:$A$1421,$A96,Documents!$C$2:$C$1421,"events")),"")</f>
        <v/>
      </c>
      <c r="G96" s="0" t="str">
        <f aca="false">IFERROR(IF(maxifs(Documents!$E$2:$E$1421,Documents!$A$2:$A$1421,$A96,Documents!$C$2:$C$1421,"map")=0,"",maxifs(Documents!$E$2:$E$1421,Documents!$A$2:$A$1421,$A96,Documents!$C$2:$C$1421,"map")),"")</f>
        <v/>
      </c>
      <c r="H96" s="0" t="str">
        <f aca="false">IFERROR(IF(maxifs(Documents!$E$2:$E$1421,Documents!$A$2:$A$1421,$A96,Documents!$C$2:$C$1421,"dive_map")=0,"",maxifs(Documents!$E$2:$E$1421,Documents!$A$2:$A$1421,$A96,Documents!$C$2:$C$1421,"dive_map")),"")</f>
        <v/>
      </c>
      <c r="I96" s="0" t="str">
        <f aca="false">IFERROR(IF(maxifs(Documents!$E$2:$E$1421,Documents!$A$2:$A$1421,$A96,Documents!$C$2:$C$1421,"spa_menu")=0,"",maxifs(Documents!$E$2:$E$1421,Documents!$A$2:$A$1421,$A96,Documents!$C$2:$C$1421,"spa_menu")),"")</f>
        <v/>
      </c>
      <c r="J96" s="0" t="str">
        <f aca="false">IFERROR(IF(maxifs(Documents!$E$2:$E$1421,Documents!$A$2:$A$1421,$A96,Documents!$C$2:$C$1421,"dining_menu")=0,"",maxifs(Documents!$E$2:$E$1421,Documents!$A$2:$A$1421,$A96,Documents!$C$2:$C$1421,"dining_menu")),"")</f>
        <v/>
      </c>
      <c r="K96" s="0" t="str">
        <f aca="false">IFERROR(IF(maxifs(Documents!$E$2:$E$1421,Documents!$A$2:$A$1421,$A96,Documents!$C$2:$C$1421,"dive_prices")=0,"",maxifs(Documents!$E$2:$E$1421,Documents!$A$2:$A$1421,$A96,Documents!$C$2:$C$1421,"dive_prices")),"")</f>
        <v/>
      </c>
      <c r="L96" s="0" t="str">
        <f aca="false">IFERROR(IF(maxifs(Documents!$E$2:$E$1421,Documents!$A$2:$A$1421,$A96,Documents!$C$2:$C$1421,"excursions")=0,"",maxifs(Documents!$E$2:$E$1421,Documents!$A$2:$A$1421,$A96,Documents!$C$2:$C$1421,"excursions")),"")</f>
        <v/>
      </c>
      <c r="M96" s="0" t="str">
        <f aca="false">IFERROR(IF(maxifs(Documents!$E$2:$E$1421,Documents!$A$2:$A$1421,$A96,Documents!$C$2:$C$1421,"kids")=0,"",maxifs(Documents!$E$2:$E$1421,Documents!$A$2:$A$1421,$A96,Documents!$C$2:$C$1421,"kids")),"")</f>
        <v/>
      </c>
      <c r="N96" s="0" t="str">
        <f aca="false">IFERROR(IF(maxifs(Documents!$E$2:$E$1421,Documents!$A$2:$A$1421,$A96,Documents!$C$2:$C$1421,"villa_plans")=0,"",maxifs(Documents!$E$2:$E$1421,Documents!$A$2:$A$1421,$A96,Documents!$C$2:$C$1421,"villa_plans")),"")</f>
        <v/>
      </c>
      <c r="O96" s="0" t="str">
        <f aca="false">IFERROR(IF(maxifs(Documents!$E$2:$E$1421,Documents!$A$2:$A$1421,$A96,Documents!$C$2:$C$1421,"all_inclusive")=0,"",maxifs(Documents!$E$2:$E$1421,Documents!$A$2:$A$1421,$A96,Documents!$C$2:$C$1421,"all_inclusive")),"")</f>
        <v/>
      </c>
      <c r="P96" s="0" t="str">
        <f aca="false">IFERROR(IF(maxifs(Documents!$E$2:$E$1421,Documents!$A$2:$A$1421,$A96,Documents!$C$2:$C$1421,"sustainability")=0,"",maxifs(Documents!$E$2:$E$1421,Documents!$A$2:$A$1421,$A96,Documents!$C$2:$C$1421,"sustainability")),"")</f>
        <v/>
      </c>
      <c r="Q96" s="0" t="str">
        <f aca="false">IFERROR(IF(maxifs(Documents!$E$2:$E$1421,Documents!$A$2:$A$1421,$A96,Documents!$C$2:$C$1421,"calendar")=0,"",maxifs(Documents!$E$2:$E$1421,Documents!$A$2:$A$1421,$A96,Documents!$C$2:$C$1421,"calendar")),"")</f>
        <v/>
      </c>
      <c r="R96" s="0" t="str">
        <f aca="false">IFERROR(IF(maxifs(Documents!$E$2:$E$1421,Documents!$A$2:$A$1421,$A96,Documents!$C$2:$C$1421,"brochure")=0,"",maxifs(Documents!$E$2:$E$1421,Documents!$A$2:$A$1421,$A96,Documents!$C$2:$C$1421,"brochure")),"")</f>
        <v/>
      </c>
      <c r="S96" s="0" t="str">
        <f aca="false">IFERROR(IF(maxifs(Documents!$E$2:$E$1421,Documents!$A$2:$A$1421,$A96,Documents!$C$2:$C$1421,"press_kit")=0,"",maxifs(Documents!$E$2:$E$1421,Documents!$A$2:$A$1421,$A96,Documents!$C$2:$C$1421,"press_kit")),"")</f>
        <v/>
      </c>
      <c r="T96" s="0" t="str">
        <f aca="false">IFERROR(IF(maxifs(Documents!$E$2:$E$1421,Documents!$A$2:$A$1421,$A96,Documents!$C$2:$C$1421,"other")=0,"",maxifs(Documents!$E$2:$E$1421,Documents!$A$2:$A$1421,$A96,Documents!$C$2:$C$1421,"other")),"")</f>
        <v/>
      </c>
      <c r="U96" s="0" t="str">
        <f aca="false">IFERROR(IF(maxifs(Documents!$E$2:$E$1421,Documents!$A$2:$A$1421,$A96,Documents!$C$2:$C$1421,"obsolete")=0,"",maxifs(Documents!$E$2:$E$1421,Documents!$A$2:$A$1421,$A96,Documents!$C$2:$C$1421,"obsolete")),"")</f>
        <v/>
      </c>
      <c r="V96" s="0" t="n">
        <f aca="false">COUNTIFS(Documents!$A$2:$A$1421,$A96)</f>
        <v>2</v>
      </c>
      <c r="W96" s="0" t="n">
        <f aca="false">COUNTIFS(Documents!$A$2:$A$1421,$A96,Documents!$R$2:$R$1421,"current")</f>
        <v>0</v>
      </c>
      <c r="X96" s="0" t="str">
        <f aca="false">HYPERLINK("https://www.neoscapesmaldives.com/wp-content/uploads/Malahini-Kuda-Bandos-E-factsheet_2017.pdf","2017_Malahini-Kuda-Bandos-E-factsheet_20")</f>
        <v>2017_Malahini-Kuda-Bandos-E-factsheet_20</v>
      </c>
      <c r="Y96" s="0" t="s">
        <v>28</v>
      </c>
    </row>
    <row r="97" customFormat="false" ht="15" hidden="false" customHeight="false" outlineLevel="0" collapsed="false">
      <c r="A97" s="0" t="n">
        <v>96</v>
      </c>
      <c r="B97" s="0" t="s">
        <v>149</v>
      </c>
      <c r="C97" s="0" t="s">
        <v>112</v>
      </c>
      <c r="D97" s="0" t="str">
        <f aca="false">IFERROR(IF(maxifs(Documents!$E$2:$E$1421,Documents!$A$2:$A$1421,$A97,Documents!$C$2:$C$1421,"factsheet")=0,"",maxifs(Documents!$E$2:$E$1421,Documents!$A$2:$A$1421,$A97,Documents!$C$2:$C$1421,"factsheet")),"")</f>
        <v/>
      </c>
      <c r="E97" s="0" t="str">
        <f aca="false">IFERROR(IF(maxifs(Documents!$E$2:$E$1421,Documents!$A$2:$A$1421,$A97,Documents!$C$2:$C$1421,"wedding")=0,"",maxifs(Documents!$E$2:$E$1421,Documents!$A$2:$A$1421,$A97,Documents!$C$2:$C$1421,"wedding")),"")</f>
        <v/>
      </c>
      <c r="F97" s="0" t="str">
        <f aca="false">IFERROR(IF(maxifs(Documents!$E$2:$E$1421,Documents!$A$2:$A$1421,$A97,Documents!$C$2:$C$1421,"events")=0,"",maxifs(Documents!$E$2:$E$1421,Documents!$A$2:$A$1421,$A97,Documents!$C$2:$C$1421,"events")),"")</f>
        <v/>
      </c>
      <c r="G97" s="0" t="str">
        <f aca="false">IFERROR(IF(maxifs(Documents!$E$2:$E$1421,Documents!$A$2:$A$1421,$A97,Documents!$C$2:$C$1421,"map")=0,"",maxifs(Documents!$E$2:$E$1421,Documents!$A$2:$A$1421,$A97,Documents!$C$2:$C$1421,"map")),"")</f>
        <v/>
      </c>
      <c r="H97" s="0" t="str">
        <f aca="false">IFERROR(IF(maxifs(Documents!$E$2:$E$1421,Documents!$A$2:$A$1421,$A97,Documents!$C$2:$C$1421,"dive_map")=0,"",maxifs(Documents!$E$2:$E$1421,Documents!$A$2:$A$1421,$A97,Documents!$C$2:$C$1421,"dive_map")),"")</f>
        <v/>
      </c>
      <c r="I97" s="0" t="str">
        <f aca="false">IFERROR(IF(maxifs(Documents!$E$2:$E$1421,Documents!$A$2:$A$1421,$A97,Documents!$C$2:$C$1421,"spa_menu")=0,"",maxifs(Documents!$E$2:$E$1421,Documents!$A$2:$A$1421,$A97,Documents!$C$2:$C$1421,"spa_menu")),"")</f>
        <v/>
      </c>
      <c r="J97" s="0" t="str">
        <f aca="false">IFERROR(IF(maxifs(Documents!$E$2:$E$1421,Documents!$A$2:$A$1421,$A97,Documents!$C$2:$C$1421,"dining_menu")=0,"",maxifs(Documents!$E$2:$E$1421,Documents!$A$2:$A$1421,$A97,Documents!$C$2:$C$1421,"dining_menu")),"")</f>
        <v/>
      </c>
      <c r="K97" s="0" t="str">
        <f aca="false">IFERROR(IF(maxifs(Documents!$E$2:$E$1421,Documents!$A$2:$A$1421,$A97,Documents!$C$2:$C$1421,"dive_prices")=0,"",maxifs(Documents!$E$2:$E$1421,Documents!$A$2:$A$1421,$A97,Documents!$C$2:$C$1421,"dive_prices")),"")</f>
        <v/>
      </c>
      <c r="L97" s="0" t="str">
        <f aca="false">IFERROR(IF(maxifs(Documents!$E$2:$E$1421,Documents!$A$2:$A$1421,$A97,Documents!$C$2:$C$1421,"excursions")=0,"",maxifs(Documents!$E$2:$E$1421,Documents!$A$2:$A$1421,$A97,Documents!$C$2:$C$1421,"excursions")),"")</f>
        <v/>
      </c>
      <c r="M97" s="0" t="str">
        <f aca="false">IFERROR(IF(maxifs(Documents!$E$2:$E$1421,Documents!$A$2:$A$1421,$A97,Documents!$C$2:$C$1421,"kids")=0,"",maxifs(Documents!$E$2:$E$1421,Documents!$A$2:$A$1421,$A97,Documents!$C$2:$C$1421,"kids")),"")</f>
        <v/>
      </c>
      <c r="N97" s="0" t="str">
        <f aca="false">IFERROR(IF(maxifs(Documents!$E$2:$E$1421,Documents!$A$2:$A$1421,$A97,Documents!$C$2:$C$1421,"villa_plans")=0,"",maxifs(Documents!$E$2:$E$1421,Documents!$A$2:$A$1421,$A97,Documents!$C$2:$C$1421,"villa_plans")),"")</f>
        <v/>
      </c>
      <c r="O97" s="0" t="str">
        <f aca="false">IFERROR(IF(maxifs(Documents!$E$2:$E$1421,Documents!$A$2:$A$1421,$A97,Documents!$C$2:$C$1421,"all_inclusive")=0,"",maxifs(Documents!$E$2:$E$1421,Documents!$A$2:$A$1421,$A97,Documents!$C$2:$C$1421,"all_inclusive")),"")</f>
        <v/>
      </c>
      <c r="P97" s="0" t="str">
        <f aca="false">IFERROR(IF(maxifs(Documents!$E$2:$E$1421,Documents!$A$2:$A$1421,$A97,Documents!$C$2:$C$1421,"sustainability")=0,"",maxifs(Documents!$E$2:$E$1421,Documents!$A$2:$A$1421,$A97,Documents!$C$2:$C$1421,"sustainability")),"")</f>
        <v/>
      </c>
      <c r="Q97" s="0" t="str">
        <f aca="false">IFERROR(IF(maxifs(Documents!$E$2:$E$1421,Documents!$A$2:$A$1421,$A97,Documents!$C$2:$C$1421,"calendar")=0,"",maxifs(Documents!$E$2:$E$1421,Documents!$A$2:$A$1421,$A97,Documents!$C$2:$C$1421,"calendar")),"")</f>
        <v/>
      </c>
      <c r="R97" s="0" t="str">
        <f aca="false">IFERROR(IF(maxifs(Documents!$E$2:$E$1421,Documents!$A$2:$A$1421,$A97,Documents!$C$2:$C$1421,"brochure")=0,"",maxifs(Documents!$E$2:$E$1421,Documents!$A$2:$A$1421,$A97,Documents!$C$2:$C$1421,"brochure")),"")</f>
        <v/>
      </c>
      <c r="S97" s="0" t="str">
        <f aca="false">IFERROR(IF(maxifs(Documents!$E$2:$E$1421,Documents!$A$2:$A$1421,$A97,Documents!$C$2:$C$1421,"press_kit")=0,"",maxifs(Documents!$E$2:$E$1421,Documents!$A$2:$A$1421,$A97,Documents!$C$2:$C$1421,"press_kit")),"")</f>
        <v/>
      </c>
      <c r="T97" s="0" t="str">
        <f aca="false">IFERROR(IF(maxifs(Documents!$E$2:$E$1421,Documents!$A$2:$A$1421,$A97,Documents!$C$2:$C$1421,"other")=0,"",maxifs(Documents!$E$2:$E$1421,Documents!$A$2:$A$1421,$A97,Documents!$C$2:$C$1421,"other")),"")</f>
        <v/>
      </c>
      <c r="U97" s="0" t="str">
        <f aca="false">IFERROR(IF(maxifs(Documents!$E$2:$E$1421,Documents!$A$2:$A$1421,$A97,Documents!$C$2:$C$1421,"obsolete")=0,"",maxifs(Documents!$E$2:$E$1421,Documents!$A$2:$A$1421,$A97,Documents!$C$2:$C$1421,"obsolete")),"")</f>
        <v/>
      </c>
      <c r="V97" s="0" t="n">
        <f aca="false">COUNTIFS(Documents!$A$2:$A$1421,$A97)</f>
        <v>1</v>
      </c>
      <c r="W97" s="0" t="n">
        <f aca="false">COUNTIFS(Documents!$A$2:$A$1421,$A97,Documents!$R$2:$R$1421,"current")</f>
        <v>1</v>
      </c>
      <c r="X97" s="0" t="str">
        <f aca="false">HYPERLINK("https://www.neoscapesmaldives.com/wp-content/uploads/DHMVIH-Fact-Sheet.pdf","2025_DHMVIH-Fact-Sheet.pdf")</f>
        <v>2025_DHMVIH-Fact-Sheet.pdf</v>
      </c>
      <c r="Y97" s="0" t="s">
        <v>28</v>
      </c>
      <c r="Z97" s="0" t="s">
        <v>150</v>
      </c>
    </row>
    <row r="98" customFormat="false" ht="15" hidden="false" customHeight="false" outlineLevel="0" collapsed="false">
      <c r="A98" s="0" t="n">
        <v>97</v>
      </c>
      <c r="B98" s="0" t="s">
        <v>151</v>
      </c>
      <c r="C98" s="0" t="s">
        <v>112</v>
      </c>
      <c r="D98" s="0" t="str">
        <f aca="false">IFERROR(IF(maxifs(Documents!$E$2:$E$1421,Documents!$A$2:$A$1421,$A98,Documents!$C$2:$C$1421,"factsheet")=0,"",maxifs(Documents!$E$2:$E$1421,Documents!$A$2:$A$1421,$A98,Documents!$C$2:$C$1421,"factsheet")),"")</f>
        <v/>
      </c>
      <c r="E98" s="0" t="str">
        <f aca="false">IFERROR(IF(maxifs(Documents!$E$2:$E$1421,Documents!$A$2:$A$1421,$A98,Documents!$C$2:$C$1421,"wedding")=0,"",maxifs(Documents!$E$2:$E$1421,Documents!$A$2:$A$1421,$A98,Documents!$C$2:$C$1421,"wedding")),"")</f>
        <v/>
      </c>
      <c r="F98" s="0" t="str">
        <f aca="false">IFERROR(IF(maxifs(Documents!$E$2:$E$1421,Documents!$A$2:$A$1421,$A98,Documents!$C$2:$C$1421,"events")=0,"",maxifs(Documents!$E$2:$E$1421,Documents!$A$2:$A$1421,$A98,Documents!$C$2:$C$1421,"events")),"")</f>
        <v/>
      </c>
      <c r="G98" s="0" t="str">
        <f aca="false">IFERROR(IF(maxifs(Documents!$E$2:$E$1421,Documents!$A$2:$A$1421,$A98,Documents!$C$2:$C$1421,"map")=0,"",maxifs(Documents!$E$2:$E$1421,Documents!$A$2:$A$1421,$A98,Documents!$C$2:$C$1421,"map")),"")</f>
        <v/>
      </c>
      <c r="H98" s="0" t="str">
        <f aca="false">IFERROR(IF(maxifs(Documents!$E$2:$E$1421,Documents!$A$2:$A$1421,$A98,Documents!$C$2:$C$1421,"dive_map")=0,"",maxifs(Documents!$E$2:$E$1421,Documents!$A$2:$A$1421,$A98,Documents!$C$2:$C$1421,"dive_map")),"")</f>
        <v/>
      </c>
      <c r="I98" s="0" t="str">
        <f aca="false">IFERROR(IF(maxifs(Documents!$E$2:$E$1421,Documents!$A$2:$A$1421,$A98,Documents!$C$2:$C$1421,"spa_menu")=0,"",maxifs(Documents!$E$2:$E$1421,Documents!$A$2:$A$1421,$A98,Documents!$C$2:$C$1421,"spa_menu")),"")</f>
        <v/>
      </c>
      <c r="J98" s="0" t="str">
        <f aca="false">IFERROR(IF(maxifs(Documents!$E$2:$E$1421,Documents!$A$2:$A$1421,$A98,Documents!$C$2:$C$1421,"dining_menu")=0,"",maxifs(Documents!$E$2:$E$1421,Documents!$A$2:$A$1421,$A98,Documents!$C$2:$C$1421,"dining_menu")),"")</f>
        <v/>
      </c>
      <c r="K98" s="0" t="str">
        <f aca="false">IFERROR(IF(maxifs(Documents!$E$2:$E$1421,Documents!$A$2:$A$1421,$A98,Documents!$C$2:$C$1421,"dive_prices")=0,"",maxifs(Documents!$E$2:$E$1421,Documents!$A$2:$A$1421,$A98,Documents!$C$2:$C$1421,"dive_prices")),"")</f>
        <v/>
      </c>
      <c r="L98" s="0" t="str">
        <f aca="false">IFERROR(IF(maxifs(Documents!$E$2:$E$1421,Documents!$A$2:$A$1421,$A98,Documents!$C$2:$C$1421,"excursions")=0,"",maxifs(Documents!$E$2:$E$1421,Documents!$A$2:$A$1421,$A98,Documents!$C$2:$C$1421,"excursions")),"")</f>
        <v/>
      </c>
      <c r="M98" s="0" t="str">
        <f aca="false">IFERROR(IF(maxifs(Documents!$E$2:$E$1421,Documents!$A$2:$A$1421,$A98,Documents!$C$2:$C$1421,"kids")=0,"",maxifs(Documents!$E$2:$E$1421,Documents!$A$2:$A$1421,$A98,Documents!$C$2:$C$1421,"kids")),"")</f>
        <v/>
      </c>
      <c r="N98" s="0" t="str">
        <f aca="false">IFERROR(IF(maxifs(Documents!$E$2:$E$1421,Documents!$A$2:$A$1421,$A98,Documents!$C$2:$C$1421,"villa_plans")=0,"",maxifs(Documents!$E$2:$E$1421,Documents!$A$2:$A$1421,$A98,Documents!$C$2:$C$1421,"villa_plans")),"")</f>
        <v/>
      </c>
      <c r="O98" s="0" t="str">
        <f aca="false">IFERROR(IF(maxifs(Documents!$E$2:$E$1421,Documents!$A$2:$A$1421,$A98,Documents!$C$2:$C$1421,"all_inclusive")=0,"",maxifs(Documents!$E$2:$E$1421,Documents!$A$2:$A$1421,$A98,Documents!$C$2:$C$1421,"all_inclusive")),"")</f>
        <v/>
      </c>
      <c r="P98" s="0" t="str">
        <f aca="false">IFERROR(IF(maxifs(Documents!$E$2:$E$1421,Documents!$A$2:$A$1421,$A98,Documents!$C$2:$C$1421,"sustainability")=0,"",maxifs(Documents!$E$2:$E$1421,Documents!$A$2:$A$1421,$A98,Documents!$C$2:$C$1421,"sustainability")),"")</f>
        <v/>
      </c>
      <c r="Q98" s="0" t="str">
        <f aca="false">IFERROR(IF(maxifs(Documents!$E$2:$E$1421,Documents!$A$2:$A$1421,$A98,Documents!$C$2:$C$1421,"calendar")=0,"",maxifs(Documents!$E$2:$E$1421,Documents!$A$2:$A$1421,$A98,Documents!$C$2:$C$1421,"calendar")),"")</f>
        <v/>
      </c>
      <c r="R98" s="0" t="str">
        <f aca="false">IFERROR(IF(maxifs(Documents!$E$2:$E$1421,Documents!$A$2:$A$1421,$A98,Documents!$C$2:$C$1421,"brochure")=0,"",maxifs(Documents!$E$2:$E$1421,Documents!$A$2:$A$1421,$A98,Documents!$C$2:$C$1421,"brochure")),"")</f>
        <v/>
      </c>
      <c r="S98" s="0" t="str">
        <f aca="false">IFERROR(IF(maxifs(Documents!$E$2:$E$1421,Documents!$A$2:$A$1421,$A98,Documents!$C$2:$C$1421,"press_kit")=0,"",maxifs(Documents!$E$2:$E$1421,Documents!$A$2:$A$1421,$A98,Documents!$C$2:$C$1421,"press_kit")),"")</f>
        <v/>
      </c>
      <c r="T98" s="0" t="str">
        <f aca="false">IFERROR(IF(maxifs(Documents!$E$2:$E$1421,Documents!$A$2:$A$1421,$A98,Documents!$C$2:$C$1421,"other")=0,"",maxifs(Documents!$E$2:$E$1421,Documents!$A$2:$A$1421,$A98,Documents!$C$2:$C$1421,"other")),"")</f>
        <v/>
      </c>
      <c r="U98" s="0" t="str">
        <f aca="false">IFERROR(IF(maxifs(Documents!$E$2:$E$1421,Documents!$A$2:$A$1421,$A98,Documents!$C$2:$C$1421,"obsolete")=0,"",maxifs(Documents!$E$2:$E$1421,Documents!$A$2:$A$1421,$A98,Documents!$C$2:$C$1421,"obsolete")),"")</f>
        <v/>
      </c>
      <c r="V98" s="0" t="n">
        <f aca="false">COUNTIFS(Documents!$A$2:$A$1421,$A98)</f>
        <v>3</v>
      </c>
      <c r="W98" s="0" t="n">
        <f aca="false">COUNTIFS(Documents!$A$2:$A$1421,$A98,Documents!$R$2:$R$1421,"current")</f>
        <v>0</v>
      </c>
      <c r="X98" s="0" t="str">
        <f aca="false">HYPERLINK("https://www.neoscapesmaldives.com/wp-content/uploads/Fact-Sheet-Angsana-Velavaru.pdf","2023_Fact-Sheet-Angsana-Velavaru.pdf")</f>
        <v>2023_Fact-Sheet-Angsana-Velavaru.pdf</v>
      </c>
      <c r="Y98" s="0" t="s">
        <v>28</v>
      </c>
    </row>
    <row r="99" customFormat="false" ht="15" hidden="false" customHeight="false" outlineLevel="0" collapsed="false">
      <c r="A99" s="0" t="n">
        <v>98</v>
      </c>
      <c r="B99" s="0" t="s">
        <v>152</v>
      </c>
      <c r="C99" s="0" t="s">
        <v>112</v>
      </c>
      <c r="D99" s="0" t="str">
        <f aca="false">IFERROR(IF(maxifs(Documents!$E$2:$E$1421,Documents!$A$2:$A$1421,$A99,Documents!$C$2:$C$1421,"factsheet")=0,"",maxifs(Documents!$E$2:$E$1421,Documents!$A$2:$A$1421,$A99,Documents!$C$2:$C$1421,"factsheet")),"")</f>
        <v/>
      </c>
      <c r="E99" s="0" t="str">
        <f aca="false">IFERROR(IF(maxifs(Documents!$E$2:$E$1421,Documents!$A$2:$A$1421,$A99,Documents!$C$2:$C$1421,"wedding")=0,"",maxifs(Documents!$E$2:$E$1421,Documents!$A$2:$A$1421,$A99,Documents!$C$2:$C$1421,"wedding")),"")</f>
        <v/>
      </c>
      <c r="F99" s="0" t="str">
        <f aca="false">IFERROR(IF(maxifs(Documents!$E$2:$E$1421,Documents!$A$2:$A$1421,$A99,Documents!$C$2:$C$1421,"events")=0,"",maxifs(Documents!$E$2:$E$1421,Documents!$A$2:$A$1421,$A99,Documents!$C$2:$C$1421,"events")),"")</f>
        <v/>
      </c>
      <c r="G99" s="0" t="str">
        <f aca="false">IFERROR(IF(maxifs(Documents!$E$2:$E$1421,Documents!$A$2:$A$1421,$A99,Documents!$C$2:$C$1421,"map")=0,"",maxifs(Documents!$E$2:$E$1421,Documents!$A$2:$A$1421,$A99,Documents!$C$2:$C$1421,"map")),"")</f>
        <v/>
      </c>
      <c r="H99" s="0" t="str">
        <f aca="false">IFERROR(IF(maxifs(Documents!$E$2:$E$1421,Documents!$A$2:$A$1421,$A99,Documents!$C$2:$C$1421,"dive_map")=0,"",maxifs(Documents!$E$2:$E$1421,Documents!$A$2:$A$1421,$A99,Documents!$C$2:$C$1421,"dive_map")),"")</f>
        <v/>
      </c>
      <c r="I99" s="0" t="str">
        <f aca="false">IFERROR(IF(maxifs(Documents!$E$2:$E$1421,Documents!$A$2:$A$1421,$A99,Documents!$C$2:$C$1421,"spa_menu")=0,"",maxifs(Documents!$E$2:$E$1421,Documents!$A$2:$A$1421,$A99,Documents!$C$2:$C$1421,"spa_menu")),"")</f>
        <v/>
      </c>
      <c r="J99" s="0" t="str">
        <f aca="false">IFERROR(IF(maxifs(Documents!$E$2:$E$1421,Documents!$A$2:$A$1421,$A99,Documents!$C$2:$C$1421,"dining_menu")=0,"",maxifs(Documents!$E$2:$E$1421,Documents!$A$2:$A$1421,$A99,Documents!$C$2:$C$1421,"dining_menu")),"")</f>
        <v/>
      </c>
      <c r="K99" s="0" t="str">
        <f aca="false">IFERROR(IF(maxifs(Documents!$E$2:$E$1421,Documents!$A$2:$A$1421,$A99,Documents!$C$2:$C$1421,"dive_prices")=0,"",maxifs(Documents!$E$2:$E$1421,Documents!$A$2:$A$1421,$A99,Documents!$C$2:$C$1421,"dive_prices")),"")</f>
        <v/>
      </c>
      <c r="L99" s="0" t="str">
        <f aca="false">IFERROR(IF(maxifs(Documents!$E$2:$E$1421,Documents!$A$2:$A$1421,$A99,Documents!$C$2:$C$1421,"excursions")=0,"",maxifs(Documents!$E$2:$E$1421,Documents!$A$2:$A$1421,$A99,Documents!$C$2:$C$1421,"excursions")),"")</f>
        <v/>
      </c>
      <c r="M99" s="0" t="str">
        <f aca="false">IFERROR(IF(maxifs(Documents!$E$2:$E$1421,Documents!$A$2:$A$1421,$A99,Documents!$C$2:$C$1421,"kids")=0,"",maxifs(Documents!$E$2:$E$1421,Documents!$A$2:$A$1421,$A99,Documents!$C$2:$C$1421,"kids")),"")</f>
        <v/>
      </c>
      <c r="N99" s="0" t="str">
        <f aca="false">IFERROR(IF(maxifs(Documents!$E$2:$E$1421,Documents!$A$2:$A$1421,$A99,Documents!$C$2:$C$1421,"villa_plans")=0,"",maxifs(Documents!$E$2:$E$1421,Documents!$A$2:$A$1421,$A99,Documents!$C$2:$C$1421,"villa_plans")),"")</f>
        <v/>
      </c>
      <c r="O99" s="0" t="str">
        <f aca="false">IFERROR(IF(maxifs(Documents!$E$2:$E$1421,Documents!$A$2:$A$1421,$A99,Documents!$C$2:$C$1421,"all_inclusive")=0,"",maxifs(Documents!$E$2:$E$1421,Documents!$A$2:$A$1421,$A99,Documents!$C$2:$C$1421,"all_inclusive")),"")</f>
        <v/>
      </c>
      <c r="P99" s="0" t="str">
        <f aca="false">IFERROR(IF(maxifs(Documents!$E$2:$E$1421,Documents!$A$2:$A$1421,$A99,Documents!$C$2:$C$1421,"sustainability")=0,"",maxifs(Documents!$E$2:$E$1421,Documents!$A$2:$A$1421,$A99,Documents!$C$2:$C$1421,"sustainability")),"")</f>
        <v/>
      </c>
      <c r="Q99" s="0" t="str">
        <f aca="false">IFERROR(IF(maxifs(Documents!$E$2:$E$1421,Documents!$A$2:$A$1421,$A99,Documents!$C$2:$C$1421,"calendar")=0,"",maxifs(Documents!$E$2:$E$1421,Documents!$A$2:$A$1421,$A99,Documents!$C$2:$C$1421,"calendar")),"")</f>
        <v/>
      </c>
      <c r="R99" s="0" t="str">
        <f aca="false">IFERROR(IF(maxifs(Documents!$E$2:$E$1421,Documents!$A$2:$A$1421,$A99,Documents!$C$2:$C$1421,"brochure")=0,"",maxifs(Documents!$E$2:$E$1421,Documents!$A$2:$A$1421,$A99,Documents!$C$2:$C$1421,"brochure")),"")</f>
        <v/>
      </c>
      <c r="S99" s="0" t="str">
        <f aca="false">IFERROR(IF(maxifs(Documents!$E$2:$E$1421,Documents!$A$2:$A$1421,$A99,Documents!$C$2:$C$1421,"press_kit")=0,"",maxifs(Documents!$E$2:$E$1421,Documents!$A$2:$A$1421,$A99,Documents!$C$2:$C$1421,"press_kit")),"")</f>
        <v/>
      </c>
      <c r="T99" s="0" t="str">
        <f aca="false">IFERROR(IF(maxifs(Documents!$E$2:$E$1421,Documents!$A$2:$A$1421,$A99,Documents!$C$2:$C$1421,"other")=0,"",maxifs(Documents!$E$2:$E$1421,Documents!$A$2:$A$1421,$A99,Documents!$C$2:$C$1421,"other")),"")</f>
        <v/>
      </c>
      <c r="U99" s="0" t="str">
        <f aca="false">IFERROR(IF(maxifs(Documents!$E$2:$E$1421,Documents!$A$2:$A$1421,$A99,Documents!$C$2:$C$1421,"obsolete")=0,"",maxifs(Documents!$E$2:$E$1421,Documents!$A$2:$A$1421,$A99,Documents!$C$2:$C$1421,"obsolete")),"")</f>
        <v/>
      </c>
      <c r="V99" s="0" t="n">
        <f aca="false">COUNTIFS(Documents!$A$2:$A$1421,$A99)</f>
        <v>0</v>
      </c>
      <c r="W99" s="0" t="n">
        <f aca="false">COUNTIFS(Documents!$A$2:$A$1421,$A99,Documents!$R$2:$R$1421,"current")</f>
        <v>0</v>
      </c>
      <c r="Y99" s="0" t="s">
        <v>31</v>
      </c>
    </row>
    <row r="100" customFormat="false" ht="15" hidden="false" customHeight="false" outlineLevel="0" collapsed="false">
      <c r="A100" s="0" t="n">
        <v>99</v>
      </c>
      <c r="B100" s="0" t="s">
        <v>153</v>
      </c>
      <c r="C100" s="0" t="s">
        <v>112</v>
      </c>
      <c r="D100" s="0" t="str">
        <f aca="false">IFERROR(IF(maxifs(Documents!$E$2:$E$1421,Documents!$A$2:$A$1421,$A100,Documents!$C$2:$C$1421,"factsheet")=0,"",maxifs(Documents!$E$2:$E$1421,Documents!$A$2:$A$1421,$A100,Documents!$C$2:$C$1421,"factsheet")),"")</f>
        <v/>
      </c>
      <c r="E100" s="0" t="str">
        <f aca="false">IFERROR(IF(maxifs(Documents!$E$2:$E$1421,Documents!$A$2:$A$1421,$A100,Documents!$C$2:$C$1421,"wedding")=0,"",maxifs(Documents!$E$2:$E$1421,Documents!$A$2:$A$1421,$A100,Documents!$C$2:$C$1421,"wedding")),"")</f>
        <v/>
      </c>
      <c r="F100" s="0" t="str">
        <f aca="false">IFERROR(IF(maxifs(Documents!$E$2:$E$1421,Documents!$A$2:$A$1421,$A100,Documents!$C$2:$C$1421,"events")=0,"",maxifs(Documents!$E$2:$E$1421,Documents!$A$2:$A$1421,$A100,Documents!$C$2:$C$1421,"events")),"")</f>
        <v/>
      </c>
      <c r="G100" s="0" t="str">
        <f aca="false">IFERROR(IF(maxifs(Documents!$E$2:$E$1421,Documents!$A$2:$A$1421,$A100,Documents!$C$2:$C$1421,"map")=0,"",maxifs(Documents!$E$2:$E$1421,Documents!$A$2:$A$1421,$A100,Documents!$C$2:$C$1421,"map")),"")</f>
        <v/>
      </c>
      <c r="H100" s="0" t="str">
        <f aca="false">IFERROR(IF(maxifs(Documents!$E$2:$E$1421,Documents!$A$2:$A$1421,$A100,Documents!$C$2:$C$1421,"dive_map")=0,"",maxifs(Documents!$E$2:$E$1421,Documents!$A$2:$A$1421,$A100,Documents!$C$2:$C$1421,"dive_map")),"")</f>
        <v/>
      </c>
      <c r="I100" s="0" t="str">
        <f aca="false">IFERROR(IF(maxifs(Documents!$E$2:$E$1421,Documents!$A$2:$A$1421,$A100,Documents!$C$2:$C$1421,"spa_menu")=0,"",maxifs(Documents!$E$2:$E$1421,Documents!$A$2:$A$1421,$A100,Documents!$C$2:$C$1421,"spa_menu")),"")</f>
        <v/>
      </c>
      <c r="J100" s="0" t="str">
        <f aca="false">IFERROR(IF(maxifs(Documents!$E$2:$E$1421,Documents!$A$2:$A$1421,$A100,Documents!$C$2:$C$1421,"dining_menu")=0,"",maxifs(Documents!$E$2:$E$1421,Documents!$A$2:$A$1421,$A100,Documents!$C$2:$C$1421,"dining_menu")),"")</f>
        <v/>
      </c>
      <c r="K100" s="0" t="str">
        <f aca="false">IFERROR(IF(maxifs(Documents!$E$2:$E$1421,Documents!$A$2:$A$1421,$A100,Documents!$C$2:$C$1421,"dive_prices")=0,"",maxifs(Documents!$E$2:$E$1421,Documents!$A$2:$A$1421,$A100,Documents!$C$2:$C$1421,"dive_prices")),"")</f>
        <v/>
      </c>
      <c r="L100" s="0" t="str">
        <f aca="false">IFERROR(IF(maxifs(Documents!$E$2:$E$1421,Documents!$A$2:$A$1421,$A100,Documents!$C$2:$C$1421,"excursions")=0,"",maxifs(Documents!$E$2:$E$1421,Documents!$A$2:$A$1421,$A100,Documents!$C$2:$C$1421,"excursions")),"")</f>
        <v/>
      </c>
      <c r="M100" s="0" t="str">
        <f aca="false">IFERROR(IF(maxifs(Documents!$E$2:$E$1421,Documents!$A$2:$A$1421,$A100,Documents!$C$2:$C$1421,"kids")=0,"",maxifs(Documents!$E$2:$E$1421,Documents!$A$2:$A$1421,$A100,Documents!$C$2:$C$1421,"kids")),"")</f>
        <v/>
      </c>
      <c r="N100" s="0" t="str">
        <f aca="false">IFERROR(IF(maxifs(Documents!$E$2:$E$1421,Documents!$A$2:$A$1421,$A100,Documents!$C$2:$C$1421,"villa_plans")=0,"",maxifs(Documents!$E$2:$E$1421,Documents!$A$2:$A$1421,$A100,Documents!$C$2:$C$1421,"villa_plans")),"")</f>
        <v/>
      </c>
      <c r="O100" s="0" t="str">
        <f aca="false">IFERROR(IF(maxifs(Documents!$E$2:$E$1421,Documents!$A$2:$A$1421,$A100,Documents!$C$2:$C$1421,"all_inclusive")=0,"",maxifs(Documents!$E$2:$E$1421,Documents!$A$2:$A$1421,$A100,Documents!$C$2:$C$1421,"all_inclusive")),"")</f>
        <v/>
      </c>
      <c r="P100" s="0" t="str">
        <f aca="false">IFERROR(IF(maxifs(Documents!$E$2:$E$1421,Documents!$A$2:$A$1421,$A100,Documents!$C$2:$C$1421,"sustainability")=0,"",maxifs(Documents!$E$2:$E$1421,Documents!$A$2:$A$1421,$A100,Documents!$C$2:$C$1421,"sustainability")),"")</f>
        <v/>
      </c>
      <c r="Q100" s="0" t="str">
        <f aca="false">IFERROR(IF(maxifs(Documents!$E$2:$E$1421,Documents!$A$2:$A$1421,$A100,Documents!$C$2:$C$1421,"calendar")=0,"",maxifs(Documents!$E$2:$E$1421,Documents!$A$2:$A$1421,$A100,Documents!$C$2:$C$1421,"calendar")),"")</f>
        <v/>
      </c>
      <c r="R100" s="0" t="str">
        <f aca="false">IFERROR(IF(maxifs(Documents!$E$2:$E$1421,Documents!$A$2:$A$1421,$A100,Documents!$C$2:$C$1421,"brochure")=0,"",maxifs(Documents!$E$2:$E$1421,Documents!$A$2:$A$1421,$A100,Documents!$C$2:$C$1421,"brochure")),"")</f>
        <v/>
      </c>
      <c r="S100" s="0" t="str">
        <f aca="false">IFERROR(IF(maxifs(Documents!$E$2:$E$1421,Documents!$A$2:$A$1421,$A100,Documents!$C$2:$C$1421,"press_kit")=0,"",maxifs(Documents!$E$2:$E$1421,Documents!$A$2:$A$1421,$A100,Documents!$C$2:$C$1421,"press_kit")),"")</f>
        <v/>
      </c>
      <c r="T100" s="0" t="str">
        <f aca="false">IFERROR(IF(maxifs(Documents!$E$2:$E$1421,Documents!$A$2:$A$1421,$A100,Documents!$C$2:$C$1421,"other")=0,"",maxifs(Documents!$E$2:$E$1421,Documents!$A$2:$A$1421,$A100,Documents!$C$2:$C$1421,"other")),"")</f>
        <v/>
      </c>
      <c r="U100" s="0" t="str">
        <f aca="false">IFERROR(IF(maxifs(Documents!$E$2:$E$1421,Documents!$A$2:$A$1421,$A100,Documents!$C$2:$C$1421,"obsolete")=0,"",maxifs(Documents!$E$2:$E$1421,Documents!$A$2:$A$1421,$A100,Documents!$C$2:$C$1421,"obsolete")),"")</f>
        <v/>
      </c>
      <c r="V100" s="0" t="n">
        <f aca="false">COUNTIFS(Documents!$A$2:$A$1421,$A100)</f>
        <v>4</v>
      </c>
      <c r="W100" s="0" t="n">
        <f aca="false">COUNTIFS(Documents!$A$2:$A$1421,$A100,Documents!$R$2:$R$1421,"current")</f>
        <v>2</v>
      </c>
      <c r="X100" s="0" t="str">
        <f aca="false">HYPERLINK("https://www.neoscapesmaldives.com/wp-content/uploads/CMRI-Villa-Factsheet.pdf","2025_CMRI-Villa-Factsheet.pdf")</f>
        <v>2025_CMRI-Villa-Factsheet.pdf</v>
      </c>
      <c r="Y100" s="0" t="s">
        <v>28</v>
      </c>
    </row>
    <row r="101" customFormat="false" ht="15" hidden="false" customHeight="false" outlineLevel="0" collapsed="false">
      <c r="A101" s="0" t="n">
        <v>100</v>
      </c>
      <c r="B101" s="0" t="s">
        <v>154</v>
      </c>
      <c r="C101" s="0" t="s">
        <v>112</v>
      </c>
      <c r="D101" s="0" t="str">
        <f aca="false">IFERROR(IF(maxifs(Documents!$E$2:$E$1421,Documents!$A$2:$A$1421,$A101,Documents!$C$2:$C$1421,"factsheet")=0,"",maxifs(Documents!$E$2:$E$1421,Documents!$A$2:$A$1421,$A101,Documents!$C$2:$C$1421,"factsheet")),"")</f>
        <v/>
      </c>
      <c r="E101" s="0" t="str">
        <f aca="false">IFERROR(IF(maxifs(Documents!$E$2:$E$1421,Documents!$A$2:$A$1421,$A101,Documents!$C$2:$C$1421,"wedding")=0,"",maxifs(Documents!$E$2:$E$1421,Documents!$A$2:$A$1421,$A101,Documents!$C$2:$C$1421,"wedding")),"")</f>
        <v/>
      </c>
      <c r="F101" s="0" t="str">
        <f aca="false">IFERROR(IF(maxifs(Documents!$E$2:$E$1421,Documents!$A$2:$A$1421,$A101,Documents!$C$2:$C$1421,"events")=0,"",maxifs(Documents!$E$2:$E$1421,Documents!$A$2:$A$1421,$A101,Documents!$C$2:$C$1421,"events")),"")</f>
        <v/>
      </c>
      <c r="G101" s="0" t="str">
        <f aca="false">IFERROR(IF(maxifs(Documents!$E$2:$E$1421,Documents!$A$2:$A$1421,$A101,Documents!$C$2:$C$1421,"map")=0,"",maxifs(Documents!$E$2:$E$1421,Documents!$A$2:$A$1421,$A101,Documents!$C$2:$C$1421,"map")),"")</f>
        <v/>
      </c>
      <c r="H101" s="0" t="str">
        <f aca="false">IFERROR(IF(maxifs(Documents!$E$2:$E$1421,Documents!$A$2:$A$1421,$A101,Documents!$C$2:$C$1421,"dive_map")=0,"",maxifs(Documents!$E$2:$E$1421,Documents!$A$2:$A$1421,$A101,Documents!$C$2:$C$1421,"dive_map")),"")</f>
        <v/>
      </c>
      <c r="I101" s="0" t="str">
        <f aca="false">IFERROR(IF(maxifs(Documents!$E$2:$E$1421,Documents!$A$2:$A$1421,$A101,Documents!$C$2:$C$1421,"spa_menu")=0,"",maxifs(Documents!$E$2:$E$1421,Documents!$A$2:$A$1421,$A101,Documents!$C$2:$C$1421,"spa_menu")),"")</f>
        <v/>
      </c>
      <c r="J101" s="0" t="str">
        <f aca="false">IFERROR(IF(maxifs(Documents!$E$2:$E$1421,Documents!$A$2:$A$1421,$A101,Documents!$C$2:$C$1421,"dining_menu")=0,"",maxifs(Documents!$E$2:$E$1421,Documents!$A$2:$A$1421,$A101,Documents!$C$2:$C$1421,"dining_menu")),"")</f>
        <v/>
      </c>
      <c r="K101" s="0" t="str">
        <f aca="false">IFERROR(IF(maxifs(Documents!$E$2:$E$1421,Documents!$A$2:$A$1421,$A101,Documents!$C$2:$C$1421,"dive_prices")=0,"",maxifs(Documents!$E$2:$E$1421,Documents!$A$2:$A$1421,$A101,Documents!$C$2:$C$1421,"dive_prices")),"")</f>
        <v/>
      </c>
      <c r="L101" s="0" t="str">
        <f aca="false">IFERROR(IF(maxifs(Documents!$E$2:$E$1421,Documents!$A$2:$A$1421,$A101,Documents!$C$2:$C$1421,"excursions")=0,"",maxifs(Documents!$E$2:$E$1421,Documents!$A$2:$A$1421,$A101,Documents!$C$2:$C$1421,"excursions")),"")</f>
        <v/>
      </c>
      <c r="M101" s="0" t="str">
        <f aca="false">IFERROR(IF(maxifs(Documents!$E$2:$E$1421,Documents!$A$2:$A$1421,$A101,Documents!$C$2:$C$1421,"kids")=0,"",maxifs(Documents!$E$2:$E$1421,Documents!$A$2:$A$1421,$A101,Documents!$C$2:$C$1421,"kids")),"")</f>
        <v/>
      </c>
      <c r="N101" s="0" t="str">
        <f aca="false">IFERROR(IF(maxifs(Documents!$E$2:$E$1421,Documents!$A$2:$A$1421,$A101,Documents!$C$2:$C$1421,"villa_plans")=0,"",maxifs(Documents!$E$2:$E$1421,Documents!$A$2:$A$1421,$A101,Documents!$C$2:$C$1421,"villa_plans")),"")</f>
        <v/>
      </c>
      <c r="O101" s="0" t="str">
        <f aca="false">IFERROR(IF(maxifs(Documents!$E$2:$E$1421,Documents!$A$2:$A$1421,$A101,Documents!$C$2:$C$1421,"all_inclusive")=0,"",maxifs(Documents!$E$2:$E$1421,Documents!$A$2:$A$1421,$A101,Documents!$C$2:$C$1421,"all_inclusive")),"")</f>
        <v/>
      </c>
      <c r="P101" s="0" t="str">
        <f aca="false">IFERROR(IF(maxifs(Documents!$E$2:$E$1421,Documents!$A$2:$A$1421,$A101,Documents!$C$2:$C$1421,"sustainability")=0,"",maxifs(Documents!$E$2:$E$1421,Documents!$A$2:$A$1421,$A101,Documents!$C$2:$C$1421,"sustainability")),"")</f>
        <v/>
      </c>
      <c r="Q101" s="0" t="str">
        <f aca="false">IFERROR(IF(maxifs(Documents!$E$2:$E$1421,Documents!$A$2:$A$1421,$A101,Documents!$C$2:$C$1421,"calendar")=0,"",maxifs(Documents!$E$2:$E$1421,Documents!$A$2:$A$1421,$A101,Documents!$C$2:$C$1421,"calendar")),"")</f>
        <v/>
      </c>
      <c r="R101" s="0" t="str">
        <f aca="false">IFERROR(IF(maxifs(Documents!$E$2:$E$1421,Documents!$A$2:$A$1421,$A101,Documents!$C$2:$C$1421,"brochure")=0,"",maxifs(Documents!$E$2:$E$1421,Documents!$A$2:$A$1421,$A101,Documents!$C$2:$C$1421,"brochure")),"")</f>
        <v/>
      </c>
      <c r="S101" s="0" t="str">
        <f aca="false">IFERROR(IF(maxifs(Documents!$E$2:$E$1421,Documents!$A$2:$A$1421,$A101,Documents!$C$2:$C$1421,"press_kit")=0,"",maxifs(Documents!$E$2:$E$1421,Documents!$A$2:$A$1421,$A101,Documents!$C$2:$C$1421,"press_kit")),"")</f>
        <v/>
      </c>
      <c r="T101" s="0" t="str">
        <f aca="false">IFERROR(IF(maxifs(Documents!$E$2:$E$1421,Documents!$A$2:$A$1421,$A101,Documents!$C$2:$C$1421,"other")=0,"",maxifs(Documents!$E$2:$E$1421,Documents!$A$2:$A$1421,$A101,Documents!$C$2:$C$1421,"other")),"")</f>
        <v/>
      </c>
      <c r="U101" s="0" t="str">
        <f aca="false">IFERROR(IF(maxifs(Documents!$E$2:$E$1421,Documents!$A$2:$A$1421,$A101,Documents!$C$2:$C$1421,"obsolete")=0,"",maxifs(Documents!$E$2:$E$1421,Documents!$A$2:$A$1421,$A101,Documents!$C$2:$C$1421,"obsolete")),"")</f>
        <v/>
      </c>
      <c r="V101" s="0" t="n">
        <f aca="false">COUNTIFS(Documents!$A$2:$A$1421,$A101)</f>
        <v>0</v>
      </c>
      <c r="W101" s="0" t="n">
        <f aca="false">COUNTIFS(Documents!$A$2:$A$1421,$A101,Documents!$R$2:$R$1421,"current")</f>
        <v>0</v>
      </c>
      <c r="Y101" s="0" t="s">
        <v>31</v>
      </c>
    </row>
    <row r="102" customFormat="false" ht="15" hidden="false" customHeight="false" outlineLevel="0" collapsed="false">
      <c r="A102" s="0" t="n">
        <v>101</v>
      </c>
      <c r="B102" s="0" t="s">
        <v>155</v>
      </c>
      <c r="C102" s="0" t="s">
        <v>112</v>
      </c>
      <c r="D102" s="0" t="str">
        <f aca="false">IFERROR(IF(maxifs(Documents!$E$2:$E$1421,Documents!$A$2:$A$1421,$A102,Documents!$C$2:$C$1421,"factsheet")=0,"",maxifs(Documents!$E$2:$E$1421,Documents!$A$2:$A$1421,$A102,Documents!$C$2:$C$1421,"factsheet")),"")</f>
        <v/>
      </c>
      <c r="E102" s="0" t="str">
        <f aca="false">IFERROR(IF(maxifs(Documents!$E$2:$E$1421,Documents!$A$2:$A$1421,$A102,Documents!$C$2:$C$1421,"wedding")=0,"",maxifs(Documents!$E$2:$E$1421,Documents!$A$2:$A$1421,$A102,Documents!$C$2:$C$1421,"wedding")),"")</f>
        <v/>
      </c>
      <c r="F102" s="0" t="str">
        <f aca="false">IFERROR(IF(maxifs(Documents!$E$2:$E$1421,Documents!$A$2:$A$1421,$A102,Documents!$C$2:$C$1421,"events")=0,"",maxifs(Documents!$E$2:$E$1421,Documents!$A$2:$A$1421,$A102,Documents!$C$2:$C$1421,"events")),"")</f>
        <v/>
      </c>
      <c r="G102" s="0" t="str">
        <f aca="false">IFERROR(IF(maxifs(Documents!$E$2:$E$1421,Documents!$A$2:$A$1421,$A102,Documents!$C$2:$C$1421,"map")=0,"",maxifs(Documents!$E$2:$E$1421,Documents!$A$2:$A$1421,$A102,Documents!$C$2:$C$1421,"map")),"")</f>
        <v/>
      </c>
      <c r="H102" s="0" t="str">
        <f aca="false">IFERROR(IF(maxifs(Documents!$E$2:$E$1421,Documents!$A$2:$A$1421,$A102,Documents!$C$2:$C$1421,"dive_map")=0,"",maxifs(Documents!$E$2:$E$1421,Documents!$A$2:$A$1421,$A102,Documents!$C$2:$C$1421,"dive_map")),"")</f>
        <v/>
      </c>
      <c r="I102" s="0" t="str">
        <f aca="false">IFERROR(IF(maxifs(Documents!$E$2:$E$1421,Documents!$A$2:$A$1421,$A102,Documents!$C$2:$C$1421,"spa_menu")=0,"",maxifs(Documents!$E$2:$E$1421,Documents!$A$2:$A$1421,$A102,Documents!$C$2:$C$1421,"spa_menu")),"")</f>
        <v/>
      </c>
      <c r="J102" s="0" t="str">
        <f aca="false">IFERROR(IF(maxifs(Documents!$E$2:$E$1421,Documents!$A$2:$A$1421,$A102,Documents!$C$2:$C$1421,"dining_menu")=0,"",maxifs(Documents!$E$2:$E$1421,Documents!$A$2:$A$1421,$A102,Documents!$C$2:$C$1421,"dining_menu")),"")</f>
        <v/>
      </c>
      <c r="K102" s="0" t="str">
        <f aca="false">IFERROR(IF(maxifs(Documents!$E$2:$E$1421,Documents!$A$2:$A$1421,$A102,Documents!$C$2:$C$1421,"dive_prices")=0,"",maxifs(Documents!$E$2:$E$1421,Documents!$A$2:$A$1421,$A102,Documents!$C$2:$C$1421,"dive_prices")),"")</f>
        <v/>
      </c>
      <c r="L102" s="0" t="str">
        <f aca="false">IFERROR(IF(maxifs(Documents!$E$2:$E$1421,Documents!$A$2:$A$1421,$A102,Documents!$C$2:$C$1421,"excursions")=0,"",maxifs(Documents!$E$2:$E$1421,Documents!$A$2:$A$1421,$A102,Documents!$C$2:$C$1421,"excursions")),"")</f>
        <v/>
      </c>
      <c r="M102" s="0" t="str">
        <f aca="false">IFERROR(IF(maxifs(Documents!$E$2:$E$1421,Documents!$A$2:$A$1421,$A102,Documents!$C$2:$C$1421,"kids")=0,"",maxifs(Documents!$E$2:$E$1421,Documents!$A$2:$A$1421,$A102,Documents!$C$2:$C$1421,"kids")),"")</f>
        <v/>
      </c>
      <c r="N102" s="0" t="str">
        <f aca="false">IFERROR(IF(maxifs(Documents!$E$2:$E$1421,Documents!$A$2:$A$1421,$A102,Documents!$C$2:$C$1421,"villa_plans")=0,"",maxifs(Documents!$E$2:$E$1421,Documents!$A$2:$A$1421,$A102,Documents!$C$2:$C$1421,"villa_plans")),"")</f>
        <v/>
      </c>
      <c r="O102" s="0" t="str">
        <f aca="false">IFERROR(IF(maxifs(Documents!$E$2:$E$1421,Documents!$A$2:$A$1421,$A102,Documents!$C$2:$C$1421,"all_inclusive")=0,"",maxifs(Documents!$E$2:$E$1421,Documents!$A$2:$A$1421,$A102,Documents!$C$2:$C$1421,"all_inclusive")),"")</f>
        <v/>
      </c>
      <c r="P102" s="0" t="str">
        <f aca="false">IFERROR(IF(maxifs(Documents!$E$2:$E$1421,Documents!$A$2:$A$1421,$A102,Documents!$C$2:$C$1421,"sustainability")=0,"",maxifs(Documents!$E$2:$E$1421,Documents!$A$2:$A$1421,$A102,Documents!$C$2:$C$1421,"sustainability")),"")</f>
        <v/>
      </c>
      <c r="Q102" s="0" t="str">
        <f aca="false">IFERROR(IF(maxifs(Documents!$E$2:$E$1421,Documents!$A$2:$A$1421,$A102,Documents!$C$2:$C$1421,"calendar")=0,"",maxifs(Documents!$E$2:$E$1421,Documents!$A$2:$A$1421,$A102,Documents!$C$2:$C$1421,"calendar")),"")</f>
        <v/>
      </c>
      <c r="R102" s="0" t="str">
        <f aca="false">IFERROR(IF(maxifs(Documents!$E$2:$E$1421,Documents!$A$2:$A$1421,$A102,Documents!$C$2:$C$1421,"brochure")=0,"",maxifs(Documents!$E$2:$E$1421,Documents!$A$2:$A$1421,$A102,Documents!$C$2:$C$1421,"brochure")),"")</f>
        <v/>
      </c>
      <c r="S102" s="0" t="str">
        <f aca="false">IFERROR(IF(maxifs(Documents!$E$2:$E$1421,Documents!$A$2:$A$1421,$A102,Documents!$C$2:$C$1421,"press_kit")=0,"",maxifs(Documents!$E$2:$E$1421,Documents!$A$2:$A$1421,$A102,Documents!$C$2:$C$1421,"press_kit")),"")</f>
        <v/>
      </c>
      <c r="T102" s="0" t="str">
        <f aca="false">IFERROR(IF(maxifs(Documents!$E$2:$E$1421,Documents!$A$2:$A$1421,$A102,Documents!$C$2:$C$1421,"other")=0,"",maxifs(Documents!$E$2:$E$1421,Documents!$A$2:$A$1421,$A102,Documents!$C$2:$C$1421,"other")),"")</f>
        <v/>
      </c>
      <c r="U102" s="0" t="str">
        <f aca="false">IFERROR(IF(maxifs(Documents!$E$2:$E$1421,Documents!$A$2:$A$1421,$A102,Documents!$C$2:$C$1421,"obsolete")=0,"",maxifs(Documents!$E$2:$E$1421,Documents!$A$2:$A$1421,$A102,Documents!$C$2:$C$1421,"obsolete")),"")</f>
        <v/>
      </c>
      <c r="V102" s="0" t="n">
        <f aca="false">COUNTIFS(Documents!$A$2:$A$1421,$A102)</f>
        <v>0</v>
      </c>
      <c r="W102" s="0" t="n">
        <f aca="false">COUNTIFS(Documents!$A$2:$A$1421,$A102,Documents!$R$2:$R$1421,"current")</f>
        <v>0</v>
      </c>
      <c r="Y102" s="0" t="s">
        <v>31</v>
      </c>
    </row>
    <row r="103" customFormat="false" ht="15" hidden="false" customHeight="false" outlineLevel="0" collapsed="false">
      <c r="A103" s="0" t="n">
        <v>102</v>
      </c>
      <c r="B103" s="0" t="s">
        <v>156</v>
      </c>
      <c r="C103" s="0" t="s">
        <v>112</v>
      </c>
      <c r="D103" s="0" t="str">
        <f aca="false">IFERROR(IF(maxifs(Documents!$E$2:$E$1421,Documents!$A$2:$A$1421,$A103,Documents!$C$2:$C$1421,"factsheet")=0,"",maxifs(Documents!$E$2:$E$1421,Documents!$A$2:$A$1421,$A103,Documents!$C$2:$C$1421,"factsheet")),"")</f>
        <v/>
      </c>
      <c r="E103" s="0" t="str">
        <f aca="false">IFERROR(IF(maxifs(Documents!$E$2:$E$1421,Documents!$A$2:$A$1421,$A103,Documents!$C$2:$C$1421,"wedding")=0,"",maxifs(Documents!$E$2:$E$1421,Documents!$A$2:$A$1421,$A103,Documents!$C$2:$C$1421,"wedding")),"")</f>
        <v/>
      </c>
      <c r="F103" s="0" t="str">
        <f aca="false">IFERROR(IF(maxifs(Documents!$E$2:$E$1421,Documents!$A$2:$A$1421,$A103,Documents!$C$2:$C$1421,"events")=0,"",maxifs(Documents!$E$2:$E$1421,Documents!$A$2:$A$1421,$A103,Documents!$C$2:$C$1421,"events")),"")</f>
        <v/>
      </c>
      <c r="G103" s="0" t="str">
        <f aca="false">IFERROR(IF(maxifs(Documents!$E$2:$E$1421,Documents!$A$2:$A$1421,$A103,Documents!$C$2:$C$1421,"map")=0,"",maxifs(Documents!$E$2:$E$1421,Documents!$A$2:$A$1421,$A103,Documents!$C$2:$C$1421,"map")),"")</f>
        <v/>
      </c>
      <c r="H103" s="0" t="str">
        <f aca="false">IFERROR(IF(maxifs(Documents!$E$2:$E$1421,Documents!$A$2:$A$1421,$A103,Documents!$C$2:$C$1421,"dive_map")=0,"",maxifs(Documents!$E$2:$E$1421,Documents!$A$2:$A$1421,$A103,Documents!$C$2:$C$1421,"dive_map")),"")</f>
        <v/>
      </c>
      <c r="I103" s="0" t="str">
        <f aca="false">IFERROR(IF(maxifs(Documents!$E$2:$E$1421,Documents!$A$2:$A$1421,$A103,Documents!$C$2:$C$1421,"spa_menu")=0,"",maxifs(Documents!$E$2:$E$1421,Documents!$A$2:$A$1421,$A103,Documents!$C$2:$C$1421,"spa_menu")),"")</f>
        <v/>
      </c>
      <c r="J103" s="0" t="str">
        <f aca="false">IFERROR(IF(maxifs(Documents!$E$2:$E$1421,Documents!$A$2:$A$1421,$A103,Documents!$C$2:$C$1421,"dining_menu")=0,"",maxifs(Documents!$E$2:$E$1421,Documents!$A$2:$A$1421,$A103,Documents!$C$2:$C$1421,"dining_menu")),"")</f>
        <v/>
      </c>
      <c r="K103" s="0" t="str">
        <f aca="false">IFERROR(IF(maxifs(Documents!$E$2:$E$1421,Documents!$A$2:$A$1421,$A103,Documents!$C$2:$C$1421,"dive_prices")=0,"",maxifs(Documents!$E$2:$E$1421,Documents!$A$2:$A$1421,$A103,Documents!$C$2:$C$1421,"dive_prices")),"")</f>
        <v/>
      </c>
      <c r="L103" s="0" t="str">
        <f aca="false">IFERROR(IF(maxifs(Documents!$E$2:$E$1421,Documents!$A$2:$A$1421,$A103,Documents!$C$2:$C$1421,"excursions")=0,"",maxifs(Documents!$E$2:$E$1421,Documents!$A$2:$A$1421,$A103,Documents!$C$2:$C$1421,"excursions")),"")</f>
        <v/>
      </c>
      <c r="M103" s="0" t="str">
        <f aca="false">IFERROR(IF(maxifs(Documents!$E$2:$E$1421,Documents!$A$2:$A$1421,$A103,Documents!$C$2:$C$1421,"kids")=0,"",maxifs(Documents!$E$2:$E$1421,Documents!$A$2:$A$1421,$A103,Documents!$C$2:$C$1421,"kids")),"")</f>
        <v/>
      </c>
      <c r="N103" s="0" t="str">
        <f aca="false">IFERROR(IF(maxifs(Documents!$E$2:$E$1421,Documents!$A$2:$A$1421,$A103,Documents!$C$2:$C$1421,"villa_plans")=0,"",maxifs(Documents!$E$2:$E$1421,Documents!$A$2:$A$1421,$A103,Documents!$C$2:$C$1421,"villa_plans")),"")</f>
        <v/>
      </c>
      <c r="O103" s="0" t="str">
        <f aca="false">IFERROR(IF(maxifs(Documents!$E$2:$E$1421,Documents!$A$2:$A$1421,$A103,Documents!$C$2:$C$1421,"all_inclusive")=0,"",maxifs(Documents!$E$2:$E$1421,Documents!$A$2:$A$1421,$A103,Documents!$C$2:$C$1421,"all_inclusive")),"")</f>
        <v/>
      </c>
      <c r="P103" s="0" t="str">
        <f aca="false">IFERROR(IF(maxifs(Documents!$E$2:$E$1421,Documents!$A$2:$A$1421,$A103,Documents!$C$2:$C$1421,"sustainability")=0,"",maxifs(Documents!$E$2:$E$1421,Documents!$A$2:$A$1421,$A103,Documents!$C$2:$C$1421,"sustainability")),"")</f>
        <v/>
      </c>
      <c r="Q103" s="0" t="str">
        <f aca="false">IFERROR(IF(maxifs(Documents!$E$2:$E$1421,Documents!$A$2:$A$1421,$A103,Documents!$C$2:$C$1421,"calendar")=0,"",maxifs(Documents!$E$2:$E$1421,Documents!$A$2:$A$1421,$A103,Documents!$C$2:$C$1421,"calendar")),"")</f>
        <v/>
      </c>
      <c r="R103" s="0" t="str">
        <f aca="false">IFERROR(IF(maxifs(Documents!$E$2:$E$1421,Documents!$A$2:$A$1421,$A103,Documents!$C$2:$C$1421,"brochure")=0,"",maxifs(Documents!$E$2:$E$1421,Documents!$A$2:$A$1421,$A103,Documents!$C$2:$C$1421,"brochure")),"")</f>
        <v/>
      </c>
      <c r="S103" s="0" t="str">
        <f aca="false">IFERROR(IF(maxifs(Documents!$E$2:$E$1421,Documents!$A$2:$A$1421,$A103,Documents!$C$2:$C$1421,"press_kit")=0,"",maxifs(Documents!$E$2:$E$1421,Documents!$A$2:$A$1421,$A103,Documents!$C$2:$C$1421,"press_kit")),"")</f>
        <v/>
      </c>
      <c r="T103" s="0" t="str">
        <f aca="false">IFERROR(IF(maxifs(Documents!$E$2:$E$1421,Documents!$A$2:$A$1421,$A103,Documents!$C$2:$C$1421,"other")=0,"",maxifs(Documents!$E$2:$E$1421,Documents!$A$2:$A$1421,$A103,Documents!$C$2:$C$1421,"other")),"")</f>
        <v/>
      </c>
      <c r="U103" s="0" t="str">
        <f aca="false">IFERROR(IF(maxifs(Documents!$E$2:$E$1421,Documents!$A$2:$A$1421,$A103,Documents!$C$2:$C$1421,"obsolete")=0,"",maxifs(Documents!$E$2:$E$1421,Documents!$A$2:$A$1421,$A103,Documents!$C$2:$C$1421,"obsolete")),"")</f>
        <v/>
      </c>
      <c r="V103" s="0" t="n">
        <f aca="false">COUNTIFS(Documents!$A$2:$A$1421,$A103)</f>
        <v>5</v>
      </c>
      <c r="W103" s="0" t="n">
        <f aca="false">COUNTIFS(Documents!$A$2:$A$1421,$A103,Documents!$R$2:$R$1421,"current")</f>
        <v>0</v>
      </c>
      <c r="X103" s="0" t="str">
        <f aca="false">HYPERLINK("https://neoscapesmaldives.com/wp-content/uploads/W_Retreat-Maldives-Factsheet.pdf","2019_W_Retreat-Maldives-Factsheet.pdf")</f>
        <v>2019_W_Retreat-Maldives-Factsheet.pdf</v>
      </c>
      <c r="Y103" s="0" t="s">
        <v>28</v>
      </c>
    </row>
    <row r="104" customFormat="false" ht="15" hidden="false" customHeight="false" outlineLevel="0" collapsed="false">
      <c r="A104" s="0" t="n">
        <v>103</v>
      </c>
      <c r="B104" s="0" t="s">
        <v>157</v>
      </c>
      <c r="C104" s="0" t="s">
        <v>112</v>
      </c>
      <c r="D104" s="0" t="str">
        <f aca="false">IFERROR(IF(maxifs(Documents!$E$2:$E$1421,Documents!$A$2:$A$1421,$A104,Documents!$C$2:$C$1421,"factsheet")=0,"",maxifs(Documents!$E$2:$E$1421,Documents!$A$2:$A$1421,$A104,Documents!$C$2:$C$1421,"factsheet")),"")</f>
        <v/>
      </c>
      <c r="E104" s="0" t="str">
        <f aca="false">IFERROR(IF(maxifs(Documents!$E$2:$E$1421,Documents!$A$2:$A$1421,$A104,Documents!$C$2:$C$1421,"wedding")=0,"",maxifs(Documents!$E$2:$E$1421,Documents!$A$2:$A$1421,$A104,Documents!$C$2:$C$1421,"wedding")),"")</f>
        <v/>
      </c>
      <c r="F104" s="0" t="str">
        <f aca="false">IFERROR(IF(maxifs(Documents!$E$2:$E$1421,Documents!$A$2:$A$1421,$A104,Documents!$C$2:$C$1421,"events")=0,"",maxifs(Documents!$E$2:$E$1421,Documents!$A$2:$A$1421,$A104,Documents!$C$2:$C$1421,"events")),"")</f>
        <v/>
      </c>
      <c r="G104" s="0" t="str">
        <f aca="false">IFERROR(IF(maxifs(Documents!$E$2:$E$1421,Documents!$A$2:$A$1421,$A104,Documents!$C$2:$C$1421,"map")=0,"",maxifs(Documents!$E$2:$E$1421,Documents!$A$2:$A$1421,$A104,Documents!$C$2:$C$1421,"map")),"")</f>
        <v/>
      </c>
      <c r="H104" s="0" t="str">
        <f aca="false">IFERROR(IF(maxifs(Documents!$E$2:$E$1421,Documents!$A$2:$A$1421,$A104,Documents!$C$2:$C$1421,"dive_map")=0,"",maxifs(Documents!$E$2:$E$1421,Documents!$A$2:$A$1421,$A104,Documents!$C$2:$C$1421,"dive_map")),"")</f>
        <v/>
      </c>
      <c r="I104" s="0" t="str">
        <f aca="false">IFERROR(IF(maxifs(Documents!$E$2:$E$1421,Documents!$A$2:$A$1421,$A104,Documents!$C$2:$C$1421,"spa_menu")=0,"",maxifs(Documents!$E$2:$E$1421,Documents!$A$2:$A$1421,$A104,Documents!$C$2:$C$1421,"spa_menu")),"")</f>
        <v/>
      </c>
      <c r="J104" s="0" t="str">
        <f aca="false">IFERROR(IF(maxifs(Documents!$E$2:$E$1421,Documents!$A$2:$A$1421,$A104,Documents!$C$2:$C$1421,"dining_menu")=0,"",maxifs(Documents!$E$2:$E$1421,Documents!$A$2:$A$1421,$A104,Documents!$C$2:$C$1421,"dining_menu")),"")</f>
        <v/>
      </c>
      <c r="K104" s="0" t="str">
        <f aca="false">IFERROR(IF(maxifs(Documents!$E$2:$E$1421,Documents!$A$2:$A$1421,$A104,Documents!$C$2:$C$1421,"dive_prices")=0,"",maxifs(Documents!$E$2:$E$1421,Documents!$A$2:$A$1421,$A104,Documents!$C$2:$C$1421,"dive_prices")),"")</f>
        <v/>
      </c>
      <c r="L104" s="0" t="str">
        <f aca="false">IFERROR(IF(maxifs(Documents!$E$2:$E$1421,Documents!$A$2:$A$1421,$A104,Documents!$C$2:$C$1421,"excursions")=0,"",maxifs(Documents!$E$2:$E$1421,Documents!$A$2:$A$1421,$A104,Documents!$C$2:$C$1421,"excursions")),"")</f>
        <v/>
      </c>
      <c r="M104" s="0" t="str">
        <f aca="false">IFERROR(IF(maxifs(Documents!$E$2:$E$1421,Documents!$A$2:$A$1421,$A104,Documents!$C$2:$C$1421,"kids")=0,"",maxifs(Documents!$E$2:$E$1421,Documents!$A$2:$A$1421,$A104,Documents!$C$2:$C$1421,"kids")),"")</f>
        <v/>
      </c>
      <c r="N104" s="0" t="str">
        <f aca="false">IFERROR(IF(maxifs(Documents!$E$2:$E$1421,Documents!$A$2:$A$1421,$A104,Documents!$C$2:$C$1421,"villa_plans")=0,"",maxifs(Documents!$E$2:$E$1421,Documents!$A$2:$A$1421,$A104,Documents!$C$2:$C$1421,"villa_plans")),"")</f>
        <v/>
      </c>
      <c r="O104" s="0" t="str">
        <f aca="false">IFERROR(IF(maxifs(Documents!$E$2:$E$1421,Documents!$A$2:$A$1421,$A104,Documents!$C$2:$C$1421,"all_inclusive")=0,"",maxifs(Documents!$E$2:$E$1421,Documents!$A$2:$A$1421,$A104,Documents!$C$2:$C$1421,"all_inclusive")),"")</f>
        <v/>
      </c>
      <c r="P104" s="0" t="str">
        <f aca="false">IFERROR(IF(maxifs(Documents!$E$2:$E$1421,Documents!$A$2:$A$1421,$A104,Documents!$C$2:$C$1421,"sustainability")=0,"",maxifs(Documents!$E$2:$E$1421,Documents!$A$2:$A$1421,$A104,Documents!$C$2:$C$1421,"sustainability")),"")</f>
        <v/>
      </c>
      <c r="Q104" s="0" t="str">
        <f aca="false">IFERROR(IF(maxifs(Documents!$E$2:$E$1421,Documents!$A$2:$A$1421,$A104,Documents!$C$2:$C$1421,"calendar")=0,"",maxifs(Documents!$E$2:$E$1421,Documents!$A$2:$A$1421,$A104,Documents!$C$2:$C$1421,"calendar")),"")</f>
        <v/>
      </c>
      <c r="R104" s="0" t="str">
        <f aca="false">IFERROR(IF(maxifs(Documents!$E$2:$E$1421,Documents!$A$2:$A$1421,$A104,Documents!$C$2:$C$1421,"brochure")=0,"",maxifs(Documents!$E$2:$E$1421,Documents!$A$2:$A$1421,$A104,Documents!$C$2:$C$1421,"brochure")),"")</f>
        <v/>
      </c>
      <c r="S104" s="0" t="str">
        <f aca="false">IFERROR(IF(maxifs(Documents!$E$2:$E$1421,Documents!$A$2:$A$1421,$A104,Documents!$C$2:$C$1421,"press_kit")=0,"",maxifs(Documents!$E$2:$E$1421,Documents!$A$2:$A$1421,$A104,Documents!$C$2:$C$1421,"press_kit")),"")</f>
        <v/>
      </c>
      <c r="T104" s="0" t="str">
        <f aca="false">IFERROR(IF(maxifs(Documents!$E$2:$E$1421,Documents!$A$2:$A$1421,$A104,Documents!$C$2:$C$1421,"other")=0,"",maxifs(Documents!$E$2:$E$1421,Documents!$A$2:$A$1421,$A104,Documents!$C$2:$C$1421,"other")),"")</f>
        <v/>
      </c>
      <c r="U104" s="0" t="str">
        <f aca="false">IFERROR(IF(maxifs(Documents!$E$2:$E$1421,Documents!$A$2:$A$1421,$A104,Documents!$C$2:$C$1421,"obsolete")=0,"",maxifs(Documents!$E$2:$E$1421,Documents!$A$2:$A$1421,$A104,Documents!$C$2:$C$1421,"obsolete")),"")</f>
        <v/>
      </c>
      <c r="V104" s="0" t="n">
        <f aca="false">COUNTIFS(Documents!$A$2:$A$1421,$A104)</f>
        <v>3</v>
      </c>
      <c r="W104" s="0" t="n">
        <f aca="false">COUNTIFS(Documents!$A$2:$A$1421,$A104,Documents!$R$2:$R$1421,"current")</f>
        <v>2</v>
      </c>
      <c r="X104" s="0" t="str">
        <f aca="false">HYPERLINK("https://www.neoscapesmaldives.com/wp-content/uploads/Fact-Sheet_EN.pdf","2018_Fact-Sheet_EN.pdf")</f>
        <v>2018_Fact-Sheet_EN.pdf</v>
      </c>
      <c r="Y104" s="0" t="s">
        <v>28</v>
      </c>
    </row>
    <row r="105" customFormat="false" ht="15" hidden="false" customHeight="false" outlineLevel="0" collapsed="false">
      <c r="A105" s="0" t="n">
        <v>104</v>
      </c>
      <c r="B105" s="0" t="s">
        <v>158</v>
      </c>
      <c r="C105" s="0" t="s">
        <v>112</v>
      </c>
      <c r="D105" s="0" t="str">
        <f aca="false">IFERROR(IF(maxifs(Documents!$E$2:$E$1421,Documents!$A$2:$A$1421,$A105,Documents!$C$2:$C$1421,"factsheet")=0,"",maxifs(Documents!$E$2:$E$1421,Documents!$A$2:$A$1421,$A105,Documents!$C$2:$C$1421,"factsheet")),"")</f>
        <v/>
      </c>
      <c r="E105" s="0" t="str">
        <f aca="false">IFERROR(IF(maxifs(Documents!$E$2:$E$1421,Documents!$A$2:$A$1421,$A105,Documents!$C$2:$C$1421,"wedding")=0,"",maxifs(Documents!$E$2:$E$1421,Documents!$A$2:$A$1421,$A105,Documents!$C$2:$C$1421,"wedding")),"")</f>
        <v/>
      </c>
      <c r="F105" s="0" t="str">
        <f aca="false">IFERROR(IF(maxifs(Documents!$E$2:$E$1421,Documents!$A$2:$A$1421,$A105,Documents!$C$2:$C$1421,"events")=0,"",maxifs(Documents!$E$2:$E$1421,Documents!$A$2:$A$1421,$A105,Documents!$C$2:$C$1421,"events")),"")</f>
        <v/>
      </c>
      <c r="G105" s="0" t="str">
        <f aca="false">IFERROR(IF(maxifs(Documents!$E$2:$E$1421,Documents!$A$2:$A$1421,$A105,Documents!$C$2:$C$1421,"map")=0,"",maxifs(Documents!$E$2:$E$1421,Documents!$A$2:$A$1421,$A105,Documents!$C$2:$C$1421,"map")),"")</f>
        <v/>
      </c>
      <c r="H105" s="0" t="str">
        <f aca="false">IFERROR(IF(maxifs(Documents!$E$2:$E$1421,Documents!$A$2:$A$1421,$A105,Documents!$C$2:$C$1421,"dive_map")=0,"",maxifs(Documents!$E$2:$E$1421,Documents!$A$2:$A$1421,$A105,Documents!$C$2:$C$1421,"dive_map")),"")</f>
        <v/>
      </c>
      <c r="I105" s="0" t="str">
        <f aca="false">IFERROR(IF(maxifs(Documents!$E$2:$E$1421,Documents!$A$2:$A$1421,$A105,Documents!$C$2:$C$1421,"spa_menu")=0,"",maxifs(Documents!$E$2:$E$1421,Documents!$A$2:$A$1421,$A105,Documents!$C$2:$C$1421,"spa_menu")),"")</f>
        <v/>
      </c>
      <c r="J105" s="0" t="str">
        <f aca="false">IFERROR(IF(maxifs(Documents!$E$2:$E$1421,Documents!$A$2:$A$1421,$A105,Documents!$C$2:$C$1421,"dining_menu")=0,"",maxifs(Documents!$E$2:$E$1421,Documents!$A$2:$A$1421,$A105,Documents!$C$2:$C$1421,"dining_menu")),"")</f>
        <v/>
      </c>
      <c r="K105" s="0" t="str">
        <f aca="false">IFERROR(IF(maxifs(Documents!$E$2:$E$1421,Documents!$A$2:$A$1421,$A105,Documents!$C$2:$C$1421,"dive_prices")=0,"",maxifs(Documents!$E$2:$E$1421,Documents!$A$2:$A$1421,$A105,Documents!$C$2:$C$1421,"dive_prices")),"")</f>
        <v/>
      </c>
      <c r="L105" s="0" t="str">
        <f aca="false">IFERROR(IF(maxifs(Documents!$E$2:$E$1421,Documents!$A$2:$A$1421,$A105,Documents!$C$2:$C$1421,"excursions")=0,"",maxifs(Documents!$E$2:$E$1421,Documents!$A$2:$A$1421,$A105,Documents!$C$2:$C$1421,"excursions")),"")</f>
        <v/>
      </c>
      <c r="M105" s="0" t="str">
        <f aca="false">IFERROR(IF(maxifs(Documents!$E$2:$E$1421,Documents!$A$2:$A$1421,$A105,Documents!$C$2:$C$1421,"kids")=0,"",maxifs(Documents!$E$2:$E$1421,Documents!$A$2:$A$1421,$A105,Documents!$C$2:$C$1421,"kids")),"")</f>
        <v/>
      </c>
      <c r="N105" s="0" t="str">
        <f aca="false">IFERROR(IF(maxifs(Documents!$E$2:$E$1421,Documents!$A$2:$A$1421,$A105,Documents!$C$2:$C$1421,"villa_plans")=0,"",maxifs(Documents!$E$2:$E$1421,Documents!$A$2:$A$1421,$A105,Documents!$C$2:$C$1421,"villa_plans")),"")</f>
        <v/>
      </c>
      <c r="O105" s="0" t="str">
        <f aca="false">IFERROR(IF(maxifs(Documents!$E$2:$E$1421,Documents!$A$2:$A$1421,$A105,Documents!$C$2:$C$1421,"all_inclusive")=0,"",maxifs(Documents!$E$2:$E$1421,Documents!$A$2:$A$1421,$A105,Documents!$C$2:$C$1421,"all_inclusive")),"")</f>
        <v/>
      </c>
      <c r="P105" s="0" t="str">
        <f aca="false">IFERROR(IF(maxifs(Documents!$E$2:$E$1421,Documents!$A$2:$A$1421,$A105,Documents!$C$2:$C$1421,"sustainability")=0,"",maxifs(Documents!$E$2:$E$1421,Documents!$A$2:$A$1421,$A105,Documents!$C$2:$C$1421,"sustainability")),"")</f>
        <v/>
      </c>
      <c r="Q105" s="0" t="str">
        <f aca="false">IFERROR(IF(maxifs(Documents!$E$2:$E$1421,Documents!$A$2:$A$1421,$A105,Documents!$C$2:$C$1421,"calendar")=0,"",maxifs(Documents!$E$2:$E$1421,Documents!$A$2:$A$1421,$A105,Documents!$C$2:$C$1421,"calendar")),"")</f>
        <v/>
      </c>
      <c r="R105" s="0" t="str">
        <f aca="false">IFERROR(IF(maxifs(Documents!$E$2:$E$1421,Documents!$A$2:$A$1421,$A105,Documents!$C$2:$C$1421,"brochure")=0,"",maxifs(Documents!$E$2:$E$1421,Documents!$A$2:$A$1421,$A105,Documents!$C$2:$C$1421,"brochure")),"")</f>
        <v/>
      </c>
      <c r="S105" s="0" t="str">
        <f aca="false">IFERROR(IF(maxifs(Documents!$E$2:$E$1421,Documents!$A$2:$A$1421,$A105,Documents!$C$2:$C$1421,"press_kit")=0,"",maxifs(Documents!$E$2:$E$1421,Documents!$A$2:$A$1421,$A105,Documents!$C$2:$C$1421,"press_kit")),"")</f>
        <v/>
      </c>
      <c r="T105" s="0" t="str">
        <f aca="false">IFERROR(IF(maxifs(Documents!$E$2:$E$1421,Documents!$A$2:$A$1421,$A105,Documents!$C$2:$C$1421,"other")=0,"",maxifs(Documents!$E$2:$E$1421,Documents!$A$2:$A$1421,$A105,Documents!$C$2:$C$1421,"other")),"")</f>
        <v/>
      </c>
      <c r="U105" s="0" t="str">
        <f aca="false">IFERROR(IF(maxifs(Documents!$E$2:$E$1421,Documents!$A$2:$A$1421,$A105,Documents!$C$2:$C$1421,"obsolete")=0,"",maxifs(Documents!$E$2:$E$1421,Documents!$A$2:$A$1421,$A105,Documents!$C$2:$C$1421,"obsolete")),"")</f>
        <v/>
      </c>
      <c r="V105" s="0" t="n">
        <f aca="false">COUNTIFS(Documents!$A$2:$A$1421,$A105)</f>
        <v>0</v>
      </c>
      <c r="W105" s="0" t="n">
        <f aca="false">COUNTIFS(Documents!$A$2:$A$1421,$A105,Documents!$R$2:$R$1421,"current")</f>
        <v>0</v>
      </c>
      <c r="Y105" s="0" t="s">
        <v>31</v>
      </c>
    </row>
    <row r="106" customFormat="false" ht="15" hidden="false" customHeight="false" outlineLevel="0" collapsed="false">
      <c r="A106" s="0" t="n">
        <v>105</v>
      </c>
      <c r="B106" s="0" t="s">
        <v>159</v>
      </c>
      <c r="C106" s="0" t="s">
        <v>112</v>
      </c>
      <c r="D106" s="0" t="str">
        <f aca="false">IFERROR(IF(maxifs(Documents!$E$2:$E$1421,Documents!$A$2:$A$1421,$A106,Documents!$C$2:$C$1421,"factsheet")=0,"",maxifs(Documents!$E$2:$E$1421,Documents!$A$2:$A$1421,$A106,Documents!$C$2:$C$1421,"factsheet")),"")</f>
        <v/>
      </c>
      <c r="E106" s="0" t="str">
        <f aca="false">IFERROR(IF(maxifs(Documents!$E$2:$E$1421,Documents!$A$2:$A$1421,$A106,Documents!$C$2:$C$1421,"wedding")=0,"",maxifs(Documents!$E$2:$E$1421,Documents!$A$2:$A$1421,$A106,Documents!$C$2:$C$1421,"wedding")),"")</f>
        <v/>
      </c>
      <c r="F106" s="0" t="str">
        <f aca="false">IFERROR(IF(maxifs(Documents!$E$2:$E$1421,Documents!$A$2:$A$1421,$A106,Documents!$C$2:$C$1421,"events")=0,"",maxifs(Documents!$E$2:$E$1421,Documents!$A$2:$A$1421,$A106,Documents!$C$2:$C$1421,"events")),"")</f>
        <v/>
      </c>
      <c r="G106" s="0" t="str">
        <f aca="false">IFERROR(IF(maxifs(Documents!$E$2:$E$1421,Documents!$A$2:$A$1421,$A106,Documents!$C$2:$C$1421,"map")=0,"",maxifs(Documents!$E$2:$E$1421,Documents!$A$2:$A$1421,$A106,Documents!$C$2:$C$1421,"map")),"")</f>
        <v/>
      </c>
      <c r="H106" s="0" t="str">
        <f aca="false">IFERROR(IF(maxifs(Documents!$E$2:$E$1421,Documents!$A$2:$A$1421,$A106,Documents!$C$2:$C$1421,"dive_map")=0,"",maxifs(Documents!$E$2:$E$1421,Documents!$A$2:$A$1421,$A106,Documents!$C$2:$C$1421,"dive_map")),"")</f>
        <v/>
      </c>
      <c r="I106" s="0" t="str">
        <f aca="false">IFERROR(IF(maxifs(Documents!$E$2:$E$1421,Documents!$A$2:$A$1421,$A106,Documents!$C$2:$C$1421,"spa_menu")=0,"",maxifs(Documents!$E$2:$E$1421,Documents!$A$2:$A$1421,$A106,Documents!$C$2:$C$1421,"spa_menu")),"")</f>
        <v/>
      </c>
      <c r="J106" s="0" t="str">
        <f aca="false">IFERROR(IF(maxifs(Documents!$E$2:$E$1421,Documents!$A$2:$A$1421,$A106,Documents!$C$2:$C$1421,"dining_menu")=0,"",maxifs(Documents!$E$2:$E$1421,Documents!$A$2:$A$1421,$A106,Documents!$C$2:$C$1421,"dining_menu")),"")</f>
        <v/>
      </c>
      <c r="K106" s="0" t="str">
        <f aca="false">IFERROR(IF(maxifs(Documents!$E$2:$E$1421,Documents!$A$2:$A$1421,$A106,Documents!$C$2:$C$1421,"dive_prices")=0,"",maxifs(Documents!$E$2:$E$1421,Documents!$A$2:$A$1421,$A106,Documents!$C$2:$C$1421,"dive_prices")),"")</f>
        <v/>
      </c>
      <c r="L106" s="0" t="str">
        <f aca="false">IFERROR(IF(maxifs(Documents!$E$2:$E$1421,Documents!$A$2:$A$1421,$A106,Documents!$C$2:$C$1421,"excursions")=0,"",maxifs(Documents!$E$2:$E$1421,Documents!$A$2:$A$1421,$A106,Documents!$C$2:$C$1421,"excursions")),"")</f>
        <v/>
      </c>
      <c r="M106" s="0" t="str">
        <f aca="false">IFERROR(IF(maxifs(Documents!$E$2:$E$1421,Documents!$A$2:$A$1421,$A106,Documents!$C$2:$C$1421,"kids")=0,"",maxifs(Documents!$E$2:$E$1421,Documents!$A$2:$A$1421,$A106,Documents!$C$2:$C$1421,"kids")),"")</f>
        <v/>
      </c>
      <c r="N106" s="0" t="str">
        <f aca="false">IFERROR(IF(maxifs(Documents!$E$2:$E$1421,Documents!$A$2:$A$1421,$A106,Documents!$C$2:$C$1421,"villa_plans")=0,"",maxifs(Documents!$E$2:$E$1421,Documents!$A$2:$A$1421,$A106,Documents!$C$2:$C$1421,"villa_plans")),"")</f>
        <v/>
      </c>
      <c r="O106" s="0" t="str">
        <f aca="false">IFERROR(IF(maxifs(Documents!$E$2:$E$1421,Documents!$A$2:$A$1421,$A106,Documents!$C$2:$C$1421,"all_inclusive")=0,"",maxifs(Documents!$E$2:$E$1421,Documents!$A$2:$A$1421,$A106,Documents!$C$2:$C$1421,"all_inclusive")),"")</f>
        <v/>
      </c>
      <c r="P106" s="0" t="str">
        <f aca="false">IFERROR(IF(maxifs(Documents!$E$2:$E$1421,Documents!$A$2:$A$1421,$A106,Documents!$C$2:$C$1421,"sustainability")=0,"",maxifs(Documents!$E$2:$E$1421,Documents!$A$2:$A$1421,$A106,Documents!$C$2:$C$1421,"sustainability")),"")</f>
        <v/>
      </c>
      <c r="Q106" s="0" t="str">
        <f aca="false">IFERROR(IF(maxifs(Documents!$E$2:$E$1421,Documents!$A$2:$A$1421,$A106,Documents!$C$2:$C$1421,"calendar")=0,"",maxifs(Documents!$E$2:$E$1421,Documents!$A$2:$A$1421,$A106,Documents!$C$2:$C$1421,"calendar")),"")</f>
        <v/>
      </c>
      <c r="R106" s="0" t="str">
        <f aca="false">IFERROR(IF(maxifs(Documents!$E$2:$E$1421,Documents!$A$2:$A$1421,$A106,Documents!$C$2:$C$1421,"brochure")=0,"",maxifs(Documents!$E$2:$E$1421,Documents!$A$2:$A$1421,$A106,Documents!$C$2:$C$1421,"brochure")),"")</f>
        <v/>
      </c>
      <c r="S106" s="0" t="str">
        <f aca="false">IFERROR(IF(maxifs(Documents!$E$2:$E$1421,Documents!$A$2:$A$1421,$A106,Documents!$C$2:$C$1421,"press_kit")=0,"",maxifs(Documents!$E$2:$E$1421,Documents!$A$2:$A$1421,$A106,Documents!$C$2:$C$1421,"press_kit")),"")</f>
        <v/>
      </c>
      <c r="T106" s="0" t="str">
        <f aca="false">IFERROR(IF(maxifs(Documents!$E$2:$E$1421,Documents!$A$2:$A$1421,$A106,Documents!$C$2:$C$1421,"other")=0,"",maxifs(Documents!$E$2:$E$1421,Documents!$A$2:$A$1421,$A106,Documents!$C$2:$C$1421,"other")),"")</f>
        <v/>
      </c>
      <c r="U106" s="0" t="str">
        <f aca="false">IFERROR(IF(maxifs(Documents!$E$2:$E$1421,Documents!$A$2:$A$1421,$A106,Documents!$C$2:$C$1421,"obsolete")=0,"",maxifs(Documents!$E$2:$E$1421,Documents!$A$2:$A$1421,$A106,Documents!$C$2:$C$1421,"obsolete")),"")</f>
        <v/>
      </c>
      <c r="V106" s="0" t="n">
        <f aca="false">COUNTIFS(Documents!$A$2:$A$1421,$A106)</f>
        <v>2</v>
      </c>
      <c r="W106" s="0" t="n">
        <f aca="false">COUNTIFS(Documents!$A$2:$A$1421,$A106,Documents!$R$2:$R$1421,"current")</f>
        <v>1</v>
      </c>
      <c r="X106" s="0" t="str">
        <f aca="false">HYPERLINK("https://www.neoscapesmaldives.com/wp-content/uploads/241220_-_Factsheet.pdf","2025_241220_-_Factsheet.pdf")</f>
        <v>2025_241220_-_Factsheet.pdf</v>
      </c>
      <c r="Y106" s="0" t="s">
        <v>28</v>
      </c>
    </row>
    <row r="107" customFormat="false" ht="15" hidden="false" customHeight="false" outlineLevel="0" collapsed="false">
      <c r="A107" s="0" t="n">
        <v>106</v>
      </c>
      <c r="B107" s="0" t="s">
        <v>160</v>
      </c>
      <c r="C107" s="0" t="s">
        <v>112</v>
      </c>
      <c r="D107" s="0" t="str">
        <f aca="false">IFERROR(IF(maxifs(Documents!$E$2:$E$1421,Documents!$A$2:$A$1421,$A107,Documents!$C$2:$C$1421,"factsheet")=0,"",maxifs(Documents!$E$2:$E$1421,Documents!$A$2:$A$1421,$A107,Documents!$C$2:$C$1421,"factsheet")),"")</f>
        <v/>
      </c>
      <c r="E107" s="0" t="str">
        <f aca="false">IFERROR(IF(maxifs(Documents!$E$2:$E$1421,Documents!$A$2:$A$1421,$A107,Documents!$C$2:$C$1421,"wedding")=0,"",maxifs(Documents!$E$2:$E$1421,Documents!$A$2:$A$1421,$A107,Documents!$C$2:$C$1421,"wedding")),"")</f>
        <v/>
      </c>
      <c r="F107" s="0" t="str">
        <f aca="false">IFERROR(IF(maxifs(Documents!$E$2:$E$1421,Documents!$A$2:$A$1421,$A107,Documents!$C$2:$C$1421,"events")=0,"",maxifs(Documents!$E$2:$E$1421,Documents!$A$2:$A$1421,$A107,Documents!$C$2:$C$1421,"events")),"")</f>
        <v/>
      </c>
      <c r="G107" s="0" t="str">
        <f aca="false">IFERROR(IF(maxifs(Documents!$E$2:$E$1421,Documents!$A$2:$A$1421,$A107,Documents!$C$2:$C$1421,"map")=0,"",maxifs(Documents!$E$2:$E$1421,Documents!$A$2:$A$1421,$A107,Documents!$C$2:$C$1421,"map")),"")</f>
        <v/>
      </c>
      <c r="H107" s="0" t="str">
        <f aca="false">IFERROR(IF(maxifs(Documents!$E$2:$E$1421,Documents!$A$2:$A$1421,$A107,Documents!$C$2:$C$1421,"dive_map")=0,"",maxifs(Documents!$E$2:$E$1421,Documents!$A$2:$A$1421,$A107,Documents!$C$2:$C$1421,"dive_map")),"")</f>
        <v/>
      </c>
      <c r="I107" s="0" t="str">
        <f aca="false">IFERROR(IF(maxifs(Documents!$E$2:$E$1421,Documents!$A$2:$A$1421,$A107,Documents!$C$2:$C$1421,"spa_menu")=0,"",maxifs(Documents!$E$2:$E$1421,Documents!$A$2:$A$1421,$A107,Documents!$C$2:$C$1421,"spa_menu")),"")</f>
        <v/>
      </c>
      <c r="J107" s="0" t="str">
        <f aca="false">IFERROR(IF(maxifs(Documents!$E$2:$E$1421,Documents!$A$2:$A$1421,$A107,Documents!$C$2:$C$1421,"dining_menu")=0,"",maxifs(Documents!$E$2:$E$1421,Documents!$A$2:$A$1421,$A107,Documents!$C$2:$C$1421,"dining_menu")),"")</f>
        <v/>
      </c>
      <c r="K107" s="0" t="str">
        <f aca="false">IFERROR(IF(maxifs(Documents!$E$2:$E$1421,Documents!$A$2:$A$1421,$A107,Documents!$C$2:$C$1421,"dive_prices")=0,"",maxifs(Documents!$E$2:$E$1421,Documents!$A$2:$A$1421,$A107,Documents!$C$2:$C$1421,"dive_prices")),"")</f>
        <v/>
      </c>
      <c r="L107" s="0" t="str">
        <f aca="false">IFERROR(IF(maxifs(Documents!$E$2:$E$1421,Documents!$A$2:$A$1421,$A107,Documents!$C$2:$C$1421,"excursions")=0,"",maxifs(Documents!$E$2:$E$1421,Documents!$A$2:$A$1421,$A107,Documents!$C$2:$C$1421,"excursions")),"")</f>
        <v/>
      </c>
      <c r="M107" s="0" t="str">
        <f aca="false">IFERROR(IF(maxifs(Documents!$E$2:$E$1421,Documents!$A$2:$A$1421,$A107,Documents!$C$2:$C$1421,"kids")=0,"",maxifs(Documents!$E$2:$E$1421,Documents!$A$2:$A$1421,$A107,Documents!$C$2:$C$1421,"kids")),"")</f>
        <v/>
      </c>
      <c r="N107" s="0" t="str">
        <f aca="false">IFERROR(IF(maxifs(Documents!$E$2:$E$1421,Documents!$A$2:$A$1421,$A107,Documents!$C$2:$C$1421,"villa_plans")=0,"",maxifs(Documents!$E$2:$E$1421,Documents!$A$2:$A$1421,$A107,Documents!$C$2:$C$1421,"villa_plans")),"")</f>
        <v/>
      </c>
      <c r="O107" s="0" t="str">
        <f aca="false">IFERROR(IF(maxifs(Documents!$E$2:$E$1421,Documents!$A$2:$A$1421,$A107,Documents!$C$2:$C$1421,"all_inclusive")=0,"",maxifs(Documents!$E$2:$E$1421,Documents!$A$2:$A$1421,$A107,Documents!$C$2:$C$1421,"all_inclusive")),"")</f>
        <v/>
      </c>
      <c r="P107" s="0" t="str">
        <f aca="false">IFERROR(IF(maxifs(Documents!$E$2:$E$1421,Documents!$A$2:$A$1421,$A107,Documents!$C$2:$C$1421,"sustainability")=0,"",maxifs(Documents!$E$2:$E$1421,Documents!$A$2:$A$1421,$A107,Documents!$C$2:$C$1421,"sustainability")),"")</f>
        <v/>
      </c>
      <c r="Q107" s="0" t="str">
        <f aca="false">IFERROR(IF(maxifs(Documents!$E$2:$E$1421,Documents!$A$2:$A$1421,$A107,Documents!$C$2:$C$1421,"calendar")=0,"",maxifs(Documents!$E$2:$E$1421,Documents!$A$2:$A$1421,$A107,Documents!$C$2:$C$1421,"calendar")),"")</f>
        <v/>
      </c>
      <c r="R107" s="0" t="str">
        <f aca="false">IFERROR(IF(maxifs(Documents!$E$2:$E$1421,Documents!$A$2:$A$1421,$A107,Documents!$C$2:$C$1421,"brochure")=0,"",maxifs(Documents!$E$2:$E$1421,Documents!$A$2:$A$1421,$A107,Documents!$C$2:$C$1421,"brochure")),"")</f>
        <v/>
      </c>
      <c r="S107" s="0" t="str">
        <f aca="false">IFERROR(IF(maxifs(Documents!$E$2:$E$1421,Documents!$A$2:$A$1421,$A107,Documents!$C$2:$C$1421,"press_kit")=0,"",maxifs(Documents!$E$2:$E$1421,Documents!$A$2:$A$1421,$A107,Documents!$C$2:$C$1421,"press_kit")),"")</f>
        <v/>
      </c>
      <c r="T107" s="0" t="str">
        <f aca="false">IFERROR(IF(maxifs(Documents!$E$2:$E$1421,Documents!$A$2:$A$1421,$A107,Documents!$C$2:$C$1421,"other")=0,"",maxifs(Documents!$E$2:$E$1421,Documents!$A$2:$A$1421,$A107,Documents!$C$2:$C$1421,"other")),"")</f>
        <v/>
      </c>
      <c r="U107" s="0" t="str">
        <f aca="false">IFERROR(IF(maxifs(Documents!$E$2:$E$1421,Documents!$A$2:$A$1421,$A107,Documents!$C$2:$C$1421,"obsolete")=0,"",maxifs(Documents!$E$2:$E$1421,Documents!$A$2:$A$1421,$A107,Documents!$C$2:$C$1421,"obsolete")),"")</f>
        <v/>
      </c>
      <c r="V107" s="0" t="n">
        <f aca="false">COUNTIFS(Documents!$A$2:$A$1421,$A107)</f>
        <v>2</v>
      </c>
      <c r="W107" s="0" t="n">
        <f aca="false">COUNTIFS(Documents!$A$2:$A$1421,$A107,Documents!$R$2:$R$1421,"current")</f>
        <v>0</v>
      </c>
      <c r="X107" s="0" t="str">
        <f aca="false">HYPERLINK("https://www.neoscapesmaldives.com/wp-content/uploads/Anantara_Kihavah_Maldives_Villas_Factsheet_Resort.pdf","2021_Anantara_Kihavah_Maldives_Villas_Fa")</f>
        <v>2021_Anantara_Kihavah_Maldives_Villas_Fa</v>
      </c>
      <c r="Y107" s="0" t="s">
        <v>28</v>
      </c>
    </row>
    <row r="108" customFormat="false" ht="15" hidden="false" customHeight="false" outlineLevel="0" collapsed="false">
      <c r="A108" s="0" t="n">
        <v>107</v>
      </c>
      <c r="B108" s="0" t="s">
        <v>161</v>
      </c>
      <c r="C108" s="0" t="s">
        <v>112</v>
      </c>
      <c r="D108" s="0" t="str">
        <f aca="false">IFERROR(IF(maxifs(Documents!$E$2:$E$1421,Documents!$A$2:$A$1421,$A108,Documents!$C$2:$C$1421,"factsheet")=0,"",maxifs(Documents!$E$2:$E$1421,Documents!$A$2:$A$1421,$A108,Documents!$C$2:$C$1421,"factsheet")),"")</f>
        <v/>
      </c>
      <c r="E108" s="0" t="str">
        <f aca="false">IFERROR(IF(maxifs(Documents!$E$2:$E$1421,Documents!$A$2:$A$1421,$A108,Documents!$C$2:$C$1421,"wedding")=0,"",maxifs(Documents!$E$2:$E$1421,Documents!$A$2:$A$1421,$A108,Documents!$C$2:$C$1421,"wedding")),"")</f>
        <v/>
      </c>
      <c r="F108" s="0" t="str">
        <f aca="false">IFERROR(IF(maxifs(Documents!$E$2:$E$1421,Documents!$A$2:$A$1421,$A108,Documents!$C$2:$C$1421,"events")=0,"",maxifs(Documents!$E$2:$E$1421,Documents!$A$2:$A$1421,$A108,Documents!$C$2:$C$1421,"events")),"")</f>
        <v/>
      </c>
      <c r="G108" s="0" t="str">
        <f aca="false">IFERROR(IF(maxifs(Documents!$E$2:$E$1421,Documents!$A$2:$A$1421,$A108,Documents!$C$2:$C$1421,"map")=0,"",maxifs(Documents!$E$2:$E$1421,Documents!$A$2:$A$1421,$A108,Documents!$C$2:$C$1421,"map")),"")</f>
        <v/>
      </c>
      <c r="H108" s="0" t="str">
        <f aca="false">IFERROR(IF(maxifs(Documents!$E$2:$E$1421,Documents!$A$2:$A$1421,$A108,Documents!$C$2:$C$1421,"dive_map")=0,"",maxifs(Documents!$E$2:$E$1421,Documents!$A$2:$A$1421,$A108,Documents!$C$2:$C$1421,"dive_map")),"")</f>
        <v/>
      </c>
      <c r="I108" s="0" t="str">
        <f aca="false">IFERROR(IF(maxifs(Documents!$E$2:$E$1421,Documents!$A$2:$A$1421,$A108,Documents!$C$2:$C$1421,"spa_menu")=0,"",maxifs(Documents!$E$2:$E$1421,Documents!$A$2:$A$1421,$A108,Documents!$C$2:$C$1421,"spa_menu")),"")</f>
        <v/>
      </c>
      <c r="J108" s="0" t="str">
        <f aca="false">IFERROR(IF(maxifs(Documents!$E$2:$E$1421,Documents!$A$2:$A$1421,$A108,Documents!$C$2:$C$1421,"dining_menu")=0,"",maxifs(Documents!$E$2:$E$1421,Documents!$A$2:$A$1421,$A108,Documents!$C$2:$C$1421,"dining_menu")),"")</f>
        <v/>
      </c>
      <c r="K108" s="0" t="str">
        <f aca="false">IFERROR(IF(maxifs(Documents!$E$2:$E$1421,Documents!$A$2:$A$1421,$A108,Documents!$C$2:$C$1421,"dive_prices")=0,"",maxifs(Documents!$E$2:$E$1421,Documents!$A$2:$A$1421,$A108,Documents!$C$2:$C$1421,"dive_prices")),"")</f>
        <v/>
      </c>
      <c r="L108" s="0" t="str">
        <f aca="false">IFERROR(IF(maxifs(Documents!$E$2:$E$1421,Documents!$A$2:$A$1421,$A108,Documents!$C$2:$C$1421,"excursions")=0,"",maxifs(Documents!$E$2:$E$1421,Documents!$A$2:$A$1421,$A108,Documents!$C$2:$C$1421,"excursions")),"")</f>
        <v/>
      </c>
      <c r="M108" s="0" t="str">
        <f aca="false">IFERROR(IF(maxifs(Documents!$E$2:$E$1421,Documents!$A$2:$A$1421,$A108,Documents!$C$2:$C$1421,"kids")=0,"",maxifs(Documents!$E$2:$E$1421,Documents!$A$2:$A$1421,$A108,Documents!$C$2:$C$1421,"kids")),"")</f>
        <v/>
      </c>
      <c r="N108" s="0" t="str">
        <f aca="false">IFERROR(IF(maxifs(Documents!$E$2:$E$1421,Documents!$A$2:$A$1421,$A108,Documents!$C$2:$C$1421,"villa_plans")=0,"",maxifs(Documents!$E$2:$E$1421,Documents!$A$2:$A$1421,$A108,Documents!$C$2:$C$1421,"villa_plans")),"")</f>
        <v/>
      </c>
      <c r="O108" s="0" t="str">
        <f aca="false">IFERROR(IF(maxifs(Documents!$E$2:$E$1421,Documents!$A$2:$A$1421,$A108,Documents!$C$2:$C$1421,"all_inclusive")=0,"",maxifs(Documents!$E$2:$E$1421,Documents!$A$2:$A$1421,$A108,Documents!$C$2:$C$1421,"all_inclusive")),"")</f>
        <v/>
      </c>
      <c r="P108" s="0" t="str">
        <f aca="false">IFERROR(IF(maxifs(Documents!$E$2:$E$1421,Documents!$A$2:$A$1421,$A108,Documents!$C$2:$C$1421,"sustainability")=0,"",maxifs(Documents!$E$2:$E$1421,Documents!$A$2:$A$1421,$A108,Documents!$C$2:$C$1421,"sustainability")),"")</f>
        <v/>
      </c>
      <c r="Q108" s="0" t="str">
        <f aca="false">IFERROR(IF(maxifs(Documents!$E$2:$E$1421,Documents!$A$2:$A$1421,$A108,Documents!$C$2:$C$1421,"calendar")=0,"",maxifs(Documents!$E$2:$E$1421,Documents!$A$2:$A$1421,$A108,Documents!$C$2:$C$1421,"calendar")),"")</f>
        <v/>
      </c>
      <c r="R108" s="0" t="str">
        <f aca="false">IFERROR(IF(maxifs(Documents!$E$2:$E$1421,Documents!$A$2:$A$1421,$A108,Documents!$C$2:$C$1421,"brochure")=0,"",maxifs(Documents!$E$2:$E$1421,Documents!$A$2:$A$1421,$A108,Documents!$C$2:$C$1421,"brochure")),"")</f>
        <v/>
      </c>
      <c r="S108" s="0" t="str">
        <f aca="false">IFERROR(IF(maxifs(Documents!$E$2:$E$1421,Documents!$A$2:$A$1421,$A108,Documents!$C$2:$C$1421,"press_kit")=0,"",maxifs(Documents!$E$2:$E$1421,Documents!$A$2:$A$1421,$A108,Documents!$C$2:$C$1421,"press_kit")),"")</f>
        <v/>
      </c>
      <c r="T108" s="0" t="str">
        <f aca="false">IFERROR(IF(maxifs(Documents!$E$2:$E$1421,Documents!$A$2:$A$1421,$A108,Documents!$C$2:$C$1421,"other")=0,"",maxifs(Documents!$E$2:$E$1421,Documents!$A$2:$A$1421,$A108,Documents!$C$2:$C$1421,"other")),"")</f>
        <v/>
      </c>
      <c r="U108" s="0" t="str">
        <f aca="false">IFERROR(IF(maxifs(Documents!$E$2:$E$1421,Documents!$A$2:$A$1421,$A108,Documents!$C$2:$C$1421,"obsolete")=0,"",maxifs(Documents!$E$2:$E$1421,Documents!$A$2:$A$1421,$A108,Documents!$C$2:$C$1421,"obsolete")),"")</f>
        <v/>
      </c>
      <c r="V108" s="0" t="n">
        <f aca="false">COUNTIFS(Documents!$A$2:$A$1421,$A108)</f>
        <v>1</v>
      </c>
      <c r="W108" s="0" t="n">
        <f aca="false">COUNTIFS(Documents!$A$2:$A$1421,$A108,Documents!$R$2:$R$1421,"current")</f>
        <v>0</v>
      </c>
      <c r="Y108" s="0" t="s">
        <v>31</v>
      </c>
    </row>
    <row r="109" customFormat="false" ht="15" hidden="false" customHeight="false" outlineLevel="0" collapsed="false">
      <c r="A109" s="0" t="n">
        <v>108</v>
      </c>
      <c r="B109" s="0" t="s">
        <v>162</v>
      </c>
      <c r="C109" s="0" t="s">
        <v>112</v>
      </c>
      <c r="D109" s="0" t="str">
        <f aca="false">IFERROR(IF(maxifs(Documents!$E$2:$E$1421,Documents!$A$2:$A$1421,$A109,Documents!$C$2:$C$1421,"factsheet")=0,"",maxifs(Documents!$E$2:$E$1421,Documents!$A$2:$A$1421,$A109,Documents!$C$2:$C$1421,"factsheet")),"")</f>
        <v/>
      </c>
      <c r="E109" s="0" t="str">
        <f aca="false">IFERROR(IF(maxifs(Documents!$E$2:$E$1421,Documents!$A$2:$A$1421,$A109,Documents!$C$2:$C$1421,"wedding")=0,"",maxifs(Documents!$E$2:$E$1421,Documents!$A$2:$A$1421,$A109,Documents!$C$2:$C$1421,"wedding")),"")</f>
        <v/>
      </c>
      <c r="F109" s="0" t="str">
        <f aca="false">IFERROR(IF(maxifs(Documents!$E$2:$E$1421,Documents!$A$2:$A$1421,$A109,Documents!$C$2:$C$1421,"events")=0,"",maxifs(Documents!$E$2:$E$1421,Documents!$A$2:$A$1421,$A109,Documents!$C$2:$C$1421,"events")),"")</f>
        <v/>
      </c>
      <c r="G109" s="0" t="str">
        <f aca="false">IFERROR(IF(maxifs(Documents!$E$2:$E$1421,Documents!$A$2:$A$1421,$A109,Documents!$C$2:$C$1421,"map")=0,"",maxifs(Documents!$E$2:$E$1421,Documents!$A$2:$A$1421,$A109,Documents!$C$2:$C$1421,"map")),"")</f>
        <v/>
      </c>
      <c r="H109" s="0" t="str">
        <f aca="false">IFERROR(IF(maxifs(Documents!$E$2:$E$1421,Documents!$A$2:$A$1421,$A109,Documents!$C$2:$C$1421,"dive_map")=0,"",maxifs(Documents!$E$2:$E$1421,Documents!$A$2:$A$1421,$A109,Documents!$C$2:$C$1421,"dive_map")),"")</f>
        <v/>
      </c>
      <c r="I109" s="0" t="str">
        <f aca="false">IFERROR(IF(maxifs(Documents!$E$2:$E$1421,Documents!$A$2:$A$1421,$A109,Documents!$C$2:$C$1421,"spa_menu")=0,"",maxifs(Documents!$E$2:$E$1421,Documents!$A$2:$A$1421,$A109,Documents!$C$2:$C$1421,"spa_menu")),"")</f>
        <v/>
      </c>
      <c r="J109" s="0" t="str">
        <f aca="false">IFERROR(IF(maxifs(Documents!$E$2:$E$1421,Documents!$A$2:$A$1421,$A109,Documents!$C$2:$C$1421,"dining_menu")=0,"",maxifs(Documents!$E$2:$E$1421,Documents!$A$2:$A$1421,$A109,Documents!$C$2:$C$1421,"dining_menu")),"")</f>
        <v/>
      </c>
      <c r="K109" s="0" t="str">
        <f aca="false">IFERROR(IF(maxifs(Documents!$E$2:$E$1421,Documents!$A$2:$A$1421,$A109,Documents!$C$2:$C$1421,"dive_prices")=0,"",maxifs(Documents!$E$2:$E$1421,Documents!$A$2:$A$1421,$A109,Documents!$C$2:$C$1421,"dive_prices")),"")</f>
        <v/>
      </c>
      <c r="L109" s="0" t="str">
        <f aca="false">IFERROR(IF(maxifs(Documents!$E$2:$E$1421,Documents!$A$2:$A$1421,$A109,Documents!$C$2:$C$1421,"excursions")=0,"",maxifs(Documents!$E$2:$E$1421,Documents!$A$2:$A$1421,$A109,Documents!$C$2:$C$1421,"excursions")),"")</f>
        <v/>
      </c>
      <c r="M109" s="0" t="str">
        <f aca="false">IFERROR(IF(maxifs(Documents!$E$2:$E$1421,Documents!$A$2:$A$1421,$A109,Documents!$C$2:$C$1421,"kids")=0,"",maxifs(Documents!$E$2:$E$1421,Documents!$A$2:$A$1421,$A109,Documents!$C$2:$C$1421,"kids")),"")</f>
        <v/>
      </c>
      <c r="N109" s="0" t="str">
        <f aca="false">IFERROR(IF(maxifs(Documents!$E$2:$E$1421,Documents!$A$2:$A$1421,$A109,Documents!$C$2:$C$1421,"villa_plans")=0,"",maxifs(Documents!$E$2:$E$1421,Documents!$A$2:$A$1421,$A109,Documents!$C$2:$C$1421,"villa_plans")),"")</f>
        <v/>
      </c>
      <c r="O109" s="0" t="str">
        <f aca="false">IFERROR(IF(maxifs(Documents!$E$2:$E$1421,Documents!$A$2:$A$1421,$A109,Documents!$C$2:$C$1421,"all_inclusive")=0,"",maxifs(Documents!$E$2:$E$1421,Documents!$A$2:$A$1421,$A109,Documents!$C$2:$C$1421,"all_inclusive")),"")</f>
        <v/>
      </c>
      <c r="P109" s="0" t="str">
        <f aca="false">IFERROR(IF(maxifs(Documents!$E$2:$E$1421,Documents!$A$2:$A$1421,$A109,Documents!$C$2:$C$1421,"sustainability")=0,"",maxifs(Documents!$E$2:$E$1421,Documents!$A$2:$A$1421,$A109,Documents!$C$2:$C$1421,"sustainability")),"")</f>
        <v/>
      </c>
      <c r="Q109" s="0" t="str">
        <f aca="false">IFERROR(IF(maxifs(Documents!$E$2:$E$1421,Documents!$A$2:$A$1421,$A109,Documents!$C$2:$C$1421,"calendar")=0,"",maxifs(Documents!$E$2:$E$1421,Documents!$A$2:$A$1421,$A109,Documents!$C$2:$C$1421,"calendar")),"")</f>
        <v/>
      </c>
      <c r="R109" s="0" t="str">
        <f aca="false">IFERROR(IF(maxifs(Documents!$E$2:$E$1421,Documents!$A$2:$A$1421,$A109,Documents!$C$2:$C$1421,"brochure")=0,"",maxifs(Documents!$E$2:$E$1421,Documents!$A$2:$A$1421,$A109,Documents!$C$2:$C$1421,"brochure")),"")</f>
        <v/>
      </c>
      <c r="S109" s="0" t="str">
        <f aca="false">IFERROR(IF(maxifs(Documents!$E$2:$E$1421,Documents!$A$2:$A$1421,$A109,Documents!$C$2:$C$1421,"press_kit")=0,"",maxifs(Documents!$E$2:$E$1421,Documents!$A$2:$A$1421,$A109,Documents!$C$2:$C$1421,"press_kit")),"")</f>
        <v/>
      </c>
      <c r="T109" s="0" t="str">
        <f aca="false">IFERROR(IF(maxifs(Documents!$E$2:$E$1421,Documents!$A$2:$A$1421,$A109,Documents!$C$2:$C$1421,"other")=0,"",maxifs(Documents!$E$2:$E$1421,Documents!$A$2:$A$1421,$A109,Documents!$C$2:$C$1421,"other")),"")</f>
        <v/>
      </c>
      <c r="U109" s="0" t="str">
        <f aca="false">IFERROR(IF(maxifs(Documents!$E$2:$E$1421,Documents!$A$2:$A$1421,$A109,Documents!$C$2:$C$1421,"obsolete")=0,"",maxifs(Documents!$E$2:$E$1421,Documents!$A$2:$A$1421,$A109,Documents!$C$2:$C$1421,"obsolete")),"")</f>
        <v/>
      </c>
      <c r="V109" s="0" t="n">
        <f aca="false">COUNTIFS(Documents!$A$2:$A$1421,$A109)</f>
        <v>1</v>
      </c>
      <c r="W109" s="0" t="n">
        <f aca="false">COUNTIFS(Documents!$A$2:$A$1421,$A109,Documents!$R$2:$R$1421,"current")</f>
        <v>0</v>
      </c>
      <c r="Y109" s="0" t="s">
        <v>31</v>
      </c>
    </row>
    <row r="110" customFormat="false" ht="15" hidden="false" customHeight="false" outlineLevel="0" collapsed="false">
      <c r="A110" s="0" t="n">
        <v>109</v>
      </c>
      <c r="B110" s="0" t="s">
        <v>163</v>
      </c>
      <c r="C110" s="0" t="s">
        <v>112</v>
      </c>
      <c r="D110" s="0" t="str">
        <f aca="false">IFERROR(IF(maxifs(Documents!$E$2:$E$1421,Documents!$A$2:$A$1421,$A110,Documents!$C$2:$C$1421,"factsheet")=0,"",maxifs(Documents!$E$2:$E$1421,Documents!$A$2:$A$1421,$A110,Documents!$C$2:$C$1421,"factsheet")),"")</f>
        <v/>
      </c>
      <c r="E110" s="0" t="str">
        <f aca="false">IFERROR(IF(maxifs(Documents!$E$2:$E$1421,Documents!$A$2:$A$1421,$A110,Documents!$C$2:$C$1421,"wedding")=0,"",maxifs(Documents!$E$2:$E$1421,Documents!$A$2:$A$1421,$A110,Documents!$C$2:$C$1421,"wedding")),"")</f>
        <v/>
      </c>
      <c r="F110" s="0" t="str">
        <f aca="false">IFERROR(IF(maxifs(Documents!$E$2:$E$1421,Documents!$A$2:$A$1421,$A110,Documents!$C$2:$C$1421,"events")=0,"",maxifs(Documents!$E$2:$E$1421,Documents!$A$2:$A$1421,$A110,Documents!$C$2:$C$1421,"events")),"")</f>
        <v/>
      </c>
      <c r="G110" s="0" t="str">
        <f aca="false">IFERROR(IF(maxifs(Documents!$E$2:$E$1421,Documents!$A$2:$A$1421,$A110,Documents!$C$2:$C$1421,"map")=0,"",maxifs(Documents!$E$2:$E$1421,Documents!$A$2:$A$1421,$A110,Documents!$C$2:$C$1421,"map")),"")</f>
        <v/>
      </c>
      <c r="H110" s="0" t="str">
        <f aca="false">IFERROR(IF(maxifs(Documents!$E$2:$E$1421,Documents!$A$2:$A$1421,$A110,Documents!$C$2:$C$1421,"dive_map")=0,"",maxifs(Documents!$E$2:$E$1421,Documents!$A$2:$A$1421,$A110,Documents!$C$2:$C$1421,"dive_map")),"")</f>
        <v/>
      </c>
      <c r="I110" s="0" t="str">
        <f aca="false">IFERROR(IF(maxifs(Documents!$E$2:$E$1421,Documents!$A$2:$A$1421,$A110,Documents!$C$2:$C$1421,"spa_menu")=0,"",maxifs(Documents!$E$2:$E$1421,Documents!$A$2:$A$1421,$A110,Documents!$C$2:$C$1421,"spa_menu")),"")</f>
        <v/>
      </c>
      <c r="J110" s="0" t="str">
        <f aca="false">IFERROR(IF(maxifs(Documents!$E$2:$E$1421,Documents!$A$2:$A$1421,$A110,Documents!$C$2:$C$1421,"dining_menu")=0,"",maxifs(Documents!$E$2:$E$1421,Documents!$A$2:$A$1421,$A110,Documents!$C$2:$C$1421,"dining_menu")),"")</f>
        <v/>
      </c>
      <c r="K110" s="0" t="str">
        <f aca="false">IFERROR(IF(maxifs(Documents!$E$2:$E$1421,Documents!$A$2:$A$1421,$A110,Documents!$C$2:$C$1421,"dive_prices")=0,"",maxifs(Documents!$E$2:$E$1421,Documents!$A$2:$A$1421,$A110,Documents!$C$2:$C$1421,"dive_prices")),"")</f>
        <v/>
      </c>
      <c r="L110" s="0" t="str">
        <f aca="false">IFERROR(IF(maxifs(Documents!$E$2:$E$1421,Documents!$A$2:$A$1421,$A110,Documents!$C$2:$C$1421,"excursions")=0,"",maxifs(Documents!$E$2:$E$1421,Documents!$A$2:$A$1421,$A110,Documents!$C$2:$C$1421,"excursions")),"")</f>
        <v/>
      </c>
      <c r="M110" s="0" t="str">
        <f aca="false">IFERROR(IF(maxifs(Documents!$E$2:$E$1421,Documents!$A$2:$A$1421,$A110,Documents!$C$2:$C$1421,"kids")=0,"",maxifs(Documents!$E$2:$E$1421,Documents!$A$2:$A$1421,$A110,Documents!$C$2:$C$1421,"kids")),"")</f>
        <v/>
      </c>
      <c r="N110" s="0" t="str">
        <f aca="false">IFERROR(IF(maxifs(Documents!$E$2:$E$1421,Documents!$A$2:$A$1421,$A110,Documents!$C$2:$C$1421,"villa_plans")=0,"",maxifs(Documents!$E$2:$E$1421,Documents!$A$2:$A$1421,$A110,Documents!$C$2:$C$1421,"villa_plans")),"")</f>
        <v/>
      </c>
      <c r="O110" s="0" t="str">
        <f aca="false">IFERROR(IF(maxifs(Documents!$E$2:$E$1421,Documents!$A$2:$A$1421,$A110,Documents!$C$2:$C$1421,"all_inclusive")=0,"",maxifs(Documents!$E$2:$E$1421,Documents!$A$2:$A$1421,$A110,Documents!$C$2:$C$1421,"all_inclusive")),"")</f>
        <v/>
      </c>
      <c r="P110" s="0" t="str">
        <f aca="false">IFERROR(IF(maxifs(Documents!$E$2:$E$1421,Documents!$A$2:$A$1421,$A110,Documents!$C$2:$C$1421,"sustainability")=0,"",maxifs(Documents!$E$2:$E$1421,Documents!$A$2:$A$1421,$A110,Documents!$C$2:$C$1421,"sustainability")),"")</f>
        <v/>
      </c>
      <c r="Q110" s="0" t="str">
        <f aca="false">IFERROR(IF(maxifs(Documents!$E$2:$E$1421,Documents!$A$2:$A$1421,$A110,Documents!$C$2:$C$1421,"calendar")=0,"",maxifs(Documents!$E$2:$E$1421,Documents!$A$2:$A$1421,$A110,Documents!$C$2:$C$1421,"calendar")),"")</f>
        <v/>
      </c>
      <c r="R110" s="0" t="str">
        <f aca="false">IFERROR(IF(maxifs(Documents!$E$2:$E$1421,Documents!$A$2:$A$1421,$A110,Documents!$C$2:$C$1421,"brochure")=0,"",maxifs(Documents!$E$2:$E$1421,Documents!$A$2:$A$1421,$A110,Documents!$C$2:$C$1421,"brochure")),"")</f>
        <v/>
      </c>
      <c r="S110" s="0" t="str">
        <f aca="false">IFERROR(IF(maxifs(Documents!$E$2:$E$1421,Documents!$A$2:$A$1421,$A110,Documents!$C$2:$C$1421,"press_kit")=0,"",maxifs(Documents!$E$2:$E$1421,Documents!$A$2:$A$1421,$A110,Documents!$C$2:$C$1421,"press_kit")),"")</f>
        <v/>
      </c>
      <c r="T110" s="0" t="str">
        <f aca="false">IFERROR(IF(maxifs(Documents!$E$2:$E$1421,Documents!$A$2:$A$1421,$A110,Documents!$C$2:$C$1421,"other")=0,"",maxifs(Documents!$E$2:$E$1421,Documents!$A$2:$A$1421,$A110,Documents!$C$2:$C$1421,"other")),"")</f>
        <v/>
      </c>
      <c r="U110" s="0" t="str">
        <f aca="false">IFERROR(IF(maxifs(Documents!$E$2:$E$1421,Documents!$A$2:$A$1421,$A110,Documents!$C$2:$C$1421,"obsolete")=0,"",maxifs(Documents!$E$2:$E$1421,Documents!$A$2:$A$1421,$A110,Documents!$C$2:$C$1421,"obsolete")),"")</f>
        <v/>
      </c>
      <c r="V110" s="0" t="n">
        <f aca="false">COUNTIFS(Documents!$A$2:$A$1421,$A110)</f>
        <v>2</v>
      </c>
      <c r="W110" s="0" t="n">
        <f aca="false">COUNTIFS(Documents!$A$2:$A$1421,$A110,Documents!$R$2:$R$1421,"current")</f>
        <v>0</v>
      </c>
      <c r="X110" s="0" t="str">
        <f aca="false">HYPERLINK("https://www.neoscapesmaldives.com/wp-content/uploads/moofushi-factsheet-en-24april2023.pdf","2023_moofushi-factsheet-en-24april2023.p")</f>
        <v>2023_moofushi-factsheet-en-24april2023.p</v>
      </c>
      <c r="Y110" s="0" t="s">
        <v>28</v>
      </c>
    </row>
    <row r="111" customFormat="false" ht="15" hidden="false" customHeight="false" outlineLevel="0" collapsed="false">
      <c r="A111" s="0" t="n">
        <v>110</v>
      </c>
      <c r="B111" s="0" t="s">
        <v>164</v>
      </c>
      <c r="C111" s="0" t="s">
        <v>112</v>
      </c>
      <c r="D111" s="0" t="str">
        <f aca="false">IFERROR(IF(maxifs(Documents!$E$2:$E$1421,Documents!$A$2:$A$1421,$A111,Documents!$C$2:$C$1421,"factsheet")=0,"",maxifs(Documents!$E$2:$E$1421,Documents!$A$2:$A$1421,$A111,Documents!$C$2:$C$1421,"factsheet")),"")</f>
        <v/>
      </c>
      <c r="E111" s="0" t="str">
        <f aca="false">IFERROR(IF(maxifs(Documents!$E$2:$E$1421,Documents!$A$2:$A$1421,$A111,Documents!$C$2:$C$1421,"wedding")=0,"",maxifs(Documents!$E$2:$E$1421,Documents!$A$2:$A$1421,$A111,Documents!$C$2:$C$1421,"wedding")),"")</f>
        <v/>
      </c>
      <c r="F111" s="0" t="str">
        <f aca="false">IFERROR(IF(maxifs(Documents!$E$2:$E$1421,Documents!$A$2:$A$1421,$A111,Documents!$C$2:$C$1421,"events")=0,"",maxifs(Documents!$E$2:$E$1421,Documents!$A$2:$A$1421,$A111,Documents!$C$2:$C$1421,"events")),"")</f>
        <v/>
      </c>
      <c r="G111" s="0" t="str">
        <f aca="false">IFERROR(IF(maxifs(Documents!$E$2:$E$1421,Documents!$A$2:$A$1421,$A111,Documents!$C$2:$C$1421,"map")=0,"",maxifs(Documents!$E$2:$E$1421,Documents!$A$2:$A$1421,$A111,Documents!$C$2:$C$1421,"map")),"")</f>
        <v/>
      </c>
      <c r="H111" s="0" t="str">
        <f aca="false">IFERROR(IF(maxifs(Documents!$E$2:$E$1421,Documents!$A$2:$A$1421,$A111,Documents!$C$2:$C$1421,"dive_map")=0,"",maxifs(Documents!$E$2:$E$1421,Documents!$A$2:$A$1421,$A111,Documents!$C$2:$C$1421,"dive_map")),"")</f>
        <v/>
      </c>
      <c r="I111" s="0" t="str">
        <f aca="false">IFERROR(IF(maxifs(Documents!$E$2:$E$1421,Documents!$A$2:$A$1421,$A111,Documents!$C$2:$C$1421,"spa_menu")=0,"",maxifs(Documents!$E$2:$E$1421,Documents!$A$2:$A$1421,$A111,Documents!$C$2:$C$1421,"spa_menu")),"")</f>
        <v/>
      </c>
      <c r="J111" s="0" t="str">
        <f aca="false">IFERROR(IF(maxifs(Documents!$E$2:$E$1421,Documents!$A$2:$A$1421,$A111,Documents!$C$2:$C$1421,"dining_menu")=0,"",maxifs(Documents!$E$2:$E$1421,Documents!$A$2:$A$1421,$A111,Documents!$C$2:$C$1421,"dining_menu")),"")</f>
        <v/>
      </c>
      <c r="K111" s="0" t="str">
        <f aca="false">IFERROR(IF(maxifs(Documents!$E$2:$E$1421,Documents!$A$2:$A$1421,$A111,Documents!$C$2:$C$1421,"dive_prices")=0,"",maxifs(Documents!$E$2:$E$1421,Documents!$A$2:$A$1421,$A111,Documents!$C$2:$C$1421,"dive_prices")),"")</f>
        <v/>
      </c>
      <c r="L111" s="0" t="str">
        <f aca="false">IFERROR(IF(maxifs(Documents!$E$2:$E$1421,Documents!$A$2:$A$1421,$A111,Documents!$C$2:$C$1421,"excursions")=0,"",maxifs(Documents!$E$2:$E$1421,Documents!$A$2:$A$1421,$A111,Documents!$C$2:$C$1421,"excursions")),"")</f>
        <v/>
      </c>
      <c r="M111" s="0" t="str">
        <f aca="false">IFERROR(IF(maxifs(Documents!$E$2:$E$1421,Documents!$A$2:$A$1421,$A111,Documents!$C$2:$C$1421,"kids")=0,"",maxifs(Documents!$E$2:$E$1421,Documents!$A$2:$A$1421,$A111,Documents!$C$2:$C$1421,"kids")),"")</f>
        <v/>
      </c>
      <c r="N111" s="0" t="str">
        <f aca="false">IFERROR(IF(maxifs(Documents!$E$2:$E$1421,Documents!$A$2:$A$1421,$A111,Documents!$C$2:$C$1421,"villa_plans")=0,"",maxifs(Documents!$E$2:$E$1421,Documents!$A$2:$A$1421,$A111,Documents!$C$2:$C$1421,"villa_plans")),"")</f>
        <v/>
      </c>
      <c r="O111" s="0" t="str">
        <f aca="false">IFERROR(IF(maxifs(Documents!$E$2:$E$1421,Documents!$A$2:$A$1421,$A111,Documents!$C$2:$C$1421,"all_inclusive")=0,"",maxifs(Documents!$E$2:$E$1421,Documents!$A$2:$A$1421,$A111,Documents!$C$2:$C$1421,"all_inclusive")),"")</f>
        <v/>
      </c>
      <c r="P111" s="0" t="str">
        <f aca="false">IFERROR(IF(maxifs(Documents!$E$2:$E$1421,Documents!$A$2:$A$1421,$A111,Documents!$C$2:$C$1421,"sustainability")=0,"",maxifs(Documents!$E$2:$E$1421,Documents!$A$2:$A$1421,$A111,Documents!$C$2:$C$1421,"sustainability")),"")</f>
        <v/>
      </c>
      <c r="Q111" s="0" t="str">
        <f aca="false">IFERROR(IF(maxifs(Documents!$E$2:$E$1421,Documents!$A$2:$A$1421,$A111,Documents!$C$2:$C$1421,"calendar")=0,"",maxifs(Documents!$E$2:$E$1421,Documents!$A$2:$A$1421,$A111,Documents!$C$2:$C$1421,"calendar")),"")</f>
        <v/>
      </c>
      <c r="R111" s="0" t="str">
        <f aca="false">IFERROR(IF(maxifs(Documents!$E$2:$E$1421,Documents!$A$2:$A$1421,$A111,Documents!$C$2:$C$1421,"brochure")=0,"",maxifs(Documents!$E$2:$E$1421,Documents!$A$2:$A$1421,$A111,Documents!$C$2:$C$1421,"brochure")),"")</f>
        <v/>
      </c>
      <c r="S111" s="0" t="str">
        <f aca="false">IFERROR(IF(maxifs(Documents!$E$2:$E$1421,Documents!$A$2:$A$1421,$A111,Documents!$C$2:$C$1421,"press_kit")=0,"",maxifs(Documents!$E$2:$E$1421,Documents!$A$2:$A$1421,$A111,Documents!$C$2:$C$1421,"press_kit")),"")</f>
        <v/>
      </c>
      <c r="T111" s="0" t="str">
        <f aca="false">IFERROR(IF(maxifs(Documents!$E$2:$E$1421,Documents!$A$2:$A$1421,$A111,Documents!$C$2:$C$1421,"other")=0,"",maxifs(Documents!$E$2:$E$1421,Documents!$A$2:$A$1421,$A111,Documents!$C$2:$C$1421,"other")),"")</f>
        <v/>
      </c>
      <c r="U111" s="0" t="str">
        <f aca="false">IFERROR(IF(maxifs(Documents!$E$2:$E$1421,Documents!$A$2:$A$1421,$A111,Documents!$C$2:$C$1421,"obsolete")=0,"",maxifs(Documents!$E$2:$E$1421,Documents!$A$2:$A$1421,$A111,Documents!$C$2:$C$1421,"obsolete")),"")</f>
        <v/>
      </c>
      <c r="V111" s="0" t="n">
        <f aca="false">COUNTIFS(Documents!$A$2:$A$1421,$A111)</f>
        <v>1</v>
      </c>
      <c r="W111" s="0" t="n">
        <f aca="false">COUNTIFS(Documents!$A$2:$A$1421,$A111,Documents!$R$2:$R$1421,"current")</f>
        <v>0</v>
      </c>
      <c r="Y111" s="0" t="s">
        <v>31</v>
      </c>
    </row>
    <row r="112" customFormat="false" ht="15" hidden="false" customHeight="false" outlineLevel="0" collapsed="false">
      <c r="A112" s="0" t="n">
        <v>111</v>
      </c>
      <c r="B112" s="0" t="s">
        <v>165</v>
      </c>
      <c r="C112" s="0" t="s">
        <v>112</v>
      </c>
      <c r="D112" s="0" t="str">
        <f aca="false">IFERROR(IF(maxifs(Documents!$E$2:$E$1421,Documents!$A$2:$A$1421,$A112,Documents!$C$2:$C$1421,"factsheet")=0,"",maxifs(Documents!$E$2:$E$1421,Documents!$A$2:$A$1421,$A112,Documents!$C$2:$C$1421,"factsheet")),"")</f>
        <v/>
      </c>
      <c r="E112" s="0" t="str">
        <f aca="false">IFERROR(IF(maxifs(Documents!$E$2:$E$1421,Documents!$A$2:$A$1421,$A112,Documents!$C$2:$C$1421,"wedding")=0,"",maxifs(Documents!$E$2:$E$1421,Documents!$A$2:$A$1421,$A112,Documents!$C$2:$C$1421,"wedding")),"")</f>
        <v/>
      </c>
      <c r="F112" s="0" t="str">
        <f aca="false">IFERROR(IF(maxifs(Documents!$E$2:$E$1421,Documents!$A$2:$A$1421,$A112,Documents!$C$2:$C$1421,"events")=0,"",maxifs(Documents!$E$2:$E$1421,Documents!$A$2:$A$1421,$A112,Documents!$C$2:$C$1421,"events")),"")</f>
        <v/>
      </c>
      <c r="G112" s="0" t="str">
        <f aca="false">IFERROR(IF(maxifs(Documents!$E$2:$E$1421,Documents!$A$2:$A$1421,$A112,Documents!$C$2:$C$1421,"map")=0,"",maxifs(Documents!$E$2:$E$1421,Documents!$A$2:$A$1421,$A112,Documents!$C$2:$C$1421,"map")),"")</f>
        <v/>
      </c>
      <c r="H112" s="0" t="str">
        <f aca="false">IFERROR(IF(maxifs(Documents!$E$2:$E$1421,Documents!$A$2:$A$1421,$A112,Documents!$C$2:$C$1421,"dive_map")=0,"",maxifs(Documents!$E$2:$E$1421,Documents!$A$2:$A$1421,$A112,Documents!$C$2:$C$1421,"dive_map")),"")</f>
        <v/>
      </c>
      <c r="I112" s="0" t="str">
        <f aca="false">IFERROR(IF(maxifs(Documents!$E$2:$E$1421,Documents!$A$2:$A$1421,$A112,Documents!$C$2:$C$1421,"spa_menu")=0,"",maxifs(Documents!$E$2:$E$1421,Documents!$A$2:$A$1421,$A112,Documents!$C$2:$C$1421,"spa_menu")),"")</f>
        <v/>
      </c>
      <c r="J112" s="0" t="str">
        <f aca="false">IFERROR(IF(maxifs(Documents!$E$2:$E$1421,Documents!$A$2:$A$1421,$A112,Documents!$C$2:$C$1421,"dining_menu")=0,"",maxifs(Documents!$E$2:$E$1421,Documents!$A$2:$A$1421,$A112,Documents!$C$2:$C$1421,"dining_menu")),"")</f>
        <v/>
      </c>
      <c r="K112" s="0" t="str">
        <f aca="false">IFERROR(IF(maxifs(Documents!$E$2:$E$1421,Documents!$A$2:$A$1421,$A112,Documents!$C$2:$C$1421,"dive_prices")=0,"",maxifs(Documents!$E$2:$E$1421,Documents!$A$2:$A$1421,$A112,Documents!$C$2:$C$1421,"dive_prices")),"")</f>
        <v/>
      </c>
      <c r="L112" s="0" t="str">
        <f aca="false">IFERROR(IF(maxifs(Documents!$E$2:$E$1421,Documents!$A$2:$A$1421,$A112,Documents!$C$2:$C$1421,"excursions")=0,"",maxifs(Documents!$E$2:$E$1421,Documents!$A$2:$A$1421,$A112,Documents!$C$2:$C$1421,"excursions")),"")</f>
        <v/>
      </c>
      <c r="M112" s="0" t="str">
        <f aca="false">IFERROR(IF(maxifs(Documents!$E$2:$E$1421,Documents!$A$2:$A$1421,$A112,Documents!$C$2:$C$1421,"kids")=0,"",maxifs(Documents!$E$2:$E$1421,Documents!$A$2:$A$1421,$A112,Documents!$C$2:$C$1421,"kids")),"")</f>
        <v/>
      </c>
      <c r="N112" s="0" t="str">
        <f aca="false">IFERROR(IF(maxifs(Documents!$E$2:$E$1421,Documents!$A$2:$A$1421,$A112,Documents!$C$2:$C$1421,"villa_plans")=0,"",maxifs(Documents!$E$2:$E$1421,Documents!$A$2:$A$1421,$A112,Documents!$C$2:$C$1421,"villa_plans")),"")</f>
        <v/>
      </c>
      <c r="O112" s="0" t="str">
        <f aca="false">IFERROR(IF(maxifs(Documents!$E$2:$E$1421,Documents!$A$2:$A$1421,$A112,Documents!$C$2:$C$1421,"all_inclusive")=0,"",maxifs(Documents!$E$2:$E$1421,Documents!$A$2:$A$1421,$A112,Documents!$C$2:$C$1421,"all_inclusive")),"")</f>
        <v/>
      </c>
      <c r="P112" s="0" t="str">
        <f aca="false">IFERROR(IF(maxifs(Documents!$E$2:$E$1421,Documents!$A$2:$A$1421,$A112,Documents!$C$2:$C$1421,"sustainability")=0,"",maxifs(Documents!$E$2:$E$1421,Documents!$A$2:$A$1421,$A112,Documents!$C$2:$C$1421,"sustainability")),"")</f>
        <v/>
      </c>
      <c r="Q112" s="0" t="str">
        <f aca="false">IFERROR(IF(maxifs(Documents!$E$2:$E$1421,Documents!$A$2:$A$1421,$A112,Documents!$C$2:$C$1421,"calendar")=0,"",maxifs(Documents!$E$2:$E$1421,Documents!$A$2:$A$1421,$A112,Documents!$C$2:$C$1421,"calendar")),"")</f>
        <v/>
      </c>
      <c r="R112" s="0" t="str">
        <f aca="false">IFERROR(IF(maxifs(Documents!$E$2:$E$1421,Documents!$A$2:$A$1421,$A112,Documents!$C$2:$C$1421,"brochure")=0,"",maxifs(Documents!$E$2:$E$1421,Documents!$A$2:$A$1421,$A112,Documents!$C$2:$C$1421,"brochure")),"")</f>
        <v/>
      </c>
      <c r="S112" s="0" t="str">
        <f aca="false">IFERROR(IF(maxifs(Documents!$E$2:$E$1421,Documents!$A$2:$A$1421,$A112,Documents!$C$2:$C$1421,"press_kit")=0,"",maxifs(Documents!$E$2:$E$1421,Documents!$A$2:$A$1421,$A112,Documents!$C$2:$C$1421,"press_kit")),"")</f>
        <v/>
      </c>
      <c r="T112" s="0" t="str">
        <f aca="false">IFERROR(IF(maxifs(Documents!$E$2:$E$1421,Documents!$A$2:$A$1421,$A112,Documents!$C$2:$C$1421,"other")=0,"",maxifs(Documents!$E$2:$E$1421,Documents!$A$2:$A$1421,$A112,Documents!$C$2:$C$1421,"other")),"")</f>
        <v/>
      </c>
      <c r="U112" s="0" t="str">
        <f aca="false">IFERROR(IF(maxifs(Documents!$E$2:$E$1421,Documents!$A$2:$A$1421,$A112,Documents!$C$2:$C$1421,"obsolete")=0,"",maxifs(Documents!$E$2:$E$1421,Documents!$A$2:$A$1421,$A112,Documents!$C$2:$C$1421,"obsolete")),"")</f>
        <v/>
      </c>
      <c r="V112" s="0" t="n">
        <f aca="false">COUNTIFS(Documents!$A$2:$A$1421,$A112)</f>
        <v>2</v>
      </c>
      <c r="W112" s="0" t="n">
        <f aca="false">COUNTIFS(Documents!$A$2:$A$1421,$A112,Documents!$R$2:$R$1421,"current")</f>
        <v>0</v>
      </c>
      <c r="X112" s="0" t="str">
        <f aca="false">HYPERLINK("https://www.neoscapesmaldives.com/wp-content/uploads/Huvafen-Fushi-Factsheet-2020-Digital_rdc.pdf","2020_Huvafen-Fushi-Factsheet-2020-Digita")</f>
        <v>2020_Huvafen-Fushi-Factsheet-2020-Digita</v>
      </c>
      <c r="Y112" s="0" t="s">
        <v>28</v>
      </c>
    </row>
    <row r="113" customFormat="false" ht="15" hidden="false" customHeight="false" outlineLevel="0" collapsed="false">
      <c r="A113" s="0" t="n">
        <v>112</v>
      </c>
      <c r="B113" s="0" t="s">
        <v>166</v>
      </c>
      <c r="C113" s="0" t="s">
        <v>112</v>
      </c>
      <c r="D113" s="0" t="str">
        <f aca="false">IFERROR(IF(maxifs(Documents!$E$2:$E$1421,Documents!$A$2:$A$1421,$A113,Documents!$C$2:$C$1421,"factsheet")=0,"",maxifs(Documents!$E$2:$E$1421,Documents!$A$2:$A$1421,$A113,Documents!$C$2:$C$1421,"factsheet")),"")</f>
        <v/>
      </c>
      <c r="E113" s="0" t="str">
        <f aca="false">IFERROR(IF(maxifs(Documents!$E$2:$E$1421,Documents!$A$2:$A$1421,$A113,Documents!$C$2:$C$1421,"wedding")=0,"",maxifs(Documents!$E$2:$E$1421,Documents!$A$2:$A$1421,$A113,Documents!$C$2:$C$1421,"wedding")),"")</f>
        <v/>
      </c>
      <c r="F113" s="0" t="str">
        <f aca="false">IFERROR(IF(maxifs(Documents!$E$2:$E$1421,Documents!$A$2:$A$1421,$A113,Documents!$C$2:$C$1421,"events")=0,"",maxifs(Documents!$E$2:$E$1421,Documents!$A$2:$A$1421,$A113,Documents!$C$2:$C$1421,"events")),"")</f>
        <v/>
      </c>
      <c r="G113" s="0" t="str">
        <f aca="false">IFERROR(IF(maxifs(Documents!$E$2:$E$1421,Documents!$A$2:$A$1421,$A113,Documents!$C$2:$C$1421,"map")=0,"",maxifs(Documents!$E$2:$E$1421,Documents!$A$2:$A$1421,$A113,Documents!$C$2:$C$1421,"map")),"")</f>
        <v/>
      </c>
      <c r="H113" s="0" t="str">
        <f aca="false">IFERROR(IF(maxifs(Documents!$E$2:$E$1421,Documents!$A$2:$A$1421,$A113,Documents!$C$2:$C$1421,"dive_map")=0,"",maxifs(Documents!$E$2:$E$1421,Documents!$A$2:$A$1421,$A113,Documents!$C$2:$C$1421,"dive_map")),"")</f>
        <v/>
      </c>
      <c r="I113" s="0" t="str">
        <f aca="false">IFERROR(IF(maxifs(Documents!$E$2:$E$1421,Documents!$A$2:$A$1421,$A113,Documents!$C$2:$C$1421,"spa_menu")=0,"",maxifs(Documents!$E$2:$E$1421,Documents!$A$2:$A$1421,$A113,Documents!$C$2:$C$1421,"spa_menu")),"")</f>
        <v/>
      </c>
      <c r="J113" s="0" t="str">
        <f aca="false">IFERROR(IF(maxifs(Documents!$E$2:$E$1421,Documents!$A$2:$A$1421,$A113,Documents!$C$2:$C$1421,"dining_menu")=0,"",maxifs(Documents!$E$2:$E$1421,Documents!$A$2:$A$1421,$A113,Documents!$C$2:$C$1421,"dining_menu")),"")</f>
        <v/>
      </c>
      <c r="K113" s="0" t="str">
        <f aca="false">IFERROR(IF(maxifs(Documents!$E$2:$E$1421,Documents!$A$2:$A$1421,$A113,Documents!$C$2:$C$1421,"dive_prices")=0,"",maxifs(Documents!$E$2:$E$1421,Documents!$A$2:$A$1421,$A113,Documents!$C$2:$C$1421,"dive_prices")),"")</f>
        <v/>
      </c>
      <c r="L113" s="0" t="str">
        <f aca="false">IFERROR(IF(maxifs(Documents!$E$2:$E$1421,Documents!$A$2:$A$1421,$A113,Documents!$C$2:$C$1421,"excursions")=0,"",maxifs(Documents!$E$2:$E$1421,Documents!$A$2:$A$1421,$A113,Documents!$C$2:$C$1421,"excursions")),"")</f>
        <v/>
      </c>
      <c r="M113" s="0" t="str">
        <f aca="false">IFERROR(IF(maxifs(Documents!$E$2:$E$1421,Documents!$A$2:$A$1421,$A113,Documents!$C$2:$C$1421,"kids")=0,"",maxifs(Documents!$E$2:$E$1421,Documents!$A$2:$A$1421,$A113,Documents!$C$2:$C$1421,"kids")),"")</f>
        <v/>
      </c>
      <c r="N113" s="0" t="str">
        <f aca="false">IFERROR(IF(maxifs(Documents!$E$2:$E$1421,Documents!$A$2:$A$1421,$A113,Documents!$C$2:$C$1421,"villa_plans")=0,"",maxifs(Documents!$E$2:$E$1421,Documents!$A$2:$A$1421,$A113,Documents!$C$2:$C$1421,"villa_plans")),"")</f>
        <v/>
      </c>
      <c r="O113" s="0" t="str">
        <f aca="false">IFERROR(IF(maxifs(Documents!$E$2:$E$1421,Documents!$A$2:$A$1421,$A113,Documents!$C$2:$C$1421,"all_inclusive")=0,"",maxifs(Documents!$E$2:$E$1421,Documents!$A$2:$A$1421,$A113,Documents!$C$2:$C$1421,"all_inclusive")),"")</f>
        <v/>
      </c>
      <c r="P113" s="0" t="str">
        <f aca="false">IFERROR(IF(maxifs(Documents!$E$2:$E$1421,Documents!$A$2:$A$1421,$A113,Documents!$C$2:$C$1421,"sustainability")=0,"",maxifs(Documents!$E$2:$E$1421,Documents!$A$2:$A$1421,$A113,Documents!$C$2:$C$1421,"sustainability")),"")</f>
        <v/>
      </c>
      <c r="Q113" s="0" t="str">
        <f aca="false">IFERROR(IF(maxifs(Documents!$E$2:$E$1421,Documents!$A$2:$A$1421,$A113,Documents!$C$2:$C$1421,"calendar")=0,"",maxifs(Documents!$E$2:$E$1421,Documents!$A$2:$A$1421,$A113,Documents!$C$2:$C$1421,"calendar")),"")</f>
        <v/>
      </c>
      <c r="R113" s="0" t="str">
        <f aca="false">IFERROR(IF(maxifs(Documents!$E$2:$E$1421,Documents!$A$2:$A$1421,$A113,Documents!$C$2:$C$1421,"brochure")=0,"",maxifs(Documents!$E$2:$E$1421,Documents!$A$2:$A$1421,$A113,Documents!$C$2:$C$1421,"brochure")),"")</f>
        <v/>
      </c>
      <c r="S113" s="0" t="str">
        <f aca="false">IFERROR(IF(maxifs(Documents!$E$2:$E$1421,Documents!$A$2:$A$1421,$A113,Documents!$C$2:$C$1421,"press_kit")=0,"",maxifs(Documents!$E$2:$E$1421,Documents!$A$2:$A$1421,$A113,Documents!$C$2:$C$1421,"press_kit")),"")</f>
        <v/>
      </c>
      <c r="T113" s="0" t="str">
        <f aca="false">IFERROR(IF(maxifs(Documents!$E$2:$E$1421,Documents!$A$2:$A$1421,$A113,Documents!$C$2:$C$1421,"other")=0,"",maxifs(Documents!$E$2:$E$1421,Documents!$A$2:$A$1421,$A113,Documents!$C$2:$C$1421,"other")),"")</f>
        <v/>
      </c>
      <c r="U113" s="0" t="str">
        <f aca="false">IFERROR(IF(maxifs(Documents!$E$2:$E$1421,Documents!$A$2:$A$1421,$A113,Documents!$C$2:$C$1421,"obsolete")=0,"",maxifs(Documents!$E$2:$E$1421,Documents!$A$2:$A$1421,$A113,Documents!$C$2:$C$1421,"obsolete")),"")</f>
        <v/>
      </c>
      <c r="V113" s="0" t="n">
        <f aca="false">COUNTIFS(Documents!$A$2:$A$1421,$A113)</f>
        <v>2</v>
      </c>
      <c r="W113" s="0" t="n">
        <f aca="false">COUNTIFS(Documents!$A$2:$A$1421,$A113,Documents!$R$2:$R$1421,"current")</f>
        <v>0</v>
      </c>
      <c r="X113" s="0" t="str">
        <f aca="false">HYPERLINK("https://www.neoscapesmaldives.com/wp-content/uploads/NIKA-FACT-SHEET-Nika-Island-Resort.pdf","2020_NIKA-FACT-SHEET-Nika-Island-Resort.")</f>
        <v>2020_NIKA-FACT-SHEET-Nika-Island-Resort.</v>
      </c>
      <c r="Y113" s="0" t="s">
        <v>28</v>
      </c>
    </row>
    <row r="114" customFormat="false" ht="15" hidden="false" customHeight="false" outlineLevel="0" collapsed="false">
      <c r="A114" s="0" t="n">
        <v>113</v>
      </c>
      <c r="B114" s="0" t="s">
        <v>167</v>
      </c>
      <c r="C114" s="0" t="s">
        <v>112</v>
      </c>
      <c r="D114" s="0" t="str">
        <f aca="false">IFERROR(IF(maxifs(Documents!$E$2:$E$1421,Documents!$A$2:$A$1421,$A114,Documents!$C$2:$C$1421,"factsheet")=0,"",maxifs(Documents!$E$2:$E$1421,Documents!$A$2:$A$1421,$A114,Documents!$C$2:$C$1421,"factsheet")),"")</f>
        <v/>
      </c>
      <c r="E114" s="0" t="str">
        <f aca="false">IFERROR(IF(maxifs(Documents!$E$2:$E$1421,Documents!$A$2:$A$1421,$A114,Documents!$C$2:$C$1421,"wedding")=0,"",maxifs(Documents!$E$2:$E$1421,Documents!$A$2:$A$1421,$A114,Documents!$C$2:$C$1421,"wedding")),"")</f>
        <v/>
      </c>
      <c r="F114" s="0" t="str">
        <f aca="false">IFERROR(IF(maxifs(Documents!$E$2:$E$1421,Documents!$A$2:$A$1421,$A114,Documents!$C$2:$C$1421,"events")=0,"",maxifs(Documents!$E$2:$E$1421,Documents!$A$2:$A$1421,$A114,Documents!$C$2:$C$1421,"events")),"")</f>
        <v/>
      </c>
      <c r="G114" s="0" t="str">
        <f aca="false">IFERROR(IF(maxifs(Documents!$E$2:$E$1421,Documents!$A$2:$A$1421,$A114,Documents!$C$2:$C$1421,"map")=0,"",maxifs(Documents!$E$2:$E$1421,Documents!$A$2:$A$1421,$A114,Documents!$C$2:$C$1421,"map")),"")</f>
        <v/>
      </c>
      <c r="H114" s="0" t="str">
        <f aca="false">IFERROR(IF(maxifs(Documents!$E$2:$E$1421,Documents!$A$2:$A$1421,$A114,Documents!$C$2:$C$1421,"dive_map")=0,"",maxifs(Documents!$E$2:$E$1421,Documents!$A$2:$A$1421,$A114,Documents!$C$2:$C$1421,"dive_map")),"")</f>
        <v/>
      </c>
      <c r="I114" s="0" t="str">
        <f aca="false">IFERROR(IF(maxifs(Documents!$E$2:$E$1421,Documents!$A$2:$A$1421,$A114,Documents!$C$2:$C$1421,"spa_menu")=0,"",maxifs(Documents!$E$2:$E$1421,Documents!$A$2:$A$1421,$A114,Documents!$C$2:$C$1421,"spa_menu")),"")</f>
        <v/>
      </c>
      <c r="J114" s="0" t="str">
        <f aca="false">IFERROR(IF(maxifs(Documents!$E$2:$E$1421,Documents!$A$2:$A$1421,$A114,Documents!$C$2:$C$1421,"dining_menu")=0,"",maxifs(Documents!$E$2:$E$1421,Documents!$A$2:$A$1421,$A114,Documents!$C$2:$C$1421,"dining_menu")),"")</f>
        <v/>
      </c>
      <c r="K114" s="0" t="str">
        <f aca="false">IFERROR(IF(maxifs(Documents!$E$2:$E$1421,Documents!$A$2:$A$1421,$A114,Documents!$C$2:$C$1421,"dive_prices")=0,"",maxifs(Documents!$E$2:$E$1421,Documents!$A$2:$A$1421,$A114,Documents!$C$2:$C$1421,"dive_prices")),"")</f>
        <v/>
      </c>
      <c r="L114" s="0" t="str">
        <f aca="false">IFERROR(IF(maxifs(Documents!$E$2:$E$1421,Documents!$A$2:$A$1421,$A114,Documents!$C$2:$C$1421,"excursions")=0,"",maxifs(Documents!$E$2:$E$1421,Documents!$A$2:$A$1421,$A114,Documents!$C$2:$C$1421,"excursions")),"")</f>
        <v/>
      </c>
      <c r="M114" s="0" t="str">
        <f aca="false">IFERROR(IF(maxifs(Documents!$E$2:$E$1421,Documents!$A$2:$A$1421,$A114,Documents!$C$2:$C$1421,"kids")=0,"",maxifs(Documents!$E$2:$E$1421,Documents!$A$2:$A$1421,$A114,Documents!$C$2:$C$1421,"kids")),"")</f>
        <v/>
      </c>
      <c r="N114" s="0" t="str">
        <f aca="false">IFERROR(IF(maxifs(Documents!$E$2:$E$1421,Documents!$A$2:$A$1421,$A114,Documents!$C$2:$C$1421,"villa_plans")=0,"",maxifs(Documents!$E$2:$E$1421,Documents!$A$2:$A$1421,$A114,Documents!$C$2:$C$1421,"villa_plans")),"")</f>
        <v/>
      </c>
      <c r="O114" s="0" t="str">
        <f aca="false">IFERROR(IF(maxifs(Documents!$E$2:$E$1421,Documents!$A$2:$A$1421,$A114,Documents!$C$2:$C$1421,"all_inclusive")=0,"",maxifs(Documents!$E$2:$E$1421,Documents!$A$2:$A$1421,$A114,Documents!$C$2:$C$1421,"all_inclusive")),"")</f>
        <v/>
      </c>
      <c r="P114" s="0" t="str">
        <f aca="false">IFERROR(IF(maxifs(Documents!$E$2:$E$1421,Documents!$A$2:$A$1421,$A114,Documents!$C$2:$C$1421,"sustainability")=0,"",maxifs(Documents!$E$2:$E$1421,Documents!$A$2:$A$1421,$A114,Documents!$C$2:$C$1421,"sustainability")),"")</f>
        <v/>
      </c>
      <c r="Q114" s="0" t="str">
        <f aca="false">IFERROR(IF(maxifs(Documents!$E$2:$E$1421,Documents!$A$2:$A$1421,$A114,Documents!$C$2:$C$1421,"calendar")=0,"",maxifs(Documents!$E$2:$E$1421,Documents!$A$2:$A$1421,$A114,Documents!$C$2:$C$1421,"calendar")),"")</f>
        <v/>
      </c>
      <c r="R114" s="0" t="str">
        <f aca="false">IFERROR(IF(maxifs(Documents!$E$2:$E$1421,Documents!$A$2:$A$1421,$A114,Documents!$C$2:$C$1421,"brochure")=0,"",maxifs(Documents!$E$2:$E$1421,Documents!$A$2:$A$1421,$A114,Documents!$C$2:$C$1421,"brochure")),"")</f>
        <v/>
      </c>
      <c r="S114" s="0" t="str">
        <f aca="false">IFERROR(IF(maxifs(Documents!$E$2:$E$1421,Documents!$A$2:$A$1421,$A114,Documents!$C$2:$C$1421,"press_kit")=0,"",maxifs(Documents!$E$2:$E$1421,Documents!$A$2:$A$1421,$A114,Documents!$C$2:$C$1421,"press_kit")),"")</f>
        <v/>
      </c>
      <c r="T114" s="0" t="str">
        <f aca="false">IFERROR(IF(maxifs(Documents!$E$2:$E$1421,Documents!$A$2:$A$1421,$A114,Documents!$C$2:$C$1421,"other")=0,"",maxifs(Documents!$E$2:$E$1421,Documents!$A$2:$A$1421,$A114,Documents!$C$2:$C$1421,"other")),"")</f>
        <v/>
      </c>
      <c r="U114" s="0" t="str">
        <f aca="false">IFERROR(IF(maxifs(Documents!$E$2:$E$1421,Documents!$A$2:$A$1421,$A114,Documents!$C$2:$C$1421,"obsolete")=0,"",maxifs(Documents!$E$2:$E$1421,Documents!$A$2:$A$1421,$A114,Documents!$C$2:$C$1421,"obsolete")),"")</f>
        <v/>
      </c>
      <c r="V114" s="0" t="n">
        <f aca="false">COUNTIFS(Documents!$A$2:$A$1421,$A114)</f>
        <v>0</v>
      </c>
      <c r="W114" s="0" t="n">
        <f aca="false">COUNTIFS(Documents!$A$2:$A$1421,$A114,Documents!$R$2:$R$1421,"current")</f>
        <v>0</v>
      </c>
      <c r="Y114" s="0" t="s">
        <v>31</v>
      </c>
    </row>
    <row r="115" customFormat="false" ht="15" hidden="false" customHeight="false" outlineLevel="0" collapsed="false">
      <c r="A115" s="0" t="n">
        <v>114</v>
      </c>
      <c r="B115" s="0" t="s">
        <v>168</v>
      </c>
      <c r="C115" s="0" t="s">
        <v>112</v>
      </c>
      <c r="D115" s="0" t="str">
        <f aca="false">IFERROR(IF(maxifs(Documents!$E$2:$E$1421,Documents!$A$2:$A$1421,$A115,Documents!$C$2:$C$1421,"factsheet")=0,"",maxifs(Documents!$E$2:$E$1421,Documents!$A$2:$A$1421,$A115,Documents!$C$2:$C$1421,"factsheet")),"")</f>
        <v/>
      </c>
      <c r="E115" s="0" t="str">
        <f aca="false">IFERROR(IF(maxifs(Documents!$E$2:$E$1421,Documents!$A$2:$A$1421,$A115,Documents!$C$2:$C$1421,"wedding")=0,"",maxifs(Documents!$E$2:$E$1421,Documents!$A$2:$A$1421,$A115,Documents!$C$2:$C$1421,"wedding")),"")</f>
        <v/>
      </c>
      <c r="F115" s="0" t="str">
        <f aca="false">IFERROR(IF(maxifs(Documents!$E$2:$E$1421,Documents!$A$2:$A$1421,$A115,Documents!$C$2:$C$1421,"events")=0,"",maxifs(Documents!$E$2:$E$1421,Documents!$A$2:$A$1421,$A115,Documents!$C$2:$C$1421,"events")),"")</f>
        <v/>
      </c>
      <c r="G115" s="0" t="str">
        <f aca="false">IFERROR(IF(maxifs(Documents!$E$2:$E$1421,Documents!$A$2:$A$1421,$A115,Documents!$C$2:$C$1421,"map")=0,"",maxifs(Documents!$E$2:$E$1421,Documents!$A$2:$A$1421,$A115,Documents!$C$2:$C$1421,"map")),"")</f>
        <v/>
      </c>
      <c r="H115" s="0" t="str">
        <f aca="false">IFERROR(IF(maxifs(Documents!$E$2:$E$1421,Documents!$A$2:$A$1421,$A115,Documents!$C$2:$C$1421,"dive_map")=0,"",maxifs(Documents!$E$2:$E$1421,Documents!$A$2:$A$1421,$A115,Documents!$C$2:$C$1421,"dive_map")),"")</f>
        <v/>
      </c>
      <c r="I115" s="0" t="str">
        <f aca="false">IFERROR(IF(maxifs(Documents!$E$2:$E$1421,Documents!$A$2:$A$1421,$A115,Documents!$C$2:$C$1421,"spa_menu")=0,"",maxifs(Documents!$E$2:$E$1421,Documents!$A$2:$A$1421,$A115,Documents!$C$2:$C$1421,"spa_menu")),"")</f>
        <v/>
      </c>
      <c r="J115" s="0" t="str">
        <f aca="false">IFERROR(IF(maxifs(Documents!$E$2:$E$1421,Documents!$A$2:$A$1421,$A115,Documents!$C$2:$C$1421,"dining_menu")=0,"",maxifs(Documents!$E$2:$E$1421,Documents!$A$2:$A$1421,$A115,Documents!$C$2:$C$1421,"dining_menu")),"")</f>
        <v/>
      </c>
      <c r="K115" s="0" t="str">
        <f aca="false">IFERROR(IF(maxifs(Documents!$E$2:$E$1421,Documents!$A$2:$A$1421,$A115,Documents!$C$2:$C$1421,"dive_prices")=0,"",maxifs(Documents!$E$2:$E$1421,Documents!$A$2:$A$1421,$A115,Documents!$C$2:$C$1421,"dive_prices")),"")</f>
        <v/>
      </c>
      <c r="L115" s="0" t="str">
        <f aca="false">IFERROR(IF(maxifs(Documents!$E$2:$E$1421,Documents!$A$2:$A$1421,$A115,Documents!$C$2:$C$1421,"excursions")=0,"",maxifs(Documents!$E$2:$E$1421,Documents!$A$2:$A$1421,$A115,Documents!$C$2:$C$1421,"excursions")),"")</f>
        <v/>
      </c>
      <c r="M115" s="0" t="str">
        <f aca="false">IFERROR(IF(maxifs(Documents!$E$2:$E$1421,Documents!$A$2:$A$1421,$A115,Documents!$C$2:$C$1421,"kids")=0,"",maxifs(Documents!$E$2:$E$1421,Documents!$A$2:$A$1421,$A115,Documents!$C$2:$C$1421,"kids")),"")</f>
        <v/>
      </c>
      <c r="N115" s="0" t="str">
        <f aca="false">IFERROR(IF(maxifs(Documents!$E$2:$E$1421,Documents!$A$2:$A$1421,$A115,Documents!$C$2:$C$1421,"villa_plans")=0,"",maxifs(Documents!$E$2:$E$1421,Documents!$A$2:$A$1421,$A115,Documents!$C$2:$C$1421,"villa_plans")),"")</f>
        <v/>
      </c>
      <c r="O115" s="0" t="str">
        <f aca="false">IFERROR(IF(maxifs(Documents!$E$2:$E$1421,Documents!$A$2:$A$1421,$A115,Documents!$C$2:$C$1421,"all_inclusive")=0,"",maxifs(Documents!$E$2:$E$1421,Documents!$A$2:$A$1421,$A115,Documents!$C$2:$C$1421,"all_inclusive")),"")</f>
        <v/>
      </c>
      <c r="P115" s="0" t="str">
        <f aca="false">IFERROR(IF(maxifs(Documents!$E$2:$E$1421,Documents!$A$2:$A$1421,$A115,Documents!$C$2:$C$1421,"sustainability")=0,"",maxifs(Documents!$E$2:$E$1421,Documents!$A$2:$A$1421,$A115,Documents!$C$2:$C$1421,"sustainability")),"")</f>
        <v/>
      </c>
      <c r="Q115" s="0" t="str">
        <f aca="false">IFERROR(IF(maxifs(Documents!$E$2:$E$1421,Documents!$A$2:$A$1421,$A115,Documents!$C$2:$C$1421,"calendar")=0,"",maxifs(Documents!$E$2:$E$1421,Documents!$A$2:$A$1421,$A115,Documents!$C$2:$C$1421,"calendar")),"")</f>
        <v/>
      </c>
      <c r="R115" s="0" t="str">
        <f aca="false">IFERROR(IF(maxifs(Documents!$E$2:$E$1421,Documents!$A$2:$A$1421,$A115,Documents!$C$2:$C$1421,"brochure")=0,"",maxifs(Documents!$E$2:$E$1421,Documents!$A$2:$A$1421,$A115,Documents!$C$2:$C$1421,"brochure")),"")</f>
        <v/>
      </c>
      <c r="S115" s="0" t="str">
        <f aca="false">IFERROR(IF(maxifs(Documents!$E$2:$E$1421,Documents!$A$2:$A$1421,$A115,Documents!$C$2:$C$1421,"press_kit")=0,"",maxifs(Documents!$E$2:$E$1421,Documents!$A$2:$A$1421,$A115,Documents!$C$2:$C$1421,"press_kit")),"")</f>
        <v/>
      </c>
      <c r="T115" s="0" t="str">
        <f aca="false">IFERROR(IF(maxifs(Documents!$E$2:$E$1421,Documents!$A$2:$A$1421,$A115,Documents!$C$2:$C$1421,"other")=0,"",maxifs(Documents!$E$2:$E$1421,Documents!$A$2:$A$1421,$A115,Documents!$C$2:$C$1421,"other")),"")</f>
        <v/>
      </c>
      <c r="U115" s="0" t="str">
        <f aca="false">IFERROR(IF(maxifs(Documents!$E$2:$E$1421,Documents!$A$2:$A$1421,$A115,Documents!$C$2:$C$1421,"obsolete")=0,"",maxifs(Documents!$E$2:$E$1421,Documents!$A$2:$A$1421,$A115,Documents!$C$2:$C$1421,"obsolete")),"")</f>
        <v/>
      </c>
      <c r="V115" s="0" t="n">
        <f aca="false">COUNTIFS(Documents!$A$2:$A$1421,$A115)</f>
        <v>0</v>
      </c>
      <c r="W115" s="0" t="n">
        <f aca="false">COUNTIFS(Documents!$A$2:$A$1421,$A115,Documents!$R$2:$R$1421,"current")</f>
        <v>0</v>
      </c>
      <c r="Y115" s="0" t="s">
        <v>31</v>
      </c>
    </row>
    <row r="116" customFormat="false" ht="15" hidden="false" customHeight="false" outlineLevel="0" collapsed="false">
      <c r="A116" s="0" t="n">
        <v>115</v>
      </c>
      <c r="B116" s="0" t="s">
        <v>169</v>
      </c>
      <c r="C116" s="0" t="s">
        <v>112</v>
      </c>
      <c r="D116" s="0" t="str">
        <f aca="false">IFERROR(IF(maxifs(Documents!$E$2:$E$1421,Documents!$A$2:$A$1421,$A116,Documents!$C$2:$C$1421,"factsheet")=0,"",maxifs(Documents!$E$2:$E$1421,Documents!$A$2:$A$1421,$A116,Documents!$C$2:$C$1421,"factsheet")),"")</f>
        <v/>
      </c>
      <c r="E116" s="0" t="str">
        <f aca="false">IFERROR(IF(maxifs(Documents!$E$2:$E$1421,Documents!$A$2:$A$1421,$A116,Documents!$C$2:$C$1421,"wedding")=0,"",maxifs(Documents!$E$2:$E$1421,Documents!$A$2:$A$1421,$A116,Documents!$C$2:$C$1421,"wedding")),"")</f>
        <v/>
      </c>
      <c r="F116" s="0" t="str">
        <f aca="false">IFERROR(IF(maxifs(Documents!$E$2:$E$1421,Documents!$A$2:$A$1421,$A116,Documents!$C$2:$C$1421,"events")=0,"",maxifs(Documents!$E$2:$E$1421,Documents!$A$2:$A$1421,$A116,Documents!$C$2:$C$1421,"events")),"")</f>
        <v/>
      </c>
      <c r="G116" s="0" t="str">
        <f aca="false">IFERROR(IF(maxifs(Documents!$E$2:$E$1421,Documents!$A$2:$A$1421,$A116,Documents!$C$2:$C$1421,"map")=0,"",maxifs(Documents!$E$2:$E$1421,Documents!$A$2:$A$1421,$A116,Documents!$C$2:$C$1421,"map")),"")</f>
        <v/>
      </c>
      <c r="H116" s="0" t="str">
        <f aca="false">IFERROR(IF(maxifs(Documents!$E$2:$E$1421,Documents!$A$2:$A$1421,$A116,Documents!$C$2:$C$1421,"dive_map")=0,"",maxifs(Documents!$E$2:$E$1421,Documents!$A$2:$A$1421,$A116,Documents!$C$2:$C$1421,"dive_map")),"")</f>
        <v/>
      </c>
      <c r="I116" s="0" t="str">
        <f aca="false">IFERROR(IF(maxifs(Documents!$E$2:$E$1421,Documents!$A$2:$A$1421,$A116,Documents!$C$2:$C$1421,"spa_menu")=0,"",maxifs(Documents!$E$2:$E$1421,Documents!$A$2:$A$1421,$A116,Documents!$C$2:$C$1421,"spa_menu")),"")</f>
        <v/>
      </c>
      <c r="J116" s="0" t="str">
        <f aca="false">IFERROR(IF(maxifs(Documents!$E$2:$E$1421,Documents!$A$2:$A$1421,$A116,Documents!$C$2:$C$1421,"dining_menu")=0,"",maxifs(Documents!$E$2:$E$1421,Documents!$A$2:$A$1421,$A116,Documents!$C$2:$C$1421,"dining_menu")),"")</f>
        <v/>
      </c>
      <c r="K116" s="0" t="str">
        <f aca="false">IFERROR(IF(maxifs(Documents!$E$2:$E$1421,Documents!$A$2:$A$1421,$A116,Documents!$C$2:$C$1421,"dive_prices")=0,"",maxifs(Documents!$E$2:$E$1421,Documents!$A$2:$A$1421,$A116,Documents!$C$2:$C$1421,"dive_prices")),"")</f>
        <v/>
      </c>
      <c r="L116" s="0" t="str">
        <f aca="false">IFERROR(IF(maxifs(Documents!$E$2:$E$1421,Documents!$A$2:$A$1421,$A116,Documents!$C$2:$C$1421,"excursions")=0,"",maxifs(Documents!$E$2:$E$1421,Documents!$A$2:$A$1421,$A116,Documents!$C$2:$C$1421,"excursions")),"")</f>
        <v/>
      </c>
      <c r="M116" s="0" t="str">
        <f aca="false">IFERROR(IF(maxifs(Documents!$E$2:$E$1421,Documents!$A$2:$A$1421,$A116,Documents!$C$2:$C$1421,"kids")=0,"",maxifs(Documents!$E$2:$E$1421,Documents!$A$2:$A$1421,$A116,Documents!$C$2:$C$1421,"kids")),"")</f>
        <v/>
      </c>
      <c r="N116" s="0" t="str">
        <f aca="false">IFERROR(IF(maxifs(Documents!$E$2:$E$1421,Documents!$A$2:$A$1421,$A116,Documents!$C$2:$C$1421,"villa_plans")=0,"",maxifs(Documents!$E$2:$E$1421,Documents!$A$2:$A$1421,$A116,Documents!$C$2:$C$1421,"villa_plans")),"")</f>
        <v/>
      </c>
      <c r="O116" s="0" t="str">
        <f aca="false">IFERROR(IF(maxifs(Documents!$E$2:$E$1421,Documents!$A$2:$A$1421,$A116,Documents!$C$2:$C$1421,"all_inclusive")=0,"",maxifs(Documents!$E$2:$E$1421,Documents!$A$2:$A$1421,$A116,Documents!$C$2:$C$1421,"all_inclusive")),"")</f>
        <v/>
      </c>
      <c r="P116" s="0" t="str">
        <f aca="false">IFERROR(IF(maxifs(Documents!$E$2:$E$1421,Documents!$A$2:$A$1421,$A116,Documents!$C$2:$C$1421,"sustainability")=0,"",maxifs(Documents!$E$2:$E$1421,Documents!$A$2:$A$1421,$A116,Documents!$C$2:$C$1421,"sustainability")),"")</f>
        <v/>
      </c>
      <c r="Q116" s="0" t="str">
        <f aca="false">IFERROR(IF(maxifs(Documents!$E$2:$E$1421,Documents!$A$2:$A$1421,$A116,Documents!$C$2:$C$1421,"calendar")=0,"",maxifs(Documents!$E$2:$E$1421,Documents!$A$2:$A$1421,$A116,Documents!$C$2:$C$1421,"calendar")),"")</f>
        <v/>
      </c>
      <c r="R116" s="0" t="str">
        <f aca="false">IFERROR(IF(maxifs(Documents!$E$2:$E$1421,Documents!$A$2:$A$1421,$A116,Documents!$C$2:$C$1421,"brochure")=0,"",maxifs(Documents!$E$2:$E$1421,Documents!$A$2:$A$1421,$A116,Documents!$C$2:$C$1421,"brochure")),"")</f>
        <v/>
      </c>
      <c r="S116" s="0" t="str">
        <f aca="false">IFERROR(IF(maxifs(Documents!$E$2:$E$1421,Documents!$A$2:$A$1421,$A116,Documents!$C$2:$C$1421,"press_kit")=0,"",maxifs(Documents!$E$2:$E$1421,Documents!$A$2:$A$1421,$A116,Documents!$C$2:$C$1421,"press_kit")),"")</f>
        <v/>
      </c>
      <c r="T116" s="0" t="str">
        <f aca="false">IFERROR(IF(maxifs(Documents!$E$2:$E$1421,Documents!$A$2:$A$1421,$A116,Documents!$C$2:$C$1421,"other")=0,"",maxifs(Documents!$E$2:$E$1421,Documents!$A$2:$A$1421,$A116,Documents!$C$2:$C$1421,"other")),"")</f>
        <v/>
      </c>
      <c r="U116" s="0" t="str">
        <f aca="false">IFERROR(IF(maxifs(Documents!$E$2:$E$1421,Documents!$A$2:$A$1421,$A116,Documents!$C$2:$C$1421,"obsolete")=0,"",maxifs(Documents!$E$2:$E$1421,Documents!$A$2:$A$1421,$A116,Documents!$C$2:$C$1421,"obsolete")),"")</f>
        <v/>
      </c>
      <c r="V116" s="0" t="n">
        <f aca="false">COUNTIFS(Documents!$A$2:$A$1421,$A116)</f>
        <v>4</v>
      </c>
      <c r="W116" s="0" t="n">
        <f aca="false">COUNTIFS(Documents!$A$2:$A$1421,$A116,Documents!$R$2:$R$1421,"current")</f>
        <v>3</v>
      </c>
      <c r="Y116" s="0" t="s">
        <v>31</v>
      </c>
    </row>
    <row r="117" customFormat="false" ht="15" hidden="false" customHeight="false" outlineLevel="0" collapsed="false">
      <c r="A117" s="0" t="n">
        <v>116</v>
      </c>
      <c r="B117" s="0" t="s">
        <v>170</v>
      </c>
      <c r="C117" s="0" t="s">
        <v>112</v>
      </c>
      <c r="D117" s="0" t="str">
        <f aca="false">IFERROR(IF(maxifs(Documents!$E$2:$E$1421,Documents!$A$2:$A$1421,$A117,Documents!$C$2:$C$1421,"factsheet")=0,"",maxifs(Documents!$E$2:$E$1421,Documents!$A$2:$A$1421,$A117,Documents!$C$2:$C$1421,"factsheet")),"")</f>
        <v/>
      </c>
      <c r="E117" s="0" t="str">
        <f aca="false">IFERROR(IF(maxifs(Documents!$E$2:$E$1421,Documents!$A$2:$A$1421,$A117,Documents!$C$2:$C$1421,"wedding")=0,"",maxifs(Documents!$E$2:$E$1421,Documents!$A$2:$A$1421,$A117,Documents!$C$2:$C$1421,"wedding")),"")</f>
        <v/>
      </c>
      <c r="F117" s="0" t="str">
        <f aca="false">IFERROR(IF(maxifs(Documents!$E$2:$E$1421,Documents!$A$2:$A$1421,$A117,Documents!$C$2:$C$1421,"events")=0,"",maxifs(Documents!$E$2:$E$1421,Documents!$A$2:$A$1421,$A117,Documents!$C$2:$C$1421,"events")),"")</f>
        <v/>
      </c>
      <c r="G117" s="0" t="str">
        <f aca="false">IFERROR(IF(maxifs(Documents!$E$2:$E$1421,Documents!$A$2:$A$1421,$A117,Documents!$C$2:$C$1421,"map")=0,"",maxifs(Documents!$E$2:$E$1421,Documents!$A$2:$A$1421,$A117,Documents!$C$2:$C$1421,"map")),"")</f>
        <v/>
      </c>
      <c r="H117" s="0" t="str">
        <f aca="false">IFERROR(IF(maxifs(Documents!$E$2:$E$1421,Documents!$A$2:$A$1421,$A117,Documents!$C$2:$C$1421,"dive_map")=0,"",maxifs(Documents!$E$2:$E$1421,Documents!$A$2:$A$1421,$A117,Documents!$C$2:$C$1421,"dive_map")),"")</f>
        <v/>
      </c>
      <c r="I117" s="0" t="str">
        <f aca="false">IFERROR(IF(maxifs(Documents!$E$2:$E$1421,Documents!$A$2:$A$1421,$A117,Documents!$C$2:$C$1421,"spa_menu")=0,"",maxifs(Documents!$E$2:$E$1421,Documents!$A$2:$A$1421,$A117,Documents!$C$2:$C$1421,"spa_menu")),"")</f>
        <v/>
      </c>
      <c r="J117" s="0" t="str">
        <f aca="false">IFERROR(IF(maxifs(Documents!$E$2:$E$1421,Documents!$A$2:$A$1421,$A117,Documents!$C$2:$C$1421,"dining_menu")=0,"",maxifs(Documents!$E$2:$E$1421,Documents!$A$2:$A$1421,$A117,Documents!$C$2:$C$1421,"dining_menu")),"")</f>
        <v/>
      </c>
      <c r="K117" s="0" t="str">
        <f aca="false">IFERROR(IF(maxifs(Documents!$E$2:$E$1421,Documents!$A$2:$A$1421,$A117,Documents!$C$2:$C$1421,"dive_prices")=0,"",maxifs(Documents!$E$2:$E$1421,Documents!$A$2:$A$1421,$A117,Documents!$C$2:$C$1421,"dive_prices")),"")</f>
        <v/>
      </c>
      <c r="L117" s="0" t="str">
        <f aca="false">IFERROR(IF(maxifs(Documents!$E$2:$E$1421,Documents!$A$2:$A$1421,$A117,Documents!$C$2:$C$1421,"excursions")=0,"",maxifs(Documents!$E$2:$E$1421,Documents!$A$2:$A$1421,$A117,Documents!$C$2:$C$1421,"excursions")),"")</f>
        <v/>
      </c>
      <c r="M117" s="0" t="str">
        <f aca="false">IFERROR(IF(maxifs(Documents!$E$2:$E$1421,Documents!$A$2:$A$1421,$A117,Documents!$C$2:$C$1421,"kids")=0,"",maxifs(Documents!$E$2:$E$1421,Documents!$A$2:$A$1421,$A117,Documents!$C$2:$C$1421,"kids")),"")</f>
        <v/>
      </c>
      <c r="N117" s="0" t="str">
        <f aca="false">IFERROR(IF(maxifs(Documents!$E$2:$E$1421,Documents!$A$2:$A$1421,$A117,Documents!$C$2:$C$1421,"villa_plans")=0,"",maxifs(Documents!$E$2:$E$1421,Documents!$A$2:$A$1421,$A117,Documents!$C$2:$C$1421,"villa_plans")),"")</f>
        <v/>
      </c>
      <c r="O117" s="0" t="str">
        <f aca="false">IFERROR(IF(maxifs(Documents!$E$2:$E$1421,Documents!$A$2:$A$1421,$A117,Documents!$C$2:$C$1421,"all_inclusive")=0,"",maxifs(Documents!$E$2:$E$1421,Documents!$A$2:$A$1421,$A117,Documents!$C$2:$C$1421,"all_inclusive")),"")</f>
        <v/>
      </c>
      <c r="P117" s="0" t="str">
        <f aca="false">IFERROR(IF(maxifs(Documents!$E$2:$E$1421,Documents!$A$2:$A$1421,$A117,Documents!$C$2:$C$1421,"sustainability")=0,"",maxifs(Documents!$E$2:$E$1421,Documents!$A$2:$A$1421,$A117,Documents!$C$2:$C$1421,"sustainability")),"")</f>
        <v/>
      </c>
      <c r="Q117" s="0" t="str">
        <f aca="false">IFERROR(IF(maxifs(Documents!$E$2:$E$1421,Documents!$A$2:$A$1421,$A117,Documents!$C$2:$C$1421,"calendar")=0,"",maxifs(Documents!$E$2:$E$1421,Documents!$A$2:$A$1421,$A117,Documents!$C$2:$C$1421,"calendar")),"")</f>
        <v/>
      </c>
      <c r="R117" s="0" t="str">
        <f aca="false">IFERROR(IF(maxifs(Documents!$E$2:$E$1421,Documents!$A$2:$A$1421,$A117,Documents!$C$2:$C$1421,"brochure")=0,"",maxifs(Documents!$E$2:$E$1421,Documents!$A$2:$A$1421,$A117,Documents!$C$2:$C$1421,"brochure")),"")</f>
        <v/>
      </c>
      <c r="S117" s="0" t="str">
        <f aca="false">IFERROR(IF(maxifs(Documents!$E$2:$E$1421,Documents!$A$2:$A$1421,$A117,Documents!$C$2:$C$1421,"press_kit")=0,"",maxifs(Documents!$E$2:$E$1421,Documents!$A$2:$A$1421,$A117,Documents!$C$2:$C$1421,"press_kit")),"")</f>
        <v/>
      </c>
      <c r="T117" s="0" t="str">
        <f aca="false">IFERROR(IF(maxifs(Documents!$E$2:$E$1421,Documents!$A$2:$A$1421,$A117,Documents!$C$2:$C$1421,"other")=0,"",maxifs(Documents!$E$2:$E$1421,Documents!$A$2:$A$1421,$A117,Documents!$C$2:$C$1421,"other")),"")</f>
        <v/>
      </c>
      <c r="U117" s="0" t="str">
        <f aca="false">IFERROR(IF(maxifs(Documents!$E$2:$E$1421,Documents!$A$2:$A$1421,$A117,Documents!$C$2:$C$1421,"obsolete")=0,"",maxifs(Documents!$E$2:$E$1421,Documents!$A$2:$A$1421,$A117,Documents!$C$2:$C$1421,"obsolete")),"")</f>
        <v/>
      </c>
      <c r="V117" s="0" t="n">
        <f aca="false">COUNTIFS(Documents!$A$2:$A$1421,$A117)</f>
        <v>27</v>
      </c>
      <c r="W117" s="0" t="n">
        <f aca="false">COUNTIFS(Documents!$A$2:$A$1421,$A117,Documents!$R$2:$R$1421,"current")</f>
        <v>21</v>
      </c>
      <c r="X117" s="0" t="str">
        <f aca="false">HYPERLINK("https://www.neoscapesmaldives.com/wp-content/uploads/Factsheet-Nova-Maldives-NEO.pdf","2022_Factsheet-Nova-Maldives-NEO.pdf")</f>
        <v>2022_Factsheet-Nova-Maldives-NEO.pdf</v>
      </c>
      <c r="Y117" s="0" t="s">
        <v>35</v>
      </c>
    </row>
    <row r="118" customFormat="false" ht="15" hidden="false" customHeight="false" outlineLevel="0" collapsed="false">
      <c r="A118" s="0" t="n">
        <v>117</v>
      </c>
      <c r="B118" s="0" t="s">
        <v>171</v>
      </c>
      <c r="C118" s="0" t="s">
        <v>112</v>
      </c>
      <c r="D118" s="0" t="str">
        <f aca="false">IFERROR(IF(maxifs(Documents!$E$2:$E$1421,Documents!$A$2:$A$1421,$A118,Documents!$C$2:$C$1421,"factsheet")=0,"",maxifs(Documents!$E$2:$E$1421,Documents!$A$2:$A$1421,$A118,Documents!$C$2:$C$1421,"factsheet")),"")</f>
        <v/>
      </c>
      <c r="E118" s="0" t="str">
        <f aca="false">IFERROR(IF(maxifs(Documents!$E$2:$E$1421,Documents!$A$2:$A$1421,$A118,Documents!$C$2:$C$1421,"wedding")=0,"",maxifs(Documents!$E$2:$E$1421,Documents!$A$2:$A$1421,$A118,Documents!$C$2:$C$1421,"wedding")),"")</f>
        <v/>
      </c>
      <c r="F118" s="0" t="str">
        <f aca="false">IFERROR(IF(maxifs(Documents!$E$2:$E$1421,Documents!$A$2:$A$1421,$A118,Documents!$C$2:$C$1421,"events")=0,"",maxifs(Documents!$E$2:$E$1421,Documents!$A$2:$A$1421,$A118,Documents!$C$2:$C$1421,"events")),"")</f>
        <v/>
      </c>
      <c r="G118" s="0" t="str">
        <f aca="false">IFERROR(IF(maxifs(Documents!$E$2:$E$1421,Documents!$A$2:$A$1421,$A118,Documents!$C$2:$C$1421,"map")=0,"",maxifs(Documents!$E$2:$E$1421,Documents!$A$2:$A$1421,$A118,Documents!$C$2:$C$1421,"map")),"")</f>
        <v/>
      </c>
      <c r="H118" s="0" t="str">
        <f aca="false">IFERROR(IF(maxifs(Documents!$E$2:$E$1421,Documents!$A$2:$A$1421,$A118,Documents!$C$2:$C$1421,"dive_map")=0,"",maxifs(Documents!$E$2:$E$1421,Documents!$A$2:$A$1421,$A118,Documents!$C$2:$C$1421,"dive_map")),"")</f>
        <v/>
      </c>
      <c r="I118" s="0" t="str">
        <f aca="false">IFERROR(IF(maxifs(Documents!$E$2:$E$1421,Documents!$A$2:$A$1421,$A118,Documents!$C$2:$C$1421,"spa_menu")=0,"",maxifs(Documents!$E$2:$E$1421,Documents!$A$2:$A$1421,$A118,Documents!$C$2:$C$1421,"spa_menu")),"")</f>
        <v/>
      </c>
      <c r="J118" s="0" t="str">
        <f aca="false">IFERROR(IF(maxifs(Documents!$E$2:$E$1421,Documents!$A$2:$A$1421,$A118,Documents!$C$2:$C$1421,"dining_menu")=0,"",maxifs(Documents!$E$2:$E$1421,Documents!$A$2:$A$1421,$A118,Documents!$C$2:$C$1421,"dining_menu")),"")</f>
        <v/>
      </c>
      <c r="K118" s="0" t="str">
        <f aca="false">IFERROR(IF(maxifs(Documents!$E$2:$E$1421,Documents!$A$2:$A$1421,$A118,Documents!$C$2:$C$1421,"dive_prices")=0,"",maxifs(Documents!$E$2:$E$1421,Documents!$A$2:$A$1421,$A118,Documents!$C$2:$C$1421,"dive_prices")),"")</f>
        <v/>
      </c>
      <c r="L118" s="0" t="str">
        <f aca="false">IFERROR(IF(maxifs(Documents!$E$2:$E$1421,Documents!$A$2:$A$1421,$A118,Documents!$C$2:$C$1421,"excursions")=0,"",maxifs(Documents!$E$2:$E$1421,Documents!$A$2:$A$1421,$A118,Documents!$C$2:$C$1421,"excursions")),"")</f>
        <v/>
      </c>
      <c r="M118" s="0" t="str">
        <f aca="false">IFERROR(IF(maxifs(Documents!$E$2:$E$1421,Documents!$A$2:$A$1421,$A118,Documents!$C$2:$C$1421,"kids")=0,"",maxifs(Documents!$E$2:$E$1421,Documents!$A$2:$A$1421,$A118,Documents!$C$2:$C$1421,"kids")),"")</f>
        <v/>
      </c>
      <c r="N118" s="0" t="str">
        <f aca="false">IFERROR(IF(maxifs(Documents!$E$2:$E$1421,Documents!$A$2:$A$1421,$A118,Documents!$C$2:$C$1421,"villa_plans")=0,"",maxifs(Documents!$E$2:$E$1421,Documents!$A$2:$A$1421,$A118,Documents!$C$2:$C$1421,"villa_plans")),"")</f>
        <v/>
      </c>
      <c r="O118" s="0" t="str">
        <f aca="false">IFERROR(IF(maxifs(Documents!$E$2:$E$1421,Documents!$A$2:$A$1421,$A118,Documents!$C$2:$C$1421,"all_inclusive")=0,"",maxifs(Documents!$E$2:$E$1421,Documents!$A$2:$A$1421,$A118,Documents!$C$2:$C$1421,"all_inclusive")),"")</f>
        <v/>
      </c>
      <c r="P118" s="0" t="str">
        <f aca="false">IFERROR(IF(maxifs(Documents!$E$2:$E$1421,Documents!$A$2:$A$1421,$A118,Documents!$C$2:$C$1421,"sustainability")=0,"",maxifs(Documents!$E$2:$E$1421,Documents!$A$2:$A$1421,$A118,Documents!$C$2:$C$1421,"sustainability")),"")</f>
        <v/>
      </c>
      <c r="Q118" s="0" t="str">
        <f aca="false">IFERROR(IF(maxifs(Documents!$E$2:$E$1421,Documents!$A$2:$A$1421,$A118,Documents!$C$2:$C$1421,"calendar")=0,"",maxifs(Documents!$E$2:$E$1421,Documents!$A$2:$A$1421,$A118,Documents!$C$2:$C$1421,"calendar")),"")</f>
        <v/>
      </c>
      <c r="R118" s="0" t="str">
        <f aca="false">IFERROR(IF(maxifs(Documents!$E$2:$E$1421,Documents!$A$2:$A$1421,$A118,Documents!$C$2:$C$1421,"brochure")=0,"",maxifs(Documents!$E$2:$E$1421,Documents!$A$2:$A$1421,$A118,Documents!$C$2:$C$1421,"brochure")),"")</f>
        <v/>
      </c>
      <c r="S118" s="0" t="str">
        <f aca="false">IFERROR(IF(maxifs(Documents!$E$2:$E$1421,Documents!$A$2:$A$1421,$A118,Documents!$C$2:$C$1421,"press_kit")=0,"",maxifs(Documents!$E$2:$E$1421,Documents!$A$2:$A$1421,$A118,Documents!$C$2:$C$1421,"press_kit")),"")</f>
        <v/>
      </c>
      <c r="T118" s="0" t="str">
        <f aca="false">IFERROR(IF(maxifs(Documents!$E$2:$E$1421,Documents!$A$2:$A$1421,$A118,Documents!$C$2:$C$1421,"other")=0,"",maxifs(Documents!$E$2:$E$1421,Documents!$A$2:$A$1421,$A118,Documents!$C$2:$C$1421,"other")),"")</f>
        <v/>
      </c>
      <c r="U118" s="0" t="str">
        <f aca="false">IFERROR(IF(maxifs(Documents!$E$2:$E$1421,Documents!$A$2:$A$1421,$A118,Documents!$C$2:$C$1421,"obsolete")=0,"",maxifs(Documents!$E$2:$E$1421,Documents!$A$2:$A$1421,$A118,Documents!$C$2:$C$1421,"obsolete")),"")</f>
        <v/>
      </c>
      <c r="V118" s="0" t="n">
        <f aca="false">COUNTIFS(Documents!$A$2:$A$1421,$A118)</f>
        <v>3</v>
      </c>
      <c r="W118" s="0" t="n">
        <f aca="false">COUNTIFS(Documents!$A$2:$A$1421,$A118,Documents!$R$2:$R$1421,"current")</f>
        <v>3</v>
      </c>
      <c r="X118" s="0" t="str">
        <f aca="false">HYPERLINK("https://www.neoscapesmaldives.com/wp-content/uploads/Niyama-Private-Islands-Maldives-Factsheet-2025.pdf","2025_Niyama-Private-Islands-Maldives-Fac")</f>
        <v>2025_Niyama-Private-Islands-Maldives-Fac</v>
      </c>
      <c r="Y118" s="0" t="s">
        <v>28</v>
      </c>
    </row>
    <row r="119" customFormat="false" ht="15" hidden="false" customHeight="false" outlineLevel="0" collapsed="false">
      <c r="A119" s="0" t="n">
        <v>118</v>
      </c>
      <c r="B119" s="0" t="s">
        <v>172</v>
      </c>
      <c r="C119" s="0" t="s">
        <v>112</v>
      </c>
      <c r="D119" s="0" t="str">
        <f aca="false">IFERROR(IF(maxifs(Documents!$E$2:$E$1421,Documents!$A$2:$A$1421,$A119,Documents!$C$2:$C$1421,"factsheet")=0,"",maxifs(Documents!$E$2:$E$1421,Documents!$A$2:$A$1421,$A119,Documents!$C$2:$C$1421,"factsheet")),"")</f>
        <v/>
      </c>
      <c r="E119" s="0" t="str">
        <f aca="false">IFERROR(IF(maxifs(Documents!$E$2:$E$1421,Documents!$A$2:$A$1421,$A119,Documents!$C$2:$C$1421,"wedding")=0,"",maxifs(Documents!$E$2:$E$1421,Documents!$A$2:$A$1421,$A119,Documents!$C$2:$C$1421,"wedding")),"")</f>
        <v/>
      </c>
      <c r="F119" s="0" t="str">
        <f aca="false">IFERROR(IF(maxifs(Documents!$E$2:$E$1421,Documents!$A$2:$A$1421,$A119,Documents!$C$2:$C$1421,"events")=0,"",maxifs(Documents!$E$2:$E$1421,Documents!$A$2:$A$1421,$A119,Documents!$C$2:$C$1421,"events")),"")</f>
        <v/>
      </c>
      <c r="G119" s="0" t="str">
        <f aca="false">IFERROR(IF(maxifs(Documents!$E$2:$E$1421,Documents!$A$2:$A$1421,$A119,Documents!$C$2:$C$1421,"map")=0,"",maxifs(Documents!$E$2:$E$1421,Documents!$A$2:$A$1421,$A119,Documents!$C$2:$C$1421,"map")),"")</f>
        <v/>
      </c>
      <c r="H119" s="0" t="str">
        <f aca="false">IFERROR(IF(maxifs(Documents!$E$2:$E$1421,Documents!$A$2:$A$1421,$A119,Documents!$C$2:$C$1421,"dive_map")=0,"",maxifs(Documents!$E$2:$E$1421,Documents!$A$2:$A$1421,$A119,Documents!$C$2:$C$1421,"dive_map")),"")</f>
        <v/>
      </c>
      <c r="I119" s="0" t="str">
        <f aca="false">IFERROR(IF(maxifs(Documents!$E$2:$E$1421,Documents!$A$2:$A$1421,$A119,Documents!$C$2:$C$1421,"spa_menu")=0,"",maxifs(Documents!$E$2:$E$1421,Documents!$A$2:$A$1421,$A119,Documents!$C$2:$C$1421,"spa_menu")),"")</f>
        <v/>
      </c>
      <c r="J119" s="0" t="str">
        <f aca="false">IFERROR(IF(maxifs(Documents!$E$2:$E$1421,Documents!$A$2:$A$1421,$A119,Documents!$C$2:$C$1421,"dining_menu")=0,"",maxifs(Documents!$E$2:$E$1421,Documents!$A$2:$A$1421,$A119,Documents!$C$2:$C$1421,"dining_menu")),"")</f>
        <v/>
      </c>
      <c r="K119" s="0" t="str">
        <f aca="false">IFERROR(IF(maxifs(Documents!$E$2:$E$1421,Documents!$A$2:$A$1421,$A119,Documents!$C$2:$C$1421,"dive_prices")=0,"",maxifs(Documents!$E$2:$E$1421,Documents!$A$2:$A$1421,$A119,Documents!$C$2:$C$1421,"dive_prices")),"")</f>
        <v/>
      </c>
      <c r="L119" s="0" t="str">
        <f aca="false">IFERROR(IF(maxifs(Documents!$E$2:$E$1421,Documents!$A$2:$A$1421,$A119,Documents!$C$2:$C$1421,"excursions")=0,"",maxifs(Documents!$E$2:$E$1421,Documents!$A$2:$A$1421,$A119,Documents!$C$2:$C$1421,"excursions")),"")</f>
        <v/>
      </c>
      <c r="M119" s="0" t="str">
        <f aca="false">IFERROR(IF(maxifs(Documents!$E$2:$E$1421,Documents!$A$2:$A$1421,$A119,Documents!$C$2:$C$1421,"kids")=0,"",maxifs(Documents!$E$2:$E$1421,Documents!$A$2:$A$1421,$A119,Documents!$C$2:$C$1421,"kids")),"")</f>
        <v/>
      </c>
      <c r="N119" s="0" t="str">
        <f aca="false">IFERROR(IF(maxifs(Documents!$E$2:$E$1421,Documents!$A$2:$A$1421,$A119,Documents!$C$2:$C$1421,"villa_plans")=0,"",maxifs(Documents!$E$2:$E$1421,Documents!$A$2:$A$1421,$A119,Documents!$C$2:$C$1421,"villa_plans")),"")</f>
        <v/>
      </c>
      <c r="O119" s="0" t="str">
        <f aca="false">IFERROR(IF(maxifs(Documents!$E$2:$E$1421,Documents!$A$2:$A$1421,$A119,Documents!$C$2:$C$1421,"all_inclusive")=0,"",maxifs(Documents!$E$2:$E$1421,Documents!$A$2:$A$1421,$A119,Documents!$C$2:$C$1421,"all_inclusive")),"")</f>
        <v/>
      </c>
      <c r="P119" s="0" t="str">
        <f aca="false">IFERROR(IF(maxifs(Documents!$E$2:$E$1421,Documents!$A$2:$A$1421,$A119,Documents!$C$2:$C$1421,"sustainability")=0,"",maxifs(Documents!$E$2:$E$1421,Documents!$A$2:$A$1421,$A119,Documents!$C$2:$C$1421,"sustainability")),"")</f>
        <v/>
      </c>
      <c r="Q119" s="0" t="str">
        <f aca="false">IFERROR(IF(maxifs(Documents!$E$2:$E$1421,Documents!$A$2:$A$1421,$A119,Documents!$C$2:$C$1421,"calendar")=0,"",maxifs(Documents!$E$2:$E$1421,Documents!$A$2:$A$1421,$A119,Documents!$C$2:$C$1421,"calendar")),"")</f>
        <v/>
      </c>
      <c r="R119" s="0" t="str">
        <f aca="false">IFERROR(IF(maxifs(Documents!$E$2:$E$1421,Documents!$A$2:$A$1421,$A119,Documents!$C$2:$C$1421,"brochure")=0,"",maxifs(Documents!$E$2:$E$1421,Documents!$A$2:$A$1421,$A119,Documents!$C$2:$C$1421,"brochure")),"")</f>
        <v/>
      </c>
      <c r="S119" s="0" t="str">
        <f aca="false">IFERROR(IF(maxifs(Documents!$E$2:$E$1421,Documents!$A$2:$A$1421,$A119,Documents!$C$2:$C$1421,"press_kit")=0,"",maxifs(Documents!$E$2:$E$1421,Documents!$A$2:$A$1421,$A119,Documents!$C$2:$C$1421,"press_kit")),"")</f>
        <v/>
      </c>
      <c r="T119" s="0" t="str">
        <f aca="false">IFERROR(IF(maxifs(Documents!$E$2:$E$1421,Documents!$A$2:$A$1421,$A119,Documents!$C$2:$C$1421,"other")=0,"",maxifs(Documents!$E$2:$E$1421,Documents!$A$2:$A$1421,$A119,Documents!$C$2:$C$1421,"other")),"")</f>
        <v/>
      </c>
      <c r="U119" s="0" t="str">
        <f aca="false">IFERROR(IF(maxifs(Documents!$E$2:$E$1421,Documents!$A$2:$A$1421,$A119,Documents!$C$2:$C$1421,"obsolete")=0,"",maxifs(Documents!$E$2:$E$1421,Documents!$A$2:$A$1421,$A119,Documents!$C$2:$C$1421,"obsolete")),"")</f>
        <v/>
      </c>
      <c r="V119" s="0" t="n">
        <f aca="false">COUNTIFS(Documents!$A$2:$A$1421,$A119)</f>
        <v>3</v>
      </c>
      <c r="W119" s="0" t="n">
        <f aca="false">COUNTIFS(Documents!$A$2:$A$1421,$A119,Documents!$R$2:$R$1421,"current")</f>
        <v>1</v>
      </c>
      <c r="X119" s="0" t="str">
        <f aca="false">HYPERLINK("https://www.neoscapesmaldives.com/wp-content/uploads/Iru-Veli-Factsheet-EN.pdf","2021_Iru-Veli-Factsheet-EN.pdf")</f>
        <v>2021_Iru-Veli-Factsheet-EN.pdf</v>
      </c>
      <c r="Y119" s="0" t="s">
        <v>28</v>
      </c>
    </row>
    <row r="120" customFormat="false" ht="15" hidden="false" customHeight="false" outlineLevel="0" collapsed="false">
      <c r="A120" s="0" t="n">
        <v>119</v>
      </c>
      <c r="B120" s="0" t="s">
        <v>173</v>
      </c>
      <c r="C120" s="0" t="s">
        <v>112</v>
      </c>
      <c r="D120" s="0" t="str">
        <f aca="false">IFERROR(IF(maxifs(Documents!$E$2:$E$1421,Documents!$A$2:$A$1421,$A120,Documents!$C$2:$C$1421,"factsheet")=0,"",maxifs(Documents!$E$2:$E$1421,Documents!$A$2:$A$1421,$A120,Documents!$C$2:$C$1421,"factsheet")),"")</f>
        <v/>
      </c>
      <c r="E120" s="0" t="str">
        <f aca="false">IFERROR(IF(maxifs(Documents!$E$2:$E$1421,Documents!$A$2:$A$1421,$A120,Documents!$C$2:$C$1421,"wedding")=0,"",maxifs(Documents!$E$2:$E$1421,Documents!$A$2:$A$1421,$A120,Documents!$C$2:$C$1421,"wedding")),"")</f>
        <v/>
      </c>
      <c r="F120" s="0" t="str">
        <f aca="false">IFERROR(IF(maxifs(Documents!$E$2:$E$1421,Documents!$A$2:$A$1421,$A120,Documents!$C$2:$C$1421,"events")=0,"",maxifs(Documents!$E$2:$E$1421,Documents!$A$2:$A$1421,$A120,Documents!$C$2:$C$1421,"events")),"")</f>
        <v/>
      </c>
      <c r="G120" s="0" t="str">
        <f aca="false">IFERROR(IF(maxifs(Documents!$E$2:$E$1421,Documents!$A$2:$A$1421,$A120,Documents!$C$2:$C$1421,"map")=0,"",maxifs(Documents!$E$2:$E$1421,Documents!$A$2:$A$1421,$A120,Documents!$C$2:$C$1421,"map")),"")</f>
        <v/>
      </c>
      <c r="H120" s="0" t="str">
        <f aca="false">IFERROR(IF(maxifs(Documents!$E$2:$E$1421,Documents!$A$2:$A$1421,$A120,Documents!$C$2:$C$1421,"dive_map")=0,"",maxifs(Documents!$E$2:$E$1421,Documents!$A$2:$A$1421,$A120,Documents!$C$2:$C$1421,"dive_map")),"")</f>
        <v/>
      </c>
      <c r="I120" s="0" t="str">
        <f aca="false">IFERROR(IF(maxifs(Documents!$E$2:$E$1421,Documents!$A$2:$A$1421,$A120,Documents!$C$2:$C$1421,"spa_menu")=0,"",maxifs(Documents!$E$2:$E$1421,Documents!$A$2:$A$1421,$A120,Documents!$C$2:$C$1421,"spa_menu")),"")</f>
        <v/>
      </c>
      <c r="J120" s="0" t="str">
        <f aca="false">IFERROR(IF(maxifs(Documents!$E$2:$E$1421,Documents!$A$2:$A$1421,$A120,Documents!$C$2:$C$1421,"dining_menu")=0,"",maxifs(Documents!$E$2:$E$1421,Documents!$A$2:$A$1421,$A120,Documents!$C$2:$C$1421,"dining_menu")),"")</f>
        <v/>
      </c>
      <c r="K120" s="0" t="str">
        <f aca="false">IFERROR(IF(maxifs(Documents!$E$2:$E$1421,Documents!$A$2:$A$1421,$A120,Documents!$C$2:$C$1421,"dive_prices")=0,"",maxifs(Documents!$E$2:$E$1421,Documents!$A$2:$A$1421,$A120,Documents!$C$2:$C$1421,"dive_prices")),"")</f>
        <v/>
      </c>
      <c r="L120" s="0" t="str">
        <f aca="false">IFERROR(IF(maxifs(Documents!$E$2:$E$1421,Documents!$A$2:$A$1421,$A120,Documents!$C$2:$C$1421,"excursions")=0,"",maxifs(Documents!$E$2:$E$1421,Documents!$A$2:$A$1421,$A120,Documents!$C$2:$C$1421,"excursions")),"")</f>
        <v/>
      </c>
      <c r="M120" s="0" t="str">
        <f aca="false">IFERROR(IF(maxifs(Documents!$E$2:$E$1421,Documents!$A$2:$A$1421,$A120,Documents!$C$2:$C$1421,"kids")=0,"",maxifs(Documents!$E$2:$E$1421,Documents!$A$2:$A$1421,$A120,Documents!$C$2:$C$1421,"kids")),"")</f>
        <v/>
      </c>
      <c r="N120" s="0" t="str">
        <f aca="false">IFERROR(IF(maxifs(Documents!$E$2:$E$1421,Documents!$A$2:$A$1421,$A120,Documents!$C$2:$C$1421,"villa_plans")=0,"",maxifs(Documents!$E$2:$E$1421,Documents!$A$2:$A$1421,$A120,Documents!$C$2:$C$1421,"villa_plans")),"")</f>
        <v/>
      </c>
      <c r="O120" s="0" t="str">
        <f aca="false">IFERROR(IF(maxifs(Documents!$E$2:$E$1421,Documents!$A$2:$A$1421,$A120,Documents!$C$2:$C$1421,"all_inclusive")=0,"",maxifs(Documents!$E$2:$E$1421,Documents!$A$2:$A$1421,$A120,Documents!$C$2:$C$1421,"all_inclusive")),"")</f>
        <v/>
      </c>
      <c r="P120" s="0" t="str">
        <f aca="false">IFERROR(IF(maxifs(Documents!$E$2:$E$1421,Documents!$A$2:$A$1421,$A120,Documents!$C$2:$C$1421,"sustainability")=0,"",maxifs(Documents!$E$2:$E$1421,Documents!$A$2:$A$1421,$A120,Documents!$C$2:$C$1421,"sustainability")),"")</f>
        <v/>
      </c>
      <c r="Q120" s="0" t="str">
        <f aca="false">IFERROR(IF(maxifs(Documents!$E$2:$E$1421,Documents!$A$2:$A$1421,$A120,Documents!$C$2:$C$1421,"calendar")=0,"",maxifs(Documents!$E$2:$E$1421,Documents!$A$2:$A$1421,$A120,Documents!$C$2:$C$1421,"calendar")),"")</f>
        <v/>
      </c>
      <c r="R120" s="0" t="str">
        <f aca="false">IFERROR(IF(maxifs(Documents!$E$2:$E$1421,Documents!$A$2:$A$1421,$A120,Documents!$C$2:$C$1421,"brochure")=0,"",maxifs(Documents!$E$2:$E$1421,Documents!$A$2:$A$1421,$A120,Documents!$C$2:$C$1421,"brochure")),"")</f>
        <v/>
      </c>
      <c r="S120" s="0" t="str">
        <f aca="false">IFERROR(IF(maxifs(Documents!$E$2:$E$1421,Documents!$A$2:$A$1421,$A120,Documents!$C$2:$C$1421,"press_kit")=0,"",maxifs(Documents!$E$2:$E$1421,Documents!$A$2:$A$1421,$A120,Documents!$C$2:$C$1421,"press_kit")),"")</f>
        <v/>
      </c>
      <c r="T120" s="0" t="str">
        <f aca="false">IFERROR(IF(maxifs(Documents!$E$2:$E$1421,Documents!$A$2:$A$1421,$A120,Documents!$C$2:$C$1421,"other")=0,"",maxifs(Documents!$E$2:$E$1421,Documents!$A$2:$A$1421,$A120,Documents!$C$2:$C$1421,"other")),"")</f>
        <v/>
      </c>
      <c r="U120" s="0" t="str">
        <f aca="false">IFERROR(IF(maxifs(Documents!$E$2:$E$1421,Documents!$A$2:$A$1421,$A120,Documents!$C$2:$C$1421,"obsolete")=0,"",maxifs(Documents!$E$2:$E$1421,Documents!$A$2:$A$1421,$A120,Documents!$C$2:$C$1421,"obsolete")),"")</f>
        <v/>
      </c>
      <c r="V120" s="0" t="n">
        <f aca="false">COUNTIFS(Documents!$A$2:$A$1421,$A120)</f>
        <v>3</v>
      </c>
      <c r="W120" s="0" t="n">
        <f aca="false">COUNTIFS(Documents!$A$2:$A$1421,$A120,Documents!$R$2:$R$1421,"current")</f>
        <v>0</v>
      </c>
      <c r="Y120" s="0" t="s">
        <v>31</v>
      </c>
      <c r="Z120" s="0" t="s">
        <v>174</v>
      </c>
    </row>
    <row r="121" customFormat="false" ht="15" hidden="false" customHeight="false" outlineLevel="0" collapsed="false">
      <c r="A121" s="0" t="n">
        <v>120</v>
      </c>
      <c r="B121" s="0" t="s">
        <v>175</v>
      </c>
      <c r="C121" s="0" t="s">
        <v>112</v>
      </c>
      <c r="D121" s="0" t="str">
        <f aca="false">IFERROR(IF(maxifs(Documents!$E$2:$E$1421,Documents!$A$2:$A$1421,$A121,Documents!$C$2:$C$1421,"factsheet")=0,"",maxifs(Documents!$E$2:$E$1421,Documents!$A$2:$A$1421,$A121,Documents!$C$2:$C$1421,"factsheet")),"")</f>
        <v/>
      </c>
      <c r="E121" s="0" t="str">
        <f aca="false">IFERROR(IF(maxifs(Documents!$E$2:$E$1421,Documents!$A$2:$A$1421,$A121,Documents!$C$2:$C$1421,"wedding")=0,"",maxifs(Documents!$E$2:$E$1421,Documents!$A$2:$A$1421,$A121,Documents!$C$2:$C$1421,"wedding")),"")</f>
        <v/>
      </c>
      <c r="F121" s="0" t="str">
        <f aca="false">IFERROR(IF(maxifs(Documents!$E$2:$E$1421,Documents!$A$2:$A$1421,$A121,Documents!$C$2:$C$1421,"events")=0,"",maxifs(Documents!$E$2:$E$1421,Documents!$A$2:$A$1421,$A121,Documents!$C$2:$C$1421,"events")),"")</f>
        <v/>
      </c>
      <c r="G121" s="0" t="str">
        <f aca="false">IFERROR(IF(maxifs(Documents!$E$2:$E$1421,Documents!$A$2:$A$1421,$A121,Documents!$C$2:$C$1421,"map")=0,"",maxifs(Documents!$E$2:$E$1421,Documents!$A$2:$A$1421,$A121,Documents!$C$2:$C$1421,"map")),"")</f>
        <v/>
      </c>
      <c r="H121" s="0" t="str">
        <f aca="false">IFERROR(IF(maxifs(Documents!$E$2:$E$1421,Documents!$A$2:$A$1421,$A121,Documents!$C$2:$C$1421,"dive_map")=0,"",maxifs(Documents!$E$2:$E$1421,Documents!$A$2:$A$1421,$A121,Documents!$C$2:$C$1421,"dive_map")),"")</f>
        <v/>
      </c>
      <c r="I121" s="0" t="str">
        <f aca="false">IFERROR(IF(maxifs(Documents!$E$2:$E$1421,Documents!$A$2:$A$1421,$A121,Documents!$C$2:$C$1421,"spa_menu")=0,"",maxifs(Documents!$E$2:$E$1421,Documents!$A$2:$A$1421,$A121,Documents!$C$2:$C$1421,"spa_menu")),"")</f>
        <v/>
      </c>
      <c r="J121" s="0" t="str">
        <f aca="false">IFERROR(IF(maxifs(Documents!$E$2:$E$1421,Documents!$A$2:$A$1421,$A121,Documents!$C$2:$C$1421,"dining_menu")=0,"",maxifs(Documents!$E$2:$E$1421,Documents!$A$2:$A$1421,$A121,Documents!$C$2:$C$1421,"dining_menu")),"")</f>
        <v/>
      </c>
      <c r="K121" s="0" t="str">
        <f aca="false">IFERROR(IF(maxifs(Documents!$E$2:$E$1421,Documents!$A$2:$A$1421,$A121,Documents!$C$2:$C$1421,"dive_prices")=0,"",maxifs(Documents!$E$2:$E$1421,Documents!$A$2:$A$1421,$A121,Documents!$C$2:$C$1421,"dive_prices")),"")</f>
        <v/>
      </c>
      <c r="L121" s="0" t="str">
        <f aca="false">IFERROR(IF(maxifs(Documents!$E$2:$E$1421,Documents!$A$2:$A$1421,$A121,Documents!$C$2:$C$1421,"excursions")=0,"",maxifs(Documents!$E$2:$E$1421,Documents!$A$2:$A$1421,$A121,Documents!$C$2:$C$1421,"excursions")),"")</f>
        <v/>
      </c>
      <c r="M121" s="0" t="str">
        <f aca="false">IFERROR(IF(maxifs(Documents!$E$2:$E$1421,Documents!$A$2:$A$1421,$A121,Documents!$C$2:$C$1421,"kids")=0,"",maxifs(Documents!$E$2:$E$1421,Documents!$A$2:$A$1421,$A121,Documents!$C$2:$C$1421,"kids")),"")</f>
        <v/>
      </c>
      <c r="N121" s="0" t="str">
        <f aca="false">IFERROR(IF(maxifs(Documents!$E$2:$E$1421,Documents!$A$2:$A$1421,$A121,Documents!$C$2:$C$1421,"villa_plans")=0,"",maxifs(Documents!$E$2:$E$1421,Documents!$A$2:$A$1421,$A121,Documents!$C$2:$C$1421,"villa_plans")),"")</f>
        <v/>
      </c>
      <c r="O121" s="0" t="str">
        <f aca="false">IFERROR(IF(maxifs(Documents!$E$2:$E$1421,Documents!$A$2:$A$1421,$A121,Documents!$C$2:$C$1421,"all_inclusive")=0,"",maxifs(Documents!$E$2:$E$1421,Documents!$A$2:$A$1421,$A121,Documents!$C$2:$C$1421,"all_inclusive")),"")</f>
        <v/>
      </c>
      <c r="P121" s="0" t="str">
        <f aca="false">IFERROR(IF(maxifs(Documents!$E$2:$E$1421,Documents!$A$2:$A$1421,$A121,Documents!$C$2:$C$1421,"sustainability")=0,"",maxifs(Documents!$E$2:$E$1421,Documents!$A$2:$A$1421,$A121,Documents!$C$2:$C$1421,"sustainability")),"")</f>
        <v/>
      </c>
      <c r="Q121" s="0" t="str">
        <f aca="false">IFERROR(IF(maxifs(Documents!$E$2:$E$1421,Documents!$A$2:$A$1421,$A121,Documents!$C$2:$C$1421,"calendar")=0,"",maxifs(Documents!$E$2:$E$1421,Documents!$A$2:$A$1421,$A121,Documents!$C$2:$C$1421,"calendar")),"")</f>
        <v/>
      </c>
      <c r="R121" s="0" t="str">
        <f aca="false">IFERROR(IF(maxifs(Documents!$E$2:$E$1421,Documents!$A$2:$A$1421,$A121,Documents!$C$2:$C$1421,"brochure")=0,"",maxifs(Documents!$E$2:$E$1421,Documents!$A$2:$A$1421,$A121,Documents!$C$2:$C$1421,"brochure")),"")</f>
        <v/>
      </c>
      <c r="S121" s="0" t="str">
        <f aca="false">IFERROR(IF(maxifs(Documents!$E$2:$E$1421,Documents!$A$2:$A$1421,$A121,Documents!$C$2:$C$1421,"press_kit")=0,"",maxifs(Documents!$E$2:$E$1421,Documents!$A$2:$A$1421,$A121,Documents!$C$2:$C$1421,"press_kit")),"")</f>
        <v/>
      </c>
      <c r="T121" s="0" t="str">
        <f aca="false">IFERROR(IF(maxifs(Documents!$E$2:$E$1421,Documents!$A$2:$A$1421,$A121,Documents!$C$2:$C$1421,"other")=0,"",maxifs(Documents!$E$2:$E$1421,Documents!$A$2:$A$1421,$A121,Documents!$C$2:$C$1421,"other")),"")</f>
        <v/>
      </c>
      <c r="U121" s="0" t="str">
        <f aca="false">IFERROR(IF(maxifs(Documents!$E$2:$E$1421,Documents!$A$2:$A$1421,$A121,Documents!$C$2:$C$1421,"obsolete")=0,"",maxifs(Documents!$E$2:$E$1421,Documents!$A$2:$A$1421,$A121,Documents!$C$2:$C$1421,"obsolete")),"")</f>
        <v/>
      </c>
      <c r="V121" s="0" t="n">
        <f aca="false">COUNTIFS(Documents!$A$2:$A$1421,$A121)</f>
        <v>2</v>
      </c>
      <c r="W121" s="0" t="n">
        <f aca="false">COUNTIFS(Documents!$A$2:$A$1421,$A121,Documents!$R$2:$R$1421,"current")</f>
        <v>1</v>
      </c>
      <c r="X121" s="0" t="str">
        <f aca="false">HYPERLINK("https://www.neoscapesmaldives.com/wp-content/uploads/BM_Factsheet-2026.pdf","2026_BM_Factsheet-2026.pdf")</f>
        <v>2026_BM_Factsheet-2026.pdf</v>
      </c>
      <c r="Y121" s="0" t="s">
        <v>28</v>
      </c>
    </row>
    <row r="122" customFormat="false" ht="15" hidden="false" customHeight="false" outlineLevel="0" collapsed="false">
      <c r="A122" s="0" t="n">
        <v>121</v>
      </c>
      <c r="B122" s="0" t="s">
        <v>176</v>
      </c>
      <c r="C122" s="0" t="s">
        <v>112</v>
      </c>
      <c r="D122" s="0" t="str">
        <f aca="false">IFERROR(IF(maxifs(Documents!$E$2:$E$1421,Documents!$A$2:$A$1421,$A122,Documents!$C$2:$C$1421,"factsheet")=0,"",maxifs(Documents!$E$2:$E$1421,Documents!$A$2:$A$1421,$A122,Documents!$C$2:$C$1421,"factsheet")),"")</f>
        <v/>
      </c>
      <c r="E122" s="0" t="str">
        <f aca="false">IFERROR(IF(maxifs(Documents!$E$2:$E$1421,Documents!$A$2:$A$1421,$A122,Documents!$C$2:$C$1421,"wedding")=0,"",maxifs(Documents!$E$2:$E$1421,Documents!$A$2:$A$1421,$A122,Documents!$C$2:$C$1421,"wedding")),"")</f>
        <v/>
      </c>
      <c r="F122" s="0" t="str">
        <f aca="false">IFERROR(IF(maxifs(Documents!$E$2:$E$1421,Documents!$A$2:$A$1421,$A122,Documents!$C$2:$C$1421,"events")=0,"",maxifs(Documents!$E$2:$E$1421,Documents!$A$2:$A$1421,$A122,Documents!$C$2:$C$1421,"events")),"")</f>
        <v/>
      </c>
      <c r="G122" s="0" t="str">
        <f aca="false">IFERROR(IF(maxifs(Documents!$E$2:$E$1421,Documents!$A$2:$A$1421,$A122,Documents!$C$2:$C$1421,"map")=0,"",maxifs(Documents!$E$2:$E$1421,Documents!$A$2:$A$1421,$A122,Documents!$C$2:$C$1421,"map")),"")</f>
        <v/>
      </c>
      <c r="H122" s="0" t="str">
        <f aca="false">IFERROR(IF(maxifs(Documents!$E$2:$E$1421,Documents!$A$2:$A$1421,$A122,Documents!$C$2:$C$1421,"dive_map")=0,"",maxifs(Documents!$E$2:$E$1421,Documents!$A$2:$A$1421,$A122,Documents!$C$2:$C$1421,"dive_map")),"")</f>
        <v/>
      </c>
      <c r="I122" s="0" t="str">
        <f aca="false">IFERROR(IF(maxifs(Documents!$E$2:$E$1421,Documents!$A$2:$A$1421,$A122,Documents!$C$2:$C$1421,"spa_menu")=0,"",maxifs(Documents!$E$2:$E$1421,Documents!$A$2:$A$1421,$A122,Documents!$C$2:$C$1421,"spa_menu")),"")</f>
        <v/>
      </c>
      <c r="J122" s="0" t="str">
        <f aca="false">IFERROR(IF(maxifs(Documents!$E$2:$E$1421,Documents!$A$2:$A$1421,$A122,Documents!$C$2:$C$1421,"dining_menu")=0,"",maxifs(Documents!$E$2:$E$1421,Documents!$A$2:$A$1421,$A122,Documents!$C$2:$C$1421,"dining_menu")),"")</f>
        <v/>
      </c>
      <c r="K122" s="0" t="str">
        <f aca="false">IFERROR(IF(maxifs(Documents!$E$2:$E$1421,Documents!$A$2:$A$1421,$A122,Documents!$C$2:$C$1421,"dive_prices")=0,"",maxifs(Documents!$E$2:$E$1421,Documents!$A$2:$A$1421,$A122,Documents!$C$2:$C$1421,"dive_prices")),"")</f>
        <v/>
      </c>
      <c r="L122" s="0" t="str">
        <f aca="false">IFERROR(IF(maxifs(Documents!$E$2:$E$1421,Documents!$A$2:$A$1421,$A122,Documents!$C$2:$C$1421,"excursions")=0,"",maxifs(Documents!$E$2:$E$1421,Documents!$A$2:$A$1421,$A122,Documents!$C$2:$C$1421,"excursions")),"")</f>
        <v/>
      </c>
      <c r="M122" s="0" t="str">
        <f aca="false">IFERROR(IF(maxifs(Documents!$E$2:$E$1421,Documents!$A$2:$A$1421,$A122,Documents!$C$2:$C$1421,"kids")=0,"",maxifs(Documents!$E$2:$E$1421,Documents!$A$2:$A$1421,$A122,Documents!$C$2:$C$1421,"kids")),"")</f>
        <v/>
      </c>
      <c r="N122" s="0" t="str">
        <f aca="false">IFERROR(IF(maxifs(Documents!$E$2:$E$1421,Documents!$A$2:$A$1421,$A122,Documents!$C$2:$C$1421,"villa_plans")=0,"",maxifs(Documents!$E$2:$E$1421,Documents!$A$2:$A$1421,$A122,Documents!$C$2:$C$1421,"villa_plans")),"")</f>
        <v/>
      </c>
      <c r="O122" s="0" t="str">
        <f aca="false">IFERROR(IF(maxifs(Documents!$E$2:$E$1421,Documents!$A$2:$A$1421,$A122,Documents!$C$2:$C$1421,"all_inclusive")=0,"",maxifs(Documents!$E$2:$E$1421,Documents!$A$2:$A$1421,$A122,Documents!$C$2:$C$1421,"all_inclusive")),"")</f>
        <v/>
      </c>
      <c r="P122" s="0" t="str">
        <f aca="false">IFERROR(IF(maxifs(Documents!$E$2:$E$1421,Documents!$A$2:$A$1421,$A122,Documents!$C$2:$C$1421,"sustainability")=0,"",maxifs(Documents!$E$2:$E$1421,Documents!$A$2:$A$1421,$A122,Documents!$C$2:$C$1421,"sustainability")),"")</f>
        <v/>
      </c>
      <c r="Q122" s="0" t="str">
        <f aca="false">IFERROR(IF(maxifs(Documents!$E$2:$E$1421,Documents!$A$2:$A$1421,$A122,Documents!$C$2:$C$1421,"calendar")=0,"",maxifs(Documents!$E$2:$E$1421,Documents!$A$2:$A$1421,$A122,Documents!$C$2:$C$1421,"calendar")),"")</f>
        <v/>
      </c>
      <c r="R122" s="0" t="str">
        <f aca="false">IFERROR(IF(maxifs(Documents!$E$2:$E$1421,Documents!$A$2:$A$1421,$A122,Documents!$C$2:$C$1421,"brochure")=0,"",maxifs(Documents!$E$2:$E$1421,Documents!$A$2:$A$1421,$A122,Documents!$C$2:$C$1421,"brochure")),"")</f>
        <v/>
      </c>
      <c r="S122" s="0" t="str">
        <f aca="false">IFERROR(IF(maxifs(Documents!$E$2:$E$1421,Documents!$A$2:$A$1421,$A122,Documents!$C$2:$C$1421,"press_kit")=0,"",maxifs(Documents!$E$2:$E$1421,Documents!$A$2:$A$1421,$A122,Documents!$C$2:$C$1421,"press_kit")),"")</f>
        <v/>
      </c>
      <c r="T122" s="0" t="str">
        <f aca="false">IFERROR(IF(maxifs(Documents!$E$2:$E$1421,Documents!$A$2:$A$1421,$A122,Documents!$C$2:$C$1421,"other")=0,"",maxifs(Documents!$E$2:$E$1421,Documents!$A$2:$A$1421,$A122,Documents!$C$2:$C$1421,"other")),"")</f>
        <v/>
      </c>
      <c r="U122" s="0" t="str">
        <f aca="false">IFERROR(IF(maxifs(Documents!$E$2:$E$1421,Documents!$A$2:$A$1421,$A122,Documents!$C$2:$C$1421,"obsolete")=0,"",maxifs(Documents!$E$2:$E$1421,Documents!$A$2:$A$1421,$A122,Documents!$C$2:$C$1421,"obsolete")),"")</f>
        <v/>
      </c>
      <c r="V122" s="0" t="n">
        <f aca="false">COUNTIFS(Documents!$A$2:$A$1421,$A122)</f>
        <v>2</v>
      </c>
      <c r="W122" s="0" t="n">
        <f aca="false">COUNTIFS(Documents!$A$2:$A$1421,$A122,Documents!$R$2:$R$1421,"current")</f>
        <v>0</v>
      </c>
      <c r="X122" s="0" t="str">
        <f aca="false">HYPERLINK("https://neoscapesmaldives.com/wp-content/uploads/COMO-Cocoa-Island-Fact-Sheet-2019.pdf","2019_COMO-Cocoa-Island-Fact-Sheet-2019.p")</f>
        <v>2019_COMO-Cocoa-Island-Fact-Sheet-2019.p</v>
      </c>
      <c r="Y122" s="0" t="s">
        <v>28</v>
      </c>
    </row>
    <row r="123" customFormat="false" ht="15" hidden="false" customHeight="false" outlineLevel="0" collapsed="false">
      <c r="A123" s="0" t="n">
        <v>122</v>
      </c>
      <c r="B123" s="0" t="s">
        <v>177</v>
      </c>
      <c r="C123" s="0" t="s">
        <v>112</v>
      </c>
      <c r="D123" s="0" t="str">
        <f aca="false">IFERROR(IF(maxifs(Documents!$E$2:$E$1421,Documents!$A$2:$A$1421,$A123,Documents!$C$2:$C$1421,"factsheet")=0,"",maxifs(Documents!$E$2:$E$1421,Documents!$A$2:$A$1421,$A123,Documents!$C$2:$C$1421,"factsheet")),"")</f>
        <v/>
      </c>
      <c r="E123" s="0" t="str">
        <f aca="false">IFERROR(IF(maxifs(Documents!$E$2:$E$1421,Documents!$A$2:$A$1421,$A123,Documents!$C$2:$C$1421,"wedding")=0,"",maxifs(Documents!$E$2:$E$1421,Documents!$A$2:$A$1421,$A123,Documents!$C$2:$C$1421,"wedding")),"")</f>
        <v/>
      </c>
      <c r="F123" s="0" t="str">
        <f aca="false">IFERROR(IF(maxifs(Documents!$E$2:$E$1421,Documents!$A$2:$A$1421,$A123,Documents!$C$2:$C$1421,"events")=0,"",maxifs(Documents!$E$2:$E$1421,Documents!$A$2:$A$1421,$A123,Documents!$C$2:$C$1421,"events")),"")</f>
        <v/>
      </c>
      <c r="G123" s="0" t="str">
        <f aca="false">IFERROR(IF(maxifs(Documents!$E$2:$E$1421,Documents!$A$2:$A$1421,$A123,Documents!$C$2:$C$1421,"map")=0,"",maxifs(Documents!$E$2:$E$1421,Documents!$A$2:$A$1421,$A123,Documents!$C$2:$C$1421,"map")),"")</f>
        <v/>
      </c>
      <c r="H123" s="0" t="str">
        <f aca="false">IFERROR(IF(maxifs(Documents!$E$2:$E$1421,Documents!$A$2:$A$1421,$A123,Documents!$C$2:$C$1421,"dive_map")=0,"",maxifs(Documents!$E$2:$E$1421,Documents!$A$2:$A$1421,$A123,Documents!$C$2:$C$1421,"dive_map")),"")</f>
        <v/>
      </c>
      <c r="I123" s="0" t="str">
        <f aca="false">IFERROR(IF(maxifs(Documents!$E$2:$E$1421,Documents!$A$2:$A$1421,$A123,Documents!$C$2:$C$1421,"spa_menu")=0,"",maxifs(Documents!$E$2:$E$1421,Documents!$A$2:$A$1421,$A123,Documents!$C$2:$C$1421,"spa_menu")),"")</f>
        <v/>
      </c>
      <c r="J123" s="0" t="str">
        <f aca="false">IFERROR(IF(maxifs(Documents!$E$2:$E$1421,Documents!$A$2:$A$1421,$A123,Documents!$C$2:$C$1421,"dining_menu")=0,"",maxifs(Documents!$E$2:$E$1421,Documents!$A$2:$A$1421,$A123,Documents!$C$2:$C$1421,"dining_menu")),"")</f>
        <v/>
      </c>
      <c r="K123" s="0" t="str">
        <f aca="false">IFERROR(IF(maxifs(Documents!$E$2:$E$1421,Documents!$A$2:$A$1421,$A123,Documents!$C$2:$C$1421,"dive_prices")=0,"",maxifs(Documents!$E$2:$E$1421,Documents!$A$2:$A$1421,$A123,Documents!$C$2:$C$1421,"dive_prices")),"")</f>
        <v/>
      </c>
      <c r="L123" s="0" t="str">
        <f aca="false">IFERROR(IF(maxifs(Documents!$E$2:$E$1421,Documents!$A$2:$A$1421,$A123,Documents!$C$2:$C$1421,"excursions")=0,"",maxifs(Documents!$E$2:$E$1421,Documents!$A$2:$A$1421,$A123,Documents!$C$2:$C$1421,"excursions")),"")</f>
        <v/>
      </c>
      <c r="M123" s="0" t="str">
        <f aca="false">IFERROR(IF(maxifs(Documents!$E$2:$E$1421,Documents!$A$2:$A$1421,$A123,Documents!$C$2:$C$1421,"kids")=0,"",maxifs(Documents!$E$2:$E$1421,Documents!$A$2:$A$1421,$A123,Documents!$C$2:$C$1421,"kids")),"")</f>
        <v/>
      </c>
      <c r="N123" s="0" t="str">
        <f aca="false">IFERROR(IF(maxifs(Documents!$E$2:$E$1421,Documents!$A$2:$A$1421,$A123,Documents!$C$2:$C$1421,"villa_plans")=0,"",maxifs(Documents!$E$2:$E$1421,Documents!$A$2:$A$1421,$A123,Documents!$C$2:$C$1421,"villa_plans")),"")</f>
        <v/>
      </c>
      <c r="O123" s="0" t="str">
        <f aca="false">IFERROR(IF(maxifs(Documents!$E$2:$E$1421,Documents!$A$2:$A$1421,$A123,Documents!$C$2:$C$1421,"all_inclusive")=0,"",maxifs(Documents!$E$2:$E$1421,Documents!$A$2:$A$1421,$A123,Documents!$C$2:$C$1421,"all_inclusive")),"")</f>
        <v/>
      </c>
      <c r="P123" s="0" t="str">
        <f aca="false">IFERROR(IF(maxifs(Documents!$E$2:$E$1421,Documents!$A$2:$A$1421,$A123,Documents!$C$2:$C$1421,"sustainability")=0,"",maxifs(Documents!$E$2:$E$1421,Documents!$A$2:$A$1421,$A123,Documents!$C$2:$C$1421,"sustainability")),"")</f>
        <v/>
      </c>
      <c r="Q123" s="0" t="str">
        <f aca="false">IFERROR(IF(maxifs(Documents!$E$2:$E$1421,Documents!$A$2:$A$1421,$A123,Documents!$C$2:$C$1421,"calendar")=0,"",maxifs(Documents!$E$2:$E$1421,Documents!$A$2:$A$1421,$A123,Documents!$C$2:$C$1421,"calendar")),"")</f>
        <v/>
      </c>
      <c r="R123" s="0" t="str">
        <f aca="false">IFERROR(IF(maxifs(Documents!$E$2:$E$1421,Documents!$A$2:$A$1421,$A123,Documents!$C$2:$C$1421,"brochure")=0,"",maxifs(Documents!$E$2:$E$1421,Documents!$A$2:$A$1421,$A123,Documents!$C$2:$C$1421,"brochure")),"")</f>
        <v/>
      </c>
      <c r="S123" s="0" t="str">
        <f aca="false">IFERROR(IF(maxifs(Documents!$E$2:$E$1421,Documents!$A$2:$A$1421,$A123,Documents!$C$2:$C$1421,"press_kit")=0,"",maxifs(Documents!$E$2:$E$1421,Documents!$A$2:$A$1421,$A123,Documents!$C$2:$C$1421,"press_kit")),"")</f>
        <v/>
      </c>
      <c r="T123" s="0" t="str">
        <f aca="false">IFERROR(IF(maxifs(Documents!$E$2:$E$1421,Documents!$A$2:$A$1421,$A123,Documents!$C$2:$C$1421,"other")=0,"",maxifs(Documents!$E$2:$E$1421,Documents!$A$2:$A$1421,$A123,Documents!$C$2:$C$1421,"other")),"")</f>
        <v/>
      </c>
      <c r="U123" s="0" t="str">
        <f aca="false">IFERROR(IF(maxifs(Documents!$E$2:$E$1421,Documents!$A$2:$A$1421,$A123,Documents!$C$2:$C$1421,"obsolete")=0,"",maxifs(Documents!$E$2:$E$1421,Documents!$A$2:$A$1421,$A123,Documents!$C$2:$C$1421,"obsolete")),"")</f>
        <v/>
      </c>
      <c r="V123" s="0" t="n">
        <f aca="false">COUNTIFS(Documents!$A$2:$A$1421,$A123)</f>
        <v>5</v>
      </c>
      <c r="W123" s="0" t="n">
        <f aca="false">COUNTIFS(Documents!$A$2:$A$1421,$A123,Documents!$R$2:$R$1421,"current")</f>
        <v>5</v>
      </c>
      <c r="Y123" s="0" t="s">
        <v>31</v>
      </c>
    </row>
    <row r="124" customFormat="false" ht="15" hidden="false" customHeight="false" outlineLevel="0" collapsed="false">
      <c r="A124" s="0" t="n">
        <v>123</v>
      </c>
      <c r="B124" s="0" t="s">
        <v>178</v>
      </c>
      <c r="C124" s="0" t="s">
        <v>112</v>
      </c>
      <c r="D124" s="0" t="str">
        <f aca="false">IFERROR(IF(maxifs(Documents!$E$2:$E$1421,Documents!$A$2:$A$1421,$A124,Documents!$C$2:$C$1421,"factsheet")=0,"",maxifs(Documents!$E$2:$E$1421,Documents!$A$2:$A$1421,$A124,Documents!$C$2:$C$1421,"factsheet")),"")</f>
        <v/>
      </c>
      <c r="E124" s="0" t="str">
        <f aca="false">IFERROR(IF(maxifs(Documents!$E$2:$E$1421,Documents!$A$2:$A$1421,$A124,Documents!$C$2:$C$1421,"wedding")=0,"",maxifs(Documents!$E$2:$E$1421,Documents!$A$2:$A$1421,$A124,Documents!$C$2:$C$1421,"wedding")),"")</f>
        <v/>
      </c>
      <c r="F124" s="0" t="str">
        <f aca="false">IFERROR(IF(maxifs(Documents!$E$2:$E$1421,Documents!$A$2:$A$1421,$A124,Documents!$C$2:$C$1421,"events")=0,"",maxifs(Documents!$E$2:$E$1421,Documents!$A$2:$A$1421,$A124,Documents!$C$2:$C$1421,"events")),"")</f>
        <v/>
      </c>
      <c r="G124" s="0" t="str">
        <f aca="false">IFERROR(IF(maxifs(Documents!$E$2:$E$1421,Documents!$A$2:$A$1421,$A124,Documents!$C$2:$C$1421,"map")=0,"",maxifs(Documents!$E$2:$E$1421,Documents!$A$2:$A$1421,$A124,Documents!$C$2:$C$1421,"map")),"")</f>
        <v/>
      </c>
      <c r="H124" s="0" t="str">
        <f aca="false">IFERROR(IF(maxifs(Documents!$E$2:$E$1421,Documents!$A$2:$A$1421,$A124,Documents!$C$2:$C$1421,"dive_map")=0,"",maxifs(Documents!$E$2:$E$1421,Documents!$A$2:$A$1421,$A124,Documents!$C$2:$C$1421,"dive_map")),"")</f>
        <v/>
      </c>
      <c r="I124" s="0" t="str">
        <f aca="false">IFERROR(IF(maxifs(Documents!$E$2:$E$1421,Documents!$A$2:$A$1421,$A124,Documents!$C$2:$C$1421,"spa_menu")=0,"",maxifs(Documents!$E$2:$E$1421,Documents!$A$2:$A$1421,$A124,Documents!$C$2:$C$1421,"spa_menu")),"")</f>
        <v/>
      </c>
      <c r="J124" s="0" t="str">
        <f aca="false">IFERROR(IF(maxifs(Documents!$E$2:$E$1421,Documents!$A$2:$A$1421,$A124,Documents!$C$2:$C$1421,"dining_menu")=0,"",maxifs(Documents!$E$2:$E$1421,Documents!$A$2:$A$1421,$A124,Documents!$C$2:$C$1421,"dining_menu")),"")</f>
        <v/>
      </c>
      <c r="K124" s="0" t="str">
        <f aca="false">IFERROR(IF(maxifs(Documents!$E$2:$E$1421,Documents!$A$2:$A$1421,$A124,Documents!$C$2:$C$1421,"dive_prices")=0,"",maxifs(Documents!$E$2:$E$1421,Documents!$A$2:$A$1421,$A124,Documents!$C$2:$C$1421,"dive_prices")),"")</f>
        <v/>
      </c>
      <c r="L124" s="0" t="str">
        <f aca="false">IFERROR(IF(maxifs(Documents!$E$2:$E$1421,Documents!$A$2:$A$1421,$A124,Documents!$C$2:$C$1421,"excursions")=0,"",maxifs(Documents!$E$2:$E$1421,Documents!$A$2:$A$1421,$A124,Documents!$C$2:$C$1421,"excursions")),"")</f>
        <v/>
      </c>
      <c r="M124" s="0" t="str">
        <f aca="false">IFERROR(IF(maxifs(Documents!$E$2:$E$1421,Documents!$A$2:$A$1421,$A124,Documents!$C$2:$C$1421,"kids")=0,"",maxifs(Documents!$E$2:$E$1421,Documents!$A$2:$A$1421,$A124,Documents!$C$2:$C$1421,"kids")),"")</f>
        <v/>
      </c>
      <c r="N124" s="0" t="str">
        <f aca="false">IFERROR(IF(maxifs(Documents!$E$2:$E$1421,Documents!$A$2:$A$1421,$A124,Documents!$C$2:$C$1421,"villa_plans")=0,"",maxifs(Documents!$E$2:$E$1421,Documents!$A$2:$A$1421,$A124,Documents!$C$2:$C$1421,"villa_plans")),"")</f>
        <v/>
      </c>
      <c r="O124" s="0" t="str">
        <f aca="false">IFERROR(IF(maxifs(Documents!$E$2:$E$1421,Documents!$A$2:$A$1421,$A124,Documents!$C$2:$C$1421,"all_inclusive")=0,"",maxifs(Documents!$E$2:$E$1421,Documents!$A$2:$A$1421,$A124,Documents!$C$2:$C$1421,"all_inclusive")),"")</f>
        <v/>
      </c>
      <c r="P124" s="0" t="str">
        <f aca="false">IFERROR(IF(maxifs(Documents!$E$2:$E$1421,Documents!$A$2:$A$1421,$A124,Documents!$C$2:$C$1421,"sustainability")=0,"",maxifs(Documents!$E$2:$E$1421,Documents!$A$2:$A$1421,$A124,Documents!$C$2:$C$1421,"sustainability")),"")</f>
        <v/>
      </c>
      <c r="Q124" s="0" t="str">
        <f aca="false">IFERROR(IF(maxifs(Documents!$E$2:$E$1421,Documents!$A$2:$A$1421,$A124,Documents!$C$2:$C$1421,"calendar")=0,"",maxifs(Documents!$E$2:$E$1421,Documents!$A$2:$A$1421,$A124,Documents!$C$2:$C$1421,"calendar")),"")</f>
        <v/>
      </c>
      <c r="R124" s="0" t="str">
        <f aca="false">IFERROR(IF(maxifs(Documents!$E$2:$E$1421,Documents!$A$2:$A$1421,$A124,Documents!$C$2:$C$1421,"brochure")=0,"",maxifs(Documents!$E$2:$E$1421,Documents!$A$2:$A$1421,$A124,Documents!$C$2:$C$1421,"brochure")),"")</f>
        <v/>
      </c>
      <c r="S124" s="0" t="str">
        <f aca="false">IFERROR(IF(maxifs(Documents!$E$2:$E$1421,Documents!$A$2:$A$1421,$A124,Documents!$C$2:$C$1421,"press_kit")=0,"",maxifs(Documents!$E$2:$E$1421,Documents!$A$2:$A$1421,$A124,Documents!$C$2:$C$1421,"press_kit")),"")</f>
        <v/>
      </c>
      <c r="T124" s="0" t="str">
        <f aca="false">IFERROR(IF(maxifs(Documents!$E$2:$E$1421,Documents!$A$2:$A$1421,$A124,Documents!$C$2:$C$1421,"other")=0,"",maxifs(Documents!$E$2:$E$1421,Documents!$A$2:$A$1421,$A124,Documents!$C$2:$C$1421,"other")),"")</f>
        <v/>
      </c>
      <c r="U124" s="0" t="str">
        <f aca="false">IFERROR(IF(maxifs(Documents!$E$2:$E$1421,Documents!$A$2:$A$1421,$A124,Documents!$C$2:$C$1421,"obsolete")=0,"",maxifs(Documents!$E$2:$E$1421,Documents!$A$2:$A$1421,$A124,Documents!$C$2:$C$1421,"obsolete")),"")</f>
        <v/>
      </c>
      <c r="V124" s="0" t="n">
        <f aca="false">COUNTIFS(Documents!$A$2:$A$1421,$A124)</f>
        <v>0</v>
      </c>
      <c r="W124" s="0" t="n">
        <f aca="false">COUNTIFS(Documents!$A$2:$A$1421,$A124,Documents!$R$2:$R$1421,"current")</f>
        <v>0</v>
      </c>
      <c r="Y124" s="0" t="s">
        <v>31</v>
      </c>
    </row>
    <row r="125" customFormat="false" ht="15" hidden="false" customHeight="false" outlineLevel="0" collapsed="false">
      <c r="A125" s="0" t="n">
        <v>124</v>
      </c>
      <c r="B125" s="0" t="s">
        <v>179</v>
      </c>
      <c r="C125" s="0" t="s">
        <v>112</v>
      </c>
      <c r="D125" s="0" t="str">
        <f aca="false">IFERROR(IF(maxifs(Documents!$E$2:$E$1421,Documents!$A$2:$A$1421,$A125,Documents!$C$2:$C$1421,"factsheet")=0,"",maxifs(Documents!$E$2:$E$1421,Documents!$A$2:$A$1421,$A125,Documents!$C$2:$C$1421,"factsheet")),"")</f>
        <v/>
      </c>
      <c r="E125" s="0" t="str">
        <f aca="false">IFERROR(IF(maxifs(Documents!$E$2:$E$1421,Documents!$A$2:$A$1421,$A125,Documents!$C$2:$C$1421,"wedding")=0,"",maxifs(Documents!$E$2:$E$1421,Documents!$A$2:$A$1421,$A125,Documents!$C$2:$C$1421,"wedding")),"")</f>
        <v/>
      </c>
      <c r="F125" s="0" t="str">
        <f aca="false">IFERROR(IF(maxifs(Documents!$E$2:$E$1421,Documents!$A$2:$A$1421,$A125,Documents!$C$2:$C$1421,"events")=0,"",maxifs(Documents!$E$2:$E$1421,Documents!$A$2:$A$1421,$A125,Documents!$C$2:$C$1421,"events")),"")</f>
        <v/>
      </c>
      <c r="G125" s="0" t="str">
        <f aca="false">IFERROR(IF(maxifs(Documents!$E$2:$E$1421,Documents!$A$2:$A$1421,$A125,Documents!$C$2:$C$1421,"map")=0,"",maxifs(Documents!$E$2:$E$1421,Documents!$A$2:$A$1421,$A125,Documents!$C$2:$C$1421,"map")),"")</f>
        <v/>
      </c>
      <c r="H125" s="0" t="str">
        <f aca="false">IFERROR(IF(maxifs(Documents!$E$2:$E$1421,Documents!$A$2:$A$1421,$A125,Documents!$C$2:$C$1421,"dive_map")=0,"",maxifs(Documents!$E$2:$E$1421,Documents!$A$2:$A$1421,$A125,Documents!$C$2:$C$1421,"dive_map")),"")</f>
        <v/>
      </c>
      <c r="I125" s="0" t="str">
        <f aca="false">IFERROR(IF(maxifs(Documents!$E$2:$E$1421,Documents!$A$2:$A$1421,$A125,Documents!$C$2:$C$1421,"spa_menu")=0,"",maxifs(Documents!$E$2:$E$1421,Documents!$A$2:$A$1421,$A125,Documents!$C$2:$C$1421,"spa_menu")),"")</f>
        <v/>
      </c>
      <c r="J125" s="0" t="str">
        <f aca="false">IFERROR(IF(maxifs(Documents!$E$2:$E$1421,Documents!$A$2:$A$1421,$A125,Documents!$C$2:$C$1421,"dining_menu")=0,"",maxifs(Documents!$E$2:$E$1421,Documents!$A$2:$A$1421,$A125,Documents!$C$2:$C$1421,"dining_menu")),"")</f>
        <v/>
      </c>
      <c r="K125" s="0" t="str">
        <f aca="false">IFERROR(IF(maxifs(Documents!$E$2:$E$1421,Documents!$A$2:$A$1421,$A125,Documents!$C$2:$C$1421,"dive_prices")=0,"",maxifs(Documents!$E$2:$E$1421,Documents!$A$2:$A$1421,$A125,Documents!$C$2:$C$1421,"dive_prices")),"")</f>
        <v/>
      </c>
      <c r="L125" s="0" t="str">
        <f aca="false">IFERROR(IF(maxifs(Documents!$E$2:$E$1421,Documents!$A$2:$A$1421,$A125,Documents!$C$2:$C$1421,"excursions")=0,"",maxifs(Documents!$E$2:$E$1421,Documents!$A$2:$A$1421,$A125,Documents!$C$2:$C$1421,"excursions")),"")</f>
        <v/>
      </c>
      <c r="M125" s="0" t="str">
        <f aca="false">IFERROR(IF(maxifs(Documents!$E$2:$E$1421,Documents!$A$2:$A$1421,$A125,Documents!$C$2:$C$1421,"kids")=0,"",maxifs(Documents!$E$2:$E$1421,Documents!$A$2:$A$1421,$A125,Documents!$C$2:$C$1421,"kids")),"")</f>
        <v/>
      </c>
      <c r="N125" s="0" t="str">
        <f aca="false">IFERROR(IF(maxifs(Documents!$E$2:$E$1421,Documents!$A$2:$A$1421,$A125,Documents!$C$2:$C$1421,"villa_plans")=0,"",maxifs(Documents!$E$2:$E$1421,Documents!$A$2:$A$1421,$A125,Documents!$C$2:$C$1421,"villa_plans")),"")</f>
        <v/>
      </c>
      <c r="O125" s="0" t="str">
        <f aca="false">IFERROR(IF(maxifs(Documents!$E$2:$E$1421,Documents!$A$2:$A$1421,$A125,Documents!$C$2:$C$1421,"all_inclusive")=0,"",maxifs(Documents!$E$2:$E$1421,Documents!$A$2:$A$1421,$A125,Documents!$C$2:$C$1421,"all_inclusive")),"")</f>
        <v/>
      </c>
      <c r="P125" s="0" t="str">
        <f aca="false">IFERROR(IF(maxifs(Documents!$E$2:$E$1421,Documents!$A$2:$A$1421,$A125,Documents!$C$2:$C$1421,"sustainability")=0,"",maxifs(Documents!$E$2:$E$1421,Documents!$A$2:$A$1421,$A125,Documents!$C$2:$C$1421,"sustainability")),"")</f>
        <v/>
      </c>
      <c r="Q125" s="0" t="str">
        <f aca="false">IFERROR(IF(maxifs(Documents!$E$2:$E$1421,Documents!$A$2:$A$1421,$A125,Documents!$C$2:$C$1421,"calendar")=0,"",maxifs(Documents!$E$2:$E$1421,Documents!$A$2:$A$1421,$A125,Documents!$C$2:$C$1421,"calendar")),"")</f>
        <v/>
      </c>
      <c r="R125" s="0" t="str">
        <f aca="false">IFERROR(IF(maxifs(Documents!$E$2:$E$1421,Documents!$A$2:$A$1421,$A125,Documents!$C$2:$C$1421,"brochure")=0,"",maxifs(Documents!$E$2:$E$1421,Documents!$A$2:$A$1421,$A125,Documents!$C$2:$C$1421,"brochure")),"")</f>
        <v/>
      </c>
      <c r="S125" s="0" t="str">
        <f aca="false">IFERROR(IF(maxifs(Documents!$E$2:$E$1421,Documents!$A$2:$A$1421,$A125,Documents!$C$2:$C$1421,"press_kit")=0,"",maxifs(Documents!$E$2:$E$1421,Documents!$A$2:$A$1421,$A125,Documents!$C$2:$C$1421,"press_kit")),"")</f>
        <v/>
      </c>
      <c r="T125" s="0" t="str">
        <f aca="false">IFERROR(IF(maxifs(Documents!$E$2:$E$1421,Documents!$A$2:$A$1421,$A125,Documents!$C$2:$C$1421,"other")=0,"",maxifs(Documents!$E$2:$E$1421,Documents!$A$2:$A$1421,$A125,Documents!$C$2:$C$1421,"other")),"")</f>
        <v/>
      </c>
      <c r="U125" s="0" t="str">
        <f aca="false">IFERROR(IF(maxifs(Documents!$E$2:$E$1421,Documents!$A$2:$A$1421,$A125,Documents!$C$2:$C$1421,"obsolete")=0,"",maxifs(Documents!$E$2:$E$1421,Documents!$A$2:$A$1421,$A125,Documents!$C$2:$C$1421,"obsolete")),"")</f>
        <v/>
      </c>
      <c r="V125" s="0" t="n">
        <f aca="false">COUNTIFS(Documents!$A$2:$A$1421,$A125)</f>
        <v>0</v>
      </c>
      <c r="W125" s="0" t="n">
        <f aca="false">COUNTIFS(Documents!$A$2:$A$1421,$A125,Documents!$R$2:$R$1421,"current")</f>
        <v>0</v>
      </c>
      <c r="Y125" s="0" t="s">
        <v>31</v>
      </c>
    </row>
    <row r="126" customFormat="false" ht="15" hidden="false" customHeight="false" outlineLevel="0" collapsed="false">
      <c r="A126" s="0" t="n">
        <v>125</v>
      </c>
      <c r="B126" s="0" t="s">
        <v>180</v>
      </c>
      <c r="C126" s="0" t="s">
        <v>112</v>
      </c>
      <c r="D126" s="0" t="str">
        <f aca="false">IFERROR(IF(maxifs(Documents!$E$2:$E$1421,Documents!$A$2:$A$1421,$A126,Documents!$C$2:$C$1421,"factsheet")=0,"",maxifs(Documents!$E$2:$E$1421,Documents!$A$2:$A$1421,$A126,Documents!$C$2:$C$1421,"factsheet")),"")</f>
        <v/>
      </c>
      <c r="E126" s="0" t="str">
        <f aca="false">IFERROR(IF(maxifs(Documents!$E$2:$E$1421,Documents!$A$2:$A$1421,$A126,Documents!$C$2:$C$1421,"wedding")=0,"",maxifs(Documents!$E$2:$E$1421,Documents!$A$2:$A$1421,$A126,Documents!$C$2:$C$1421,"wedding")),"")</f>
        <v/>
      </c>
      <c r="F126" s="0" t="str">
        <f aca="false">IFERROR(IF(maxifs(Documents!$E$2:$E$1421,Documents!$A$2:$A$1421,$A126,Documents!$C$2:$C$1421,"events")=0,"",maxifs(Documents!$E$2:$E$1421,Documents!$A$2:$A$1421,$A126,Documents!$C$2:$C$1421,"events")),"")</f>
        <v/>
      </c>
      <c r="G126" s="0" t="str">
        <f aca="false">IFERROR(IF(maxifs(Documents!$E$2:$E$1421,Documents!$A$2:$A$1421,$A126,Documents!$C$2:$C$1421,"map")=0,"",maxifs(Documents!$E$2:$E$1421,Documents!$A$2:$A$1421,$A126,Documents!$C$2:$C$1421,"map")),"")</f>
        <v/>
      </c>
      <c r="H126" s="0" t="str">
        <f aca="false">IFERROR(IF(maxifs(Documents!$E$2:$E$1421,Documents!$A$2:$A$1421,$A126,Documents!$C$2:$C$1421,"dive_map")=0,"",maxifs(Documents!$E$2:$E$1421,Documents!$A$2:$A$1421,$A126,Documents!$C$2:$C$1421,"dive_map")),"")</f>
        <v/>
      </c>
      <c r="I126" s="0" t="str">
        <f aca="false">IFERROR(IF(maxifs(Documents!$E$2:$E$1421,Documents!$A$2:$A$1421,$A126,Documents!$C$2:$C$1421,"spa_menu")=0,"",maxifs(Documents!$E$2:$E$1421,Documents!$A$2:$A$1421,$A126,Documents!$C$2:$C$1421,"spa_menu")),"")</f>
        <v/>
      </c>
      <c r="J126" s="0" t="str">
        <f aca="false">IFERROR(IF(maxifs(Documents!$E$2:$E$1421,Documents!$A$2:$A$1421,$A126,Documents!$C$2:$C$1421,"dining_menu")=0,"",maxifs(Documents!$E$2:$E$1421,Documents!$A$2:$A$1421,$A126,Documents!$C$2:$C$1421,"dining_menu")),"")</f>
        <v/>
      </c>
      <c r="K126" s="0" t="str">
        <f aca="false">IFERROR(IF(maxifs(Documents!$E$2:$E$1421,Documents!$A$2:$A$1421,$A126,Documents!$C$2:$C$1421,"dive_prices")=0,"",maxifs(Documents!$E$2:$E$1421,Documents!$A$2:$A$1421,$A126,Documents!$C$2:$C$1421,"dive_prices")),"")</f>
        <v/>
      </c>
      <c r="L126" s="0" t="str">
        <f aca="false">IFERROR(IF(maxifs(Documents!$E$2:$E$1421,Documents!$A$2:$A$1421,$A126,Documents!$C$2:$C$1421,"excursions")=0,"",maxifs(Documents!$E$2:$E$1421,Documents!$A$2:$A$1421,$A126,Documents!$C$2:$C$1421,"excursions")),"")</f>
        <v/>
      </c>
      <c r="M126" s="0" t="str">
        <f aca="false">IFERROR(IF(maxifs(Documents!$E$2:$E$1421,Documents!$A$2:$A$1421,$A126,Documents!$C$2:$C$1421,"kids")=0,"",maxifs(Documents!$E$2:$E$1421,Documents!$A$2:$A$1421,$A126,Documents!$C$2:$C$1421,"kids")),"")</f>
        <v/>
      </c>
      <c r="N126" s="0" t="str">
        <f aca="false">IFERROR(IF(maxifs(Documents!$E$2:$E$1421,Documents!$A$2:$A$1421,$A126,Documents!$C$2:$C$1421,"villa_plans")=0,"",maxifs(Documents!$E$2:$E$1421,Documents!$A$2:$A$1421,$A126,Documents!$C$2:$C$1421,"villa_plans")),"")</f>
        <v/>
      </c>
      <c r="O126" s="0" t="str">
        <f aca="false">IFERROR(IF(maxifs(Documents!$E$2:$E$1421,Documents!$A$2:$A$1421,$A126,Documents!$C$2:$C$1421,"all_inclusive")=0,"",maxifs(Documents!$E$2:$E$1421,Documents!$A$2:$A$1421,$A126,Documents!$C$2:$C$1421,"all_inclusive")),"")</f>
        <v/>
      </c>
      <c r="P126" s="0" t="str">
        <f aca="false">IFERROR(IF(maxifs(Documents!$E$2:$E$1421,Documents!$A$2:$A$1421,$A126,Documents!$C$2:$C$1421,"sustainability")=0,"",maxifs(Documents!$E$2:$E$1421,Documents!$A$2:$A$1421,$A126,Documents!$C$2:$C$1421,"sustainability")),"")</f>
        <v/>
      </c>
      <c r="Q126" s="0" t="str">
        <f aca="false">IFERROR(IF(maxifs(Documents!$E$2:$E$1421,Documents!$A$2:$A$1421,$A126,Documents!$C$2:$C$1421,"calendar")=0,"",maxifs(Documents!$E$2:$E$1421,Documents!$A$2:$A$1421,$A126,Documents!$C$2:$C$1421,"calendar")),"")</f>
        <v/>
      </c>
      <c r="R126" s="0" t="str">
        <f aca="false">IFERROR(IF(maxifs(Documents!$E$2:$E$1421,Documents!$A$2:$A$1421,$A126,Documents!$C$2:$C$1421,"brochure")=0,"",maxifs(Documents!$E$2:$E$1421,Documents!$A$2:$A$1421,$A126,Documents!$C$2:$C$1421,"brochure")),"")</f>
        <v/>
      </c>
      <c r="S126" s="0" t="str">
        <f aca="false">IFERROR(IF(maxifs(Documents!$E$2:$E$1421,Documents!$A$2:$A$1421,$A126,Documents!$C$2:$C$1421,"press_kit")=0,"",maxifs(Documents!$E$2:$E$1421,Documents!$A$2:$A$1421,$A126,Documents!$C$2:$C$1421,"press_kit")),"")</f>
        <v/>
      </c>
      <c r="T126" s="0" t="str">
        <f aca="false">IFERROR(IF(maxifs(Documents!$E$2:$E$1421,Documents!$A$2:$A$1421,$A126,Documents!$C$2:$C$1421,"other")=0,"",maxifs(Documents!$E$2:$E$1421,Documents!$A$2:$A$1421,$A126,Documents!$C$2:$C$1421,"other")),"")</f>
        <v/>
      </c>
      <c r="U126" s="0" t="str">
        <f aca="false">IFERROR(IF(maxifs(Documents!$E$2:$E$1421,Documents!$A$2:$A$1421,$A126,Documents!$C$2:$C$1421,"obsolete")=0,"",maxifs(Documents!$E$2:$E$1421,Documents!$A$2:$A$1421,$A126,Documents!$C$2:$C$1421,"obsolete")),"")</f>
        <v/>
      </c>
      <c r="V126" s="0" t="n">
        <f aca="false">COUNTIFS(Documents!$A$2:$A$1421,$A126)</f>
        <v>1</v>
      </c>
      <c r="W126" s="0" t="n">
        <f aca="false">COUNTIFS(Documents!$A$2:$A$1421,$A126,Documents!$R$2:$R$1421,"current")</f>
        <v>1</v>
      </c>
      <c r="Y126" s="0" t="s">
        <v>31</v>
      </c>
    </row>
    <row r="127" customFormat="false" ht="15" hidden="false" customHeight="false" outlineLevel="0" collapsed="false">
      <c r="A127" s="0" t="n">
        <v>126</v>
      </c>
      <c r="B127" s="0" t="s">
        <v>181</v>
      </c>
      <c r="C127" s="0" t="s">
        <v>112</v>
      </c>
      <c r="D127" s="0" t="str">
        <f aca="false">IFERROR(IF(maxifs(Documents!$E$2:$E$1421,Documents!$A$2:$A$1421,$A127,Documents!$C$2:$C$1421,"factsheet")=0,"",maxifs(Documents!$E$2:$E$1421,Documents!$A$2:$A$1421,$A127,Documents!$C$2:$C$1421,"factsheet")),"")</f>
        <v/>
      </c>
      <c r="E127" s="0" t="str">
        <f aca="false">IFERROR(IF(maxifs(Documents!$E$2:$E$1421,Documents!$A$2:$A$1421,$A127,Documents!$C$2:$C$1421,"wedding")=0,"",maxifs(Documents!$E$2:$E$1421,Documents!$A$2:$A$1421,$A127,Documents!$C$2:$C$1421,"wedding")),"")</f>
        <v/>
      </c>
      <c r="F127" s="0" t="str">
        <f aca="false">IFERROR(IF(maxifs(Documents!$E$2:$E$1421,Documents!$A$2:$A$1421,$A127,Documents!$C$2:$C$1421,"events")=0,"",maxifs(Documents!$E$2:$E$1421,Documents!$A$2:$A$1421,$A127,Documents!$C$2:$C$1421,"events")),"")</f>
        <v/>
      </c>
      <c r="G127" s="0" t="str">
        <f aca="false">IFERROR(IF(maxifs(Documents!$E$2:$E$1421,Documents!$A$2:$A$1421,$A127,Documents!$C$2:$C$1421,"map")=0,"",maxifs(Documents!$E$2:$E$1421,Documents!$A$2:$A$1421,$A127,Documents!$C$2:$C$1421,"map")),"")</f>
        <v/>
      </c>
      <c r="H127" s="0" t="str">
        <f aca="false">IFERROR(IF(maxifs(Documents!$E$2:$E$1421,Documents!$A$2:$A$1421,$A127,Documents!$C$2:$C$1421,"dive_map")=0,"",maxifs(Documents!$E$2:$E$1421,Documents!$A$2:$A$1421,$A127,Documents!$C$2:$C$1421,"dive_map")),"")</f>
        <v/>
      </c>
      <c r="I127" s="0" t="str">
        <f aca="false">IFERROR(IF(maxifs(Documents!$E$2:$E$1421,Documents!$A$2:$A$1421,$A127,Documents!$C$2:$C$1421,"spa_menu")=0,"",maxifs(Documents!$E$2:$E$1421,Documents!$A$2:$A$1421,$A127,Documents!$C$2:$C$1421,"spa_menu")),"")</f>
        <v/>
      </c>
      <c r="J127" s="0" t="str">
        <f aca="false">IFERROR(IF(maxifs(Documents!$E$2:$E$1421,Documents!$A$2:$A$1421,$A127,Documents!$C$2:$C$1421,"dining_menu")=0,"",maxifs(Documents!$E$2:$E$1421,Documents!$A$2:$A$1421,$A127,Documents!$C$2:$C$1421,"dining_menu")),"")</f>
        <v/>
      </c>
      <c r="K127" s="0" t="str">
        <f aca="false">IFERROR(IF(maxifs(Documents!$E$2:$E$1421,Documents!$A$2:$A$1421,$A127,Documents!$C$2:$C$1421,"dive_prices")=0,"",maxifs(Documents!$E$2:$E$1421,Documents!$A$2:$A$1421,$A127,Documents!$C$2:$C$1421,"dive_prices")),"")</f>
        <v/>
      </c>
      <c r="L127" s="0" t="str">
        <f aca="false">IFERROR(IF(maxifs(Documents!$E$2:$E$1421,Documents!$A$2:$A$1421,$A127,Documents!$C$2:$C$1421,"excursions")=0,"",maxifs(Documents!$E$2:$E$1421,Documents!$A$2:$A$1421,$A127,Documents!$C$2:$C$1421,"excursions")),"")</f>
        <v/>
      </c>
      <c r="M127" s="0" t="str">
        <f aca="false">IFERROR(IF(maxifs(Documents!$E$2:$E$1421,Documents!$A$2:$A$1421,$A127,Documents!$C$2:$C$1421,"kids")=0,"",maxifs(Documents!$E$2:$E$1421,Documents!$A$2:$A$1421,$A127,Documents!$C$2:$C$1421,"kids")),"")</f>
        <v/>
      </c>
      <c r="N127" s="0" t="str">
        <f aca="false">IFERROR(IF(maxifs(Documents!$E$2:$E$1421,Documents!$A$2:$A$1421,$A127,Documents!$C$2:$C$1421,"villa_plans")=0,"",maxifs(Documents!$E$2:$E$1421,Documents!$A$2:$A$1421,$A127,Documents!$C$2:$C$1421,"villa_plans")),"")</f>
        <v/>
      </c>
      <c r="O127" s="0" t="str">
        <f aca="false">IFERROR(IF(maxifs(Documents!$E$2:$E$1421,Documents!$A$2:$A$1421,$A127,Documents!$C$2:$C$1421,"all_inclusive")=0,"",maxifs(Documents!$E$2:$E$1421,Documents!$A$2:$A$1421,$A127,Documents!$C$2:$C$1421,"all_inclusive")),"")</f>
        <v/>
      </c>
      <c r="P127" s="0" t="str">
        <f aca="false">IFERROR(IF(maxifs(Documents!$E$2:$E$1421,Documents!$A$2:$A$1421,$A127,Documents!$C$2:$C$1421,"sustainability")=0,"",maxifs(Documents!$E$2:$E$1421,Documents!$A$2:$A$1421,$A127,Documents!$C$2:$C$1421,"sustainability")),"")</f>
        <v/>
      </c>
      <c r="Q127" s="0" t="str">
        <f aca="false">IFERROR(IF(maxifs(Documents!$E$2:$E$1421,Documents!$A$2:$A$1421,$A127,Documents!$C$2:$C$1421,"calendar")=0,"",maxifs(Documents!$E$2:$E$1421,Documents!$A$2:$A$1421,$A127,Documents!$C$2:$C$1421,"calendar")),"")</f>
        <v/>
      </c>
      <c r="R127" s="0" t="str">
        <f aca="false">IFERROR(IF(maxifs(Documents!$E$2:$E$1421,Documents!$A$2:$A$1421,$A127,Documents!$C$2:$C$1421,"brochure")=0,"",maxifs(Documents!$E$2:$E$1421,Documents!$A$2:$A$1421,$A127,Documents!$C$2:$C$1421,"brochure")),"")</f>
        <v/>
      </c>
      <c r="S127" s="0" t="str">
        <f aca="false">IFERROR(IF(maxifs(Documents!$E$2:$E$1421,Documents!$A$2:$A$1421,$A127,Documents!$C$2:$C$1421,"press_kit")=0,"",maxifs(Documents!$E$2:$E$1421,Documents!$A$2:$A$1421,$A127,Documents!$C$2:$C$1421,"press_kit")),"")</f>
        <v/>
      </c>
      <c r="T127" s="0" t="str">
        <f aca="false">IFERROR(IF(maxifs(Documents!$E$2:$E$1421,Documents!$A$2:$A$1421,$A127,Documents!$C$2:$C$1421,"other")=0,"",maxifs(Documents!$E$2:$E$1421,Documents!$A$2:$A$1421,$A127,Documents!$C$2:$C$1421,"other")),"")</f>
        <v/>
      </c>
      <c r="U127" s="0" t="str">
        <f aca="false">IFERROR(IF(maxifs(Documents!$E$2:$E$1421,Documents!$A$2:$A$1421,$A127,Documents!$C$2:$C$1421,"obsolete")=0,"",maxifs(Documents!$E$2:$E$1421,Documents!$A$2:$A$1421,$A127,Documents!$C$2:$C$1421,"obsolete")),"")</f>
        <v/>
      </c>
      <c r="V127" s="0" t="n">
        <f aca="false">COUNTIFS(Documents!$A$2:$A$1421,$A127)</f>
        <v>1</v>
      </c>
      <c r="W127" s="0" t="n">
        <f aca="false">COUNTIFS(Documents!$A$2:$A$1421,$A127,Documents!$R$2:$R$1421,"current")</f>
        <v>0</v>
      </c>
      <c r="X127" s="0" t="str">
        <f aca="false">HYPERLINK("https://neoscapesmaldives.com/wp-content/uploads/cirm-factsheet-en.pdf","2019_cirm-factsheet-en.pdf")</f>
        <v>2019_cirm-factsheet-en.pdf</v>
      </c>
      <c r="Y127" s="0" t="s">
        <v>28</v>
      </c>
    </row>
    <row r="128" customFormat="false" ht="15" hidden="false" customHeight="false" outlineLevel="0" collapsed="false">
      <c r="A128" s="0" t="n">
        <v>127</v>
      </c>
      <c r="B128" s="0" t="s">
        <v>182</v>
      </c>
      <c r="C128" s="0" t="s">
        <v>112</v>
      </c>
      <c r="D128" s="0" t="str">
        <f aca="false">IFERROR(IF(maxifs(Documents!$E$2:$E$1421,Documents!$A$2:$A$1421,$A128,Documents!$C$2:$C$1421,"factsheet")=0,"",maxifs(Documents!$E$2:$E$1421,Documents!$A$2:$A$1421,$A128,Documents!$C$2:$C$1421,"factsheet")),"")</f>
        <v/>
      </c>
      <c r="E128" s="0" t="str">
        <f aca="false">IFERROR(IF(maxifs(Documents!$E$2:$E$1421,Documents!$A$2:$A$1421,$A128,Documents!$C$2:$C$1421,"wedding")=0,"",maxifs(Documents!$E$2:$E$1421,Documents!$A$2:$A$1421,$A128,Documents!$C$2:$C$1421,"wedding")),"")</f>
        <v/>
      </c>
      <c r="F128" s="0" t="str">
        <f aca="false">IFERROR(IF(maxifs(Documents!$E$2:$E$1421,Documents!$A$2:$A$1421,$A128,Documents!$C$2:$C$1421,"events")=0,"",maxifs(Documents!$E$2:$E$1421,Documents!$A$2:$A$1421,$A128,Documents!$C$2:$C$1421,"events")),"")</f>
        <v/>
      </c>
      <c r="G128" s="0" t="str">
        <f aca="false">IFERROR(IF(maxifs(Documents!$E$2:$E$1421,Documents!$A$2:$A$1421,$A128,Documents!$C$2:$C$1421,"map")=0,"",maxifs(Documents!$E$2:$E$1421,Documents!$A$2:$A$1421,$A128,Documents!$C$2:$C$1421,"map")),"")</f>
        <v/>
      </c>
      <c r="H128" s="0" t="str">
        <f aca="false">IFERROR(IF(maxifs(Documents!$E$2:$E$1421,Documents!$A$2:$A$1421,$A128,Documents!$C$2:$C$1421,"dive_map")=0,"",maxifs(Documents!$E$2:$E$1421,Documents!$A$2:$A$1421,$A128,Documents!$C$2:$C$1421,"dive_map")),"")</f>
        <v/>
      </c>
      <c r="I128" s="0" t="str">
        <f aca="false">IFERROR(IF(maxifs(Documents!$E$2:$E$1421,Documents!$A$2:$A$1421,$A128,Documents!$C$2:$C$1421,"spa_menu")=0,"",maxifs(Documents!$E$2:$E$1421,Documents!$A$2:$A$1421,$A128,Documents!$C$2:$C$1421,"spa_menu")),"")</f>
        <v/>
      </c>
      <c r="J128" s="0" t="str">
        <f aca="false">IFERROR(IF(maxifs(Documents!$E$2:$E$1421,Documents!$A$2:$A$1421,$A128,Documents!$C$2:$C$1421,"dining_menu")=0,"",maxifs(Documents!$E$2:$E$1421,Documents!$A$2:$A$1421,$A128,Documents!$C$2:$C$1421,"dining_menu")),"")</f>
        <v/>
      </c>
      <c r="K128" s="0" t="str">
        <f aca="false">IFERROR(IF(maxifs(Documents!$E$2:$E$1421,Documents!$A$2:$A$1421,$A128,Documents!$C$2:$C$1421,"dive_prices")=0,"",maxifs(Documents!$E$2:$E$1421,Documents!$A$2:$A$1421,$A128,Documents!$C$2:$C$1421,"dive_prices")),"")</f>
        <v/>
      </c>
      <c r="L128" s="0" t="str">
        <f aca="false">IFERROR(IF(maxifs(Documents!$E$2:$E$1421,Documents!$A$2:$A$1421,$A128,Documents!$C$2:$C$1421,"excursions")=0,"",maxifs(Documents!$E$2:$E$1421,Documents!$A$2:$A$1421,$A128,Documents!$C$2:$C$1421,"excursions")),"")</f>
        <v/>
      </c>
      <c r="M128" s="0" t="str">
        <f aca="false">IFERROR(IF(maxifs(Documents!$E$2:$E$1421,Documents!$A$2:$A$1421,$A128,Documents!$C$2:$C$1421,"kids")=0,"",maxifs(Documents!$E$2:$E$1421,Documents!$A$2:$A$1421,$A128,Documents!$C$2:$C$1421,"kids")),"")</f>
        <v/>
      </c>
      <c r="N128" s="0" t="str">
        <f aca="false">IFERROR(IF(maxifs(Documents!$E$2:$E$1421,Documents!$A$2:$A$1421,$A128,Documents!$C$2:$C$1421,"villa_plans")=0,"",maxifs(Documents!$E$2:$E$1421,Documents!$A$2:$A$1421,$A128,Documents!$C$2:$C$1421,"villa_plans")),"")</f>
        <v/>
      </c>
      <c r="O128" s="0" t="str">
        <f aca="false">IFERROR(IF(maxifs(Documents!$E$2:$E$1421,Documents!$A$2:$A$1421,$A128,Documents!$C$2:$C$1421,"all_inclusive")=0,"",maxifs(Documents!$E$2:$E$1421,Documents!$A$2:$A$1421,$A128,Documents!$C$2:$C$1421,"all_inclusive")),"")</f>
        <v/>
      </c>
      <c r="P128" s="0" t="str">
        <f aca="false">IFERROR(IF(maxifs(Documents!$E$2:$E$1421,Documents!$A$2:$A$1421,$A128,Documents!$C$2:$C$1421,"sustainability")=0,"",maxifs(Documents!$E$2:$E$1421,Documents!$A$2:$A$1421,$A128,Documents!$C$2:$C$1421,"sustainability")),"")</f>
        <v/>
      </c>
      <c r="Q128" s="0" t="str">
        <f aca="false">IFERROR(IF(maxifs(Documents!$E$2:$E$1421,Documents!$A$2:$A$1421,$A128,Documents!$C$2:$C$1421,"calendar")=0,"",maxifs(Documents!$E$2:$E$1421,Documents!$A$2:$A$1421,$A128,Documents!$C$2:$C$1421,"calendar")),"")</f>
        <v/>
      </c>
      <c r="R128" s="0" t="str">
        <f aca="false">IFERROR(IF(maxifs(Documents!$E$2:$E$1421,Documents!$A$2:$A$1421,$A128,Documents!$C$2:$C$1421,"brochure")=0,"",maxifs(Documents!$E$2:$E$1421,Documents!$A$2:$A$1421,$A128,Documents!$C$2:$C$1421,"brochure")),"")</f>
        <v/>
      </c>
      <c r="S128" s="0" t="str">
        <f aca="false">IFERROR(IF(maxifs(Documents!$E$2:$E$1421,Documents!$A$2:$A$1421,$A128,Documents!$C$2:$C$1421,"press_kit")=0,"",maxifs(Documents!$E$2:$E$1421,Documents!$A$2:$A$1421,$A128,Documents!$C$2:$C$1421,"press_kit")),"")</f>
        <v/>
      </c>
      <c r="T128" s="0" t="str">
        <f aca="false">IFERROR(IF(maxifs(Documents!$E$2:$E$1421,Documents!$A$2:$A$1421,$A128,Documents!$C$2:$C$1421,"other")=0,"",maxifs(Documents!$E$2:$E$1421,Documents!$A$2:$A$1421,$A128,Documents!$C$2:$C$1421,"other")),"")</f>
        <v/>
      </c>
      <c r="U128" s="0" t="str">
        <f aca="false">IFERROR(IF(maxifs(Documents!$E$2:$E$1421,Documents!$A$2:$A$1421,$A128,Documents!$C$2:$C$1421,"obsolete")=0,"",maxifs(Documents!$E$2:$E$1421,Documents!$A$2:$A$1421,$A128,Documents!$C$2:$C$1421,"obsolete")),"")</f>
        <v/>
      </c>
      <c r="V128" s="0" t="n">
        <f aca="false">COUNTIFS(Documents!$A$2:$A$1421,$A128)</f>
        <v>0</v>
      </c>
      <c r="W128" s="0" t="n">
        <f aca="false">COUNTIFS(Documents!$A$2:$A$1421,$A128,Documents!$R$2:$R$1421,"current")</f>
        <v>0</v>
      </c>
      <c r="Y128" s="0" t="s">
        <v>31</v>
      </c>
    </row>
    <row r="129" customFormat="false" ht="15" hidden="false" customHeight="false" outlineLevel="0" collapsed="false">
      <c r="A129" s="0" t="n">
        <v>128</v>
      </c>
      <c r="B129" s="0" t="s">
        <v>183</v>
      </c>
      <c r="C129" s="0" t="s">
        <v>112</v>
      </c>
      <c r="D129" s="0" t="str">
        <f aca="false">IFERROR(IF(maxifs(Documents!$E$2:$E$1421,Documents!$A$2:$A$1421,$A129,Documents!$C$2:$C$1421,"factsheet")=0,"",maxifs(Documents!$E$2:$E$1421,Documents!$A$2:$A$1421,$A129,Documents!$C$2:$C$1421,"factsheet")),"")</f>
        <v/>
      </c>
      <c r="E129" s="0" t="str">
        <f aca="false">IFERROR(IF(maxifs(Documents!$E$2:$E$1421,Documents!$A$2:$A$1421,$A129,Documents!$C$2:$C$1421,"wedding")=0,"",maxifs(Documents!$E$2:$E$1421,Documents!$A$2:$A$1421,$A129,Documents!$C$2:$C$1421,"wedding")),"")</f>
        <v/>
      </c>
      <c r="F129" s="0" t="str">
        <f aca="false">IFERROR(IF(maxifs(Documents!$E$2:$E$1421,Documents!$A$2:$A$1421,$A129,Documents!$C$2:$C$1421,"events")=0,"",maxifs(Documents!$E$2:$E$1421,Documents!$A$2:$A$1421,$A129,Documents!$C$2:$C$1421,"events")),"")</f>
        <v/>
      </c>
      <c r="G129" s="0" t="str">
        <f aca="false">IFERROR(IF(maxifs(Documents!$E$2:$E$1421,Documents!$A$2:$A$1421,$A129,Documents!$C$2:$C$1421,"map")=0,"",maxifs(Documents!$E$2:$E$1421,Documents!$A$2:$A$1421,$A129,Documents!$C$2:$C$1421,"map")),"")</f>
        <v/>
      </c>
      <c r="H129" s="0" t="str">
        <f aca="false">IFERROR(IF(maxifs(Documents!$E$2:$E$1421,Documents!$A$2:$A$1421,$A129,Documents!$C$2:$C$1421,"dive_map")=0,"",maxifs(Documents!$E$2:$E$1421,Documents!$A$2:$A$1421,$A129,Documents!$C$2:$C$1421,"dive_map")),"")</f>
        <v/>
      </c>
      <c r="I129" s="0" t="str">
        <f aca="false">IFERROR(IF(maxifs(Documents!$E$2:$E$1421,Documents!$A$2:$A$1421,$A129,Documents!$C$2:$C$1421,"spa_menu")=0,"",maxifs(Documents!$E$2:$E$1421,Documents!$A$2:$A$1421,$A129,Documents!$C$2:$C$1421,"spa_menu")),"")</f>
        <v/>
      </c>
      <c r="J129" s="0" t="str">
        <f aca="false">IFERROR(IF(maxifs(Documents!$E$2:$E$1421,Documents!$A$2:$A$1421,$A129,Documents!$C$2:$C$1421,"dining_menu")=0,"",maxifs(Documents!$E$2:$E$1421,Documents!$A$2:$A$1421,$A129,Documents!$C$2:$C$1421,"dining_menu")),"")</f>
        <v/>
      </c>
      <c r="K129" s="0" t="str">
        <f aca="false">IFERROR(IF(maxifs(Documents!$E$2:$E$1421,Documents!$A$2:$A$1421,$A129,Documents!$C$2:$C$1421,"dive_prices")=0,"",maxifs(Documents!$E$2:$E$1421,Documents!$A$2:$A$1421,$A129,Documents!$C$2:$C$1421,"dive_prices")),"")</f>
        <v/>
      </c>
      <c r="L129" s="0" t="str">
        <f aca="false">IFERROR(IF(maxifs(Documents!$E$2:$E$1421,Documents!$A$2:$A$1421,$A129,Documents!$C$2:$C$1421,"excursions")=0,"",maxifs(Documents!$E$2:$E$1421,Documents!$A$2:$A$1421,$A129,Documents!$C$2:$C$1421,"excursions")),"")</f>
        <v/>
      </c>
      <c r="M129" s="0" t="str">
        <f aca="false">IFERROR(IF(maxifs(Documents!$E$2:$E$1421,Documents!$A$2:$A$1421,$A129,Documents!$C$2:$C$1421,"kids")=0,"",maxifs(Documents!$E$2:$E$1421,Documents!$A$2:$A$1421,$A129,Documents!$C$2:$C$1421,"kids")),"")</f>
        <v/>
      </c>
      <c r="N129" s="0" t="str">
        <f aca="false">IFERROR(IF(maxifs(Documents!$E$2:$E$1421,Documents!$A$2:$A$1421,$A129,Documents!$C$2:$C$1421,"villa_plans")=0,"",maxifs(Documents!$E$2:$E$1421,Documents!$A$2:$A$1421,$A129,Documents!$C$2:$C$1421,"villa_plans")),"")</f>
        <v/>
      </c>
      <c r="O129" s="0" t="str">
        <f aca="false">IFERROR(IF(maxifs(Documents!$E$2:$E$1421,Documents!$A$2:$A$1421,$A129,Documents!$C$2:$C$1421,"all_inclusive")=0,"",maxifs(Documents!$E$2:$E$1421,Documents!$A$2:$A$1421,$A129,Documents!$C$2:$C$1421,"all_inclusive")),"")</f>
        <v/>
      </c>
      <c r="P129" s="0" t="str">
        <f aca="false">IFERROR(IF(maxifs(Documents!$E$2:$E$1421,Documents!$A$2:$A$1421,$A129,Documents!$C$2:$C$1421,"sustainability")=0,"",maxifs(Documents!$E$2:$E$1421,Documents!$A$2:$A$1421,$A129,Documents!$C$2:$C$1421,"sustainability")),"")</f>
        <v/>
      </c>
      <c r="Q129" s="0" t="str">
        <f aca="false">IFERROR(IF(maxifs(Documents!$E$2:$E$1421,Documents!$A$2:$A$1421,$A129,Documents!$C$2:$C$1421,"calendar")=0,"",maxifs(Documents!$E$2:$E$1421,Documents!$A$2:$A$1421,$A129,Documents!$C$2:$C$1421,"calendar")),"")</f>
        <v/>
      </c>
      <c r="R129" s="0" t="str">
        <f aca="false">IFERROR(IF(maxifs(Documents!$E$2:$E$1421,Documents!$A$2:$A$1421,$A129,Documents!$C$2:$C$1421,"brochure")=0,"",maxifs(Documents!$E$2:$E$1421,Documents!$A$2:$A$1421,$A129,Documents!$C$2:$C$1421,"brochure")),"")</f>
        <v/>
      </c>
      <c r="S129" s="0" t="str">
        <f aca="false">IFERROR(IF(maxifs(Documents!$E$2:$E$1421,Documents!$A$2:$A$1421,$A129,Documents!$C$2:$C$1421,"press_kit")=0,"",maxifs(Documents!$E$2:$E$1421,Documents!$A$2:$A$1421,$A129,Documents!$C$2:$C$1421,"press_kit")),"")</f>
        <v/>
      </c>
      <c r="T129" s="0" t="str">
        <f aca="false">IFERROR(IF(maxifs(Documents!$E$2:$E$1421,Documents!$A$2:$A$1421,$A129,Documents!$C$2:$C$1421,"other")=0,"",maxifs(Documents!$E$2:$E$1421,Documents!$A$2:$A$1421,$A129,Documents!$C$2:$C$1421,"other")),"")</f>
        <v/>
      </c>
      <c r="U129" s="0" t="str">
        <f aca="false">IFERROR(IF(maxifs(Documents!$E$2:$E$1421,Documents!$A$2:$A$1421,$A129,Documents!$C$2:$C$1421,"obsolete")=0,"",maxifs(Documents!$E$2:$E$1421,Documents!$A$2:$A$1421,$A129,Documents!$C$2:$C$1421,"obsolete")),"")</f>
        <v/>
      </c>
      <c r="V129" s="0" t="n">
        <f aca="false">COUNTIFS(Documents!$A$2:$A$1421,$A129)</f>
        <v>4</v>
      </c>
      <c r="W129" s="0" t="n">
        <f aca="false">COUNTIFS(Documents!$A$2:$A$1421,$A129,Documents!$R$2:$R$1421,"current")</f>
        <v>2</v>
      </c>
      <c r="X129" s="0" t="str">
        <f aca="false">HYPERLINK("https://www.neoscapesmaldives.com/wp-content/uploads/Factsheet-OneOnly-Reethi-Rah.pdf","2019_Factsheet-OneOnly-Reethi-Rah.pdf")</f>
        <v>2019_Factsheet-OneOnly-Reethi-Rah.pdf</v>
      </c>
      <c r="Y129" s="0" t="s">
        <v>28</v>
      </c>
    </row>
    <row r="130" customFormat="false" ht="15" hidden="false" customHeight="false" outlineLevel="0" collapsed="false">
      <c r="A130" s="0" t="n">
        <v>129</v>
      </c>
      <c r="B130" s="0" t="s">
        <v>184</v>
      </c>
      <c r="C130" s="0" t="s">
        <v>112</v>
      </c>
      <c r="D130" s="0" t="str">
        <f aca="false">IFERROR(IF(maxifs(Documents!$E$2:$E$1421,Documents!$A$2:$A$1421,$A130,Documents!$C$2:$C$1421,"factsheet")=0,"",maxifs(Documents!$E$2:$E$1421,Documents!$A$2:$A$1421,$A130,Documents!$C$2:$C$1421,"factsheet")),"")</f>
        <v/>
      </c>
      <c r="E130" s="0" t="str">
        <f aca="false">IFERROR(IF(maxifs(Documents!$E$2:$E$1421,Documents!$A$2:$A$1421,$A130,Documents!$C$2:$C$1421,"wedding")=0,"",maxifs(Documents!$E$2:$E$1421,Documents!$A$2:$A$1421,$A130,Documents!$C$2:$C$1421,"wedding")),"")</f>
        <v/>
      </c>
      <c r="F130" s="0" t="str">
        <f aca="false">IFERROR(IF(maxifs(Documents!$E$2:$E$1421,Documents!$A$2:$A$1421,$A130,Documents!$C$2:$C$1421,"events")=0,"",maxifs(Documents!$E$2:$E$1421,Documents!$A$2:$A$1421,$A130,Documents!$C$2:$C$1421,"events")),"")</f>
        <v/>
      </c>
      <c r="G130" s="0" t="str">
        <f aca="false">IFERROR(IF(maxifs(Documents!$E$2:$E$1421,Documents!$A$2:$A$1421,$A130,Documents!$C$2:$C$1421,"map")=0,"",maxifs(Documents!$E$2:$E$1421,Documents!$A$2:$A$1421,$A130,Documents!$C$2:$C$1421,"map")),"")</f>
        <v/>
      </c>
      <c r="H130" s="0" t="str">
        <f aca="false">IFERROR(IF(maxifs(Documents!$E$2:$E$1421,Documents!$A$2:$A$1421,$A130,Documents!$C$2:$C$1421,"dive_map")=0,"",maxifs(Documents!$E$2:$E$1421,Documents!$A$2:$A$1421,$A130,Documents!$C$2:$C$1421,"dive_map")),"")</f>
        <v/>
      </c>
      <c r="I130" s="0" t="str">
        <f aca="false">IFERROR(IF(maxifs(Documents!$E$2:$E$1421,Documents!$A$2:$A$1421,$A130,Documents!$C$2:$C$1421,"spa_menu")=0,"",maxifs(Documents!$E$2:$E$1421,Documents!$A$2:$A$1421,$A130,Documents!$C$2:$C$1421,"spa_menu")),"")</f>
        <v/>
      </c>
      <c r="J130" s="0" t="str">
        <f aca="false">IFERROR(IF(maxifs(Documents!$E$2:$E$1421,Documents!$A$2:$A$1421,$A130,Documents!$C$2:$C$1421,"dining_menu")=0,"",maxifs(Documents!$E$2:$E$1421,Documents!$A$2:$A$1421,$A130,Documents!$C$2:$C$1421,"dining_menu")),"")</f>
        <v/>
      </c>
      <c r="K130" s="0" t="str">
        <f aca="false">IFERROR(IF(maxifs(Documents!$E$2:$E$1421,Documents!$A$2:$A$1421,$A130,Documents!$C$2:$C$1421,"dive_prices")=0,"",maxifs(Documents!$E$2:$E$1421,Documents!$A$2:$A$1421,$A130,Documents!$C$2:$C$1421,"dive_prices")),"")</f>
        <v/>
      </c>
      <c r="L130" s="0" t="str">
        <f aca="false">IFERROR(IF(maxifs(Documents!$E$2:$E$1421,Documents!$A$2:$A$1421,$A130,Documents!$C$2:$C$1421,"excursions")=0,"",maxifs(Documents!$E$2:$E$1421,Documents!$A$2:$A$1421,$A130,Documents!$C$2:$C$1421,"excursions")),"")</f>
        <v/>
      </c>
      <c r="M130" s="0" t="str">
        <f aca="false">IFERROR(IF(maxifs(Documents!$E$2:$E$1421,Documents!$A$2:$A$1421,$A130,Documents!$C$2:$C$1421,"kids")=0,"",maxifs(Documents!$E$2:$E$1421,Documents!$A$2:$A$1421,$A130,Documents!$C$2:$C$1421,"kids")),"")</f>
        <v/>
      </c>
      <c r="N130" s="0" t="str">
        <f aca="false">IFERROR(IF(maxifs(Documents!$E$2:$E$1421,Documents!$A$2:$A$1421,$A130,Documents!$C$2:$C$1421,"villa_plans")=0,"",maxifs(Documents!$E$2:$E$1421,Documents!$A$2:$A$1421,$A130,Documents!$C$2:$C$1421,"villa_plans")),"")</f>
        <v/>
      </c>
      <c r="O130" s="0" t="str">
        <f aca="false">IFERROR(IF(maxifs(Documents!$E$2:$E$1421,Documents!$A$2:$A$1421,$A130,Documents!$C$2:$C$1421,"all_inclusive")=0,"",maxifs(Documents!$E$2:$E$1421,Documents!$A$2:$A$1421,$A130,Documents!$C$2:$C$1421,"all_inclusive")),"")</f>
        <v/>
      </c>
      <c r="P130" s="0" t="str">
        <f aca="false">IFERROR(IF(maxifs(Documents!$E$2:$E$1421,Documents!$A$2:$A$1421,$A130,Documents!$C$2:$C$1421,"sustainability")=0,"",maxifs(Documents!$E$2:$E$1421,Documents!$A$2:$A$1421,$A130,Documents!$C$2:$C$1421,"sustainability")),"")</f>
        <v/>
      </c>
      <c r="Q130" s="0" t="str">
        <f aca="false">IFERROR(IF(maxifs(Documents!$E$2:$E$1421,Documents!$A$2:$A$1421,$A130,Documents!$C$2:$C$1421,"calendar")=0,"",maxifs(Documents!$E$2:$E$1421,Documents!$A$2:$A$1421,$A130,Documents!$C$2:$C$1421,"calendar")),"")</f>
        <v/>
      </c>
      <c r="R130" s="0" t="str">
        <f aca="false">IFERROR(IF(maxifs(Documents!$E$2:$E$1421,Documents!$A$2:$A$1421,$A130,Documents!$C$2:$C$1421,"brochure")=0,"",maxifs(Documents!$E$2:$E$1421,Documents!$A$2:$A$1421,$A130,Documents!$C$2:$C$1421,"brochure")),"")</f>
        <v/>
      </c>
      <c r="S130" s="0" t="str">
        <f aca="false">IFERROR(IF(maxifs(Documents!$E$2:$E$1421,Documents!$A$2:$A$1421,$A130,Documents!$C$2:$C$1421,"press_kit")=0,"",maxifs(Documents!$E$2:$E$1421,Documents!$A$2:$A$1421,$A130,Documents!$C$2:$C$1421,"press_kit")),"")</f>
        <v/>
      </c>
      <c r="T130" s="0" t="str">
        <f aca="false">IFERROR(IF(maxifs(Documents!$E$2:$E$1421,Documents!$A$2:$A$1421,$A130,Documents!$C$2:$C$1421,"other")=0,"",maxifs(Documents!$E$2:$E$1421,Documents!$A$2:$A$1421,$A130,Documents!$C$2:$C$1421,"other")),"")</f>
        <v/>
      </c>
      <c r="U130" s="0" t="str">
        <f aca="false">IFERROR(IF(maxifs(Documents!$E$2:$E$1421,Documents!$A$2:$A$1421,$A130,Documents!$C$2:$C$1421,"obsolete")=0,"",maxifs(Documents!$E$2:$E$1421,Documents!$A$2:$A$1421,$A130,Documents!$C$2:$C$1421,"obsolete")),"")</f>
        <v/>
      </c>
      <c r="V130" s="0" t="n">
        <f aca="false">COUNTIFS(Documents!$A$2:$A$1421,$A130)</f>
        <v>0</v>
      </c>
      <c r="W130" s="0" t="n">
        <f aca="false">COUNTIFS(Documents!$A$2:$A$1421,$A130,Documents!$R$2:$R$1421,"current")</f>
        <v>0</v>
      </c>
      <c r="Y130" s="0" t="s">
        <v>31</v>
      </c>
    </row>
    <row r="131" customFormat="false" ht="15" hidden="false" customHeight="false" outlineLevel="0" collapsed="false">
      <c r="A131" s="0" t="n">
        <v>130</v>
      </c>
      <c r="B131" s="0" t="s">
        <v>185</v>
      </c>
      <c r="C131" s="0" t="s">
        <v>112</v>
      </c>
      <c r="D131" s="0" t="str">
        <f aca="false">IFERROR(IF(maxifs(Documents!$E$2:$E$1421,Documents!$A$2:$A$1421,$A131,Documents!$C$2:$C$1421,"factsheet")=0,"",maxifs(Documents!$E$2:$E$1421,Documents!$A$2:$A$1421,$A131,Documents!$C$2:$C$1421,"factsheet")),"")</f>
        <v/>
      </c>
      <c r="E131" s="0" t="str">
        <f aca="false">IFERROR(IF(maxifs(Documents!$E$2:$E$1421,Documents!$A$2:$A$1421,$A131,Documents!$C$2:$C$1421,"wedding")=0,"",maxifs(Documents!$E$2:$E$1421,Documents!$A$2:$A$1421,$A131,Documents!$C$2:$C$1421,"wedding")),"")</f>
        <v/>
      </c>
      <c r="F131" s="0" t="str">
        <f aca="false">IFERROR(IF(maxifs(Documents!$E$2:$E$1421,Documents!$A$2:$A$1421,$A131,Documents!$C$2:$C$1421,"events")=0,"",maxifs(Documents!$E$2:$E$1421,Documents!$A$2:$A$1421,$A131,Documents!$C$2:$C$1421,"events")),"")</f>
        <v/>
      </c>
      <c r="G131" s="0" t="str">
        <f aca="false">IFERROR(IF(maxifs(Documents!$E$2:$E$1421,Documents!$A$2:$A$1421,$A131,Documents!$C$2:$C$1421,"map")=0,"",maxifs(Documents!$E$2:$E$1421,Documents!$A$2:$A$1421,$A131,Documents!$C$2:$C$1421,"map")),"")</f>
        <v/>
      </c>
      <c r="H131" s="0" t="str">
        <f aca="false">IFERROR(IF(maxifs(Documents!$E$2:$E$1421,Documents!$A$2:$A$1421,$A131,Documents!$C$2:$C$1421,"dive_map")=0,"",maxifs(Documents!$E$2:$E$1421,Documents!$A$2:$A$1421,$A131,Documents!$C$2:$C$1421,"dive_map")),"")</f>
        <v/>
      </c>
      <c r="I131" s="0" t="str">
        <f aca="false">IFERROR(IF(maxifs(Documents!$E$2:$E$1421,Documents!$A$2:$A$1421,$A131,Documents!$C$2:$C$1421,"spa_menu")=0,"",maxifs(Documents!$E$2:$E$1421,Documents!$A$2:$A$1421,$A131,Documents!$C$2:$C$1421,"spa_menu")),"")</f>
        <v/>
      </c>
      <c r="J131" s="0" t="str">
        <f aca="false">IFERROR(IF(maxifs(Documents!$E$2:$E$1421,Documents!$A$2:$A$1421,$A131,Documents!$C$2:$C$1421,"dining_menu")=0,"",maxifs(Documents!$E$2:$E$1421,Documents!$A$2:$A$1421,$A131,Documents!$C$2:$C$1421,"dining_menu")),"")</f>
        <v/>
      </c>
      <c r="K131" s="0" t="str">
        <f aca="false">IFERROR(IF(maxifs(Documents!$E$2:$E$1421,Documents!$A$2:$A$1421,$A131,Documents!$C$2:$C$1421,"dive_prices")=0,"",maxifs(Documents!$E$2:$E$1421,Documents!$A$2:$A$1421,$A131,Documents!$C$2:$C$1421,"dive_prices")),"")</f>
        <v/>
      </c>
      <c r="L131" s="0" t="str">
        <f aca="false">IFERROR(IF(maxifs(Documents!$E$2:$E$1421,Documents!$A$2:$A$1421,$A131,Documents!$C$2:$C$1421,"excursions")=0,"",maxifs(Documents!$E$2:$E$1421,Documents!$A$2:$A$1421,$A131,Documents!$C$2:$C$1421,"excursions")),"")</f>
        <v/>
      </c>
      <c r="M131" s="0" t="str">
        <f aca="false">IFERROR(IF(maxifs(Documents!$E$2:$E$1421,Documents!$A$2:$A$1421,$A131,Documents!$C$2:$C$1421,"kids")=0,"",maxifs(Documents!$E$2:$E$1421,Documents!$A$2:$A$1421,$A131,Documents!$C$2:$C$1421,"kids")),"")</f>
        <v/>
      </c>
      <c r="N131" s="0" t="str">
        <f aca="false">IFERROR(IF(maxifs(Documents!$E$2:$E$1421,Documents!$A$2:$A$1421,$A131,Documents!$C$2:$C$1421,"villa_plans")=0,"",maxifs(Documents!$E$2:$E$1421,Documents!$A$2:$A$1421,$A131,Documents!$C$2:$C$1421,"villa_plans")),"")</f>
        <v/>
      </c>
      <c r="O131" s="0" t="str">
        <f aca="false">IFERROR(IF(maxifs(Documents!$E$2:$E$1421,Documents!$A$2:$A$1421,$A131,Documents!$C$2:$C$1421,"all_inclusive")=0,"",maxifs(Documents!$E$2:$E$1421,Documents!$A$2:$A$1421,$A131,Documents!$C$2:$C$1421,"all_inclusive")),"")</f>
        <v/>
      </c>
      <c r="P131" s="0" t="str">
        <f aca="false">IFERROR(IF(maxifs(Documents!$E$2:$E$1421,Documents!$A$2:$A$1421,$A131,Documents!$C$2:$C$1421,"sustainability")=0,"",maxifs(Documents!$E$2:$E$1421,Documents!$A$2:$A$1421,$A131,Documents!$C$2:$C$1421,"sustainability")),"")</f>
        <v/>
      </c>
      <c r="Q131" s="0" t="str">
        <f aca="false">IFERROR(IF(maxifs(Documents!$E$2:$E$1421,Documents!$A$2:$A$1421,$A131,Documents!$C$2:$C$1421,"calendar")=0,"",maxifs(Documents!$E$2:$E$1421,Documents!$A$2:$A$1421,$A131,Documents!$C$2:$C$1421,"calendar")),"")</f>
        <v/>
      </c>
      <c r="R131" s="0" t="str">
        <f aca="false">IFERROR(IF(maxifs(Documents!$E$2:$E$1421,Documents!$A$2:$A$1421,$A131,Documents!$C$2:$C$1421,"brochure")=0,"",maxifs(Documents!$E$2:$E$1421,Documents!$A$2:$A$1421,$A131,Documents!$C$2:$C$1421,"brochure")),"")</f>
        <v/>
      </c>
      <c r="S131" s="0" t="str">
        <f aca="false">IFERROR(IF(maxifs(Documents!$E$2:$E$1421,Documents!$A$2:$A$1421,$A131,Documents!$C$2:$C$1421,"press_kit")=0,"",maxifs(Documents!$E$2:$E$1421,Documents!$A$2:$A$1421,$A131,Documents!$C$2:$C$1421,"press_kit")),"")</f>
        <v/>
      </c>
      <c r="T131" s="0" t="str">
        <f aca="false">IFERROR(IF(maxifs(Documents!$E$2:$E$1421,Documents!$A$2:$A$1421,$A131,Documents!$C$2:$C$1421,"other")=0,"",maxifs(Documents!$E$2:$E$1421,Documents!$A$2:$A$1421,$A131,Documents!$C$2:$C$1421,"other")),"")</f>
        <v/>
      </c>
      <c r="U131" s="0" t="str">
        <f aca="false">IFERROR(IF(maxifs(Documents!$E$2:$E$1421,Documents!$A$2:$A$1421,$A131,Documents!$C$2:$C$1421,"obsolete")=0,"",maxifs(Documents!$E$2:$E$1421,Documents!$A$2:$A$1421,$A131,Documents!$C$2:$C$1421,"obsolete")),"")</f>
        <v/>
      </c>
      <c r="V131" s="0" t="n">
        <f aca="false">COUNTIFS(Documents!$A$2:$A$1421,$A131)</f>
        <v>0</v>
      </c>
      <c r="W131" s="0" t="n">
        <f aca="false">COUNTIFS(Documents!$A$2:$A$1421,$A131,Documents!$R$2:$R$1421,"current")</f>
        <v>0</v>
      </c>
      <c r="Y131" s="0" t="s">
        <v>31</v>
      </c>
    </row>
    <row r="132" customFormat="false" ht="15" hidden="false" customHeight="false" outlineLevel="0" collapsed="false">
      <c r="A132" s="0" t="n">
        <v>131</v>
      </c>
      <c r="B132" s="0" t="s">
        <v>186</v>
      </c>
      <c r="C132" s="0" t="s">
        <v>112</v>
      </c>
      <c r="D132" s="0" t="str">
        <f aca="false">IFERROR(IF(maxifs(Documents!$E$2:$E$1421,Documents!$A$2:$A$1421,$A132,Documents!$C$2:$C$1421,"factsheet")=0,"",maxifs(Documents!$E$2:$E$1421,Documents!$A$2:$A$1421,$A132,Documents!$C$2:$C$1421,"factsheet")),"")</f>
        <v/>
      </c>
      <c r="E132" s="0" t="str">
        <f aca="false">IFERROR(IF(maxifs(Documents!$E$2:$E$1421,Documents!$A$2:$A$1421,$A132,Documents!$C$2:$C$1421,"wedding")=0,"",maxifs(Documents!$E$2:$E$1421,Documents!$A$2:$A$1421,$A132,Documents!$C$2:$C$1421,"wedding")),"")</f>
        <v/>
      </c>
      <c r="F132" s="0" t="str">
        <f aca="false">IFERROR(IF(maxifs(Documents!$E$2:$E$1421,Documents!$A$2:$A$1421,$A132,Documents!$C$2:$C$1421,"events")=0,"",maxifs(Documents!$E$2:$E$1421,Documents!$A$2:$A$1421,$A132,Documents!$C$2:$C$1421,"events")),"")</f>
        <v/>
      </c>
      <c r="G132" s="0" t="str">
        <f aca="false">IFERROR(IF(maxifs(Documents!$E$2:$E$1421,Documents!$A$2:$A$1421,$A132,Documents!$C$2:$C$1421,"map")=0,"",maxifs(Documents!$E$2:$E$1421,Documents!$A$2:$A$1421,$A132,Documents!$C$2:$C$1421,"map")),"")</f>
        <v/>
      </c>
      <c r="H132" s="0" t="str">
        <f aca="false">IFERROR(IF(maxifs(Documents!$E$2:$E$1421,Documents!$A$2:$A$1421,$A132,Documents!$C$2:$C$1421,"dive_map")=0,"",maxifs(Documents!$E$2:$E$1421,Documents!$A$2:$A$1421,$A132,Documents!$C$2:$C$1421,"dive_map")),"")</f>
        <v/>
      </c>
      <c r="I132" s="0" t="str">
        <f aca="false">IFERROR(IF(maxifs(Documents!$E$2:$E$1421,Documents!$A$2:$A$1421,$A132,Documents!$C$2:$C$1421,"spa_menu")=0,"",maxifs(Documents!$E$2:$E$1421,Documents!$A$2:$A$1421,$A132,Documents!$C$2:$C$1421,"spa_menu")),"")</f>
        <v/>
      </c>
      <c r="J132" s="0" t="str">
        <f aca="false">IFERROR(IF(maxifs(Documents!$E$2:$E$1421,Documents!$A$2:$A$1421,$A132,Documents!$C$2:$C$1421,"dining_menu")=0,"",maxifs(Documents!$E$2:$E$1421,Documents!$A$2:$A$1421,$A132,Documents!$C$2:$C$1421,"dining_menu")),"")</f>
        <v/>
      </c>
      <c r="K132" s="0" t="str">
        <f aca="false">IFERROR(IF(maxifs(Documents!$E$2:$E$1421,Documents!$A$2:$A$1421,$A132,Documents!$C$2:$C$1421,"dive_prices")=0,"",maxifs(Documents!$E$2:$E$1421,Documents!$A$2:$A$1421,$A132,Documents!$C$2:$C$1421,"dive_prices")),"")</f>
        <v/>
      </c>
      <c r="L132" s="0" t="str">
        <f aca="false">IFERROR(IF(maxifs(Documents!$E$2:$E$1421,Documents!$A$2:$A$1421,$A132,Documents!$C$2:$C$1421,"excursions")=0,"",maxifs(Documents!$E$2:$E$1421,Documents!$A$2:$A$1421,$A132,Documents!$C$2:$C$1421,"excursions")),"")</f>
        <v/>
      </c>
      <c r="M132" s="0" t="str">
        <f aca="false">IFERROR(IF(maxifs(Documents!$E$2:$E$1421,Documents!$A$2:$A$1421,$A132,Documents!$C$2:$C$1421,"kids")=0,"",maxifs(Documents!$E$2:$E$1421,Documents!$A$2:$A$1421,$A132,Documents!$C$2:$C$1421,"kids")),"")</f>
        <v/>
      </c>
      <c r="N132" s="0" t="str">
        <f aca="false">IFERROR(IF(maxifs(Documents!$E$2:$E$1421,Documents!$A$2:$A$1421,$A132,Documents!$C$2:$C$1421,"villa_plans")=0,"",maxifs(Documents!$E$2:$E$1421,Documents!$A$2:$A$1421,$A132,Documents!$C$2:$C$1421,"villa_plans")),"")</f>
        <v/>
      </c>
      <c r="O132" s="0" t="str">
        <f aca="false">IFERROR(IF(maxifs(Documents!$E$2:$E$1421,Documents!$A$2:$A$1421,$A132,Documents!$C$2:$C$1421,"all_inclusive")=0,"",maxifs(Documents!$E$2:$E$1421,Documents!$A$2:$A$1421,$A132,Documents!$C$2:$C$1421,"all_inclusive")),"")</f>
        <v/>
      </c>
      <c r="P132" s="0" t="str">
        <f aca="false">IFERROR(IF(maxifs(Documents!$E$2:$E$1421,Documents!$A$2:$A$1421,$A132,Documents!$C$2:$C$1421,"sustainability")=0,"",maxifs(Documents!$E$2:$E$1421,Documents!$A$2:$A$1421,$A132,Documents!$C$2:$C$1421,"sustainability")),"")</f>
        <v/>
      </c>
      <c r="Q132" s="0" t="str">
        <f aca="false">IFERROR(IF(maxifs(Documents!$E$2:$E$1421,Documents!$A$2:$A$1421,$A132,Documents!$C$2:$C$1421,"calendar")=0,"",maxifs(Documents!$E$2:$E$1421,Documents!$A$2:$A$1421,$A132,Documents!$C$2:$C$1421,"calendar")),"")</f>
        <v/>
      </c>
      <c r="R132" s="0" t="str">
        <f aca="false">IFERROR(IF(maxifs(Documents!$E$2:$E$1421,Documents!$A$2:$A$1421,$A132,Documents!$C$2:$C$1421,"brochure")=0,"",maxifs(Documents!$E$2:$E$1421,Documents!$A$2:$A$1421,$A132,Documents!$C$2:$C$1421,"brochure")),"")</f>
        <v/>
      </c>
      <c r="S132" s="0" t="str">
        <f aca="false">IFERROR(IF(maxifs(Documents!$E$2:$E$1421,Documents!$A$2:$A$1421,$A132,Documents!$C$2:$C$1421,"press_kit")=0,"",maxifs(Documents!$E$2:$E$1421,Documents!$A$2:$A$1421,$A132,Documents!$C$2:$C$1421,"press_kit")),"")</f>
        <v/>
      </c>
      <c r="T132" s="0" t="str">
        <f aca="false">IFERROR(IF(maxifs(Documents!$E$2:$E$1421,Documents!$A$2:$A$1421,$A132,Documents!$C$2:$C$1421,"other")=0,"",maxifs(Documents!$E$2:$E$1421,Documents!$A$2:$A$1421,$A132,Documents!$C$2:$C$1421,"other")),"")</f>
        <v/>
      </c>
      <c r="U132" s="0" t="str">
        <f aca="false">IFERROR(IF(maxifs(Documents!$E$2:$E$1421,Documents!$A$2:$A$1421,$A132,Documents!$C$2:$C$1421,"obsolete")=0,"",maxifs(Documents!$E$2:$E$1421,Documents!$A$2:$A$1421,$A132,Documents!$C$2:$C$1421,"obsolete")),"")</f>
        <v/>
      </c>
      <c r="V132" s="0" t="n">
        <f aca="false">COUNTIFS(Documents!$A$2:$A$1421,$A132)</f>
        <v>0</v>
      </c>
      <c r="W132" s="0" t="n">
        <f aca="false">COUNTIFS(Documents!$A$2:$A$1421,$A132,Documents!$R$2:$R$1421,"current")</f>
        <v>0</v>
      </c>
      <c r="Y132" s="0" t="s">
        <v>31</v>
      </c>
    </row>
    <row r="133" customFormat="false" ht="15" hidden="false" customHeight="false" outlineLevel="0" collapsed="false">
      <c r="A133" s="0" t="n">
        <v>132</v>
      </c>
      <c r="B133" s="0" t="s">
        <v>187</v>
      </c>
      <c r="C133" s="0" t="s">
        <v>112</v>
      </c>
      <c r="D133" s="0" t="str">
        <f aca="false">IFERROR(IF(maxifs(Documents!$E$2:$E$1421,Documents!$A$2:$A$1421,$A133,Documents!$C$2:$C$1421,"factsheet")=0,"",maxifs(Documents!$E$2:$E$1421,Documents!$A$2:$A$1421,$A133,Documents!$C$2:$C$1421,"factsheet")),"")</f>
        <v/>
      </c>
      <c r="E133" s="0" t="str">
        <f aca="false">IFERROR(IF(maxifs(Documents!$E$2:$E$1421,Documents!$A$2:$A$1421,$A133,Documents!$C$2:$C$1421,"wedding")=0,"",maxifs(Documents!$E$2:$E$1421,Documents!$A$2:$A$1421,$A133,Documents!$C$2:$C$1421,"wedding")),"")</f>
        <v/>
      </c>
      <c r="F133" s="0" t="str">
        <f aca="false">IFERROR(IF(maxifs(Documents!$E$2:$E$1421,Documents!$A$2:$A$1421,$A133,Documents!$C$2:$C$1421,"events")=0,"",maxifs(Documents!$E$2:$E$1421,Documents!$A$2:$A$1421,$A133,Documents!$C$2:$C$1421,"events")),"")</f>
        <v/>
      </c>
      <c r="G133" s="0" t="str">
        <f aca="false">IFERROR(IF(maxifs(Documents!$E$2:$E$1421,Documents!$A$2:$A$1421,$A133,Documents!$C$2:$C$1421,"map")=0,"",maxifs(Documents!$E$2:$E$1421,Documents!$A$2:$A$1421,$A133,Documents!$C$2:$C$1421,"map")),"")</f>
        <v/>
      </c>
      <c r="H133" s="0" t="str">
        <f aca="false">IFERROR(IF(maxifs(Documents!$E$2:$E$1421,Documents!$A$2:$A$1421,$A133,Documents!$C$2:$C$1421,"dive_map")=0,"",maxifs(Documents!$E$2:$E$1421,Documents!$A$2:$A$1421,$A133,Documents!$C$2:$C$1421,"dive_map")),"")</f>
        <v/>
      </c>
      <c r="I133" s="0" t="str">
        <f aca="false">IFERROR(IF(maxifs(Documents!$E$2:$E$1421,Documents!$A$2:$A$1421,$A133,Documents!$C$2:$C$1421,"spa_menu")=0,"",maxifs(Documents!$E$2:$E$1421,Documents!$A$2:$A$1421,$A133,Documents!$C$2:$C$1421,"spa_menu")),"")</f>
        <v/>
      </c>
      <c r="J133" s="0" t="str">
        <f aca="false">IFERROR(IF(maxifs(Documents!$E$2:$E$1421,Documents!$A$2:$A$1421,$A133,Documents!$C$2:$C$1421,"dining_menu")=0,"",maxifs(Documents!$E$2:$E$1421,Documents!$A$2:$A$1421,$A133,Documents!$C$2:$C$1421,"dining_menu")),"")</f>
        <v/>
      </c>
      <c r="K133" s="0" t="str">
        <f aca="false">IFERROR(IF(maxifs(Documents!$E$2:$E$1421,Documents!$A$2:$A$1421,$A133,Documents!$C$2:$C$1421,"dive_prices")=0,"",maxifs(Documents!$E$2:$E$1421,Documents!$A$2:$A$1421,$A133,Documents!$C$2:$C$1421,"dive_prices")),"")</f>
        <v/>
      </c>
      <c r="L133" s="0" t="str">
        <f aca="false">IFERROR(IF(maxifs(Documents!$E$2:$E$1421,Documents!$A$2:$A$1421,$A133,Documents!$C$2:$C$1421,"excursions")=0,"",maxifs(Documents!$E$2:$E$1421,Documents!$A$2:$A$1421,$A133,Documents!$C$2:$C$1421,"excursions")),"")</f>
        <v/>
      </c>
      <c r="M133" s="0" t="str">
        <f aca="false">IFERROR(IF(maxifs(Documents!$E$2:$E$1421,Documents!$A$2:$A$1421,$A133,Documents!$C$2:$C$1421,"kids")=0,"",maxifs(Documents!$E$2:$E$1421,Documents!$A$2:$A$1421,$A133,Documents!$C$2:$C$1421,"kids")),"")</f>
        <v/>
      </c>
      <c r="N133" s="0" t="str">
        <f aca="false">IFERROR(IF(maxifs(Documents!$E$2:$E$1421,Documents!$A$2:$A$1421,$A133,Documents!$C$2:$C$1421,"villa_plans")=0,"",maxifs(Documents!$E$2:$E$1421,Documents!$A$2:$A$1421,$A133,Documents!$C$2:$C$1421,"villa_plans")),"")</f>
        <v/>
      </c>
      <c r="O133" s="0" t="str">
        <f aca="false">IFERROR(IF(maxifs(Documents!$E$2:$E$1421,Documents!$A$2:$A$1421,$A133,Documents!$C$2:$C$1421,"all_inclusive")=0,"",maxifs(Documents!$E$2:$E$1421,Documents!$A$2:$A$1421,$A133,Documents!$C$2:$C$1421,"all_inclusive")),"")</f>
        <v/>
      </c>
      <c r="P133" s="0" t="str">
        <f aca="false">IFERROR(IF(maxifs(Documents!$E$2:$E$1421,Documents!$A$2:$A$1421,$A133,Documents!$C$2:$C$1421,"sustainability")=0,"",maxifs(Documents!$E$2:$E$1421,Documents!$A$2:$A$1421,$A133,Documents!$C$2:$C$1421,"sustainability")),"")</f>
        <v/>
      </c>
      <c r="Q133" s="0" t="str">
        <f aca="false">IFERROR(IF(maxifs(Documents!$E$2:$E$1421,Documents!$A$2:$A$1421,$A133,Documents!$C$2:$C$1421,"calendar")=0,"",maxifs(Documents!$E$2:$E$1421,Documents!$A$2:$A$1421,$A133,Documents!$C$2:$C$1421,"calendar")),"")</f>
        <v/>
      </c>
      <c r="R133" s="0" t="str">
        <f aca="false">IFERROR(IF(maxifs(Documents!$E$2:$E$1421,Documents!$A$2:$A$1421,$A133,Documents!$C$2:$C$1421,"brochure")=0,"",maxifs(Documents!$E$2:$E$1421,Documents!$A$2:$A$1421,$A133,Documents!$C$2:$C$1421,"brochure")),"")</f>
        <v/>
      </c>
      <c r="S133" s="0" t="str">
        <f aca="false">IFERROR(IF(maxifs(Documents!$E$2:$E$1421,Documents!$A$2:$A$1421,$A133,Documents!$C$2:$C$1421,"press_kit")=0,"",maxifs(Documents!$E$2:$E$1421,Documents!$A$2:$A$1421,$A133,Documents!$C$2:$C$1421,"press_kit")),"")</f>
        <v/>
      </c>
      <c r="T133" s="0" t="str">
        <f aca="false">IFERROR(IF(maxifs(Documents!$E$2:$E$1421,Documents!$A$2:$A$1421,$A133,Documents!$C$2:$C$1421,"other")=0,"",maxifs(Documents!$E$2:$E$1421,Documents!$A$2:$A$1421,$A133,Documents!$C$2:$C$1421,"other")),"")</f>
        <v/>
      </c>
      <c r="U133" s="0" t="str">
        <f aca="false">IFERROR(IF(maxifs(Documents!$E$2:$E$1421,Documents!$A$2:$A$1421,$A133,Documents!$C$2:$C$1421,"obsolete")=0,"",maxifs(Documents!$E$2:$E$1421,Documents!$A$2:$A$1421,$A133,Documents!$C$2:$C$1421,"obsolete")),"")</f>
        <v/>
      </c>
      <c r="V133" s="0" t="n">
        <f aca="false">COUNTIFS(Documents!$A$2:$A$1421,$A133)</f>
        <v>3</v>
      </c>
      <c r="W133" s="0" t="n">
        <f aca="false">COUNTIFS(Documents!$A$2:$A$1421,$A133,Documents!$R$2:$R$1421,"current")</f>
        <v>1</v>
      </c>
      <c r="X133" s="0" t="str">
        <f aca="false">HYPERLINK("https://www.neoscapesmaldives.com/wp-content/uploads/NM-Factsheet-July2021.pdf","2021_NM-Factsheet-July2021.pdf")</f>
        <v>2021_NM-Factsheet-July2021.pdf</v>
      </c>
      <c r="Y133" s="0" t="s">
        <v>28</v>
      </c>
    </row>
    <row r="134" customFormat="false" ht="15" hidden="false" customHeight="false" outlineLevel="0" collapsed="false">
      <c r="A134" s="0" t="n">
        <v>133</v>
      </c>
      <c r="B134" s="0" t="s">
        <v>188</v>
      </c>
      <c r="C134" s="0" t="s">
        <v>112</v>
      </c>
      <c r="D134" s="0" t="str">
        <f aca="false">IFERROR(IF(maxifs(Documents!$E$2:$E$1421,Documents!$A$2:$A$1421,$A134,Documents!$C$2:$C$1421,"factsheet")=0,"",maxifs(Documents!$E$2:$E$1421,Documents!$A$2:$A$1421,$A134,Documents!$C$2:$C$1421,"factsheet")),"")</f>
        <v/>
      </c>
      <c r="E134" s="0" t="str">
        <f aca="false">IFERROR(IF(maxifs(Documents!$E$2:$E$1421,Documents!$A$2:$A$1421,$A134,Documents!$C$2:$C$1421,"wedding")=0,"",maxifs(Documents!$E$2:$E$1421,Documents!$A$2:$A$1421,$A134,Documents!$C$2:$C$1421,"wedding")),"")</f>
        <v/>
      </c>
      <c r="F134" s="0" t="str">
        <f aca="false">IFERROR(IF(maxifs(Documents!$E$2:$E$1421,Documents!$A$2:$A$1421,$A134,Documents!$C$2:$C$1421,"events")=0,"",maxifs(Documents!$E$2:$E$1421,Documents!$A$2:$A$1421,$A134,Documents!$C$2:$C$1421,"events")),"")</f>
        <v/>
      </c>
      <c r="G134" s="0" t="str">
        <f aca="false">IFERROR(IF(maxifs(Documents!$E$2:$E$1421,Documents!$A$2:$A$1421,$A134,Documents!$C$2:$C$1421,"map")=0,"",maxifs(Documents!$E$2:$E$1421,Documents!$A$2:$A$1421,$A134,Documents!$C$2:$C$1421,"map")),"")</f>
        <v/>
      </c>
      <c r="H134" s="0" t="str">
        <f aca="false">IFERROR(IF(maxifs(Documents!$E$2:$E$1421,Documents!$A$2:$A$1421,$A134,Documents!$C$2:$C$1421,"dive_map")=0,"",maxifs(Documents!$E$2:$E$1421,Documents!$A$2:$A$1421,$A134,Documents!$C$2:$C$1421,"dive_map")),"")</f>
        <v/>
      </c>
      <c r="I134" s="0" t="str">
        <f aca="false">IFERROR(IF(maxifs(Documents!$E$2:$E$1421,Documents!$A$2:$A$1421,$A134,Documents!$C$2:$C$1421,"spa_menu")=0,"",maxifs(Documents!$E$2:$E$1421,Documents!$A$2:$A$1421,$A134,Documents!$C$2:$C$1421,"spa_menu")),"")</f>
        <v/>
      </c>
      <c r="J134" s="0" t="str">
        <f aca="false">IFERROR(IF(maxifs(Documents!$E$2:$E$1421,Documents!$A$2:$A$1421,$A134,Documents!$C$2:$C$1421,"dining_menu")=0,"",maxifs(Documents!$E$2:$E$1421,Documents!$A$2:$A$1421,$A134,Documents!$C$2:$C$1421,"dining_menu")),"")</f>
        <v/>
      </c>
      <c r="K134" s="0" t="str">
        <f aca="false">IFERROR(IF(maxifs(Documents!$E$2:$E$1421,Documents!$A$2:$A$1421,$A134,Documents!$C$2:$C$1421,"dive_prices")=0,"",maxifs(Documents!$E$2:$E$1421,Documents!$A$2:$A$1421,$A134,Documents!$C$2:$C$1421,"dive_prices")),"")</f>
        <v/>
      </c>
      <c r="L134" s="0" t="str">
        <f aca="false">IFERROR(IF(maxifs(Documents!$E$2:$E$1421,Documents!$A$2:$A$1421,$A134,Documents!$C$2:$C$1421,"excursions")=0,"",maxifs(Documents!$E$2:$E$1421,Documents!$A$2:$A$1421,$A134,Documents!$C$2:$C$1421,"excursions")),"")</f>
        <v/>
      </c>
      <c r="M134" s="0" t="str">
        <f aca="false">IFERROR(IF(maxifs(Documents!$E$2:$E$1421,Documents!$A$2:$A$1421,$A134,Documents!$C$2:$C$1421,"kids")=0,"",maxifs(Documents!$E$2:$E$1421,Documents!$A$2:$A$1421,$A134,Documents!$C$2:$C$1421,"kids")),"")</f>
        <v/>
      </c>
      <c r="N134" s="0" t="str">
        <f aca="false">IFERROR(IF(maxifs(Documents!$E$2:$E$1421,Documents!$A$2:$A$1421,$A134,Documents!$C$2:$C$1421,"villa_plans")=0,"",maxifs(Documents!$E$2:$E$1421,Documents!$A$2:$A$1421,$A134,Documents!$C$2:$C$1421,"villa_plans")),"")</f>
        <v/>
      </c>
      <c r="O134" s="0" t="str">
        <f aca="false">IFERROR(IF(maxifs(Documents!$E$2:$E$1421,Documents!$A$2:$A$1421,$A134,Documents!$C$2:$C$1421,"all_inclusive")=0,"",maxifs(Documents!$E$2:$E$1421,Documents!$A$2:$A$1421,$A134,Documents!$C$2:$C$1421,"all_inclusive")),"")</f>
        <v/>
      </c>
      <c r="P134" s="0" t="str">
        <f aca="false">IFERROR(IF(maxifs(Documents!$E$2:$E$1421,Documents!$A$2:$A$1421,$A134,Documents!$C$2:$C$1421,"sustainability")=0,"",maxifs(Documents!$E$2:$E$1421,Documents!$A$2:$A$1421,$A134,Documents!$C$2:$C$1421,"sustainability")),"")</f>
        <v/>
      </c>
      <c r="Q134" s="0" t="str">
        <f aca="false">IFERROR(IF(maxifs(Documents!$E$2:$E$1421,Documents!$A$2:$A$1421,$A134,Documents!$C$2:$C$1421,"calendar")=0,"",maxifs(Documents!$E$2:$E$1421,Documents!$A$2:$A$1421,$A134,Documents!$C$2:$C$1421,"calendar")),"")</f>
        <v/>
      </c>
      <c r="R134" s="0" t="str">
        <f aca="false">IFERROR(IF(maxifs(Documents!$E$2:$E$1421,Documents!$A$2:$A$1421,$A134,Documents!$C$2:$C$1421,"brochure")=0,"",maxifs(Documents!$E$2:$E$1421,Documents!$A$2:$A$1421,$A134,Documents!$C$2:$C$1421,"brochure")),"")</f>
        <v/>
      </c>
      <c r="S134" s="0" t="str">
        <f aca="false">IFERROR(IF(maxifs(Documents!$E$2:$E$1421,Documents!$A$2:$A$1421,$A134,Documents!$C$2:$C$1421,"press_kit")=0,"",maxifs(Documents!$E$2:$E$1421,Documents!$A$2:$A$1421,$A134,Documents!$C$2:$C$1421,"press_kit")),"")</f>
        <v/>
      </c>
      <c r="T134" s="0" t="str">
        <f aca="false">IFERROR(IF(maxifs(Documents!$E$2:$E$1421,Documents!$A$2:$A$1421,$A134,Documents!$C$2:$C$1421,"other")=0,"",maxifs(Documents!$E$2:$E$1421,Documents!$A$2:$A$1421,$A134,Documents!$C$2:$C$1421,"other")),"")</f>
        <v/>
      </c>
      <c r="U134" s="0" t="str">
        <f aca="false">IFERROR(IF(maxifs(Documents!$E$2:$E$1421,Documents!$A$2:$A$1421,$A134,Documents!$C$2:$C$1421,"obsolete")=0,"",maxifs(Documents!$E$2:$E$1421,Documents!$A$2:$A$1421,$A134,Documents!$C$2:$C$1421,"obsolete")),"")</f>
        <v/>
      </c>
      <c r="V134" s="0" t="n">
        <f aca="false">COUNTIFS(Documents!$A$2:$A$1421,$A134)</f>
        <v>3</v>
      </c>
      <c r="W134" s="0" t="n">
        <f aca="false">COUNTIFS(Documents!$A$2:$A$1421,$A134,Documents!$R$2:$R$1421,"current")</f>
        <v>2</v>
      </c>
      <c r="Y134" s="0" t="s">
        <v>31</v>
      </c>
      <c r="Z134" s="0" t="s">
        <v>189</v>
      </c>
    </row>
    <row r="135" customFormat="false" ht="15" hidden="false" customHeight="false" outlineLevel="0" collapsed="false">
      <c r="A135" s="0" t="n">
        <v>134</v>
      </c>
      <c r="B135" s="0" t="s">
        <v>190</v>
      </c>
      <c r="C135" s="0" t="s">
        <v>112</v>
      </c>
      <c r="D135" s="0" t="str">
        <f aca="false">IFERROR(IF(maxifs(Documents!$E$2:$E$1421,Documents!$A$2:$A$1421,$A135,Documents!$C$2:$C$1421,"factsheet")=0,"",maxifs(Documents!$E$2:$E$1421,Documents!$A$2:$A$1421,$A135,Documents!$C$2:$C$1421,"factsheet")),"")</f>
        <v/>
      </c>
      <c r="E135" s="0" t="str">
        <f aca="false">IFERROR(IF(maxifs(Documents!$E$2:$E$1421,Documents!$A$2:$A$1421,$A135,Documents!$C$2:$C$1421,"wedding")=0,"",maxifs(Documents!$E$2:$E$1421,Documents!$A$2:$A$1421,$A135,Documents!$C$2:$C$1421,"wedding")),"")</f>
        <v/>
      </c>
      <c r="F135" s="0" t="str">
        <f aca="false">IFERROR(IF(maxifs(Documents!$E$2:$E$1421,Documents!$A$2:$A$1421,$A135,Documents!$C$2:$C$1421,"events")=0,"",maxifs(Documents!$E$2:$E$1421,Documents!$A$2:$A$1421,$A135,Documents!$C$2:$C$1421,"events")),"")</f>
        <v/>
      </c>
      <c r="G135" s="0" t="str">
        <f aca="false">IFERROR(IF(maxifs(Documents!$E$2:$E$1421,Documents!$A$2:$A$1421,$A135,Documents!$C$2:$C$1421,"map")=0,"",maxifs(Documents!$E$2:$E$1421,Documents!$A$2:$A$1421,$A135,Documents!$C$2:$C$1421,"map")),"")</f>
        <v/>
      </c>
      <c r="H135" s="0" t="str">
        <f aca="false">IFERROR(IF(maxifs(Documents!$E$2:$E$1421,Documents!$A$2:$A$1421,$A135,Documents!$C$2:$C$1421,"dive_map")=0,"",maxifs(Documents!$E$2:$E$1421,Documents!$A$2:$A$1421,$A135,Documents!$C$2:$C$1421,"dive_map")),"")</f>
        <v/>
      </c>
      <c r="I135" s="0" t="str">
        <f aca="false">IFERROR(IF(maxifs(Documents!$E$2:$E$1421,Documents!$A$2:$A$1421,$A135,Documents!$C$2:$C$1421,"spa_menu")=0,"",maxifs(Documents!$E$2:$E$1421,Documents!$A$2:$A$1421,$A135,Documents!$C$2:$C$1421,"spa_menu")),"")</f>
        <v/>
      </c>
      <c r="J135" s="0" t="str">
        <f aca="false">IFERROR(IF(maxifs(Documents!$E$2:$E$1421,Documents!$A$2:$A$1421,$A135,Documents!$C$2:$C$1421,"dining_menu")=0,"",maxifs(Documents!$E$2:$E$1421,Documents!$A$2:$A$1421,$A135,Documents!$C$2:$C$1421,"dining_menu")),"")</f>
        <v/>
      </c>
      <c r="K135" s="0" t="str">
        <f aca="false">IFERROR(IF(maxifs(Documents!$E$2:$E$1421,Documents!$A$2:$A$1421,$A135,Documents!$C$2:$C$1421,"dive_prices")=0,"",maxifs(Documents!$E$2:$E$1421,Documents!$A$2:$A$1421,$A135,Documents!$C$2:$C$1421,"dive_prices")),"")</f>
        <v/>
      </c>
      <c r="L135" s="0" t="str">
        <f aca="false">IFERROR(IF(maxifs(Documents!$E$2:$E$1421,Documents!$A$2:$A$1421,$A135,Documents!$C$2:$C$1421,"excursions")=0,"",maxifs(Documents!$E$2:$E$1421,Documents!$A$2:$A$1421,$A135,Documents!$C$2:$C$1421,"excursions")),"")</f>
        <v/>
      </c>
      <c r="M135" s="0" t="str">
        <f aca="false">IFERROR(IF(maxifs(Documents!$E$2:$E$1421,Documents!$A$2:$A$1421,$A135,Documents!$C$2:$C$1421,"kids")=0,"",maxifs(Documents!$E$2:$E$1421,Documents!$A$2:$A$1421,$A135,Documents!$C$2:$C$1421,"kids")),"")</f>
        <v/>
      </c>
      <c r="N135" s="0" t="str">
        <f aca="false">IFERROR(IF(maxifs(Documents!$E$2:$E$1421,Documents!$A$2:$A$1421,$A135,Documents!$C$2:$C$1421,"villa_plans")=0,"",maxifs(Documents!$E$2:$E$1421,Documents!$A$2:$A$1421,$A135,Documents!$C$2:$C$1421,"villa_plans")),"")</f>
        <v/>
      </c>
      <c r="O135" s="0" t="str">
        <f aca="false">IFERROR(IF(maxifs(Documents!$E$2:$E$1421,Documents!$A$2:$A$1421,$A135,Documents!$C$2:$C$1421,"all_inclusive")=0,"",maxifs(Documents!$E$2:$E$1421,Documents!$A$2:$A$1421,$A135,Documents!$C$2:$C$1421,"all_inclusive")),"")</f>
        <v/>
      </c>
      <c r="P135" s="0" t="str">
        <f aca="false">IFERROR(IF(maxifs(Documents!$E$2:$E$1421,Documents!$A$2:$A$1421,$A135,Documents!$C$2:$C$1421,"sustainability")=0,"",maxifs(Documents!$E$2:$E$1421,Documents!$A$2:$A$1421,$A135,Documents!$C$2:$C$1421,"sustainability")),"")</f>
        <v/>
      </c>
      <c r="Q135" s="0" t="str">
        <f aca="false">IFERROR(IF(maxifs(Documents!$E$2:$E$1421,Documents!$A$2:$A$1421,$A135,Documents!$C$2:$C$1421,"calendar")=0,"",maxifs(Documents!$E$2:$E$1421,Documents!$A$2:$A$1421,$A135,Documents!$C$2:$C$1421,"calendar")),"")</f>
        <v/>
      </c>
      <c r="R135" s="0" t="str">
        <f aca="false">IFERROR(IF(maxifs(Documents!$E$2:$E$1421,Documents!$A$2:$A$1421,$A135,Documents!$C$2:$C$1421,"brochure")=0,"",maxifs(Documents!$E$2:$E$1421,Documents!$A$2:$A$1421,$A135,Documents!$C$2:$C$1421,"brochure")),"")</f>
        <v/>
      </c>
      <c r="S135" s="0" t="str">
        <f aca="false">IFERROR(IF(maxifs(Documents!$E$2:$E$1421,Documents!$A$2:$A$1421,$A135,Documents!$C$2:$C$1421,"press_kit")=0,"",maxifs(Documents!$E$2:$E$1421,Documents!$A$2:$A$1421,$A135,Documents!$C$2:$C$1421,"press_kit")),"")</f>
        <v/>
      </c>
      <c r="T135" s="0" t="str">
        <f aca="false">IFERROR(IF(maxifs(Documents!$E$2:$E$1421,Documents!$A$2:$A$1421,$A135,Documents!$C$2:$C$1421,"other")=0,"",maxifs(Documents!$E$2:$E$1421,Documents!$A$2:$A$1421,$A135,Documents!$C$2:$C$1421,"other")),"")</f>
        <v/>
      </c>
      <c r="U135" s="0" t="str">
        <f aca="false">IFERROR(IF(maxifs(Documents!$E$2:$E$1421,Documents!$A$2:$A$1421,$A135,Documents!$C$2:$C$1421,"obsolete")=0,"",maxifs(Documents!$E$2:$E$1421,Documents!$A$2:$A$1421,$A135,Documents!$C$2:$C$1421,"obsolete")),"")</f>
        <v/>
      </c>
      <c r="V135" s="0" t="n">
        <f aca="false">COUNTIFS(Documents!$A$2:$A$1421,$A135)</f>
        <v>6</v>
      </c>
      <c r="W135" s="0" t="n">
        <f aca="false">COUNTIFS(Documents!$A$2:$A$1421,$A135,Documents!$R$2:$R$1421,"current")</f>
        <v>5</v>
      </c>
      <c r="X135" s="0" t="str">
        <f aca="false">HYPERLINK("https://www.neoscapesmaldives.com/wp-content/uploads/The-St.-Regis-Maldives-Fact-Sheet.pdf","2021_The-St.-Regis-Maldives-Fact-Sheet.p")</f>
        <v>2021_The-St.-Regis-Maldives-Fact-Sheet.p</v>
      </c>
      <c r="Y135" s="0" t="s">
        <v>28</v>
      </c>
    </row>
    <row r="136" customFormat="false" ht="15" hidden="false" customHeight="false" outlineLevel="0" collapsed="false">
      <c r="A136" s="0" t="n">
        <v>135</v>
      </c>
      <c r="B136" s="0" t="s">
        <v>191</v>
      </c>
      <c r="C136" s="0" t="s">
        <v>112</v>
      </c>
      <c r="D136" s="0" t="str">
        <f aca="false">IFERROR(IF(maxifs(Documents!$E$2:$E$1421,Documents!$A$2:$A$1421,$A136,Documents!$C$2:$C$1421,"factsheet")=0,"",maxifs(Documents!$E$2:$E$1421,Documents!$A$2:$A$1421,$A136,Documents!$C$2:$C$1421,"factsheet")),"")</f>
        <v/>
      </c>
      <c r="E136" s="0" t="str">
        <f aca="false">IFERROR(IF(maxifs(Documents!$E$2:$E$1421,Documents!$A$2:$A$1421,$A136,Documents!$C$2:$C$1421,"wedding")=0,"",maxifs(Documents!$E$2:$E$1421,Documents!$A$2:$A$1421,$A136,Documents!$C$2:$C$1421,"wedding")),"")</f>
        <v/>
      </c>
      <c r="F136" s="0" t="str">
        <f aca="false">IFERROR(IF(maxifs(Documents!$E$2:$E$1421,Documents!$A$2:$A$1421,$A136,Documents!$C$2:$C$1421,"events")=0,"",maxifs(Documents!$E$2:$E$1421,Documents!$A$2:$A$1421,$A136,Documents!$C$2:$C$1421,"events")),"")</f>
        <v/>
      </c>
      <c r="G136" s="0" t="str">
        <f aca="false">IFERROR(IF(maxifs(Documents!$E$2:$E$1421,Documents!$A$2:$A$1421,$A136,Documents!$C$2:$C$1421,"map")=0,"",maxifs(Documents!$E$2:$E$1421,Documents!$A$2:$A$1421,$A136,Documents!$C$2:$C$1421,"map")),"")</f>
        <v/>
      </c>
      <c r="H136" s="0" t="str">
        <f aca="false">IFERROR(IF(maxifs(Documents!$E$2:$E$1421,Documents!$A$2:$A$1421,$A136,Documents!$C$2:$C$1421,"dive_map")=0,"",maxifs(Documents!$E$2:$E$1421,Documents!$A$2:$A$1421,$A136,Documents!$C$2:$C$1421,"dive_map")),"")</f>
        <v/>
      </c>
      <c r="I136" s="0" t="str">
        <f aca="false">IFERROR(IF(maxifs(Documents!$E$2:$E$1421,Documents!$A$2:$A$1421,$A136,Documents!$C$2:$C$1421,"spa_menu")=0,"",maxifs(Documents!$E$2:$E$1421,Documents!$A$2:$A$1421,$A136,Documents!$C$2:$C$1421,"spa_menu")),"")</f>
        <v/>
      </c>
      <c r="J136" s="0" t="str">
        <f aca="false">IFERROR(IF(maxifs(Documents!$E$2:$E$1421,Documents!$A$2:$A$1421,$A136,Documents!$C$2:$C$1421,"dining_menu")=0,"",maxifs(Documents!$E$2:$E$1421,Documents!$A$2:$A$1421,$A136,Documents!$C$2:$C$1421,"dining_menu")),"")</f>
        <v/>
      </c>
      <c r="K136" s="0" t="str">
        <f aca="false">IFERROR(IF(maxifs(Documents!$E$2:$E$1421,Documents!$A$2:$A$1421,$A136,Documents!$C$2:$C$1421,"dive_prices")=0,"",maxifs(Documents!$E$2:$E$1421,Documents!$A$2:$A$1421,$A136,Documents!$C$2:$C$1421,"dive_prices")),"")</f>
        <v/>
      </c>
      <c r="L136" s="0" t="str">
        <f aca="false">IFERROR(IF(maxifs(Documents!$E$2:$E$1421,Documents!$A$2:$A$1421,$A136,Documents!$C$2:$C$1421,"excursions")=0,"",maxifs(Documents!$E$2:$E$1421,Documents!$A$2:$A$1421,$A136,Documents!$C$2:$C$1421,"excursions")),"")</f>
        <v/>
      </c>
      <c r="M136" s="0" t="str">
        <f aca="false">IFERROR(IF(maxifs(Documents!$E$2:$E$1421,Documents!$A$2:$A$1421,$A136,Documents!$C$2:$C$1421,"kids")=0,"",maxifs(Documents!$E$2:$E$1421,Documents!$A$2:$A$1421,$A136,Documents!$C$2:$C$1421,"kids")),"")</f>
        <v/>
      </c>
      <c r="N136" s="0" t="str">
        <f aca="false">IFERROR(IF(maxifs(Documents!$E$2:$E$1421,Documents!$A$2:$A$1421,$A136,Documents!$C$2:$C$1421,"villa_plans")=0,"",maxifs(Documents!$E$2:$E$1421,Documents!$A$2:$A$1421,$A136,Documents!$C$2:$C$1421,"villa_plans")),"")</f>
        <v/>
      </c>
      <c r="O136" s="0" t="str">
        <f aca="false">IFERROR(IF(maxifs(Documents!$E$2:$E$1421,Documents!$A$2:$A$1421,$A136,Documents!$C$2:$C$1421,"all_inclusive")=0,"",maxifs(Documents!$E$2:$E$1421,Documents!$A$2:$A$1421,$A136,Documents!$C$2:$C$1421,"all_inclusive")),"")</f>
        <v/>
      </c>
      <c r="P136" s="0" t="str">
        <f aca="false">IFERROR(IF(maxifs(Documents!$E$2:$E$1421,Documents!$A$2:$A$1421,$A136,Documents!$C$2:$C$1421,"sustainability")=0,"",maxifs(Documents!$E$2:$E$1421,Documents!$A$2:$A$1421,$A136,Documents!$C$2:$C$1421,"sustainability")),"")</f>
        <v/>
      </c>
      <c r="Q136" s="0" t="str">
        <f aca="false">IFERROR(IF(maxifs(Documents!$E$2:$E$1421,Documents!$A$2:$A$1421,$A136,Documents!$C$2:$C$1421,"calendar")=0,"",maxifs(Documents!$E$2:$E$1421,Documents!$A$2:$A$1421,$A136,Documents!$C$2:$C$1421,"calendar")),"")</f>
        <v/>
      </c>
      <c r="R136" s="0" t="str">
        <f aca="false">IFERROR(IF(maxifs(Documents!$E$2:$E$1421,Documents!$A$2:$A$1421,$A136,Documents!$C$2:$C$1421,"brochure")=0,"",maxifs(Documents!$E$2:$E$1421,Documents!$A$2:$A$1421,$A136,Documents!$C$2:$C$1421,"brochure")),"")</f>
        <v/>
      </c>
      <c r="S136" s="0" t="str">
        <f aca="false">IFERROR(IF(maxifs(Documents!$E$2:$E$1421,Documents!$A$2:$A$1421,$A136,Documents!$C$2:$C$1421,"press_kit")=0,"",maxifs(Documents!$E$2:$E$1421,Documents!$A$2:$A$1421,$A136,Documents!$C$2:$C$1421,"press_kit")),"")</f>
        <v/>
      </c>
      <c r="T136" s="0" t="str">
        <f aca="false">IFERROR(IF(maxifs(Documents!$E$2:$E$1421,Documents!$A$2:$A$1421,$A136,Documents!$C$2:$C$1421,"other")=0,"",maxifs(Documents!$E$2:$E$1421,Documents!$A$2:$A$1421,$A136,Documents!$C$2:$C$1421,"other")),"")</f>
        <v/>
      </c>
      <c r="U136" s="0" t="str">
        <f aca="false">IFERROR(IF(maxifs(Documents!$E$2:$E$1421,Documents!$A$2:$A$1421,$A136,Documents!$C$2:$C$1421,"obsolete")=0,"",maxifs(Documents!$E$2:$E$1421,Documents!$A$2:$A$1421,$A136,Documents!$C$2:$C$1421,"obsolete")),"")</f>
        <v/>
      </c>
      <c r="V136" s="0" t="n">
        <f aca="false">COUNTIFS(Documents!$A$2:$A$1421,$A136)</f>
        <v>10</v>
      </c>
      <c r="W136" s="0" t="n">
        <f aca="false">COUNTIFS(Documents!$A$2:$A$1421,$A136,Documents!$R$2:$R$1421,"current")</f>
        <v>0</v>
      </c>
      <c r="X136" s="0" t="str">
        <f aca="false">HYPERLINK("https://neoscapesmaldives.com/wp-content/uploads/Diamonds-Thudufushi-Fact-Sheet-2019.pdf","2019_Diamonds-Thudufushi-Fact-Sheet-2019")</f>
        <v>2019_Diamonds-Thudufushi-Fact-Sheet-2019</v>
      </c>
      <c r="Y136" s="0" t="s">
        <v>28</v>
      </c>
    </row>
    <row r="137" customFormat="false" ht="15" hidden="false" customHeight="false" outlineLevel="0" collapsed="false">
      <c r="A137" s="0" t="n">
        <v>136</v>
      </c>
      <c r="B137" s="0" t="s">
        <v>192</v>
      </c>
      <c r="C137" s="0" t="s">
        <v>112</v>
      </c>
      <c r="D137" s="0" t="str">
        <f aca="false">IFERROR(IF(maxifs(Documents!$E$2:$E$1421,Documents!$A$2:$A$1421,$A137,Documents!$C$2:$C$1421,"factsheet")=0,"",maxifs(Documents!$E$2:$E$1421,Documents!$A$2:$A$1421,$A137,Documents!$C$2:$C$1421,"factsheet")),"")</f>
        <v/>
      </c>
      <c r="E137" s="0" t="str">
        <f aca="false">IFERROR(IF(maxifs(Documents!$E$2:$E$1421,Documents!$A$2:$A$1421,$A137,Documents!$C$2:$C$1421,"wedding")=0,"",maxifs(Documents!$E$2:$E$1421,Documents!$A$2:$A$1421,$A137,Documents!$C$2:$C$1421,"wedding")),"")</f>
        <v/>
      </c>
      <c r="F137" s="0" t="str">
        <f aca="false">IFERROR(IF(maxifs(Documents!$E$2:$E$1421,Documents!$A$2:$A$1421,$A137,Documents!$C$2:$C$1421,"events")=0,"",maxifs(Documents!$E$2:$E$1421,Documents!$A$2:$A$1421,$A137,Documents!$C$2:$C$1421,"events")),"")</f>
        <v/>
      </c>
      <c r="G137" s="0" t="str">
        <f aca="false">IFERROR(IF(maxifs(Documents!$E$2:$E$1421,Documents!$A$2:$A$1421,$A137,Documents!$C$2:$C$1421,"map")=0,"",maxifs(Documents!$E$2:$E$1421,Documents!$A$2:$A$1421,$A137,Documents!$C$2:$C$1421,"map")),"")</f>
        <v/>
      </c>
      <c r="H137" s="0" t="str">
        <f aca="false">IFERROR(IF(maxifs(Documents!$E$2:$E$1421,Documents!$A$2:$A$1421,$A137,Documents!$C$2:$C$1421,"dive_map")=0,"",maxifs(Documents!$E$2:$E$1421,Documents!$A$2:$A$1421,$A137,Documents!$C$2:$C$1421,"dive_map")),"")</f>
        <v/>
      </c>
      <c r="I137" s="0" t="str">
        <f aca="false">IFERROR(IF(maxifs(Documents!$E$2:$E$1421,Documents!$A$2:$A$1421,$A137,Documents!$C$2:$C$1421,"spa_menu")=0,"",maxifs(Documents!$E$2:$E$1421,Documents!$A$2:$A$1421,$A137,Documents!$C$2:$C$1421,"spa_menu")),"")</f>
        <v/>
      </c>
      <c r="J137" s="0" t="str">
        <f aca="false">IFERROR(IF(maxifs(Documents!$E$2:$E$1421,Documents!$A$2:$A$1421,$A137,Documents!$C$2:$C$1421,"dining_menu")=0,"",maxifs(Documents!$E$2:$E$1421,Documents!$A$2:$A$1421,$A137,Documents!$C$2:$C$1421,"dining_menu")),"")</f>
        <v/>
      </c>
      <c r="K137" s="0" t="str">
        <f aca="false">IFERROR(IF(maxifs(Documents!$E$2:$E$1421,Documents!$A$2:$A$1421,$A137,Documents!$C$2:$C$1421,"dive_prices")=0,"",maxifs(Documents!$E$2:$E$1421,Documents!$A$2:$A$1421,$A137,Documents!$C$2:$C$1421,"dive_prices")),"")</f>
        <v/>
      </c>
      <c r="L137" s="0" t="str">
        <f aca="false">IFERROR(IF(maxifs(Documents!$E$2:$E$1421,Documents!$A$2:$A$1421,$A137,Documents!$C$2:$C$1421,"excursions")=0,"",maxifs(Documents!$E$2:$E$1421,Documents!$A$2:$A$1421,$A137,Documents!$C$2:$C$1421,"excursions")),"")</f>
        <v/>
      </c>
      <c r="M137" s="0" t="str">
        <f aca="false">IFERROR(IF(maxifs(Documents!$E$2:$E$1421,Documents!$A$2:$A$1421,$A137,Documents!$C$2:$C$1421,"kids")=0,"",maxifs(Documents!$E$2:$E$1421,Documents!$A$2:$A$1421,$A137,Documents!$C$2:$C$1421,"kids")),"")</f>
        <v/>
      </c>
      <c r="N137" s="0" t="str">
        <f aca="false">IFERROR(IF(maxifs(Documents!$E$2:$E$1421,Documents!$A$2:$A$1421,$A137,Documents!$C$2:$C$1421,"villa_plans")=0,"",maxifs(Documents!$E$2:$E$1421,Documents!$A$2:$A$1421,$A137,Documents!$C$2:$C$1421,"villa_plans")),"")</f>
        <v/>
      </c>
      <c r="O137" s="0" t="str">
        <f aca="false">IFERROR(IF(maxifs(Documents!$E$2:$E$1421,Documents!$A$2:$A$1421,$A137,Documents!$C$2:$C$1421,"all_inclusive")=0,"",maxifs(Documents!$E$2:$E$1421,Documents!$A$2:$A$1421,$A137,Documents!$C$2:$C$1421,"all_inclusive")),"")</f>
        <v/>
      </c>
      <c r="P137" s="0" t="str">
        <f aca="false">IFERROR(IF(maxifs(Documents!$E$2:$E$1421,Documents!$A$2:$A$1421,$A137,Documents!$C$2:$C$1421,"sustainability")=0,"",maxifs(Documents!$E$2:$E$1421,Documents!$A$2:$A$1421,$A137,Documents!$C$2:$C$1421,"sustainability")),"")</f>
        <v/>
      </c>
      <c r="Q137" s="0" t="str">
        <f aca="false">IFERROR(IF(maxifs(Documents!$E$2:$E$1421,Documents!$A$2:$A$1421,$A137,Documents!$C$2:$C$1421,"calendar")=0,"",maxifs(Documents!$E$2:$E$1421,Documents!$A$2:$A$1421,$A137,Documents!$C$2:$C$1421,"calendar")),"")</f>
        <v/>
      </c>
      <c r="R137" s="0" t="str">
        <f aca="false">IFERROR(IF(maxifs(Documents!$E$2:$E$1421,Documents!$A$2:$A$1421,$A137,Documents!$C$2:$C$1421,"brochure")=0,"",maxifs(Documents!$E$2:$E$1421,Documents!$A$2:$A$1421,$A137,Documents!$C$2:$C$1421,"brochure")),"")</f>
        <v/>
      </c>
      <c r="S137" s="0" t="str">
        <f aca="false">IFERROR(IF(maxifs(Documents!$E$2:$E$1421,Documents!$A$2:$A$1421,$A137,Documents!$C$2:$C$1421,"press_kit")=0,"",maxifs(Documents!$E$2:$E$1421,Documents!$A$2:$A$1421,$A137,Documents!$C$2:$C$1421,"press_kit")),"")</f>
        <v/>
      </c>
      <c r="T137" s="0" t="str">
        <f aca="false">IFERROR(IF(maxifs(Documents!$E$2:$E$1421,Documents!$A$2:$A$1421,$A137,Documents!$C$2:$C$1421,"other")=0,"",maxifs(Documents!$E$2:$E$1421,Documents!$A$2:$A$1421,$A137,Documents!$C$2:$C$1421,"other")),"")</f>
        <v/>
      </c>
      <c r="U137" s="0" t="str">
        <f aca="false">IFERROR(IF(maxifs(Documents!$E$2:$E$1421,Documents!$A$2:$A$1421,$A137,Documents!$C$2:$C$1421,"obsolete")=0,"",maxifs(Documents!$E$2:$E$1421,Documents!$A$2:$A$1421,$A137,Documents!$C$2:$C$1421,"obsolete")),"")</f>
        <v/>
      </c>
      <c r="V137" s="0" t="n">
        <f aca="false">COUNTIFS(Documents!$A$2:$A$1421,$A137)</f>
        <v>3</v>
      </c>
      <c r="W137" s="0" t="n">
        <f aca="false">COUNTIFS(Documents!$A$2:$A$1421,$A137,Documents!$R$2:$R$1421,"current")</f>
        <v>1</v>
      </c>
      <c r="X137" s="0" t="str">
        <f aca="false">HYPERLINK("https://www.neoscapesmaldives.com/wp-content/uploads/Finolhu-2021FactSheet_English-1.pdf","2021_Finolhu-2021FactSheet_English-1.pdf")</f>
        <v>2021_Finolhu-2021FactSheet_English-1.pdf</v>
      </c>
      <c r="Y137" s="0" t="s">
        <v>91</v>
      </c>
    </row>
    <row r="138" customFormat="false" ht="15" hidden="false" customHeight="false" outlineLevel="0" collapsed="false">
      <c r="A138" s="0" t="n">
        <v>137</v>
      </c>
      <c r="B138" s="0" t="s">
        <v>193</v>
      </c>
      <c r="C138" s="0" t="s">
        <v>112</v>
      </c>
      <c r="D138" s="0" t="str">
        <f aca="false">IFERROR(IF(maxifs(Documents!$E$2:$E$1421,Documents!$A$2:$A$1421,$A138,Documents!$C$2:$C$1421,"factsheet")=0,"",maxifs(Documents!$E$2:$E$1421,Documents!$A$2:$A$1421,$A138,Documents!$C$2:$C$1421,"factsheet")),"")</f>
        <v/>
      </c>
      <c r="E138" s="0" t="str">
        <f aca="false">IFERROR(IF(maxifs(Documents!$E$2:$E$1421,Documents!$A$2:$A$1421,$A138,Documents!$C$2:$C$1421,"wedding")=0,"",maxifs(Documents!$E$2:$E$1421,Documents!$A$2:$A$1421,$A138,Documents!$C$2:$C$1421,"wedding")),"")</f>
        <v/>
      </c>
      <c r="F138" s="0" t="str">
        <f aca="false">IFERROR(IF(maxifs(Documents!$E$2:$E$1421,Documents!$A$2:$A$1421,$A138,Documents!$C$2:$C$1421,"events")=0,"",maxifs(Documents!$E$2:$E$1421,Documents!$A$2:$A$1421,$A138,Documents!$C$2:$C$1421,"events")),"")</f>
        <v/>
      </c>
      <c r="G138" s="0" t="str">
        <f aca="false">IFERROR(IF(maxifs(Documents!$E$2:$E$1421,Documents!$A$2:$A$1421,$A138,Documents!$C$2:$C$1421,"map")=0,"",maxifs(Documents!$E$2:$E$1421,Documents!$A$2:$A$1421,$A138,Documents!$C$2:$C$1421,"map")),"")</f>
        <v/>
      </c>
      <c r="H138" s="0" t="str">
        <f aca="false">IFERROR(IF(maxifs(Documents!$E$2:$E$1421,Documents!$A$2:$A$1421,$A138,Documents!$C$2:$C$1421,"dive_map")=0,"",maxifs(Documents!$E$2:$E$1421,Documents!$A$2:$A$1421,$A138,Documents!$C$2:$C$1421,"dive_map")),"")</f>
        <v/>
      </c>
      <c r="I138" s="0" t="str">
        <f aca="false">IFERROR(IF(maxifs(Documents!$E$2:$E$1421,Documents!$A$2:$A$1421,$A138,Documents!$C$2:$C$1421,"spa_menu")=0,"",maxifs(Documents!$E$2:$E$1421,Documents!$A$2:$A$1421,$A138,Documents!$C$2:$C$1421,"spa_menu")),"")</f>
        <v/>
      </c>
      <c r="J138" s="0" t="str">
        <f aca="false">IFERROR(IF(maxifs(Documents!$E$2:$E$1421,Documents!$A$2:$A$1421,$A138,Documents!$C$2:$C$1421,"dining_menu")=0,"",maxifs(Documents!$E$2:$E$1421,Documents!$A$2:$A$1421,$A138,Documents!$C$2:$C$1421,"dining_menu")),"")</f>
        <v/>
      </c>
      <c r="K138" s="0" t="str">
        <f aca="false">IFERROR(IF(maxifs(Documents!$E$2:$E$1421,Documents!$A$2:$A$1421,$A138,Documents!$C$2:$C$1421,"dive_prices")=0,"",maxifs(Documents!$E$2:$E$1421,Documents!$A$2:$A$1421,$A138,Documents!$C$2:$C$1421,"dive_prices")),"")</f>
        <v/>
      </c>
      <c r="L138" s="0" t="str">
        <f aca="false">IFERROR(IF(maxifs(Documents!$E$2:$E$1421,Documents!$A$2:$A$1421,$A138,Documents!$C$2:$C$1421,"excursions")=0,"",maxifs(Documents!$E$2:$E$1421,Documents!$A$2:$A$1421,$A138,Documents!$C$2:$C$1421,"excursions")),"")</f>
        <v/>
      </c>
      <c r="M138" s="0" t="str">
        <f aca="false">IFERROR(IF(maxifs(Documents!$E$2:$E$1421,Documents!$A$2:$A$1421,$A138,Documents!$C$2:$C$1421,"kids")=0,"",maxifs(Documents!$E$2:$E$1421,Documents!$A$2:$A$1421,$A138,Documents!$C$2:$C$1421,"kids")),"")</f>
        <v/>
      </c>
      <c r="N138" s="0" t="str">
        <f aca="false">IFERROR(IF(maxifs(Documents!$E$2:$E$1421,Documents!$A$2:$A$1421,$A138,Documents!$C$2:$C$1421,"villa_plans")=0,"",maxifs(Documents!$E$2:$E$1421,Documents!$A$2:$A$1421,$A138,Documents!$C$2:$C$1421,"villa_plans")),"")</f>
        <v/>
      </c>
      <c r="O138" s="0" t="str">
        <f aca="false">IFERROR(IF(maxifs(Documents!$E$2:$E$1421,Documents!$A$2:$A$1421,$A138,Documents!$C$2:$C$1421,"all_inclusive")=0,"",maxifs(Documents!$E$2:$E$1421,Documents!$A$2:$A$1421,$A138,Documents!$C$2:$C$1421,"all_inclusive")),"")</f>
        <v/>
      </c>
      <c r="P138" s="0" t="str">
        <f aca="false">IFERROR(IF(maxifs(Documents!$E$2:$E$1421,Documents!$A$2:$A$1421,$A138,Documents!$C$2:$C$1421,"sustainability")=0,"",maxifs(Documents!$E$2:$E$1421,Documents!$A$2:$A$1421,$A138,Documents!$C$2:$C$1421,"sustainability")),"")</f>
        <v/>
      </c>
      <c r="Q138" s="0" t="str">
        <f aca="false">IFERROR(IF(maxifs(Documents!$E$2:$E$1421,Documents!$A$2:$A$1421,$A138,Documents!$C$2:$C$1421,"calendar")=0,"",maxifs(Documents!$E$2:$E$1421,Documents!$A$2:$A$1421,$A138,Documents!$C$2:$C$1421,"calendar")),"")</f>
        <v/>
      </c>
      <c r="R138" s="0" t="str">
        <f aca="false">IFERROR(IF(maxifs(Documents!$E$2:$E$1421,Documents!$A$2:$A$1421,$A138,Documents!$C$2:$C$1421,"brochure")=0,"",maxifs(Documents!$E$2:$E$1421,Documents!$A$2:$A$1421,$A138,Documents!$C$2:$C$1421,"brochure")),"")</f>
        <v/>
      </c>
      <c r="S138" s="0" t="str">
        <f aca="false">IFERROR(IF(maxifs(Documents!$E$2:$E$1421,Documents!$A$2:$A$1421,$A138,Documents!$C$2:$C$1421,"press_kit")=0,"",maxifs(Documents!$E$2:$E$1421,Documents!$A$2:$A$1421,$A138,Documents!$C$2:$C$1421,"press_kit")),"")</f>
        <v/>
      </c>
      <c r="T138" s="0" t="str">
        <f aca="false">IFERROR(IF(maxifs(Documents!$E$2:$E$1421,Documents!$A$2:$A$1421,$A138,Documents!$C$2:$C$1421,"other")=0,"",maxifs(Documents!$E$2:$E$1421,Documents!$A$2:$A$1421,$A138,Documents!$C$2:$C$1421,"other")),"")</f>
        <v/>
      </c>
      <c r="U138" s="0" t="str">
        <f aca="false">IFERROR(IF(maxifs(Documents!$E$2:$E$1421,Documents!$A$2:$A$1421,$A138,Documents!$C$2:$C$1421,"obsolete")=0,"",maxifs(Documents!$E$2:$E$1421,Documents!$A$2:$A$1421,$A138,Documents!$C$2:$C$1421,"obsolete")),"")</f>
        <v/>
      </c>
      <c r="V138" s="0" t="n">
        <f aca="false">COUNTIFS(Documents!$A$2:$A$1421,$A138)</f>
        <v>1</v>
      </c>
      <c r="W138" s="0" t="n">
        <f aca="false">COUNTIFS(Documents!$A$2:$A$1421,$A138,Documents!$R$2:$R$1421,"current")</f>
        <v>1</v>
      </c>
      <c r="Y138" s="0" t="s">
        <v>31</v>
      </c>
    </row>
    <row r="139" customFormat="false" ht="15" hidden="false" customHeight="false" outlineLevel="0" collapsed="false">
      <c r="A139" s="0" t="n">
        <v>138</v>
      </c>
      <c r="B139" s="0" t="s">
        <v>194</v>
      </c>
      <c r="C139" s="0" t="s">
        <v>112</v>
      </c>
      <c r="D139" s="0" t="str">
        <f aca="false">IFERROR(IF(maxifs(Documents!$E$2:$E$1421,Documents!$A$2:$A$1421,$A139,Documents!$C$2:$C$1421,"factsheet")=0,"",maxifs(Documents!$E$2:$E$1421,Documents!$A$2:$A$1421,$A139,Documents!$C$2:$C$1421,"factsheet")),"")</f>
        <v/>
      </c>
      <c r="E139" s="0" t="str">
        <f aca="false">IFERROR(IF(maxifs(Documents!$E$2:$E$1421,Documents!$A$2:$A$1421,$A139,Documents!$C$2:$C$1421,"wedding")=0,"",maxifs(Documents!$E$2:$E$1421,Documents!$A$2:$A$1421,$A139,Documents!$C$2:$C$1421,"wedding")),"")</f>
        <v/>
      </c>
      <c r="F139" s="0" t="str">
        <f aca="false">IFERROR(IF(maxifs(Documents!$E$2:$E$1421,Documents!$A$2:$A$1421,$A139,Documents!$C$2:$C$1421,"events")=0,"",maxifs(Documents!$E$2:$E$1421,Documents!$A$2:$A$1421,$A139,Documents!$C$2:$C$1421,"events")),"")</f>
        <v/>
      </c>
      <c r="G139" s="0" t="str">
        <f aca="false">IFERROR(IF(maxifs(Documents!$E$2:$E$1421,Documents!$A$2:$A$1421,$A139,Documents!$C$2:$C$1421,"map")=0,"",maxifs(Documents!$E$2:$E$1421,Documents!$A$2:$A$1421,$A139,Documents!$C$2:$C$1421,"map")),"")</f>
        <v/>
      </c>
      <c r="H139" s="0" t="str">
        <f aca="false">IFERROR(IF(maxifs(Documents!$E$2:$E$1421,Documents!$A$2:$A$1421,$A139,Documents!$C$2:$C$1421,"dive_map")=0,"",maxifs(Documents!$E$2:$E$1421,Documents!$A$2:$A$1421,$A139,Documents!$C$2:$C$1421,"dive_map")),"")</f>
        <v/>
      </c>
      <c r="I139" s="0" t="str">
        <f aca="false">IFERROR(IF(maxifs(Documents!$E$2:$E$1421,Documents!$A$2:$A$1421,$A139,Documents!$C$2:$C$1421,"spa_menu")=0,"",maxifs(Documents!$E$2:$E$1421,Documents!$A$2:$A$1421,$A139,Documents!$C$2:$C$1421,"spa_menu")),"")</f>
        <v/>
      </c>
      <c r="J139" s="0" t="str">
        <f aca="false">IFERROR(IF(maxifs(Documents!$E$2:$E$1421,Documents!$A$2:$A$1421,$A139,Documents!$C$2:$C$1421,"dining_menu")=0,"",maxifs(Documents!$E$2:$E$1421,Documents!$A$2:$A$1421,$A139,Documents!$C$2:$C$1421,"dining_menu")),"")</f>
        <v/>
      </c>
      <c r="K139" s="0" t="str">
        <f aca="false">IFERROR(IF(maxifs(Documents!$E$2:$E$1421,Documents!$A$2:$A$1421,$A139,Documents!$C$2:$C$1421,"dive_prices")=0,"",maxifs(Documents!$E$2:$E$1421,Documents!$A$2:$A$1421,$A139,Documents!$C$2:$C$1421,"dive_prices")),"")</f>
        <v/>
      </c>
      <c r="L139" s="0" t="str">
        <f aca="false">IFERROR(IF(maxifs(Documents!$E$2:$E$1421,Documents!$A$2:$A$1421,$A139,Documents!$C$2:$C$1421,"excursions")=0,"",maxifs(Documents!$E$2:$E$1421,Documents!$A$2:$A$1421,$A139,Documents!$C$2:$C$1421,"excursions")),"")</f>
        <v/>
      </c>
      <c r="M139" s="0" t="str">
        <f aca="false">IFERROR(IF(maxifs(Documents!$E$2:$E$1421,Documents!$A$2:$A$1421,$A139,Documents!$C$2:$C$1421,"kids")=0,"",maxifs(Documents!$E$2:$E$1421,Documents!$A$2:$A$1421,$A139,Documents!$C$2:$C$1421,"kids")),"")</f>
        <v/>
      </c>
      <c r="N139" s="0" t="str">
        <f aca="false">IFERROR(IF(maxifs(Documents!$E$2:$E$1421,Documents!$A$2:$A$1421,$A139,Documents!$C$2:$C$1421,"villa_plans")=0,"",maxifs(Documents!$E$2:$E$1421,Documents!$A$2:$A$1421,$A139,Documents!$C$2:$C$1421,"villa_plans")),"")</f>
        <v/>
      </c>
      <c r="O139" s="0" t="str">
        <f aca="false">IFERROR(IF(maxifs(Documents!$E$2:$E$1421,Documents!$A$2:$A$1421,$A139,Documents!$C$2:$C$1421,"all_inclusive")=0,"",maxifs(Documents!$E$2:$E$1421,Documents!$A$2:$A$1421,$A139,Documents!$C$2:$C$1421,"all_inclusive")),"")</f>
        <v/>
      </c>
      <c r="P139" s="0" t="str">
        <f aca="false">IFERROR(IF(maxifs(Documents!$E$2:$E$1421,Documents!$A$2:$A$1421,$A139,Documents!$C$2:$C$1421,"sustainability")=0,"",maxifs(Documents!$E$2:$E$1421,Documents!$A$2:$A$1421,$A139,Documents!$C$2:$C$1421,"sustainability")),"")</f>
        <v/>
      </c>
      <c r="Q139" s="0" t="str">
        <f aca="false">IFERROR(IF(maxifs(Documents!$E$2:$E$1421,Documents!$A$2:$A$1421,$A139,Documents!$C$2:$C$1421,"calendar")=0,"",maxifs(Documents!$E$2:$E$1421,Documents!$A$2:$A$1421,$A139,Documents!$C$2:$C$1421,"calendar")),"")</f>
        <v/>
      </c>
      <c r="R139" s="0" t="str">
        <f aca="false">IFERROR(IF(maxifs(Documents!$E$2:$E$1421,Documents!$A$2:$A$1421,$A139,Documents!$C$2:$C$1421,"brochure")=0,"",maxifs(Documents!$E$2:$E$1421,Documents!$A$2:$A$1421,$A139,Documents!$C$2:$C$1421,"brochure")),"")</f>
        <v/>
      </c>
      <c r="S139" s="0" t="str">
        <f aca="false">IFERROR(IF(maxifs(Documents!$E$2:$E$1421,Documents!$A$2:$A$1421,$A139,Documents!$C$2:$C$1421,"press_kit")=0,"",maxifs(Documents!$E$2:$E$1421,Documents!$A$2:$A$1421,$A139,Documents!$C$2:$C$1421,"press_kit")),"")</f>
        <v/>
      </c>
      <c r="T139" s="0" t="str">
        <f aca="false">IFERROR(IF(maxifs(Documents!$E$2:$E$1421,Documents!$A$2:$A$1421,$A139,Documents!$C$2:$C$1421,"other")=0,"",maxifs(Documents!$E$2:$E$1421,Documents!$A$2:$A$1421,$A139,Documents!$C$2:$C$1421,"other")),"")</f>
        <v/>
      </c>
      <c r="U139" s="0" t="str">
        <f aca="false">IFERROR(IF(maxifs(Documents!$E$2:$E$1421,Documents!$A$2:$A$1421,$A139,Documents!$C$2:$C$1421,"obsolete")=0,"",maxifs(Documents!$E$2:$E$1421,Documents!$A$2:$A$1421,$A139,Documents!$C$2:$C$1421,"obsolete")),"")</f>
        <v/>
      </c>
      <c r="V139" s="0" t="n">
        <f aca="false">COUNTIFS(Documents!$A$2:$A$1421,$A139)</f>
        <v>2</v>
      </c>
      <c r="W139" s="0" t="n">
        <f aca="false">COUNTIFS(Documents!$A$2:$A$1421,$A139,Documents!$R$2:$R$1421,"current")</f>
        <v>0</v>
      </c>
      <c r="Y139" s="0" t="s">
        <v>31</v>
      </c>
    </row>
    <row r="140" customFormat="false" ht="15" hidden="false" customHeight="false" outlineLevel="0" collapsed="false">
      <c r="A140" s="0" t="n">
        <v>139</v>
      </c>
      <c r="B140" s="0" t="s">
        <v>195</v>
      </c>
      <c r="C140" s="0" t="s">
        <v>112</v>
      </c>
      <c r="D140" s="0" t="str">
        <f aca="false">IFERROR(IF(maxifs(Documents!$E$2:$E$1421,Documents!$A$2:$A$1421,$A140,Documents!$C$2:$C$1421,"factsheet")=0,"",maxifs(Documents!$E$2:$E$1421,Documents!$A$2:$A$1421,$A140,Documents!$C$2:$C$1421,"factsheet")),"")</f>
        <v/>
      </c>
      <c r="E140" s="0" t="str">
        <f aca="false">IFERROR(IF(maxifs(Documents!$E$2:$E$1421,Documents!$A$2:$A$1421,$A140,Documents!$C$2:$C$1421,"wedding")=0,"",maxifs(Documents!$E$2:$E$1421,Documents!$A$2:$A$1421,$A140,Documents!$C$2:$C$1421,"wedding")),"")</f>
        <v/>
      </c>
      <c r="F140" s="0" t="str">
        <f aca="false">IFERROR(IF(maxifs(Documents!$E$2:$E$1421,Documents!$A$2:$A$1421,$A140,Documents!$C$2:$C$1421,"events")=0,"",maxifs(Documents!$E$2:$E$1421,Documents!$A$2:$A$1421,$A140,Documents!$C$2:$C$1421,"events")),"")</f>
        <v/>
      </c>
      <c r="G140" s="0" t="str">
        <f aca="false">IFERROR(IF(maxifs(Documents!$E$2:$E$1421,Documents!$A$2:$A$1421,$A140,Documents!$C$2:$C$1421,"map")=0,"",maxifs(Documents!$E$2:$E$1421,Documents!$A$2:$A$1421,$A140,Documents!$C$2:$C$1421,"map")),"")</f>
        <v/>
      </c>
      <c r="H140" s="0" t="str">
        <f aca="false">IFERROR(IF(maxifs(Documents!$E$2:$E$1421,Documents!$A$2:$A$1421,$A140,Documents!$C$2:$C$1421,"dive_map")=0,"",maxifs(Documents!$E$2:$E$1421,Documents!$A$2:$A$1421,$A140,Documents!$C$2:$C$1421,"dive_map")),"")</f>
        <v/>
      </c>
      <c r="I140" s="0" t="str">
        <f aca="false">IFERROR(IF(maxifs(Documents!$E$2:$E$1421,Documents!$A$2:$A$1421,$A140,Documents!$C$2:$C$1421,"spa_menu")=0,"",maxifs(Documents!$E$2:$E$1421,Documents!$A$2:$A$1421,$A140,Documents!$C$2:$C$1421,"spa_menu")),"")</f>
        <v/>
      </c>
      <c r="J140" s="0" t="str">
        <f aca="false">IFERROR(IF(maxifs(Documents!$E$2:$E$1421,Documents!$A$2:$A$1421,$A140,Documents!$C$2:$C$1421,"dining_menu")=0,"",maxifs(Documents!$E$2:$E$1421,Documents!$A$2:$A$1421,$A140,Documents!$C$2:$C$1421,"dining_menu")),"")</f>
        <v/>
      </c>
      <c r="K140" s="0" t="str">
        <f aca="false">IFERROR(IF(maxifs(Documents!$E$2:$E$1421,Documents!$A$2:$A$1421,$A140,Documents!$C$2:$C$1421,"dive_prices")=0,"",maxifs(Documents!$E$2:$E$1421,Documents!$A$2:$A$1421,$A140,Documents!$C$2:$C$1421,"dive_prices")),"")</f>
        <v/>
      </c>
      <c r="L140" s="0" t="str">
        <f aca="false">IFERROR(IF(maxifs(Documents!$E$2:$E$1421,Documents!$A$2:$A$1421,$A140,Documents!$C$2:$C$1421,"excursions")=0,"",maxifs(Documents!$E$2:$E$1421,Documents!$A$2:$A$1421,$A140,Documents!$C$2:$C$1421,"excursions")),"")</f>
        <v/>
      </c>
      <c r="M140" s="0" t="str">
        <f aca="false">IFERROR(IF(maxifs(Documents!$E$2:$E$1421,Documents!$A$2:$A$1421,$A140,Documents!$C$2:$C$1421,"kids")=0,"",maxifs(Documents!$E$2:$E$1421,Documents!$A$2:$A$1421,$A140,Documents!$C$2:$C$1421,"kids")),"")</f>
        <v/>
      </c>
      <c r="N140" s="0" t="str">
        <f aca="false">IFERROR(IF(maxifs(Documents!$E$2:$E$1421,Documents!$A$2:$A$1421,$A140,Documents!$C$2:$C$1421,"villa_plans")=0,"",maxifs(Documents!$E$2:$E$1421,Documents!$A$2:$A$1421,$A140,Documents!$C$2:$C$1421,"villa_plans")),"")</f>
        <v/>
      </c>
      <c r="O140" s="0" t="str">
        <f aca="false">IFERROR(IF(maxifs(Documents!$E$2:$E$1421,Documents!$A$2:$A$1421,$A140,Documents!$C$2:$C$1421,"all_inclusive")=0,"",maxifs(Documents!$E$2:$E$1421,Documents!$A$2:$A$1421,$A140,Documents!$C$2:$C$1421,"all_inclusive")),"")</f>
        <v/>
      </c>
      <c r="P140" s="0" t="str">
        <f aca="false">IFERROR(IF(maxifs(Documents!$E$2:$E$1421,Documents!$A$2:$A$1421,$A140,Documents!$C$2:$C$1421,"sustainability")=0,"",maxifs(Documents!$E$2:$E$1421,Documents!$A$2:$A$1421,$A140,Documents!$C$2:$C$1421,"sustainability")),"")</f>
        <v/>
      </c>
      <c r="Q140" s="0" t="str">
        <f aca="false">IFERROR(IF(maxifs(Documents!$E$2:$E$1421,Documents!$A$2:$A$1421,$A140,Documents!$C$2:$C$1421,"calendar")=0,"",maxifs(Documents!$E$2:$E$1421,Documents!$A$2:$A$1421,$A140,Documents!$C$2:$C$1421,"calendar")),"")</f>
        <v/>
      </c>
      <c r="R140" s="0" t="str">
        <f aca="false">IFERROR(IF(maxifs(Documents!$E$2:$E$1421,Documents!$A$2:$A$1421,$A140,Documents!$C$2:$C$1421,"brochure")=0,"",maxifs(Documents!$E$2:$E$1421,Documents!$A$2:$A$1421,$A140,Documents!$C$2:$C$1421,"brochure")),"")</f>
        <v/>
      </c>
      <c r="S140" s="0" t="str">
        <f aca="false">IFERROR(IF(maxifs(Documents!$E$2:$E$1421,Documents!$A$2:$A$1421,$A140,Documents!$C$2:$C$1421,"press_kit")=0,"",maxifs(Documents!$E$2:$E$1421,Documents!$A$2:$A$1421,$A140,Documents!$C$2:$C$1421,"press_kit")),"")</f>
        <v/>
      </c>
      <c r="T140" s="0" t="str">
        <f aca="false">IFERROR(IF(maxifs(Documents!$E$2:$E$1421,Documents!$A$2:$A$1421,$A140,Documents!$C$2:$C$1421,"other")=0,"",maxifs(Documents!$E$2:$E$1421,Documents!$A$2:$A$1421,$A140,Documents!$C$2:$C$1421,"other")),"")</f>
        <v/>
      </c>
      <c r="U140" s="0" t="str">
        <f aca="false">IFERROR(IF(maxifs(Documents!$E$2:$E$1421,Documents!$A$2:$A$1421,$A140,Documents!$C$2:$C$1421,"obsolete")=0,"",maxifs(Documents!$E$2:$E$1421,Documents!$A$2:$A$1421,$A140,Documents!$C$2:$C$1421,"obsolete")),"")</f>
        <v/>
      </c>
      <c r="V140" s="0" t="n">
        <f aca="false">COUNTIFS(Documents!$A$2:$A$1421,$A140)</f>
        <v>2</v>
      </c>
      <c r="W140" s="0" t="n">
        <f aca="false">COUNTIFS(Documents!$A$2:$A$1421,$A140,Documents!$R$2:$R$1421,"current")</f>
        <v>0</v>
      </c>
      <c r="X140" s="0" t="str">
        <f aca="false">HYPERLINK("https://www.neoscapesmaldives.com/wp-content/uploads/KUDAFUSHI_FACTSHEET.pdf","2019_KUDAFUSHI_FACTSHEET.pdf")</f>
        <v>2019_KUDAFUSHI_FACTSHEET.pdf</v>
      </c>
      <c r="Y140" s="0" t="s">
        <v>28</v>
      </c>
    </row>
    <row r="141" customFormat="false" ht="15" hidden="false" customHeight="false" outlineLevel="0" collapsed="false">
      <c r="A141" s="0" t="n">
        <v>140</v>
      </c>
      <c r="B141" s="0" t="s">
        <v>196</v>
      </c>
      <c r="C141" s="0" t="s">
        <v>112</v>
      </c>
      <c r="D141" s="0" t="str">
        <f aca="false">IFERROR(IF(maxifs(Documents!$E$2:$E$1421,Documents!$A$2:$A$1421,$A141,Documents!$C$2:$C$1421,"factsheet")=0,"",maxifs(Documents!$E$2:$E$1421,Documents!$A$2:$A$1421,$A141,Documents!$C$2:$C$1421,"factsheet")),"")</f>
        <v/>
      </c>
      <c r="E141" s="0" t="str">
        <f aca="false">IFERROR(IF(maxifs(Documents!$E$2:$E$1421,Documents!$A$2:$A$1421,$A141,Documents!$C$2:$C$1421,"wedding")=0,"",maxifs(Documents!$E$2:$E$1421,Documents!$A$2:$A$1421,$A141,Documents!$C$2:$C$1421,"wedding")),"")</f>
        <v/>
      </c>
      <c r="F141" s="0" t="str">
        <f aca="false">IFERROR(IF(maxifs(Documents!$E$2:$E$1421,Documents!$A$2:$A$1421,$A141,Documents!$C$2:$C$1421,"events")=0,"",maxifs(Documents!$E$2:$E$1421,Documents!$A$2:$A$1421,$A141,Documents!$C$2:$C$1421,"events")),"")</f>
        <v/>
      </c>
      <c r="G141" s="0" t="str">
        <f aca="false">IFERROR(IF(maxifs(Documents!$E$2:$E$1421,Documents!$A$2:$A$1421,$A141,Documents!$C$2:$C$1421,"map")=0,"",maxifs(Documents!$E$2:$E$1421,Documents!$A$2:$A$1421,$A141,Documents!$C$2:$C$1421,"map")),"")</f>
        <v/>
      </c>
      <c r="H141" s="0" t="str">
        <f aca="false">IFERROR(IF(maxifs(Documents!$E$2:$E$1421,Documents!$A$2:$A$1421,$A141,Documents!$C$2:$C$1421,"dive_map")=0,"",maxifs(Documents!$E$2:$E$1421,Documents!$A$2:$A$1421,$A141,Documents!$C$2:$C$1421,"dive_map")),"")</f>
        <v/>
      </c>
      <c r="I141" s="0" t="str">
        <f aca="false">IFERROR(IF(maxifs(Documents!$E$2:$E$1421,Documents!$A$2:$A$1421,$A141,Documents!$C$2:$C$1421,"spa_menu")=0,"",maxifs(Documents!$E$2:$E$1421,Documents!$A$2:$A$1421,$A141,Documents!$C$2:$C$1421,"spa_menu")),"")</f>
        <v/>
      </c>
      <c r="J141" s="0" t="str">
        <f aca="false">IFERROR(IF(maxifs(Documents!$E$2:$E$1421,Documents!$A$2:$A$1421,$A141,Documents!$C$2:$C$1421,"dining_menu")=0,"",maxifs(Documents!$E$2:$E$1421,Documents!$A$2:$A$1421,$A141,Documents!$C$2:$C$1421,"dining_menu")),"")</f>
        <v/>
      </c>
      <c r="K141" s="0" t="str">
        <f aca="false">IFERROR(IF(maxifs(Documents!$E$2:$E$1421,Documents!$A$2:$A$1421,$A141,Documents!$C$2:$C$1421,"dive_prices")=0,"",maxifs(Documents!$E$2:$E$1421,Documents!$A$2:$A$1421,$A141,Documents!$C$2:$C$1421,"dive_prices")),"")</f>
        <v/>
      </c>
      <c r="L141" s="0" t="str">
        <f aca="false">IFERROR(IF(maxifs(Documents!$E$2:$E$1421,Documents!$A$2:$A$1421,$A141,Documents!$C$2:$C$1421,"excursions")=0,"",maxifs(Documents!$E$2:$E$1421,Documents!$A$2:$A$1421,$A141,Documents!$C$2:$C$1421,"excursions")),"")</f>
        <v/>
      </c>
      <c r="M141" s="0" t="str">
        <f aca="false">IFERROR(IF(maxifs(Documents!$E$2:$E$1421,Documents!$A$2:$A$1421,$A141,Documents!$C$2:$C$1421,"kids")=0,"",maxifs(Documents!$E$2:$E$1421,Documents!$A$2:$A$1421,$A141,Documents!$C$2:$C$1421,"kids")),"")</f>
        <v/>
      </c>
      <c r="N141" s="0" t="str">
        <f aca="false">IFERROR(IF(maxifs(Documents!$E$2:$E$1421,Documents!$A$2:$A$1421,$A141,Documents!$C$2:$C$1421,"villa_plans")=0,"",maxifs(Documents!$E$2:$E$1421,Documents!$A$2:$A$1421,$A141,Documents!$C$2:$C$1421,"villa_plans")),"")</f>
        <v/>
      </c>
      <c r="O141" s="0" t="str">
        <f aca="false">IFERROR(IF(maxifs(Documents!$E$2:$E$1421,Documents!$A$2:$A$1421,$A141,Documents!$C$2:$C$1421,"all_inclusive")=0,"",maxifs(Documents!$E$2:$E$1421,Documents!$A$2:$A$1421,$A141,Documents!$C$2:$C$1421,"all_inclusive")),"")</f>
        <v/>
      </c>
      <c r="P141" s="0" t="str">
        <f aca="false">IFERROR(IF(maxifs(Documents!$E$2:$E$1421,Documents!$A$2:$A$1421,$A141,Documents!$C$2:$C$1421,"sustainability")=0,"",maxifs(Documents!$E$2:$E$1421,Documents!$A$2:$A$1421,$A141,Documents!$C$2:$C$1421,"sustainability")),"")</f>
        <v/>
      </c>
      <c r="Q141" s="0" t="str">
        <f aca="false">IFERROR(IF(maxifs(Documents!$E$2:$E$1421,Documents!$A$2:$A$1421,$A141,Documents!$C$2:$C$1421,"calendar")=0,"",maxifs(Documents!$E$2:$E$1421,Documents!$A$2:$A$1421,$A141,Documents!$C$2:$C$1421,"calendar")),"")</f>
        <v/>
      </c>
      <c r="R141" s="0" t="str">
        <f aca="false">IFERROR(IF(maxifs(Documents!$E$2:$E$1421,Documents!$A$2:$A$1421,$A141,Documents!$C$2:$C$1421,"brochure")=0,"",maxifs(Documents!$E$2:$E$1421,Documents!$A$2:$A$1421,$A141,Documents!$C$2:$C$1421,"brochure")),"")</f>
        <v/>
      </c>
      <c r="S141" s="0" t="str">
        <f aca="false">IFERROR(IF(maxifs(Documents!$E$2:$E$1421,Documents!$A$2:$A$1421,$A141,Documents!$C$2:$C$1421,"press_kit")=0,"",maxifs(Documents!$E$2:$E$1421,Documents!$A$2:$A$1421,$A141,Documents!$C$2:$C$1421,"press_kit")),"")</f>
        <v/>
      </c>
      <c r="T141" s="0" t="str">
        <f aca="false">IFERROR(IF(maxifs(Documents!$E$2:$E$1421,Documents!$A$2:$A$1421,$A141,Documents!$C$2:$C$1421,"other")=0,"",maxifs(Documents!$E$2:$E$1421,Documents!$A$2:$A$1421,$A141,Documents!$C$2:$C$1421,"other")),"")</f>
        <v/>
      </c>
      <c r="U141" s="0" t="str">
        <f aca="false">IFERROR(IF(maxifs(Documents!$E$2:$E$1421,Documents!$A$2:$A$1421,$A141,Documents!$C$2:$C$1421,"obsolete")=0,"",maxifs(Documents!$E$2:$E$1421,Documents!$A$2:$A$1421,$A141,Documents!$C$2:$C$1421,"obsolete")),"")</f>
        <v/>
      </c>
      <c r="V141" s="0" t="n">
        <f aca="false">COUNTIFS(Documents!$A$2:$A$1421,$A141)</f>
        <v>2</v>
      </c>
      <c r="W141" s="0" t="n">
        <f aca="false">COUNTIFS(Documents!$A$2:$A$1421,$A141,Documents!$R$2:$R$1421,"current")</f>
        <v>1</v>
      </c>
      <c r="X141" s="0" t="str">
        <f aca="false">HYPERLINK("https://www.neoscapesmaldives.com/wp-content/uploads/STMV_Factsheet__Eng-.pdf","2025_STMV_Factsheet__Eng-.pdf")</f>
        <v>2025_STMV_Factsheet__Eng-.pdf</v>
      </c>
      <c r="Y141" s="0" t="s">
        <v>28</v>
      </c>
    </row>
    <row r="142" customFormat="false" ht="15" hidden="false" customHeight="false" outlineLevel="0" collapsed="false">
      <c r="A142" s="0" t="n">
        <v>141</v>
      </c>
      <c r="B142" s="0" t="s">
        <v>197</v>
      </c>
      <c r="C142" s="0" t="s">
        <v>112</v>
      </c>
      <c r="D142" s="0" t="str">
        <f aca="false">IFERROR(IF(maxifs(Documents!$E$2:$E$1421,Documents!$A$2:$A$1421,$A142,Documents!$C$2:$C$1421,"factsheet")=0,"",maxifs(Documents!$E$2:$E$1421,Documents!$A$2:$A$1421,$A142,Documents!$C$2:$C$1421,"factsheet")),"")</f>
        <v/>
      </c>
      <c r="E142" s="0" t="str">
        <f aca="false">IFERROR(IF(maxifs(Documents!$E$2:$E$1421,Documents!$A$2:$A$1421,$A142,Documents!$C$2:$C$1421,"wedding")=0,"",maxifs(Documents!$E$2:$E$1421,Documents!$A$2:$A$1421,$A142,Documents!$C$2:$C$1421,"wedding")),"")</f>
        <v/>
      </c>
      <c r="F142" s="0" t="str">
        <f aca="false">IFERROR(IF(maxifs(Documents!$E$2:$E$1421,Documents!$A$2:$A$1421,$A142,Documents!$C$2:$C$1421,"events")=0,"",maxifs(Documents!$E$2:$E$1421,Documents!$A$2:$A$1421,$A142,Documents!$C$2:$C$1421,"events")),"")</f>
        <v/>
      </c>
      <c r="G142" s="0" t="str">
        <f aca="false">IFERROR(IF(maxifs(Documents!$E$2:$E$1421,Documents!$A$2:$A$1421,$A142,Documents!$C$2:$C$1421,"map")=0,"",maxifs(Documents!$E$2:$E$1421,Documents!$A$2:$A$1421,$A142,Documents!$C$2:$C$1421,"map")),"")</f>
        <v/>
      </c>
      <c r="H142" s="0" t="str">
        <f aca="false">IFERROR(IF(maxifs(Documents!$E$2:$E$1421,Documents!$A$2:$A$1421,$A142,Documents!$C$2:$C$1421,"dive_map")=0,"",maxifs(Documents!$E$2:$E$1421,Documents!$A$2:$A$1421,$A142,Documents!$C$2:$C$1421,"dive_map")),"")</f>
        <v/>
      </c>
      <c r="I142" s="0" t="str">
        <f aca="false">IFERROR(IF(maxifs(Documents!$E$2:$E$1421,Documents!$A$2:$A$1421,$A142,Documents!$C$2:$C$1421,"spa_menu")=0,"",maxifs(Documents!$E$2:$E$1421,Documents!$A$2:$A$1421,$A142,Documents!$C$2:$C$1421,"spa_menu")),"")</f>
        <v/>
      </c>
      <c r="J142" s="0" t="str">
        <f aca="false">IFERROR(IF(maxifs(Documents!$E$2:$E$1421,Documents!$A$2:$A$1421,$A142,Documents!$C$2:$C$1421,"dining_menu")=0,"",maxifs(Documents!$E$2:$E$1421,Documents!$A$2:$A$1421,$A142,Documents!$C$2:$C$1421,"dining_menu")),"")</f>
        <v/>
      </c>
      <c r="K142" s="0" t="str">
        <f aca="false">IFERROR(IF(maxifs(Documents!$E$2:$E$1421,Documents!$A$2:$A$1421,$A142,Documents!$C$2:$C$1421,"dive_prices")=0,"",maxifs(Documents!$E$2:$E$1421,Documents!$A$2:$A$1421,$A142,Documents!$C$2:$C$1421,"dive_prices")),"")</f>
        <v/>
      </c>
      <c r="L142" s="0" t="str">
        <f aca="false">IFERROR(IF(maxifs(Documents!$E$2:$E$1421,Documents!$A$2:$A$1421,$A142,Documents!$C$2:$C$1421,"excursions")=0,"",maxifs(Documents!$E$2:$E$1421,Documents!$A$2:$A$1421,$A142,Documents!$C$2:$C$1421,"excursions")),"")</f>
        <v/>
      </c>
      <c r="M142" s="0" t="str">
        <f aca="false">IFERROR(IF(maxifs(Documents!$E$2:$E$1421,Documents!$A$2:$A$1421,$A142,Documents!$C$2:$C$1421,"kids")=0,"",maxifs(Documents!$E$2:$E$1421,Documents!$A$2:$A$1421,$A142,Documents!$C$2:$C$1421,"kids")),"")</f>
        <v/>
      </c>
      <c r="N142" s="0" t="str">
        <f aca="false">IFERROR(IF(maxifs(Documents!$E$2:$E$1421,Documents!$A$2:$A$1421,$A142,Documents!$C$2:$C$1421,"villa_plans")=0,"",maxifs(Documents!$E$2:$E$1421,Documents!$A$2:$A$1421,$A142,Documents!$C$2:$C$1421,"villa_plans")),"")</f>
        <v/>
      </c>
      <c r="O142" s="0" t="str">
        <f aca="false">IFERROR(IF(maxifs(Documents!$E$2:$E$1421,Documents!$A$2:$A$1421,$A142,Documents!$C$2:$C$1421,"all_inclusive")=0,"",maxifs(Documents!$E$2:$E$1421,Documents!$A$2:$A$1421,$A142,Documents!$C$2:$C$1421,"all_inclusive")),"")</f>
        <v/>
      </c>
      <c r="P142" s="0" t="str">
        <f aca="false">IFERROR(IF(maxifs(Documents!$E$2:$E$1421,Documents!$A$2:$A$1421,$A142,Documents!$C$2:$C$1421,"sustainability")=0,"",maxifs(Documents!$E$2:$E$1421,Documents!$A$2:$A$1421,$A142,Documents!$C$2:$C$1421,"sustainability")),"")</f>
        <v/>
      </c>
      <c r="Q142" s="0" t="str">
        <f aca="false">IFERROR(IF(maxifs(Documents!$E$2:$E$1421,Documents!$A$2:$A$1421,$A142,Documents!$C$2:$C$1421,"calendar")=0,"",maxifs(Documents!$E$2:$E$1421,Documents!$A$2:$A$1421,$A142,Documents!$C$2:$C$1421,"calendar")),"")</f>
        <v/>
      </c>
      <c r="R142" s="0" t="str">
        <f aca="false">IFERROR(IF(maxifs(Documents!$E$2:$E$1421,Documents!$A$2:$A$1421,$A142,Documents!$C$2:$C$1421,"brochure")=0,"",maxifs(Documents!$E$2:$E$1421,Documents!$A$2:$A$1421,$A142,Documents!$C$2:$C$1421,"brochure")),"")</f>
        <v/>
      </c>
      <c r="S142" s="0" t="str">
        <f aca="false">IFERROR(IF(maxifs(Documents!$E$2:$E$1421,Documents!$A$2:$A$1421,$A142,Documents!$C$2:$C$1421,"press_kit")=0,"",maxifs(Documents!$E$2:$E$1421,Documents!$A$2:$A$1421,$A142,Documents!$C$2:$C$1421,"press_kit")),"")</f>
        <v/>
      </c>
      <c r="T142" s="0" t="str">
        <f aca="false">IFERROR(IF(maxifs(Documents!$E$2:$E$1421,Documents!$A$2:$A$1421,$A142,Documents!$C$2:$C$1421,"other")=0,"",maxifs(Documents!$E$2:$E$1421,Documents!$A$2:$A$1421,$A142,Documents!$C$2:$C$1421,"other")),"")</f>
        <v/>
      </c>
      <c r="U142" s="0" t="str">
        <f aca="false">IFERROR(IF(maxifs(Documents!$E$2:$E$1421,Documents!$A$2:$A$1421,$A142,Documents!$C$2:$C$1421,"obsolete")=0,"",maxifs(Documents!$E$2:$E$1421,Documents!$A$2:$A$1421,$A142,Documents!$C$2:$C$1421,"obsolete")),"")</f>
        <v/>
      </c>
      <c r="V142" s="0" t="n">
        <f aca="false">COUNTIFS(Documents!$A$2:$A$1421,$A142)</f>
        <v>2</v>
      </c>
      <c r="W142" s="0" t="n">
        <f aca="false">COUNTIFS(Documents!$A$2:$A$1421,$A142,Documents!$R$2:$R$1421,"current")</f>
        <v>0</v>
      </c>
      <c r="X142" s="0" t="str">
        <f aca="false">HYPERLINK("https://neoscapesmaldives.com/wp-content/uploads/11747_Soneva-Fushi-Factsheet-2019.pdf","2019_11747_Soneva-Fushi-Factsheet-2019.p")</f>
        <v>2019_11747_Soneva-Fushi-Factsheet-2019.p</v>
      </c>
      <c r="Y142" s="0" t="s">
        <v>28</v>
      </c>
    </row>
    <row r="143" customFormat="false" ht="15" hidden="false" customHeight="false" outlineLevel="0" collapsed="false">
      <c r="A143" s="0" t="n">
        <v>142</v>
      </c>
      <c r="B143" s="0" t="s">
        <v>198</v>
      </c>
      <c r="C143" s="0" t="s">
        <v>112</v>
      </c>
      <c r="D143" s="0" t="str">
        <f aca="false">IFERROR(IF(maxifs(Documents!$E$2:$E$1421,Documents!$A$2:$A$1421,$A143,Documents!$C$2:$C$1421,"factsheet")=0,"",maxifs(Documents!$E$2:$E$1421,Documents!$A$2:$A$1421,$A143,Documents!$C$2:$C$1421,"factsheet")),"")</f>
        <v/>
      </c>
      <c r="E143" s="0" t="str">
        <f aca="false">IFERROR(IF(maxifs(Documents!$E$2:$E$1421,Documents!$A$2:$A$1421,$A143,Documents!$C$2:$C$1421,"wedding")=0,"",maxifs(Documents!$E$2:$E$1421,Documents!$A$2:$A$1421,$A143,Documents!$C$2:$C$1421,"wedding")),"")</f>
        <v/>
      </c>
      <c r="F143" s="0" t="str">
        <f aca="false">IFERROR(IF(maxifs(Documents!$E$2:$E$1421,Documents!$A$2:$A$1421,$A143,Documents!$C$2:$C$1421,"events")=0,"",maxifs(Documents!$E$2:$E$1421,Documents!$A$2:$A$1421,$A143,Documents!$C$2:$C$1421,"events")),"")</f>
        <v/>
      </c>
      <c r="G143" s="0" t="str">
        <f aca="false">IFERROR(IF(maxifs(Documents!$E$2:$E$1421,Documents!$A$2:$A$1421,$A143,Documents!$C$2:$C$1421,"map")=0,"",maxifs(Documents!$E$2:$E$1421,Documents!$A$2:$A$1421,$A143,Documents!$C$2:$C$1421,"map")),"")</f>
        <v/>
      </c>
      <c r="H143" s="0" t="str">
        <f aca="false">IFERROR(IF(maxifs(Documents!$E$2:$E$1421,Documents!$A$2:$A$1421,$A143,Documents!$C$2:$C$1421,"dive_map")=0,"",maxifs(Documents!$E$2:$E$1421,Documents!$A$2:$A$1421,$A143,Documents!$C$2:$C$1421,"dive_map")),"")</f>
        <v/>
      </c>
      <c r="I143" s="0" t="str">
        <f aca="false">IFERROR(IF(maxifs(Documents!$E$2:$E$1421,Documents!$A$2:$A$1421,$A143,Documents!$C$2:$C$1421,"spa_menu")=0,"",maxifs(Documents!$E$2:$E$1421,Documents!$A$2:$A$1421,$A143,Documents!$C$2:$C$1421,"spa_menu")),"")</f>
        <v/>
      </c>
      <c r="J143" s="0" t="str">
        <f aca="false">IFERROR(IF(maxifs(Documents!$E$2:$E$1421,Documents!$A$2:$A$1421,$A143,Documents!$C$2:$C$1421,"dining_menu")=0,"",maxifs(Documents!$E$2:$E$1421,Documents!$A$2:$A$1421,$A143,Documents!$C$2:$C$1421,"dining_menu")),"")</f>
        <v/>
      </c>
      <c r="K143" s="0" t="str">
        <f aca="false">IFERROR(IF(maxifs(Documents!$E$2:$E$1421,Documents!$A$2:$A$1421,$A143,Documents!$C$2:$C$1421,"dive_prices")=0,"",maxifs(Documents!$E$2:$E$1421,Documents!$A$2:$A$1421,$A143,Documents!$C$2:$C$1421,"dive_prices")),"")</f>
        <v/>
      </c>
      <c r="L143" s="0" t="str">
        <f aca="false">IFERROR(IF(maxifs(Documents!$E$2:$E$1421,Documents!$A$2:$A$1421,$A143,Documents!$C$2:$C$1421,"excursions")=0,"",maxifs(Documents!$E$2:$E$1421,Documents!$A$2:$A$1421,$A143,Documents!$C$2:$C$1421,"excursions")),"")</f>
        <v/>
      </c>
      <c r="M143" s="0" t="str">
        <f aca="false">IFERROR(IF(maxifs(Documents!$E$2:$E$1421,Documents!$A$2:$A$1421,$A143,Documents!$C$2:$C$1421,"kids")=0,"",maxifs(Documents!$E$2:$E$1421,Documents!$A$2:$A$1421,$A143,Documents!$C$2:$C$1421,"kids")),"")</f>
        <v/>
      </c>
      <c r="N143" s="0" t="str">
        <f aca="false">IFERROR(IF(maxifs(Documents!$E$2:$E$1421,Documents!$A$2:$A$1421,$A143,Documents!$C$2:$C$1421,"villa_plans")=0,"",maxifs(Documents!$E$2:$E$1421,Documents!$A$2:$A$1421,$A143,Documents!$C$2:$C$1421,"villa_plans")),"")</f>
        <v/>
      </c>
      <c r="O143" s="0" t="str">
        <f aca="false">IFERROR(IF(maxifs(Documents!$E$2:$E$1421,Documents!$A$2:$A$1421,$A143,Documents!$C$2:$C$1421,"all_inclusive")=0,"",maxifs(Documents!$E$2:$E$1421,Documents!$A$2:$A$1421,$A143,Documents!$C$2:$C$1421,"all_inclusive")),"")</f>
        <v/>
      </c>
      <c r="P143" s="0" t="str">
        <f aca="false">IFERROR(IF(maxifs(Documents!$E$2:$E$1421,Documents!$A$2:$A$1421,$A143,Documents!$C$2:$C$1421,"sustainability")=0,"",maxifs(Documents!$E$2:$E$1421,Documents!$A$2:$A$1421,$A143,Documents!$C$2:$C$1421,"sustainability")),"")</f>
        <v/>
      </c>
      <c r="Q143" s="0" t="str">
        <f aca="false">IFERROR(IF(maxifs(Documents!$E$2:$E$1421,Documents!$A$2:$A$1421,$A143,Documents!$C$2:$C$1421,"calendar")=0,"",maxifs(Documents!$E$2:$E$1421,Documents!$A$2:$A$1421,$A143,Documents!$C$2:$C$1421,"calendar")),"")</f>
        <v/>
      </c>
      <c r="R143" s="0" t="str">
        <f aca="false">IFERROR(IF(maxifs(Documents!$E$2:$E$1421,Documents!$A$2:$A$1421,$A143,Documents!$C$2:$C$1421,"brochure")=0,"",maxifs(Documents!$E$2:$E$1421,Documents!$A$2:$A$1421,$A143,Documents!$C$2:$C$1421,"brochure")),"")</f>
        <v/>
      </c>
      <c r="S143" s="0" t="str">
        <f aca="false">IFERROR(IF(maxifs(Documents!$E$2:$E$1421,Documents!$A$2:$A$1421,$A143,Documents!$C$2:$C$1421,"press_kit")=0,"",maxifs(Documents!$E$2:$E$1421,Documents!$A$2:$A$1421,$A143,Documents!$C$2:$C$1421,"press_kit")),"")</f>
        <v/>
      </c>
      <c r="T143" s="0" t="str">
        <f aca="false">IFERROR(IF(maxifs(Documents!$E$2:$E$1421,Documents!$A$2:$A$1421,$A143,Documents!$C$2:$C$1421,"other")=0,"",maxifs(Documents!$E$2:$E$1421,Documents!$A$2:$A$1421,$A143,Documents!$C$2:$C$1421,"other")),"")</f>
        <v/>
      </c>
      <c r="U143" s="0" t="str">
        <f aca="false">IFERROR(IF(maxifs(Documents!$E$2:$E$1421,Documents!$A$2:$A$1421,$A143,Documents!$C$2:$C$1421,"obsolete")=0,"",maxifs(Documents!$E$2:$E$1421,Documents!$A$2:$A$1421,$A143,Documents!$C$2:$C$1421,"obsolete")),"")</f>
        <v/>
      </c>
      <c r="V143" s="0" t="n">
        <f aca="false">COUNTIFS(Documents!$A$2:$A$1421,$A143)</f>
        <v>1</v>
      </c>
      <c r="W143" s="0" t="n">
        <f aca="false">COUNTIFS(Documents!$A$2:$A$1421,$A143,Documents!$R$2:$R$1421,"current")</f>
        <v>0</v>
      </c>
      <c r="Y143" s="0" t="s">
        <v>31</v>
      </c>
    </row>
    <row r="144" customFormat="false" ht="15" hidden="false" customHeight="false" outlineLevel="0" collapsed="false">
      <c r="A144" s="0" t="n">
        <v>143</v>
      </c>
      <c r="B144" s="0" t="s">
        <v>199</v>
      </c>
      <c r="C144" s="0" t="s">
        <v>112</v>
      </c>
      <c r="D144" s="0" t="str">
        <f aca="false">IFERROR(IF(maxifs(Documents!$E$2:$E$1421,Documents!$A$2:$A$1421,$A144,Documents!$C$2:$C$1421,"factsheet")=0,"",maxifs(Documents!$E$2:$E$1421,Documents!$A$2:$A$1421,$A144,Documents!$C$2:$C$1421,"factsheet")),"")</f>
        <v/>
      </c>
      <c r="E144" s="0" t="str">
        <f aca="false">IFERROR(IF(maxifs(Documents!$E$2:$E$1421,Documents!$A$2:$A$1421,$A144,Documents!$C$2:$C$1421,"wedding")=0,"",maxifs(Documents!$E$2:$E$1421,Documents!$A$2:$A$1421,$A144,Documents!$C$2:$C$1421,"wedding")),"")</f>
        <v/>
      </c>
      <c r="F144" s="0" t="str">
        <f aca="false">IFERROR(IF(maxifs(Documents!$E$2:$E$1421,Documents!$A$2:$A$1421,$A144,Documents!$C$2:$C$1421,"events")=0,"",maxifs(Documents!$E$2:$E$1421,Documents!$A$2:$A$1421,$A144,Documents!$C$2:$C$1421,"events")),"")</f>
        <v/>
      </c>
      <c r="G144" s="0" t="str">
        <f aca="false">IFERROR(IF(maxifs(Documents!$E$2:$E$1421,Documents!$A$2:$A$1421,$A144,Documents!$C$2:$C$1421,"map")=0,"",maxifs(Documents!$E$2:$E$1421,Documents!$A$2:$A$1421,$A144,Documents!$C$2:$C$1421,"map")),"")</f>
        <v/>
      </c>
      <c r="H144" s="0" t="str">
        <f aca="false">IFERROR(IF(maxifs(Documents!$E$2:$E$1421,Documents!$A$2:$A$1421,$A144,Documents!$C$2:$C$1421,"dive_map")=0,"",maxifs(Documents!$E$2:$E$1421,Documents!$A$2:$A$1421,$A144,Documents!$C$2:$C$1421,"dive_map")),"")</f>
        <v/>
      </c>
      <c r="I144" s="0" t="str">
        <f aca="false">IFERROR(IF(maxifs(Documents!$E$2:$E$1421,Documents!$A$2:$A$1421,$A144,Documents!$C$2:$C$1421,"spa_menu")=0,"",maxifs(Documents!$E$2:$E$1421,Documents!$A$2:$A$1421,$A144,Documents!$C$2:$C$1421,"spa_menu")),"")</f>
        <v/>
      </c>
      <c r="J144" s="0" t="str">
        <f aca="false">IFERROR(IF(maxifs(Documents!$E$2:$E$1421,Documents!$A$2:$A$1421,$A144,Documents!$C$2:$C$1421,"dining_menu")=0,"",maxifs(Documents!$E$2:$E$1421,Documents!$A$2:$A$1421,$A144,Documents!$C$2:$C$1421,"dining_menu")),"")</f>
        <v/>
      </c>
      <c r="K144" s="0" t="str">
        <f aca="false">IFERROR(IF(maxifs(Documents!$E$2:$E$1421,Documents!$A$2:$A$1421,$A144,Documents!$C$2:$C$1421,"dive_prices")=0,"",maxifs(Documents!$E$2:$E$1421,Documents!$A$2:$A$1421,$A144,Documents!$C$2:$C$1421,"dive_prices")),"")</f>
        <v/>
      </c>
      <c r="L144" s="0" t="str">
        <f aca="false">IFERROR(IF(maxifs(Documents!$E$2:$E$1421,Documents!$A$2:$A$1421,$A144,Documents!$C$2:$C$1421,"excursions")=0,"",maxifs(Documents!$E$2:$E$1421,Documents!$A$2:$A$1421,$A144,Documents!$C$2:$C$1421,"excursions")),"")</f>
        <v/>
      </c>
      <c r="M144" s="0" t="str">
        <f aca="false">IFERROR(IF(maxifs(Documents!$E$2:$E$1421,Documents!$A$2:$A$1421,$A144,Documents!$C$2:$C$1421,"kids")=0,"",maxifs(Documents!$E$2:$E$1421,Documents!$A$2:$A$1421,$A144,Documents!$C$2:$C$1421,"kids")),"")</f>
        <v/>
      </c>
      <c r="N144" s="0" t="str">
        <f aca="false">IFERROR(IF(maxifs(Documents!$E$2:$E$1421,Documents!$A$2:$A$1421,$A144,Documents!$C$2:$C$1421,"villa_plans")=0,"",maxifs(Documents!$E$2:$E$1421,Documents!$A$2:$A$1421,$A144,Documents!$C$2:$C$1421,"villa_plans")),"")</f>
        <v/>
      </c>
      <c r="O144" s="0" t="str">
        <f aca="false">IFERROR(IF(maxifs(Documents!$E$2:$E$1421,Documents!$A$2:$A$1421,$A144,Documents!$C$2:$C$1421,"all_inclusive")=0,"",maxifs(Documents!$E$2:$E$1421,Documents!$A$2:$A$1421,$A144,Documents!$C$2:$C$1421,"all_inclusive")),"")</f>
        <v/>
      </c>
      <c r="P144" s="0" t="str">
        <f aca="false">IFERROR(IF(maxifs(Documents!$E$2:$E$1421,Documents!$A$2:$A$1421,$A144,Documents!$C$2:$C$1421,"sustainability")=0,"",maxifs(Documents!$E$2:$E$1421,Documents!$A$2:$A$1421,$A144,Documents!$C$2:$C$1421,"sustainability")),"")</f>
        <v/>
      </c>
      <c r="Q144" s="0" t="str">
        <f aca="false">IFERROR(IF(maxifs(Documents!$E$2:$E$1421,Documents!$A$2:$A$1421,$A144,Documents!$C$2:$C$1421,"calendar")=0,"",maxifs(Documents!$E$2:$E$1421,Documents!$A$2:$A$1421,$A144,Documents!$C$2:$C$1421,"calendar")),"")</f>
        <v/>
      </c>
      <c r="R144" s="0" t="str">
        <f aca="false">IFERROR(IF(maxifs(Documents!$E$2:$E$1421,Documents!$A$2:$A$1421,$A144,Documents!$C$2:$C$1421,"brochure")=0,"",maxifs(Documents!$E$2:$E$1421,Documents!$A$2:$A$1421,$A144,Documents!$C$2:$C$1421,"brochure")),"")</f>
        <v/>
      </c>
      <c r="S144" s="0" t="str">
        <f aca="false">IFERROR(IF(maxifs(Documents!$E$2:$E$1421,Documents!$A$2:$A$1421,$A144,Documents!$C$2:$C$1421,"press_kit")=0,"",maxifs(Documents!$E$2:$E$1421,Documents!$A$2:$A$1421,$A144,Documents!$C$2:$C$1421,"press_kit")),"")</f>
        <v/>
      </c>
      <c r="T144" s="0" t="str">
        <f aca="false">IFERROR(IF(maxifs(Documents!$E$2:$E$1421,Documents!$A$2:$A$1421,$A144,Documents!$C$2:$C$1421,"other")=0,"",maxifs(Documents!$E$2:$E$1421,Documents!$A$2:$A$1421,$A144,Documents!$C$2:$C$1421,"other")),"")</f>
        <v/>
      </c>
      <c r="U144" s="0" t="str">
        <f aca="false">IFERROR(IF(maxifs(Documents!$E$2:$E$1421,Documents!$A$2:$A$1421,$A144,Documents!$C$2:$C$1421,"obsolete")=0,"",maxifs(Documents!$E$2:$E$1421,Documents!$A$2:$A$1421,$A144,Documents!$C$2:$C$1421,"obsolete")),"")</f>
        <v/>
      </c>
      <c r="V144" s="0" t="n">
        <f aca="false">COUNTIFS(Documents!$A$2:$A$1421,$A144)</f>
        <v>6</v>
      </c>
      <c r="W144" s="0" t="n">
        <f aca="false">COUNTIFS(Documents!$A$2:$A$1421,$A144,Documents!$R$2:$R$1421,"current")</f>
        <v>2</v>
      </c>
      <c r="X144" s="0" t="str">
        <f aca="false">HYPERLINK("https://neoscapesmaldives.com/wp-content/uploads/11747_Soneva-Fushi-Factsheet-2019.pdf","2019_11747_Soneva-Fushi-Factsheet-2019.p")</f>
        <v>2019_11747_Soneva-Fushi-Factsheet-2019.p</v>
      </c>
      <c r="Y144" s="0" t="s">
        <v>28</v>
      </c>
    </row>
    <row r="145" customFormat="false" ht="15" hidden="false" customHeight="false" outlineLevel="0" collapsed="false">
      <c r="A145" s="0" t="n">
        <v>144</v>
      </c>
      <c r="B145" s="0" t="s">
        <v>200</v>
      </c>
      <c r="C145" s="0" t="s">
        <v>112</v>
      </c>
      <c r="D145" s="0" t="str">
        <f aca="false">IFERROR(IF(maxifs(Documents!$E$2:$E$1421,Documents!$A$2:$A$1421,$A145,Documents!$C$2:$C$1421,"factsheet")=0,"",maxifs(Documents!$E$2:$E$1421,Documents!$A$2:$A$1421,$A145,Documents!$C$2:$C$1421,"factsheet")),"")</f>
        <v/>
      </c>
      <c r="E145" s="0" t="str">
        <f aca="false">IFERROR(IF(maxifs(Documents!$E$2:$E$1421,Documents!$A$2:$A$1421,$A145,Documents!$C$2:$C$1421,"wedding")=0,"",maxifs(Documents!$E$2:$E$1421,Documents!$A$2:$A$1421,$A145,Documents!$C$2:$C$1421,"wedding")),"")</f>
        <v/>
      </c>
      <c r="F145" s="0" t="str">
        <f aca="false">IFERROR(IF(maxifs(Documents!$E$2:$E$1421,Documents!$A$2:$A$1421,$A145,Documents!$C$2:$C$1421,"events")=0,"",maxifs(Documents!$E$2:$E$1421,Documents!$A$2:$A$1421,$A145,Documents!$C$2:$C$1421,"events")),"")</f>
        <v/>
      </c>
      <c r="G145" s="0" t="str">
        <f aca="false">IFERROR(IF(maxifs(Documents!$E$2:$E$1421,Documents!$A$2:$A$1421,$A145,Documents!$C$2:$C$1421,"map")=0,"",maxifs(Documents!$E$2:$E$1421,Documents!$A$2:$A$1421,$A145,Documents!$C$2:$C$1421,"map")),"")</f>
        <v/>
      </c>
      <c r="H145" s="0" t="str">
        <f aca="false">IFERROR(IF(maxifs(Documents!$E$2:$E$1421,Documents!$A$2:$A$1421,$A145,Documents!$C$2:$C$1421,"dive_map")=0,"",maxifs(Documents!$E$2:$E$1421,Documents!$A$2:$A$1421,$A145,Documents!$C$2:$C$1421,"dive_map")),"")</f>
        <v/>
      </c>
      <c r="I145" s="0" t="str">
        <f aca="false">IFERROR(IF(maxifs(Documents!$E$2:$E$1421,Documents!$A$2:$A$1421,$A145,Documents!$C$2:$C$1421,"spa_menu")=0,"",maxifs(Documents!$E$2:$E$1421,Documents!$A$2:$A$1421,$A145,Documents!$C$2:$C$1421,"spa_menu")),"")</f>
        <v/>
      </c>
      <c r="J145" s="0" t="str">
        <f aca="false">IFERROR(IF(maxifs(Documents!$E$2:$E$1421,Documents!$A$2:$A$1421,$A145,Documents!$C$2:$C$1421,"dining_menu")=0,"",maxifs(Documents!$E$2:$E$1421,Documents!$A$2:$A$1421,$A145,Documents!$C$2:$C$1421,"dining_menu")),"")</f>
        <v/>
      </c>
      <c r="K145" s="0" t="str">
        <f aca="false">IFERROR(IF(maxifs(Documents!$E$2:$E$1421,Documents!$A$2:$A$1421,$A145,Documents!$C$2:$C$1421,"dive_prices")=0,"",maxifs(Documents!$E$2:$E$1421,Documents!$A$2:$A$1421,$A145,Documents!$C$2:$C$1421,"dive_prices")),"")</f>
        <v/>
      </c>
      <c r="L145" s="0" t="str">
        <f aca="false">IFERROR(IF(maxifs(Documents!$E$2:$E$1421,Documents!$A$2:$A$1421,$A145,Documents!$C$2:$C$1421,"excursions")=0,"",maxifs(Documents!$E$2:$E$1421,Documents!$A$2:$A$1421,$A145,Documents!$C$2:$C$1421,"excursions")),"")</f>
        <v/>
      </c>
      <c r="M145" s="0" t="str">
        <f aca="false">IFERROR(IF(maxifs(Documents!$E$2:$E$1421,Documents!$A$2:$A$1421,$A145,Documents!$C$2:$C$1421,"kids")=0,"",maxifs(Documents!$E$2:$E$1421,Documents!$A$2:$A$1421,$A145,Documents!$C$2:$C$1421,"kids")),"")</f>
        <v/>
      </c>
      <c r="N145" s="0" t="str">
        <f aca="false">IFERROR(IF(maxifs(Documents!$E$2:$E$1421,Documents!$A$2:$A$1421,$A145,Documents!$C$2:$C$1421,"villa_plans")=0,"",maxifs(Documents!$E$2:$E$1421,Documents!$A$2:$A$1421,$A145,Documents!$C$2:$C$1421,"villa_plans")),"")</f>
        <v/>
      </c>
      <c r="O145" s="0" t="str">
        <f aca="false">IFERROR(IF(maxifs(Documents!$E$2:$E$1421,Documents!$A$2:$A$1421,$A145,Documents!$C$2:$C$1421,"all_inclusive")=0,"",maxifs(Documents!$E$2:$E$1421,Documents!$A$2:$A$1421,$A145,Documents!$C$2:$C$1421,"all_inclusive")),"")</f>
        <v/>
      </c>
      <c r="P145" s="0" t="str">
        <f aca="false">IFERROR(IF(maxifs(Documents!$E$2:$E$1421,Documents!$A$2:$A$1421,$A145,Documents!$C$2:$C$1421,"sustainability")=0,"",maxifs(Documents!$E$2:$E$1421,Documents!$A$2:$A$1421,$A145,Documents!$C$2:$C$1421,"sustainability")),"")</f>
        <v/>
      </c>
      <c r="Q145" s="0" t="str">
        <f aca="false">IFERROR(IF(maxifs(Documents!$E$2:$E$1421,Documents!$A$2:$A$1421,$A145,Documents!$C$2:$C$1421,"calendar")=0,"",maxifs(Documents!$E$2:$E$1421,Documents!$A$2:$A$1421,$A145,Documents!$C$2:$C$1421,"calendar")),"")</f>
        <v/>
      </c>
      <c r="R145" s="0" t="str">
        <f aca="false">IFERROR(IF(maxifs(Documents!$E$2:$E$1421,Documents!$A$2:$A$1421,$A145,Documents!$C$2:$C$1421,"brochure")=0,"",maxifs(Documents!$E$2:$E$1421,Documents!$A$2:$A$1421,$A145,Documents!$C$2:$C$1421,"brochure")),"")</f>
        <v/>
      </c>
      <c r="S145" s="0" t="str">
        <f aca="false">IFERROR(IF(maxifs(Documents!$E$2:$E$1421,Documents!$A$2:$A$1421,$A145,Documents!$C$2:$C$1421,"press_kit")=0,"",maxifs(Documents!$E$2:$E$1421,Documents!$A$2:$A$1421,$A145,Documents!$C$2:$C$1421,"press_kit")),"")</f>
        <v/>
      </c>
      <c r="T145" s="0" t="str">
        <f aca="false">IFERROR(IF(maxifs(Documents!$E$2:$E$1421,Documents!$A$2:$A$1421,$A145,Documents!$C$2:$C$1421,"other")=0,"",maxifs(Documents!$E$2:$E$1421,Documents!$A$2:$A$1421,$A145,Documents!$C$2:$C$1421,"other")),"")</f>
        <v/>
      </c>
      <c r="U145" s="0" t="str">
        <f aca="false">IFERROR(IF(maxifs(Documents!$E$2:$E$1421,Documents!$A$2:$A$1421,$A145,Documents!$C$2:$C$1421,"obsolete")=0,"",maxifs(Documents!$E$2:$E$1421,Documents!$A$2:$A$1421,$A145,Documents!$C$2:$C$1421,"obsolete")),"")</f>
        <v/>
      </c>
      <c r="V145" s="0" t="n">
        <f aca="false">COUNTIFS(Documents!$A$2:$A$1421,$A145)</f>
        <v>0</v>
      </c>
      <c r="W145" s="0" t="n">
        <f aca="false">COUNTIFS(Documents!$A$2:$A$1421,$A145,Documents!$R$2:$R$1421,"current")</f>
        <v>0</v>
      </c>
      <c r="Y145" s="0" t="s">
        <v>31</v>
      </c>
    </row>
    <row r="146" customFormat="false" ht="15" hidden="false" customHeight="false" outlineLevel="0" collapsed="false">
      <c r="A146" s="0" t="n">
        <v>145</v>
      </c>
      <c r="B146" s="0" t="s">
        <v>201</v>
      </c>
      <c r="C146" s="0" t="s">
        <v>112</v>
      </c>
      <c r="D146" s="0" t="str">
        <f aca="false">IFERROR(IF(maxifs(Documents!$E$2:$E$1421,Documents!$A$2:$A$1421,$A146,Documents!$C$2:$C$1421,"factsheet")=0,"",maxifs(Documents!$E$2:$E$1421,Documents!$A$2:$A$1421,$A146,Documents!$C$2:$C$1421,"factsheet")),"")</f>
        <v/>
      </c>
      <c r="E146" s="0" t="str">
        <f aca="false">IFERROR(IF(maxifs(Documents!$E$2:$E$1421,Documents!$A$2:$A$1421,$A146,Documents!$C$2:$C$1421,"wedding")=0,"",maxifs(Documents!$E$2:$E$1421,Documents!$A$2:$A$1421,$A146,Documents!$C$2:$C$1421,"wedding")),"")</f>
        <v/>
      </c>
      <c r="F146" s="0" t="str">
        <f aca="false">IFERROR(IF(maxifs(Documents!$E$2:$E$1421,Documents!$A$2:$A$1421,$A146,Documents!$C$2:$C$1421,"events")=0,"",maxifs(Documents!$E$2:$E$1421,Documents!$A$2:$A$1421,$A146,Documents!$C$2:$C$1421,"events")),"")</f>
        <v/>
      </c>
      <c r="G146" s="0" t="str">
        <f aca="false">IFERROR(IF(maxifs(Documents!$E$2:$E$1421,Documents!$A$2:$A$1421,$A146,Documents!$C$2:$C$1421,"map")=0,"",maxifs(Documents!$E$2:$E$1421,Documents!$A$2:$A$1421,$A146,Documents!$C$2:$C$1421,"map")),"")</f>
        <v/>
      </c>
      <c r="H146" s="0" t="str">
        <f aca="false">IFERROR(IF(maxifs(Documents!$E$2:$E$1421,Documents!$A$2:$A$1421,$A146,Documents!$C$2:$C$1421,"dive_map")=0,"",maxifs(Documents!$E$2:$E$1421,Documents!$A$2:$A$1421,$A146,Documents!$C$2:$C$1421,"dive_map")),"")</f>
        <v/>
      </c>
      <c r="I146" s="0" t="str">
        <f aca="false">IFERROR(IF(maxifs(Documents!$E$2:$E$1421,Documents!$A$2:$A$1421,$A146,Documents!$C$2:$C$1421,"spa_menu")=0,"",maxifs(Documents!$E$2:$E$1421,Documents!$A$2:$A$1421,$A146,Documents!$C$2:$C$1421,"spa_menu")),"")</f>
        <v/>
      </c>
      <c r="J146" s="0" t="str">
        <f aca="false">IFERROR(IF(maxifs(Documents!$E$2:$E$1421,Documents!$A$2:$A$1421,$A146,Documents!$C$2:$C$1421,"dining_menu")=0,"",maxifs(Documents!$E$2:$E$1421,Documents!$A$2:$A$1421,$A146,Documents!$C$2:$C$1421,"dining_menu")),"")</f>
        <v/>
      </c>
      <c r="K146" s="0" t="str">
        <f aca="false">IFERROR(IF(maxifs(Documents!$E$2:$E$1421,Documents!$A$2:$A$1421,$A146,Documents!$C$2:$C$1421,"dive_prices")=0,"",maxifs(Documents!$E$2:$E$1421,Documents!$A$2:$A$1421,$A146,Documents!$C$2:$C$1421,"dive_prices")),"")</f>
        <v/>
      </c>
      <c r="L146" s="0" t="str">
        <f aca="false">IFERROR(IF(maxifs(Documents!$E$2:$E$1421,Documents!$A$2:$A$1421,$A146,Documents!$C$2:$C$1421,"excursions")=0,"",maxifs(Documents!$E$2:$E$1421,Documents!$A$2:$A$1421,$A146,Documents!$C$2:$C$1421,"excursions")),"")</f>
        <v/>
      </c>
      <c r="M146" s="0" t="str">
        <f aca="false">IFERROR(IF(maxifs(Documents!$E$2:$E$1421,Documents!$A$2:$A$1421,$A146,Documents!$C$2:$C$1421,"kids")=0,"",maxifs(Documents!$E$2:$E$1421,Documents!$A$2:$A$1421,$A146,Documents!$C$2:$C$1421,"kids")),"")</f>
        <v/>
      </c>
      <c r="N146" s="0" t="str">
        <f aca="false">IFERROR(IF(maxifs(Documents!$E$2:$E$1421,Documents!$A$2:$A$1421,$A146,Documents!$C$2:$C$1421,"villa_plans")=0,"",maxifs(Documents!$E$2:$E$1421,Documents!$A$2:$A$1421,$A146,Documents!$C$2:$C$1421,"villa_plans")),"")</f>
        <v/>
      </c>
      <c r="O146" s="0" t="str">
        <f aca="false">IFERROR(IF(maxifs(Documents!$E$2:$E$1421,Documents!$A$2:$A$1421,$A146,Documents!$C$2:$C$1421,"all_inclusive")=0,"",maxifs(Documents!$E$2:$E$1421,Documents!$A$2:$A$1421,$A146,Documents!$C$2:$C$1421,"all_inclusive")),"")</f>
        <v/>
      </c>
      <c r="P146" s="0" t="str">
        <f aca="false">IFERROR(IF(maxifs(Documents!$E$2:$E$1421,Documents!$A$2:$A$1421,$A146,Documents!$C$2:$C$1421,"sustainability")=0,"",maxifs(Documents!$E$2:$E$1421,Documents!$A$2:$A$1421,$A146,Documents!$C$2:$C$1421,"sustainability")),"")</f>
        <v/>
      </c>
      <c r="Q146" s="0" t="str">
        <f aca="false">IFERROR(IF(maxifs(Documents!$E$2:$E$1421,Documents!$A$2:$A$1421,$A146,Documents!$C$2:$C$1421,"calendar")=0,"",maxifs(Documents!$E$2:$E$1421,Documents!$A$2:$A$1421,$A146,Documents!$C$2:$C$1421,"calendar")),"")</f>
        <v/>
      </c>
      <c r="R146" s="0" t="str">
        <f aca="false">IFERROR(IF(maxifs(Documents!$E$2:$E$1421,Documents!$A$2:$A$1421,$A146,Documents!$C$2:$C$1421,"brochure")=0,"",maxifs(Documents!$E$2:$E$1421,Documents!$A$2:$A$1421,$A146,Documents!$C$2:$C$1421,"brochure")),"")</f>
        <v/>
      </c>
      <c r="S146" s="0" t="str">
        <f aca="false">IFERROR(IF(maxifs(Documents!$E$2:$E$1421,Documents!$A$2:$A$1421,$A146,Documents!$C$2:$C$1421,"press_kit")=0,"",maxifs(Documents!$E$2:$E$1421,Documents!$A$2:$A$1421,$A146,Documents!$C$2:$C$1421,"press_kit")),"")</f>
        <v/>
      </c>
      <c r="T146" s="0" t="str">
        <f aca="false">IFERROR(IF(maxifs(Documents!$E$2:$E$1421,Documents!$A$2:$A$1421,$A146,Documents!$C$2:$C$1421,"other")=0,"",maxifs(Documents!$E$2:$E$1421,Documents!$A$2:$A$1421,$A146,Documents!$C$2:$C$1421,"other")),"")</f>
        <v/>
      </c>
      <c r="U146" s="0" t="str">
        <f aca="false">IFERROR(IF(maxifs(Documents!$E$2:$E$1421,Documents!$A$2:$A$1421,$A146,Documents!$C$2:$C$1421,"obsolete")=0,"",maxifs(Documents!$E$2:$E$1421,Documents!$A$2:$A$1421,$A146,Documents!$C$2:$C$1421,"obsolete")),"")</f>
        <v/>
      </c>
      <c r="V146" s="0" t="n">
        <f aca="false">COUNTIFS(Documents!$A$2:$A$1421,$A146)</f>
        <v>2</v>
      </c>
      <c r="W146" s="0" t="n">
        <f aca="false">COUNTIFS(Documents!$A$2:$A$1421,$A146,Documents!$R$2:$R$1421,"current")</f>
        <v>0</v>
      </c>
      <c r="X146" s="0" t="str">
        <f aca="false">HYPERLINK("https://www.neoscapesmaldives.com/wp-content/uploads/Anantara_Dhigu_Maldives_Factsheet_January_2023.pdf","2023_Anantara_Dhigu_Maldives_Factsheet_J")</f>
        <v>2023_Anantara_Dhigu_Maldives_Factsheet_J</v>
      </c>
      <c r="Y146" s="0" t="s">
        <v>28</v>
      </c>
    </row>
    <row r="147" customFormat="false" ht="15" hidden="false" customHeight="false" outlineLevel="0" collapsed="false">
      <c r="A147" s="0" t="n">
        <v>146</v>
      </c>
      <c r="B147" s="0" t="s">
        <v>202</v>
      </c>
      <c r="C147" s="0" t="s">
        <v>112</v>
      </c>
      <c r="D147" s="0" t="str">
        <f aca="false">IFERROR(IF(maxifs(Documents!$E$2:$E$1421,Documents!$A$2:$A$1421,$A147,Documents!$C$2:$C$1421,"factsheet")=0,"",maxifs(Documents!$E$2:$E$1421,Documents!$A$2:$A$1421,$A147,Documents!$C$2:$C$1421,"factsheet")),"")</f>
        <v/>
      </c>
      <c r="E147" s="0" t="str">
        <f aca="false">IFERROR(IF(maxifs(Documents!$E$2:$E$1421,Documents!$A$2:$A$1421,$A147,Documents!$C$2:$C$1421,"wedding")=0,"",maxifs(Documents!$E$2:$E$1421,Documents!$A$2:$A$1421,$A147,Documents!$C$2:$C$1421,"wedding")),"")</f>
        <v/>
      </c>
      <c r="F147" s="0" t="str">
        <f aca="false">IFERROR(IF(maxifs(Documents!$E$2:$E$1421,Documents!$A$2:$A$1421,$A147,Documents!$C$2:$C$1421,"events")=0,"",maxifs(Documents!$E$2:$E$1421,Documents!$A$2:$A$1421,$A147,Documents!$C$2:$C$1421,"events")),"")</f>
        <v/>
      </c>
      <c r="G147" s="0" t="str">
        <f aca="false">IFERROR(IF(maxifs(Documents!$E$2:$E$1421,Documents!$A$2:$A$1421,$A147,Documents!$C$2:$C$1421,"map")=0,"",maxifs(Documents!$E$2:$E$1421,Documents!$A$2:$A$1421,$A147,Documents!$C$2:$C$1421,"map")),"")</f>
        <v/>
      </c>
      <c r="H147" s="0" t="str">
        <f aca="false">IFERROR(IF(maxifs(Documents!$E$2:$E$1421,Documents!$A$2:$A$1421,$A147,Documents!$C$2:$C$1421,"dive_map")=0,"",maxifs(Documents!$E$2:$E$1421,Documents!$A$2:$A$1421,$A147,Documents!$C$2:$C$1421,"dive_map")),"")</f>
        <v/>
      </c>
      <c r="I147" s="0" t="str">
        <f aca="false">IFERROR(IF(maxifs(Documents!$E$2:$E$1421,Documents!$A$2:$A$1421,$A147,Documents!$C$2:$C$1421,"spa_menu")=0,"",maxifs(Documents!$E$2:$E$1421,Documents!$A$2:$A$1421,$A147,Documents!$C$2:$C$1421,"spa_menu")),"")</f>
        <v/>
      </c>
      <c r="J147" s="0" t="str">
        <f aca="false">IFERROR(IF(maxifs(Documents!$E$2:$E$1421,Documents!$A$2:$A$1421,$A147,Documents!$C$2:$C$1421,"dining_menu")=0,"",maxifs(Documents!$E$2:$E$1421,Documents!$A$2:$A$1421,$A147,Documents!$C$2:$C$1421,"dining_menu")),"")</f>
        <v/>
      </c>
      <c r="K147" s="0" t="str">
        <f aca="false">IFERROR(IF(maxifs(Documents!$E$2:$E$1421,Documents!$A$2:$A$1421,$A147,Documents!$C$2:$C$1421,"dive_prices")=0,"",maxifs(Documents!$E$2:$E$1421,Documents!$A$2:$A$1421,$A147,Documents!$C$2:$C$1421,"dive_prices")),"")</f>
        <v/>
      </c>
      <c r="L147" s="0" t="str">
        <f aca="false">IFERROR(IF(maxifs(Documents!$E$2:$E$1421,Documents!$A$2:$A$1421,$A147,Documents!$C$2:$C$1421,"excursions")=0,"",maxifs(Documents!$E$2:$E$1421,Documents!$A$2:$A$1421,$A147,Documents!$C$2:$C$1421,"excursions")),"")</f>
        <v/>
      </c>
      <c r="M147" s="0" t="str">
        <f aca="false">IFERROR(IF(maxifs(Documents!$E$2:$E$1421,Documents!$A$2:$A$1421,$A147,Documents!$C$2:$C$1421,"kids")=0,"",maxifs(Documents!$E$2:$E$1421,Documents!$A$2:$A$1421,$A147,Documents!$C$2:$C$1421,"kids")),"")</f>
        <v/>
      </c>
      <c r="N147" s="0" t="str">
        <f aca="false">IFERROR(IF(maxifs(Documents!$E$2:$E$1421,Documents!$A$2:$A$1421,$A147,Documents!$C$2:$C$1421,"villa_plans")=0,"",maxifs(Documents!$E$2:$E$1421,Documents!$A$2:$A$1421,$A147,Documents!$C$2:$C$1421,"villa_plans")),"")</f>
        <v/>
      </c>
      <c r="O147" s="0" t="str">
        <f aca="false">IFERROR(IF(maxifs(Documents!$E$2:$E$1421,Documents!$A$2:$A$1421,$A147,Documents!$C$2:$C$1421,"all_inclusive")=0,"",maxifs(Documents!$E$2:$E$1421,Documents!$A$2:$A$1421,$A147,Documents!$C$2:$C$1421,"all_inclusive")),"")</f>
        <v/>
      </c>
      <c r="P147" s="0" t="str">
        <f aca="false">IFERROR(IF(maxifs(Documents!$E$2:$E$1421,Documents!$A$2:$A$1421,$A147,Documents!$C$2:$C$1421,"sustainability")=0,"",maxifs(Documents!$E$2:$E$1421,Documents!$A$2:$A$1421,$A147,Documents!$C$2:$C$1421,"sustainability")),"")</f>
        <v/>
      </c>
      <c r="Q147" s="0" t="str">
        <f aca="false">IFERROR(IF(maxifs(Documents!$E$2:$E$1421,Documents!$A$2:$A$1421,$A147,Documents!$C$2:$C$1421,"calendar")=0,"",maxifs(Documents!$E$2:$E$1421,Documents!$A$2:$A$1421,$A147,Documents!$C$2:$C$1421,"calendar")),"")</f>
        <v/>
      </c>
      <c r="R147" s="0" t="str">
        <f aca="false">IFERROR(IF(maxifs(Documents!$E$2:$E$1421,Documents!$A$2:$A$1421,$A147,Documents!$C$2:$C$1421,"brochure")=0,"",maxifs(Documents!$E$2:$E$1421,Documents!$A$2:$A$1421,$A147,Documents!$C$2:$C$1421,"brochure")),"")</f>
        <v/>
      </c>
      <c r="S147" s="0" t="str">
        <f aca="false">IFERROR(IF(maxifs(Documents!$E$2:$E$1421,Documents!$A$2:$A$1421,$A147,Documents!$C$2:$C$1421,"press_kit")=0,"",maxifs(Documents!$E$2:$E$1421,Documents!$A$2:$A$1421,$A147,Documents!$C$2:$C$1421,"press_kit")),"")</f>
        <v/>
      </c>
      <c r="T147" s="0" t="str">
        <f aca="false">IFERROR(IF(maxifs(Documents!$E$2:$E$1421,Documents!$A$2:$A$1421,$A147,Documents!$C$2:$C$1421,"other")=0,"",maxifs(Documents!$E$2:$E$1421,Documents!$A$2:$A$1421,$A147,Documents!$C$2:$C$1421,"other")),"")</f>
        <v/>
      </c>
      <c r="U147" s="0" t="str">
        <f aca="false">IFERROR(IF(maxifs(Documents!$E$2:$E$1421,Documents!$A$2:$A$1421,$A147,Documents!$C$2:$C$1421,"obsolete")=0,"",maxifs(Documents!$E$2:$E$1421,Documents!$A$2:$A$1421,$A147,Documents!$C$2:$C$1421,"obsolete")),"")</f>
        <v/>
      </c>
      <c r="V147" s="0" t="n">
        <f aca="false">COUNTIFS(Documents!$A$2:$A$1421,$A147)</f>
        <v>2</v>
      </c>
      <c r="W147" s="0" t="n">
        <f aca="false">COUNTIFS(Documents!$A$2:$A$1421,$A147,Documents!$R$2:$R$1421,"current")</f>
        <v>0</v>
      </c>
      <c r="X147" s="0" t="str">
        <f aca="false">HYPERLINK("https://www.neoscapesmaldives.com/wp-content/uploads/Anantara_Veli_Maldives_Factsheet_January_2023.pdf","2023_Anantara_Veli_Maldives_Factsheet_Ja")</f>
        <v>2023_Anantara_Veli_Maldives_Factsheet_Ja</v>
      </c>
      <c r="Y147" s="0" t="s">
        <v>28</v>
      </c>
    </row>
    <row r="148" customFormat="false" ht="15" hidden="false" customHeight="false" outlineLevel="0" collapsed="false">
      <c r="A148" s="0" t="n">
        <v>147</v>
      </c>
      <c r="B148" s="0" t="s">
        <v>203</v>
      </c>
      <c r="C148" s="0" t="s">
        <v>112</v>
      </c>
      <c r="D148" s="0" t="str">
        <f aca="false">IFERROR(IF(maxifs(Documents!$E$2:$E$1421,Documents!$A$2:$A$1421,$A148,Documents!$C$2:$C$1421,"factsheet")=0,"",maxifs(Documents!$E$2:$E$1421,Documents!$A$2:$A$1421,$A148,Documents!$C$2:$C$1421,"factsheet")),"")</f>
        <v/>
      </c>
      <c r="E148" s="0" t="str">
        <f aca="false">IFERROR(IF(maxifs(Documents!$E$2:$E$1421,Documents!$A$2:$A$1421,$A148,Documents!$C$2:$C$1421,"wedding")=0,"",maxifs(Documents!$E$2:$E$1421,Documents!$A$2:$A$1421,$A148,Documents!$C$2:$C$1421,"wedding")),"")</f>
        <v/>
      </c>
      <c r="F148" s="0" t="str">
        <f aca="false">IFERROR(IF(maxifs(Documents!$E$2:$E$1421,Documents!$A$2:$A$1421,$A148,Documents!$C$2:$C$1421,"events")=0,"",maxifs(Documents!$E$2:$E$1421,Documents!$A$2:$A$1421,$A148,Documents!$C$2:$C$1421,"events")),"")</f>
        <v/>
      </c>
      <c r="G148" s="0" t="str">
        <f aca="false">IFERROR(IF(maxifs(Documents!$E$2:$E$1421,Documents!$A$2:$A$1421,$A148,Documents!$C$2:$C$1421,"map")=0,"",maxifs(Documents!$E$2:$E$1421,Documents!$A$2:$A$1421,$A148,Documents!$C$2:$C$1421,"map")),"")</f>
        <v/>
      </c>
      <c r="H148" s="0" t="str">
        <f aca="false">IFERROR(IF(maxifs(Documents!$E$2:$E$1421,Documents!$A$2:$A$1421,$A148,Documents!$C$2:$C$1421,"dive_map")=0,"",maxifs(Documents!$E$2:$E$1421,Documents!$A$2:$A$1421,$A148,Documents!$C$2:$C$1421,"dive_map")),"")</f>
        <v/>
      </c>
      <c r="I148" s="0" t="str">
        <f aca="false">IFERROR(IF(maxifs(Documents!$E$2:$E$1421,Documents!$A$2:$A$1421,$A148,Documents!$C$2:$C$1421,"spa_menu")=0,"",maxifs(Documents!$E$2:$E$1421,Documents!$A$2:$A$1421,$A148,Documents!$C$2:$C$1421,"spa_menu")),"")</f>
        <v/>
      </c>
      <c r="J148" s="0" t="str">
        <f aca="false">IFERROR(IF(maxifs(Documents!$E$2:$E$1421,Documents!$A$2:$A$1421,$A148,Documents!$C$2:$C$1421,"dining_menu")=0,"",maxifs(Documents!$E$2:$E$1421,Documents!$A$2:$A$1421,$A148,Documents!$C$2:$C$1421,"dining_menu")),"")</f>
        <v/>
      </c>
      <c r="K148" s="0" t="str">
        <f aca="false">IFERROR(IF(maxifs(Documents!$E$2:$E$1421,Documents!$A$2:$A$1421,$A148,Documents!$C$2:$C$1421,"dive_prices")=0,"",maxifs(Documents!$E$2:$E$1421,Documents!$A$2:$A$1421,$A148,Documents!$C$2:$C$1421,"dive_prices")),"")</f>
        <v/>
      </c>
      <c r="L148" s="0" t="str">
        <f aca="false">IFERROR(IF(maxifs(Documents!$E$2:$E$1421,Documents!$A$2:$A$1421,$A148,Documents!$C$2:$C$1421,"excursions")=0,"",maxifs(Documents!$E$2:$E$1421,Documents!$A$2:$A$1421,$A148,Documents!$C$2:$C$1421,"excursions")),"")</f>
        <v/>
      </c>
      <c r="M148" s="0" t="str">
        <f aca="false">IFERROR(IF(maxifs(Documents!$E$2:$E$1421,Documents!$A$2:$A$1421,$A148,Documents!$C$2:$C$1421,"kids")=0,"",maxifs(Documents!$E$2:$E$1421,Documents!$A$2:$A$1421,$A148,Documents!$C$2:$C$1421,"kids")),"")</f>
        <v/>
      </c>
      <c r="N148" s="0" t="str">
        <f aca="false">IFERROR(IF(maxifs(Documents!$E$2:$E$1421,Documents!$A$2:$A$1421,$A148,Documents!$C$2:$C$1421,"villa_plans")=0,"",maxifs(Documents!$E$2:$E$1421,Documents!$A$2:$A$1421,$A148,Documents!$C$2:$C$1421,"villa_plans")),"")</f>
        <v/>
      </c>
      <c r="O148" s="0" t="str">
        <f aca="false">IFERROR(IF(maxifs(Documents!$E$2:$E$1421,Documents!$A$2:$A$1421,$A148,Documents!$C$2:$C$1421,"all_inclusive")=0,"",maxifs(Documents!$E$2:$E$1421,Documents!$A$2:$A$1421,$A148,Documents!$C$2:$C$1421,"all_inclusive")),"")</f>
        <v/>
      </c>
      <c r="P148" s="0" t="str">
        <f aca="false">IFERROR(IF(maxifs(Documents!$E$2:$E$1421,Documents!$A$2:$A$1421,$A148,Documents!$C$2:$C$1421,"sustainability")=0,"",maxifs(Documents!$E$2:$E$1421,Documents!$A$2:$A$1421,$A148,Documents!$C$2:$C$1421,"sustainability")),"")</f>
        <v/>
      </c>
      <c r="Q148" s="0" t="str">
        <f aca="false">IFERROR(IF(maxifs(Documents!$E$2:$E$1421,Documents!$A$2:$A$1421,$A148,Documents!$C$2:$C$1421,"calendar")=0,"",maxifs(Documents!$E$2:$E$1421,Documents!$A$2:$A$1421,$A148,Documents!$C$2:$C$1421,"calendar")),"")</f>
        <v/>
      </c>
      <c r="R148" s="0" t="str">
        <f aca="false">IFERROR(IF(maxifs(Documents!$E$2:$E$1421,Documents!$A$2:$A$1421,$A148,Documents!$C$2:$C$1421,"brochure")=0,"",maxifs(Documents!$E$2:$E$1421,Documents!$A$2:$A$1421,$A148,Documents!$C$2:$C$1421,"brochure")),"")</f>
        <v/>
      </c>
      <c r="S148" s="0" t="str">
        <f aca="false">IFERROR(IF(maxifs(Documents!$E$2:$E$1421,Documents!$A$2:$A$1421,$A148,Documents!$C$2:$C$1421,"press_kit")=0,"",maxifs(Documents!$E$2:$E$1421,Documents!$A$2:$A$1421,$A148,Documents!$C$2:$C$1421,"press_kit")),"")</f>
        <v/>
      </c>
      <c r="T148" s="0" t="str">
        <f aca="false">IFERROR(IF(maxifs(Documents!$E$2:$E$1421,Documents!$A$2:$A$1421,$A148,Documents!$C$2:$C$1421,"other")=0,"",maxifs(Documents!$E$2:$E$1421,Documents!$A$2:$A$1421,$A148,Documents!$C$2:$C$1421,"other")),"")</f>
        <v/>
      </c>
      <c r="U148" s="0" t="str">
        <f aca="false">IFERROR(IF(maxifs(Documents!$E$2:$E$1421,Documents!$A$2:$A$1421,$A148,Documents!$C$2:$C$1421,"obsolete")=0,"",maxifs(Documents!$E$2:$E$1421,Documents!$A$2:$A$1421,$A148,Documents!$C$2:$C$1421,"obsolete")),"")</f>
        <v/>
      </c>
      <c r="V148" s="0" t="n">
        <f aca="false">COUNTIFS(Documents!$A$2:$A$1421,$A148)</f>
        <v>2</v>
      </c>
      <c r="W148" s="0" t="n">
        <f aca="false">COUNTIFS(Documents!$A$2:$A$1421,$A148,Documents!$R$2:$R$1421,"current")</f>
        <v>0</v>
      </c>
      <c r="X148" s="0" t="str">
        <f aca="false">HYPERLINK("https://www.neoscapesmaldives.com/wp-content/uploads/Fact-Sheet-2019.pdf","2019_Fact-Sheet-2019.pdf")</f>
        <v>2019_Fact-Sheet-2019.pdf</v>
      </c>
      <c r="Y148" s="0" t="s">
        <v>28</v>
      </c>
    </row>
    <row r="149" customFormat="false" ht="15" hidden="false" customHeight="false" outlineLevel="0" collapsed="false">
      <c r="A149" s="0" t="n">
        <v>148</v>
      </c>
      <c r="B149" s="0" t="s">
        <v>204</v>
      </c>
      <c r="C149" s="0" t="s">
        <v>112</v>
      </c>
      <c r="D149" s="0" t="str">
        <f aca="false">IFERROR(IF(maxifs(Documents!$E$2:$E$1421,Documents!$A$2:$A$1421,$A149,Documents!$C$2:$C$1421,"factsheet")=0,"",maxifs(Documents!$E$2:$E$1421,Documents!$A$2:$A$1421,$A149,Documents!$C$2:$C$1421,"factsheet")),"")</f>
        <v/>
      </c>
      <c r="E149" s="0" t="str">
        <f aca="false">IFERROR(IF(maxifs(Documents!$E$2:$E$1421,Documents!$A$2:$A$1421,$A149,Documents!$C$2:$C$1421,"wedding")=0,"",maxifs(Documents!$E$2:$E$1421,Documents!$A$2:$A$1421,$A149,Documents!$C$2:$C$1421,"wedding")),"")</f>
        <v/>
      </c>
      <c r="F149" s="0" t="str">
        <f aca="false">IFERROR(IF(maxifs(Documents!$E$2:$E$1421,Documents!$A$2:$A$1421,$A149,Documents!$C$2:$C$1421,"events")=0,"",maxifs(Documents!$E$2:$E$1421,Documents!$A$2:$A$1421,$A149,Documents!$C$2:$C$1421,"events")),"")</f>
        <v/>
      </c>
      <c r="G149" s="0" t="str">
        <f aca="false">IFERROR(IF(maxifs(Documents!$E$2:$E$1421,Documents!$A$2:$A$1421,$A149,Documents!$C$2:$C$1421,"map")=0,"",maxifs(Documents!$E$2:$E$1421,Documents!$A$2:$A$1421,$A149,Documents!$C$2:$C$1421,"map")),"")</f>
        <v/>
      </c>
      <c r="H149" s="0" t="str">
        <f aca="false">IFERROR(IF(maxifs(Documents!$E$2:$E$1421,Documents!$A$2:$A$1421,$A149,Documents!$C$2:$C$1421,"dive_map")=0,"",maxifs(Documents!$E$2:$E$1421,Documents!$A$2:$A$1421,$A149,Documents!$C$2:$C$1421,"dive_map")),"")</f>
        <v/>
      </c>
      <c r="I149" s="0" t="str">
        <f aca="false">IFERROR(IF(maxifs(Documents!$E$2:$E$1421,Documents!$A$2:$A$1421,$A149,Documents!$C$2:$C$1421,"spa_menu")=0,"",maxifs(Documents!$E$2:$E$1421,Documents!$A$2:$A$1421,$A149,Documents!$C$2:$C$1421,"spa_menu")),"")</f>
        <v/>
      </c>
      <c r="J149" s="0" t="str">
        <f aca="false">IFERROR(IF(maxifs(Documents!$E$2:$E$1421,Documents!$A$2:$A$1421,$A149,Documents!$C$2:$C$1421,"dining_menu")=0,"",maxifs(Documents!$E$2:$E$1421,Documents!$A$2:$A$1421,$A149,Documents!$C$2:$C$1421,"dining_menu")),"")</f>
        <v/>
      </c>
      <c r="K149" s="0" t="str">
        <f aca="false">IFERROR(IF(maxifs(Documents!$E$2:$E$1421,Documents!$A$2:$A$1421,$A149,Documents!$C$2:$C$1421,"dive_prices")=0,"",maxifs(Documents!$E$2:$E$1421,Documents!$A$2:$A$1421,$A149,Documents!$C$2:$C$1421,"dive_prices")),"")</f>
        <v/>
      </c>
      <c r="L149" s="0" t="str">
        <f aca="false">IFERROR(IF(maxifs(Documents!$E$2:$E$1421,Documents!$A$2:$A$1421,$A149,Documents!$C$2:$C$1421,"excursions")=0,"",maxifs(Documents!$E$2:$E$1421,Documents!$A$2:$A$1421,$A149,Documents!$C$2:$C$1421,"excursions")),"")</f>
        <v/>
      </c>
      <c r="M149" s="0" t="str">
        <f aca="false">IFERROR(IF(maxifs(Documents!$E$2:$E$1421,Documents!$A$2:$A$1421,$A149,Documents!$C$2:$C$1421,"kids")=0,"",maxifs(Documents!$E$2:$E$1421,Documents!$A$2:$A$1421,$A149,Documents!$C$2:$C$1421,"kids")),"")</f>
        <v/>
      </c>
      <c r="N149" s="0" t="str">
        <f aca="false">IFERROR(IF(maxifs(Documents!$E$2:$E$1421,Documents!$A$2:$A$1421,$A149,Documents!$C$2:$C$1421,"villa_plans")=0,"",maxifs(Documents!$E$2:$E$1421,Documents!$A$2:$A$1421,$A149,Documents!$C$2:$C$1421,"villa_plans")),"")</f>
        <v/>
      </c>
      <c r="O149" s="0" t="str">
        <f aca="false">IFERROR(IF(maxifs(Documents!$E$2:$E$1421,Documents!$A$2:$A$1421,$A149,Documents!$C$2:$C$1421,"all_inclusive")=0,"",maxifs(Documents!$E$2:$E$1421,Documents!$A$2:$A$1421,$A149,Documents!$C$2:$C$1421,"all_inclusive")),"")</f>
        <v/>
      </c>
      <c r="P149" s="0" t="str">
        <f aca="false">IFERROR(IF(maxifs(Documents!$E$2:$E$1421,Documents!$A$2:$A$1421,$A149,Documents!$C$2:$C$1421,"sustainability")=0,"",maxifs(Documents!$E$2:$E$1421,Documents!$A$2:$A$1421,$A149,Documents!$C$2:$C$1421,"sustainability")),"")</f>
        <v/>
      </c>
      <c r="Q149" s="0" t="str">
        <f aca="false">IFERROR(IF(maxifs(Documents!$E$2:$E$1421,Documents!$A$2:$A$1421,$A149,Documents!$C$2:$C$1421,"calendar")=0,"",maxifs(Documents!$E$2:$E$1421,Documents!$A$2:$A$1421,$A149,Documents!$C$2:$C$1421,"calendar")),"")</f>
        <v/>
      </c>
      <c r="R149" s="0" t="str">
        <f aca="false">IFERROR(IF(maxifs(Documents!$E$2:$E$1421,Documents!$A$2:$A$1421,$A149,Documents!$C$2:$C$1421,"brochure")=0,"",maxifs(Documents!$E$2:$E$1421,Documents!$A$2:$A$1421,$A149,Documents!$C$2:$C$1421,"brochure")),"")</f>
        <v/>
      </c>
      <c r="S149" s="0" t="str">
        <f aca="false">IFERROR(IF(maxifs(Documents!$E$2:$E$1421,Documents!$A$2:$A$1421,$A149,Documents!$C$2:$C$1421,"press_kit")=0,"",maxifs(Documents!$E$2:$E$1421,Documents!$A$2:$A$1421,$A149,Documents!$C$2:$C$1421,"press_kit")),"")</f>
        <v/>
      </c>
      <c r="T149" s="0" t="str">
        <f aca="false">IFERROR(IF(maxifs(Documents!$E$2:$E$1421,Documents!$A$2:$A$1421,$A149,Documents!$C$2:$C$1421,"other")=0,"",maxifs(Documents!$E$2:$E$1421,Documents!$A$2:$A$1421,$A149,Documents!$C$2:$C$1421,"other")),"")</f>
        <v/>
      </c>
      <c r="U149" s="0" t="str">
        <f aca="false">IFERROR(IF(maxifs(Documents!$E$2:$E$1421,Documents!$A$2:$A$1421,$A149,Documents!$C$2:$C$1421,"obsolete")=0,"",maxifs(Documents!$E$2:$E$1421,Documents!$A$2:$A$1421,$A149,Documents!$C$2:$C$1421,"obsolete")),"")</f>
        <v/>
      </c>
      <c r="V149" s="0" t="n">
        <f aca="false">COUNTIFS(Documents!$A$2:$A$1421,$A149)</f>
        <v>9</v>
      </c>
      <c r="W149" s="0" t="n">
        <f aca="false">COUNTIFS(Documents!$A$2:$A$1421,$A149,Documents!$R$2:$R$1421,"current")</f>
        <v>4</v>
      </c>
      <c r="X149" s="0" t="str">
        <f aca="false">HYPERLINK("https://www.neoscapesmaldives.com/wp-content/uploads/TSSI-Factsheet.pdf","2019_TSSI-Factsheet.pdf")</f>
        <v>2019_TSSI-Factsheet.pdf</v>
      </c>
      <c r="Y149" s="0" t="s">
        <v>28</v>
      </c>
      <c r="Z149" s="0" t="s">
        <v>205</v>
      </c>
    </row>
    <row r="150" customFormat="false" ht="15" hidden="false" customHeight="false" outlineLevel="0" collapsed="false">
      <c r="A150" s="0" t="n">
        <v>149</v>
      </c>
      <c r="B150" s="0" t="s">
        <v>206</v>
      </c>
      <c r="C150" s="0" t="s">
        <v>112</v>
      </c>
      <c r="D150" s="0" t="str">
        <f aca="false">IFERROR(IF(maxifs(Documents!$E$2:$E$1421,Documents!$A$2:$A$1421,$A150,Documents!$C$2:$C$1421,"factsheet")=0,"",maxifs(Documents!$E$2:$E$1421,Documents!$A$2:$A$1421,$A150,Documents!$C$2:$C$1421,"factsheet")),"")</f>
        <v/>
      </c>
      <c r="E150" s="0" t="str">
        <f aca="false">IFERROR(IF(maxifs(Documents!$E$2:$E$1421,Documents!$A$2:$A$1421,$A150,Documents!$C$2:$C$1421,"wedding")=0,"",maxifs(Documents!$E$2:$E$1421,Documents!$A$2:$A$1421,$A150,Documents!$C$2:$C$1421,"wedding")),"")</f>
        <v/>
      </c>
      <c r="F150" s="0" t="str">
        <f aca="false">IFERROR(IF(maxifs(Documents!$E$2:$E$1421,Documents!$A$2:$A$1421,$A150,Documents!$C$2:$C$1421,"events")=0,"",maxifs(Documents!$E$2:$E$1421,Documents!$A$2:$A$1421,$A150,Documents!$C$2:$C$1421,"events")),"")</f>
        <v/>
      </c>
      <c r="G150" s="0" t="str">
        <f aca="false">IFERROR(IF(maxifs(Documents!$E$2:$E$1421,Documents!$A$2:$A$1421,$A150,Documents!$C$2:$C$1421,"map")=0,"",maxifs(Documents!$E$2:$E$1421,Documents!$A$2:$A$1421,$A150,Documents!$C$2:$C$1421,"map")),"")</f>
        <v/>
      </c>
      <c r="H150" s="0" t="str">
        <f aca="false">IFERROR(IF(maxifs(Documents!$E$2:$E$1421,Documents!$A$2:$A$1421,$A150,Documents!$C$2:$C$1421,"dive_map")=0,"",maxifs(Documents!$E$2:$E$1421,Documents!$A$2:$A$1421,$A150,Documents!$C$2:$C$1421,"dive_map")),"")</f>
        <v/>
      </c>
      <c r="I150" s="0" t="str">
        <f aca="false">IFERROR(IF(maxifs(Documents!$E$2:$E$1421,Documents!$A$2:$A$1421,$A150,Documents!$C$2:$C$1421,"spa_menu")=0,"",maxifs(Documents!$E$2:$E$1421,Documents!$A$2:$A$1421,$A150,Documents!$C$2:$C$1421,"spa_menu")),"")</f>
        <v/>
      </c>
      <c r="J150" s="0" t="str">
        <f aca="false">IFERROR(IF(maxifs(Documents!$E$2:$E$1421,Documents!$A$2:$A$1421,$A150,Documents!$C$2:$C$1421,"dining_menu")=0,"",maxifs(Documents!$E$2:$E$1421,Documents!$A$2:$A$1421,$A150,Documents!$C$2:$C$1421,"dining_menu")),"")</f>
        <v/>
      </c>
      <c r="K150" s="0" t="str">
        <f aca="false">IFERROR(IF(maxifs(Documents!$E$2:$E$1421,Documents!$A$2:$A$1421,$A150,Documents!$C$2:$C$1421,"dive_prices")=0,"",maxifs(Documents!$E$2:$E$1421,Documents!$A$2:$A$1421,$A150,Documents!$C$2:$C$1421,"dive_prices")),"")</f>
        <v/>
      </c>
      <c r="L150" s="0" t="str">
        <f aca="false">IFERROR(IF(maxifs(Documents!$E$2:$E$1421,Documents!$A$2:$A$1421,$A150,Documents!$C$2:$C$1421,"excursions")=0,"",maxifs(Documents!$E$2:$E$1421,Documents!$A$2:$A$1421,$A150,Documents!$C$2:$C$1421,"excursions")),"")</f>
        <v/>
      </c>
      <c r="M150" s="0" t="str">
        <f aca="false">IFERROR(IF(maxifs(Documents!$E$2:$E$1421,Documents!$A$2:$A$1421,$A150,Documents!$C$2:$C$1421,"kids")=0,"",maxifs(Documents!$E$2:$E$1421,Documents!$A$2:$A$1421,$A150,Documents!$C$2:$C$1421,"kids")),"")</f>
        <v/>
      </c>
      <c r="N150" s="0" t="str">
        <f aca="false">IFERROR(IF(maxifs(Documents!$E$2:$E$1421,Documents!$A$2:$A$1421,$A150,Documents!$C$2:$C$1421,"villa_plans")=0,"",maxifs(Documents!$E$2:$E$1421,Documents!$A$2:$A$1421,$A150,Documents!$C$2:$C$1421,"villa_plans")),"")</f>
        <v/>
      </c>
      <c r="O150" s="0" t="str">
        <f aca="false">IFERROR(IF(maxifs(Documents!$E$2:$E$1421,Documents!$A$2:$A$1421,$A150,Documents!$C$2:$C$1421,"all_inclusive")=0,"",maxifs(Documents!$E$2:$E$1421,Documents!$A$2:$A$1421,$A150,Documents!$C$2:$C$1421,"all_inclusive")),"")</f>
        <v/>
      </c>
      <c r="P150" s="0" t="str">
        <f aca="false">IFERROR(IF(maxifs(Documents!$E$2:$E$1421,Documents!$A$2:$A$1421,$A150,Documents!$C$2:$C$1421,"sustainability")=0,"",maxifs(Documents!$E$2:$E$1421,Documents!$A$2:$A$1421,$A150,Documents!$C$2:$C$1421,"sustainability")),"")</f>
        <v/>
      </c>
      <c r="Q150" s="0" t="str">
        <f aca="false">IFERROR(IF(maxifs(Documents!$E$2:$E$1421,Documents!$A$2:$A$1421,$A150,Documents!$C$2:$C$1421,"calendar")=0,"",maxifs(Documents!$E$2:$E$1421,Documents!$A$2:$A$1421,$A150,Documents!$C$2:$C$1421,"calendar")),"")</f>
        <v/>
      </c>
      <c r="R150" s="0" t="str">
        <f aca="false">IFERROR(IF(maxifs(Documents!$E$2:$E$1421,Documents!$A$2:$A$1421,$A150,Documents!$C$2:$C$1421,"brochure")=0,"",maxifs(Documents!$E$2:$E$1421,Documents!$A$2:$A$1421,$A150,Documents!$C$2:$C$1421,"brochure")),"")</f>
        <v/>
      </c>
      <c r="S150" s="0" t="str">
        <f aca="false">IFERROR(IF(maxifs(Documents!$E$2:$E$1421,Documents!$A$2:$A$1421,$A150,Documents!$C$2:$C$1421,"press_kit")=0,"",maxifs(Documents!$E$2:$E$1421,Documents!$A$2:$A$1421,$A150,Documents!$C$2:$C$1421,"press_kit")),"")</f>
        <v/>
      </c>
      <c r="T150" s="0" t="str">
        <f aca="false">IFERROR(IF(maxifs(Documents!$E$2:$E$1421,Documents!$A$2:$A$1421,$A150,Documents!$C$2:$C$1421,"other")=0,"",maxifs(Documents!$E$2:$E$1421,Documents!$A$2:$A$1421,$A150,Documents!$C$2:$C$1421,"other")),"")</f>
        <v/>
      </c>
      <c r="U150" s="0" t="str">
        <f aca="false">IFERROR(IF(maxifs(Documents!$E$2:$E$1421,Documents!$A$2:$A$1421,$A150,Documents!$C$2:$C$1421,"obsolete")=0,"",maxifs(Documents!$E$2:$E$1421,Documents!$A$2:$A$1421,$A150,Documents!$C$2:$C$1421,"obsolete")),"")</f>
        <v/>
      </c>
      <c r="V150" s="0" t="n">
        <f aca="false">COUNTIFS(Documents!$A$2:$A$1421,$A150)</f>
        <v>0</v>
      </c>
      <c r="W150" s="0" t="n">
        <f aca="false">COUNTIFS(Documents!$A$2:$A$1421,$A150,Documents!$R$2:$R$1421,"current")</f>
        <v>0</v>
      </c>
      <c r="Y150" s="0" t="s">
        <v>31</v>
      </c>
    </row>
    <row r="151" customFormat="false" ht="15" hidden="false" customHeight="false" outlineLevel="0" collapsed="false">
      <c r="A151" s="0" t="n">
        <v>150</v>
      </c>
      <c r="B151" s="0" t="s">
        <v>207</v>
      </c>
      <c r="C151" s="0" t="s">
        <v>112</v>
      </c>
      <c r="D151" s="0" t="str">
        <f aca="false">IFERROR(IF(maxifs(Documents!$E$2:$E$1421,Documents!$A$2:$A$1421,$A151,Documents!$C$2:$C$1421,"factsheet")=0,"",maxifs(Documents!$E$2:$E$1421,Documents!$A$2:$A$1421,$A151,Documents!$C$2:$C$1421,"factsheet")),"")</f>
        <v/>
      </c>
      <c r="E151" s="0" t="str">
        <f aca="false">IFERROR(IF(maxifs(Documents!$E$2:$E$1421,Documents!$A$2:$A$1421,$A151,Documents!$C$2:$C$1421,"wedding")=0,"",maxifs(Documents!$E$2:$E$1421,Documents!$A$2:$A$1421,$A151,Documents!$C$2:$C$1421,"wedding")),"")</f>
        <v/>
      </c>
      <c r="F151" s="0" t="str">
        <f aca="false">IFERROR(IF(maxifs(Documents!$E$2:$E$1421,Documents!$A$2:$A$1421,$A151,Documents!$C$2:$C$1421,"events")=0,"",maxifs(Documents!$E$2:$E$1421,Documents!$A$2:$A$1421,$A151,Documents!$C$2:$C$1421,"events")),"")</f>
        <v/>
      </c>
      <c r="G151" s="0" t="str">
        <f aca="false">IFERROR(IF(maxifs(Documents!$E$2:$E$1421,Documents!$A$2:$A$1421,$A151,Documents!$C$2:$C$1421,"map")=0,"",maxifs(Documents!$E$2:$E$1421,Documents!$A$2:$A$1421,$A151,Documents!$C$2:$C$1421,"map")),"")</f>
        <v/>
      </c>
      <c r="H151" s="0" t="str">
        <f aca="false">IFERROR(IF(maxifs(Documents!$E$2:$E$1421,Documents!$A$2:$A$1421,$A151,Documents!$C$2:$C$1421,"dive_map")=0,"",maxifs(Documents!$E$2:$E$1421,Documents!$A$2:$A$1421,$A151,Documents!$C$2:$C$1421,"dive_map")),"")</f>
        <v/>
      </c>
      <c r="I151" s="0" t="str">
        <f aca="false">IFERROR(IF(maxifs(Documents!$E$2:$E$1421,Documents!$A$2:$A$1421,$A151,Documents!$C$2:$C$1421,"spa_menu")=0,"",maxifs(Documents!$E$2:$E$1421,Documents!$A$2:$A$1421,$A151,Documents!$C$2:$C$1421,"spa_menu")),"")</f>
        <v/>
      </c>
      <c r="J151" s="0" t="str">
        <f aca="false">IFERROR(IF(maxifs(Documents!$E$2:$E$1421,Documents!$A$2:$A$1421,$A151,Documents!$C$2:$C$1421,"dining_menu")=0,"",maxifs(Documents!$E$2:$E$1421,Documents!$A$2:$A$1421,$A151,Documents!$C$2:$C$1421,"dining_menu")),"")</f>
        <v/>
      </c>
      <c r="K151" s="0" t="str">
        <f aca="false">IFERROR(IF(maxifs(Documents!$E$2:$E$1421,Documents!$A$2:$A$1421,$A151,Documents!$C$2:$C$1421,"dive_prices")=0,"",maxifs(Documents!$E$2:$E$1421,Documents!$A$2:$A$1421,$A151,Documents!$C$2:$C$1421,"dive_prices")),"")</f>
        <v/>
      </c>
      <c r="L151" s="0" t="str">
        <f aca="false">IFERROR(IF(maxifs(Documents!$E$2:$E$1421,Documents!$A$2:$A$1421,$A151,Documents!$C$2:$C$1421,"excursions")=0,"",maxifs(Documents!$E$2:$E$1421,Documents!$A$2:$A$1421,$A151,Documents!$C$2:$C$1421,"excursions")),"")</f>
        <v/>
      </c>
      <c r="M151" s="0" t="str">
        <f aca="false">IFERROR(IF(maxifs(Documents!$E$2:$E$1421,Documents!$A$2:$A$1421,$A151,Documents!$C$2:$C$1421,"kids")=0,"",maxifs(Documents!$E$2:$E$1421,Documents!$A$2:$A$1421,$A151,Documents!$C$2:$C$1421,"kids")),"")</f>
        <v/>
      </c>
      <c r="N151" s="0" t="str">
        <f aca="false">IFERROR(IF(maxifs(Documents!$E$2:$E$1421,Documents!$A$2:$A$1421,$A151,Documents!$C$2:$C$1421,"villa_plans")=0,"",maxifs(Documents!$E$2:$E$1421,Documents!$A$2:$A$1421,$A151,Documents!$C$2:$C$1421,"villa_plans")),"")</f>
        <v/>
      </c>
      <c r="O151" s="0" t="str">
        <f aca="false">IFERROR(IF(maxifs(Documents!$E$2:$E$1421,Documents!$A$2:$A$1421,$A151,Documents!$C$2:$C$1421,"all_inclusive")=0,"",maxifs(Documents!$E$2:$E$1421,Documents!$A$2:$A$1421,$A151,Documents!$C$2:$C$1421,"all_inclusive")),"")</f>
        <v/>
      </c>
      <c r="P151" s="0" t="str">
        <f aca="false">IFERROR(IF(maxifs(Documents!$E$2:$E$1421,Documents!$A$2:$A$1421,$A151,Documents!$C$2:$C$1421,"sustainability")=0,"",maxifs(Documents!$E$2:$E$1421,Documents!$A$2:$A$1421,$A151,Documents!$C$2:$C$1421,"sustainability")),"")</f>
        <v/>
      </c>
      <c r="Q151" s="0" t="str">
        <f aca="false">IFERROR(IF(maxifs(Documents!$E$2:$E$1421,Documents!$A$2:$A$1421,$A151,Documents!$C$2:$C$1421,"calendar")=0,"",maxifs(Documents!$E$2:$E$1421,Documents!$A$2:$A$1421,$A151,Documents!$C$2:$C$1421,"calendar")),"")</f>
        <v/>
      </c>
      <c r="R151" s="0" t="str">
        <f aca="false">IFERROR(IF(maxifs(Documents!$E$2:$E$1421,Documents!$A$2:$A$1421,$A151,Documents!$C$2:$C$1421,"brochure")=0,"",maxifs(Documents!$E$2:$E$1421,Documents!$A$2:$A$1421,$A151,Documents!$C$2:$C$1421,"brochure")),"")</f>
        <v/>
      </c>
      <c r="S151" s="0" t="str">
        <f aca="false">IFERROR(IF(maxifs(Documents!$E$2:$E$1421,Documents!$A$2:$A$1421,$A151,Documents!$C$2:$C$1421,"press_kit")=0,"",maxifs(Documents!$E$2:$E$1421,Documents!$A$2:$A$1421,$A151,Documents!$C$2:$C$1421,"press_kit")),"")</f>
        <v/>
      </c>
      <c r="T151" s="0" t="str">
        <f aca="false">IFERROR(IF(maxifs(Documents!$E$2:$E$1421,Documents!$A$2:$A$1421,$A151,Documents!$C$2:$C$1421,"other")=0,"",maxifs(Documents!$E$2:$E$1421,Documents!$A$2:$A$1421,$A151,Documents!$C$2:$C$1421,"other")),"")</f>
        <v/>
      </c>
      <c r="U151" s="0" t="str">
        <f aca="false">IFERROR(IF(maxifs(Documents!$E$2:$E$1421,Documents!$A$2:$A$1421,$A151,Documents!$C$2:$C$1421,"obsolete")=0,"",maxifs(Documents!$E$2:$E$1421,Documents!$A$2:$A$1421,$A151,Documents!$C$2:$C$1421,"obsolete")),"")</f>
        <v/>
      </c>
      <c r="V151" s="0" t="n">
        <f aca="false">COUNTIFS(Documents!$A$2:$A$1421,$A151)</f>
        <v>2</v>
      </c>
      <c r="W151" s="0" t="n">
        <f aca="false">COUNTIFS(Documents!$A$2:$A$1421,$A151,Documents!$R$2:$R$1421,"current")</f>
        <v>1</v>
      </c>
      <c r="X151" s="0" t="str">
        <f aca="false">HYPERLINK("https://www.neoscapesmaldives.com/wp-content/uploads/02.-Coco-Bodu-Hithi-Factsheet.pdf","2020_02.-Coco-Bodu-Hithi-Factsheet.pdf")</f>
        <v>2020_02.-Coco-Bodu-Hithi-Factsheet.pdf</v>
      </c>
      <c r="Y151" s="0" t="s">
        <v>28</v>
      </c>
    </row>
    <row r="152" customFormat="false" ht="15" hidden="false" customHeight="false" outlineLevel="0" collapsed="false">
      <c r="A152" s="0" t="n">
        <v>151</v>
      </c>
      <c r="B152" s="0" t="s">
        <v>208</v>
      </c>
      <c r="C152" s="0" t="s">
        <v>112</v>
      </c>
      <c r="D152" s="0" t="str">
        <f aca="false">IFERROR(IF(maxifs(Documents!$E$2:$E$1421,Documents!$A$2:$A$1421,$A152,Documents!$C$2:$C$1421,"factsheet")=0,"",maxifs(Documents!$E$2:$E$1421,Documents!$A$2:$A$1421,$A152,Documents!$C$2:$C$1421,"factsheet")),"")</f>
        <v/>
      </c>
      <c r="E152" s="0" t="str">
        <f aca="false">IFERROR(IF(maxifs(Documents!$E$2:$E$1421,Documents!$A$2:$A$1421,$A152,Documents!$C$2:$C$1421,"wedding")=0,"",maxifs(Documents!$E$2:$E$1421,Documents!$A$2:$A$1421,$A152,Documents!$C$2:$C$1421,"wedding")),"")</f>
        <v/>
      </c>
      <c r="F152" s="0" t="str">
        <f aca="false">IFERROR(IF(maxifs(Documents!$E$2:$E$1421,Documents!$A$2:$A$1421,$A152,Documents!$C$2:$C$1421,"events")=0,"",maxifs(Documents!$E$2:$E$1421,Documents!$A$2:$A$1421,$A152,Documents!$C$2:$C$1421,"events")),"")</f>
        <v/>
      </c>
      <c r="G152" s="0" t="str">
        <f aca="false">IFERROR(IF(maxifs(Documents!$E$2:$E$1421,Documents!$A$2:$A$1421,$A152,Documents!$C$2:$C$1421,"map")=0,"",maxifs(Documents!$E$2:$E$1421,Documents!$A$2:$A$1421,$A152,Documents!$C$2:$C$1421,"map")),"")</f>
        <v/>
      </c>
      <c r="H152" s="0" t="str">
        <f aca="false">IFERROR(IF(maxifs(Documents!$E$2:$E$1421,Documents!$A$2:$A$1421,$A152,Documents!$C$2:$C$1421,"dive_map")=0,"",maxifs(Documents!$E$2:$E$1421,Documents!$A$2:$A$1421,$A152,Documents!$C$2:$C$1421,"dive_map")),"")</f>
        <v/>
      </c>
      <c r="I152" s="0" t="str">
        <f aca="false">IFERROR(IF(maxifs(Documents!$E$2:$E$1421,Documents!$A$2:$A$1421,$A152,Documents!$C$2:$C$1421,"spa_menu")=0,"",maxifs(Documents!$E$2:$E$1421,Documents!$A$2:$A$1421,$A152,Documents!$C$2:$C$1421,"spa_menu")),"")</f>
        <v/>
      </c>
      <c r="J152" s="0" t="str">
        <f aca="false">IFERROR(IF(maxifs(Documents!$E$2:$E$1421,Documents!$A$2:$A$1421,$A152,Documents!$C$2:$C$1421,"dining_menu")=0,"",maxifs(Documents!$E$2:$E$1421,Documents!$A$2:$A$1421,$A152,Documents!$C$2:$C$1421,"dining_menu")),"")</f>
        <v/>
      </c>
      <c r="K152" s="0" t="str">
        <f aca="false">IFERROR(IF(maxifs(Documents!$E$2:$E$1421,Documents!$A$2:$A$1421,$A152,Documents!$C$2:$C$1421,"dive_prices")=0,"",maxifs(Documents!$E$2:$E$1421,Documents!$A$2:$A$1421,$A152,Documents!$C$2:$C$1421,"dive_prices")),"")</f>
        <v/>
      </c>
      <c r="L152" s="0" t="str">
        <f aca="false">IFERROR(IF(maxifs(Documents!$E$2:$E$1421,Documents!$A$2:$A$1421,$A152,Documents!$C$2:$C$1421,"excursions")=0,"",maxifs(Documents!$E$2:$E$1421,Documents!$A$2:$A$1421,$A152,Documents!$C$2:$C$1421,"excursions")),"")</f>
        <v/>
      </c>
      <c r="M152" s="0" t="str">
        <f aca="false">IFERROR(IF(maxifs(Documents!$E$2:$E$1421,Documents!$A$2:$A$1421,$A152,Documents!$C$2:$C$1421,"kids")=0,"",maxifs(Documents!$E$2:$E$1421,Documents!$A$2:$A$1421,$A152,Documents!$C$2:$C$1421,"kids")),"")</f>
        <v/>
      </c>
      <c r="N152" s="0" t="str">
        <f aca="false">IFERROR(IF(maxifs(Documents!$E$2:$E$1421,Documents!$A$2:$A$1421,$A152,Documents!$C$2:$C$1421,"villa_plans")=0,"",maxifs(Documents!$E$2:$E$1421,Documents!$A$2:$A$1421,$A152,Documents!$C$2:$C$1421,"villa_plans")),"")</f>
        <v/>
      </c>
      <c r="O152" s="0" t="str">
        <f aca="false">IFERROR(IF(maxifs(Documents!$E$2:$E$1421,Documents!$A$2:$A$1421,$A152,Documents!$C$2:$C$1421,"all_inclusive")=0,"",maxifs(Documents!$E$2:$E$1421,Documents!$A$2:$A$1421,$A152,Documents!$C$2:$C$1421,"all_inclusive")),"")</f>
        <v/>
      </c>
      <c r="P152" s="0" t="str">
        <f aca="false">IFERROR(IF(maxifs(Documents!$E$2:$E$1421,Documents!$A$2:$A$1421,$A152,Documents!$C$2:$C$1421,"sustainability")=0,"",maxifs(Documents!$E$2:$E$1421,Documents!$A$2:$A$1421,$A152,Documents!$C$2:$C$1421,"sustainability")),"")</f>
        <v/>
      </c>
      <c r="Q152" s="0" t="str">
        <f aca="false">IFERROR(IF(maxifs(Documents!$E$2:$E$1421,Documents!$A$2:$A$1421,$A152,Documents!$C$2:$C$1421,"calendar")=0,"",maxifs(Documents!$E$2:$E$1421,Documents!$A$2:$A$1421,$A152,Documents!$C$2:$C$1421,"calendar")),"")</f>
        <v/>
      </c>
      <c r="R152" s="0" t="str">
        <f aca="false">IFERROR(IF(maxifs(Documents!$E$2:$E$1421,Documents!$A$2:$A$1421,$A152,Documents!$C$2:$C$1421,"brochure")=0,"",maxifs(Documents!$E$2:$E$1421,Documents!$A$2:$A$1421,$A152,Documents!$C$2:$C$1421,"brochure")),"")</f>
        <v/>
      </c>
      <c r="S152" s="0" t="str">
        <f aca="false">IFERROR(IF(maxifs(Documents!$E$2:$E$1421,Documents!$A$2:$A$1421,$A152,Documents!$C$2:$C$1421,"press_kit")=0,"",maxifs(Documents!$E$2:$E$1421,Documents!$A$2:$A$1421,$A152,Documents!$C$2:$C$1421,"press_kit")),"")</f>
        <v/>
      </c>
      <c r="T152" s="0" t="str">
        <f aca="false">IFERROR(IF(maxifs(Documents!$E$2:$E$1421,Documents!$A$2:$A$1421,$A152,Documents!$C$2:$C$1421,"other")=0,"",maxifs(Documents!$E$2:$E$1421,Documents!$A$2:$A$1421,$A152,Documents!$C$2:$C$1421,"other")),"")</f>
        <v/>
      </c>
      <c r="U152" s="0" t="str">
        <f aca="false">IFERROR(IF(maxifs(Documents!$E$2:$E$1421,Documents!$A$2:$A$1421,$A152,Documents!$C$2:$C$1421,"obsolete")=0,"",maxifs(Documents!$E$2:$E$1421,Documents!$A$2:$A$1421,$A152,Documents!$C$2:$C$1421,"obsolete")),"")</f>
        <v/>
      </c>
      <c r="V152" s="0" t="n">
        <f aca="false">COUNTIFS(Documents!$A$2:$A$1421,$A152)</f>
        <v>0</v>
      </c>
      <c r="W152" s="0" t="n">
        <f aca="false">COUNTIFS(Documents!$A$2:$A$1421,$A152,Documents!$R$2:$R$1421,"current")</f>
        <v>0</v>
      </c>
      <c r="Y152" s="0" t="s">
        <v>31</v>
      </c>
    </row>
    <row r="153" customFormat="false" ht="15" hidden="false" customHeight="false" outlineLevel="0" collapsed="false">
      <c r="A153" s="0" t="n">
        <v>152</v>
      </c>
      <c r="B153" s="0" t="s">
        <v>209</v>
      </c>
      <c r="C153" s="0" t="s">
        <v>112</v>
      </c>
      <c r="D153" s="0" t="str">
        <f aca="false">IFERROR(IF(maxifs(Documents!$E$2:$E$1421,Documents!$A$2:$A$1421,$A153,Documents!$C$2:$C$1421,"factsheet")=0,"",maxifs(Documents!$E$2:$E$1421,Documents!$A$2:$A$1421,$A153,Documents!$C$2:$C$1421,"factsheet")),"")</f>
        <v/>
      </c>
      <c r="E153" s="0" t="str">
        <f aca="false">IFERROR(IF(maxifs(Documents!$E$2:$E$1421,Documents!$A$2:$A$1421,$A153,Documents!$C$2:$C$1421,"wedding")=0,"",maxifs(Documents!$E$2:$E$1421,Documents!$A$2:$A$1421,$A153,Documents!$C$2:$C$1421,"wedding")),"")</f>
        <v/>
      </c>
      <c r="F153" s="0" t="str">
        <f aca="false">IFERROR(IF(maxifs(Documents!$E$2:$E$1421,Documents!$A$2:$A$1421,$A153,Documents!$C$2:$C$1421,"events")=0,"",maxifs(Documents!$E$2:$E$1421,Documents!$A$2:$A$1421,$A153,Documents!$C$2:$C$1421,"events")),"")</f>
        <v/>
      </c>
      <c r="G153" s="0" t="str">
        <f aca="false">IFERROR(IF(maxifs(Documents!$E$2:$E$1421,Documents!$A$2:$A$1421,$A153,Documents!$C$2:$C$1421,"map")=0,"",maxifs(Documents!$E$2:$E$1421,Documents!$A$2:$A$1421,$A153,Documents!$C$2:$C$1421,"map")),"")</f>
        <v/>
      </c>
      <c r="H153" s="0" t="str">
        <f aca="false">IFERROR(IF(maxifs(Documents!$E$2:$E$1421,Documents!$A$2:$A$1421,$A153,Documents!$C$2:$C$1421,"dive_map")=0,"",maxifs(Documents!$E$2:$E$1421,Documents!$A$2:$A$1421,$A153,Documents!$C$2:$C$1421,"dive_map")),"")</f>
        <v/>
      </c>
      <c r="I153" s="0" t="str">
        <f aca="false">IFERROR(IF(maxifs(Documents!$E$2:$E$1421,Documents!$A$2:$A$1421,$A153,Documents!$C$2:$C$1421,"spa_menu")=0,"",maxifs(Documents!$E$2:$E$1421,Documents!$A$2:$A$1421,$A153,Documents!$C$2:$C$1421,"spa_menu")),"")</f>
        <v/>
      </c>
      <c r="J153" s="0" t="str">
        <f aca="false">IFERROR(IF(maxifs(Documents!$E$2:$E$1421,Documents!$A$2:$A$1421,$A153,Documents!$C$2:$C$1421,"dining_menu")=0,"",maxifs(Documents!$E$2:$E$1421,Documents!$A$2:$A$1421,$A153,Documents!$C$2:$C$1421,"dining_menu")),"")</f>
        <v/>
      </c>
      <c r="K153" s="0" t="str">
        <f aca="false">IFERROR(IF(maxifs(Documents!$E$2:$E$1421,Documents!$A$2:$A$1421,$A153,Documents!$C$2:$C$1421,"dive_prices")=0,"",maxifs(Documents!$E$2:$E$1421,Documents!$A$2:$A$1421,$A153,Documents!$C$2:$C$1421,"dive_prices")),"")</f>
        <v/>
      </c>
      <c r="L153" s="0" t="str">
        <f aca="false">IFERROR(IF(maxifs(Documents!$E$2:$E$1421,Documents!$A$2:$A$1421,$A153,Documents!$C$2:$C$1421,"excursions")=0,"",maxifs(Documents!$E$2:$E$1421,Documents!$A$2:$A$1421,$A153,Documents!$C$2:$C$1421,"excursions")),"")</f>
        <v/>
      </c>
      <c r="M153" s="0" t="str">
        <f aca="false">IFERROR(IF(maxifs(Documents!$E$2:$E$1421,Documents!$A$2:$A$1421,$A153,Documents!$C$2:$C$1421,"kids")=0,"",maxifs(Documents!$E$2:$E$1421,Documents!$A$2:$A$1421,$A153,Documents!$C$2:$C$1421,"kids")),"")</f>
        <v/>
      </c>
      <c r="N153" s="0" t="str">
        <f aca="false">IFERROR(IF(maxifs(Documents!$E$2:$E$1421,Documents!$A$2:$A$1421,$A153,Documents!$C$2:$C$1421,"villa_plans")=0,"",maxifs(Documents!$E$2:$E$1421,Documents!$A$2:$A$1421,$A153,Documents!$C$2:$C$1421,"villa_plans")),"")</f>
        <v/>
      </c>
      <c r="O153" s="0" t="str">
        <f aca="false">IFERROR(IF(maxifs(Documents!$E$2:$E$1421,Documents!$A$2:$A$1421,$A153,Documents!$C$2:$C$1421,"all_inclusive")=0,"",maxifs(Documents!$E$2:$E$1421,Documents!$A$2:$A$1421,$A153,Documents!$C$2:$C$1421,"all_inclusive")),"")</f>
        <v/>
      </c>
      <c r="P153" s="0" t="str">
        <f aca="false">IFERROR(IF(maxifs(Documents!$E$2:$E$1421,Documents!$A$2:$A$1421,$A153,Documents!$C$2:$C$1421,"sustainability")=0,"",maxifs(Documents!$E$2:$E$1421,Documents!$A$2:$A$1421,$A153,Documents!$C$2:$C$1421,"sustainability")),"")</f>
        <v/>
      </c>
      <c r="Q153" s="0" t="str">
        <f aca="false">IFERROR(IF(maxifs(Documents!$E$2:$E$1421,Documents!$A$2:$A$1421,$A153,Documents!$C$2:$C$1421,"calendar")=0,"",maxifs(Documents!$E$2:$E$1421,Documents!$A$2:$A$1421,$A153,Documents!$C$2:$C$1421,"calendar")),"")</f>
        <v/>
      </c>
      <c r="R153" s="0" t="str">
        <f aca="false">IFERROR(IF(maxifs(Documents!$E$2:$E$1421,Documents!$A$2:$A$1421,$A153,Documents!$C$2:$C$1421,"brochure")=0,"",maxifs(Documents!$E$2:$E$1421,Documents!$A$2:$A$1421,$A153,Documents!$C$2:$C$1421,"brochure")),"")</f>
        <v/>
      </c>
      <c r="S153" s="0" t="str">
        <f aca="false">IFERROR(IF(maxifs(Documents!$E$2:$E$1421,Documents!$A$2:$A$1421,$A153,Documents!$C$2:$C$1421,"press_kit")=0,"",maxifs(Documents!$E$2:$E$1421,Documents!$A$2:$A$1421,$A153,Documents!$C$2:$C$1421,"press_kit")),"")</f>
        <v/>
      </c>
      <c r="T153" s="0" t="str">
        <f aca="false">IFERROR(IF(maxifs(Documents!$E$2:$E$1421,Documents!$A$2:$A$1421,$A153,Documents!$C$2:$C$1421,"other")=0,"",maxifs(Documents!$E$2:$E$1421,Documents!$A$2:$A$1421,$A153,Documents!$C$2:$C$1421,"other")),"")</f>
        <v/>
      </c>
      <c r="U153" s="0" t="str">
        <f aca="false">IFERROR(IF(maxifs(Documents!$E$2:$E$1421,Documents!$A$2:$A$1421,$A153,Documents!$C$2:$C$1421,"obsolete")=0,"",maxifs(Documents!$E$2:$E$1421,Documents!$A$2:$A$1421,$A153,Documents!$C$2:$C$1421,"obsolete")),"")</f>
        <v/>
      </c>
      <c r="V153" s="0" t="n">
        <f aca="false">COUNTIFS(Documents!$A$2:$A$1421,$A153)</f>
        <v>0</v>
      </c>
      <c r="W153" s="0" t="n">
        <f aca="false">COUNTIFS(Documents!$A$2:$A$1421,$A153,Documents!$R$2:$R$1421,"current")</f>
        <v>0</v>
      </c>
      <c r="Y153" s="0" t="s">
        <v>31</v>
      </c>
    </row>
    <row r="154" customFormat="false" ht="15" hidden="false" customHeight="false" outlineLevel="0" collapsed="false">
      <c r="A154" s="0" t="n">
        <v>153</v>
      </c>
      <c r="B154" s="0" t="s">
        <v>210</v>
      </c>
      <c r="C154" s="0" t="s">
        <v>112</v>
      </c>
      <c r="D154" s="0" t="str">
        <f aca="false">IFERROR(IF(maxifs(Documents!$E$2:$E$1421,Documents!$A$2:$A$1421,$A154,Documents!$C$2:$C$1421,"factsheet")=0,"",maxifs(Documents!$E$2:$E$1421,Documents!$A$2:$A$1421,$A154,Documents!$C$2:$C$1421,"factsheet")),"")</f>
        <v/>
      </c>
      <c r="E154" s="0" t="str">
        <f aca="false">IFERROR(IF(maxifs(Documents!$E$2:$E$1421,Documents!$A$2:$A$1421,$A154,Documents!$C$2:$C$1421,"wedding")=0,"",maxifs(Documents!$E$2:$E$1421,Documents!$A$2:$A$1421,$A154,Documents!$C$2:$C$1421,"wedding")),"")</f>
        <v/>
      </c>
      <c r="F154" s="0" t="str">
        <f aca="false">IFERROR(IF(maxifs(Documents!$E$2:$E$1421,Documents!$A$2:$A$1421,$A154,Documents!$C$2:$C$1421,"events")=0,"",maxifs(Documents!$E$2:$E$1421,Documents!$A$2:$A$1421,$A154,Documents!$C$2:$C$1421,"events")),"")</f>
        <v/>
      </c>
      <c r="G154" s="0" t="str">
        <f aca="false">IFERROR(IF(maxifs(Documents!$E$2:$E$1421,Documents!$A$2:$A$1421,$A154,Documents!$C$2:$C$1421,"map")=0,"",maxifs(Documents!$E$2:$E$1421,Documents!$A$2:$A$1421,$A154,Documents!$C$2:$C$1421,"map")),"")</f>
        <v/>
      </c>
      <c r="H154" s="0" t="str">
        <f aca="false">IFERROR(IF(maxifs(Documents!$E$2:$E$1421,Documents!$A$2:$A$1421,$A154,Documents!$C$2:$C$1421,"dive_map")=0,"",maxifs(Documents!$E$2:$E$1421,Documents!$A$2:$A$1421,$A154,Documents!$C$2:$C$1421,"dive_map")),"")</f>
        <v/>
      </c>
      <c r="I154" s="0" t="str">
        <f aca="false">IFERROR(IF(maxifs(Documents!$E$2:$E$1421,Documents!$A$2:$A$1421,$A154,Documents!$C$2:$C$1421,"spa_menu")=0,"",maxifs(Documents!$E$2:$E$1421,Documents!$A$2:$A$1421,$A154,Documents!$C$2:$C$1421,"spa_menu")),"")</f>
        <v/>
      </c>
      <c r="J154" s="0" t="str">
        <f aca="false">IFERROR(IF(maxifs(Documents!$E$2:$E$1421,Documents!$A$2:$A$1421,$A154,Documents!$C$2:$C$1421,"dining_menu")=0,"",maxifs(Documents!$E$2:$E$1421,Documents!$A$2:$A$1421,$A154,Documents!$C$2:$C$1421,"dining_menu")),"")</f>
        <v/>
      </c>
      <c r="K154" s="0" t="str">
        <f aca="false">IFERROR(IF(maxifs(Documents!$E$2:$E$1421,Documents!$A$2:$A$1421,$A154,Documents!$C$2:$C$1421,"dive_prices")=0,"",maxifs(Documents!$E$2:$E$1421,Documents!$A$2:$A$1421,$A154,Documents!$C$2:$C$1421,"dive_prices")),"")</f>
        <v/>
      </c>
      <c r="L154" s="0" t="str">
        <f aca="false">IFERROR(IF(maxifs(Documents!$E$2:$E$1421,Documents!$A$2:$A$1421,$A154,Documents!$C$2:$C$1421,"excursions")=0,"",maxifs(Documents!$E$2:$E$1421,Documents!$A$2:$A$1421,$A154,Documents!$C$2:$C$1421,"excursions")),"")</f>
        <v/>
      </c>
      <c r="M154" s="0" t="str">
        <f aca="false">IFERROR(IF(maxifs(Documents!$E$2:$E$1421,Documents!$A$2:$A$1421,$A154,Documents!$C$2:$C$1421,"kids")=0,"",maxifs(Documents!$E$2:$E$1421,Documents!$A$2:$A$1421,$A154,Documents!$C$2:$C$1421,"kids")),"")</f>
        <v/>
      </c>
      <c r="N154" s="0" t="str">
        <f aca="false">IFERROR(IF(maxifs(Documents!$E$2:$E$1421,Documents!$A$2:$A$1421,$A154,Documents!$C$2:$C$1421,"villa_plans")=0,"",maxifs(Documents!$E$2:$E$1421,Documents!$A$2:$A$1421,$A154,Documents!$C$2:$C$1421,"villa_plans")),"")</f>
        <v/>
      </c>
      <c r="O154" s="0" t="str">
        <f aca="false">IFERROR(IF(maxifs(Documents!$E$2:$E$1421,Documents!$A$2:$A$1421,$A154,Documents!$C$2:$C$1421,"all_inclusive")=0,"",maxifs(Documents!$E$2:$E$1421,Documents!$A$2:$A$1421,$A154,Documents!$C$2:$C$1421,"all_inclusive")),"")</f>
        <v/>
      </c>
      <c r="P154" s="0" t="str">
        <f aca="false">IFERROR(IF(maxifs(Documents!$E$2:$E$1421,Documents!$A$2:$A$1421,$A154,Documents!$C$2:$C$1421,"sustainability")=0,"",maxifs(Documents!$E$2:$E$1421,Documents!$A$2:$A$1421,$A154,Documents!$C$2:$C$1421,"sustainability")),"")</f>
        <v/>
      </c>
      <c r="Q154" s="0" t="str">
        <f aca="false">IFERROR(IF(maxifs(Documents!$E$2:$E$1421,Documents!$A$2:$A$1421,$A154,Documents!$C$2:$C$1421,"calendar")=0,"",maxifs(Documents!$E$2:$E$1421,Documents!$A$2:$A$1421,$A154,Documents!$C$2:$C$1421,"calendar")),"")</f>
        <v/>
      </c>
      <c r="R154" s="0" t="str">
        <f aca="false">IFERROR(IF(maxifs(Documents!$E$2:$E$1421,Documents!$A$2:$A$1421,$A154,Documents!$C$2:$C$1421,"brochure")=0,"",maxifs(Documents!$E$2:$E$1421,Documents!$A$2:$A$1421,$A154,Documents!$C$2:$C$1421,"brochure")),"")</f>
        <v/>
      </c>
      <c r="S154" s="0" t="str">
        <f aca="false">IFERROR(IF(maxifs(Documents!$E$2:$E$1421,Documents!$A$2:$A$1421,$A154,Documents!$C$2:$C$1421,"press_kit")=0,"",maxifs(Documents!$E$2:$E$1421,Documents!$A$2:$A$1421,$A154,Documents!$C$2:$C$1421,"press_kit")),"")</f>
        <v/>
      </c>
      <c r="T154" s="0" t="str">
        <f aca="false">IFERROR(IF(maxifs(Documents!$E$2:$E$1421,Documents!$A$2:$A$1421,$A154,Documents!$C$2:$C$1421,"other")=0,"",maxifs(Documents!$E$2:$E$1421,Documents!$A$2:$A$1421,$A154,Documents!$C$2:$C$1421,"other")),"")</f>
        <v/>
      </c>
      <c r="U154" s="0" t="str">
        <f aca="false">IFERROR(IF(maxifs(Documents!$E$2:$E$1421,Documents!$A$2:$A$1421,$A154,Documents!$C$2:$C$1421,"obsolete")=0,"",maxifs(Documents!$E$2:$E$1421,Documents!$A$2:$A$1421,$A154,Documents!$C$2:$C$1421,"obsolete")),"")</f>
        <v/>
      </c>
      <c r="V154" s="0" t="n">
        <f aca="false">COUNTIFS(Documents!$A$2:$A$1421,$A154)</f>
        <v>2</v>
      </c>
      <c r="W154" s="0" t="n">
        <f aca="false">COUNTIFS(Documents!$A$2:$A$1421,$A154,Documents!$R$2:$R$1421,"current")</f>
        <v>0</v>
      </c>
      <c r="X154" s="0" t="str">
        <f aca="false">HYPERLINK("https://www.neoscapesmaldives.com/wp-content/uploads/FactSheet-Taj-Coral-Reef-Maldives-NEO.pdf","2021_FactSheet-Taj-Coral-Reef-Maldives-N")</f>
        <v>2021_FactSheet-Taj-Coral-Reef-Maldives-N</v>
      </c>
      <c r="Y154" s="0" t="s">
        <v>28</v>
      </c>
    </row>
    <row r="155" customFormat="false" ht="15" hidden="false" customHeight="false" outlineLevel="0" collapsed="false">
      <c r="A155" s="0" t="n">
        <v>154</v>
      </c>
      <c r="B155" s="0" t="s">
        <v>211</v>
      </c>
      <c r="C155" s="0" t="s">
        <v>112</v>
      </c>
      <c r="D155" s="0" t="str">
        <f aca="false">IFERROR(IF(maxifs(Documents!$E$2:$E$1421,Documents!$A$2:$A$1421,$A155,Documents!$C$2:$C$1421,"factsheet")=0,"",maxifs(Documents!$E$2:$E$1421,Documents!$A$2:$A$1421,$A155,Documents!$C$2:$C$1421,"factsheet")),"")</f>
        <v/>
      </c>
      <c r="E155" s="0" t="str">
        <f aca="false">IFERROR(IF(maxifs(Documents!$E$2:$E$1421,Documents!$A$2:$A$1421,$A155,Documents!$C$2:$C$1421,"wedding")=0,"",maxifs(Documents!$E$2:$E$1421,Documents!$A$2:$A$1421,$A155,Documents!$C$2:$C$1421,"wedding")),"")</f>
        <v/>
      </c>
      <c r="F155" s="0" t="str">
        <f aca="false">IFERROR(IF(maxifs(Documents!$E$2:$E$1421,Documents!$A$2:$A$1421,$A155,Documents!$C$2:$C$1421,"events")=0,"",maxifs(Documents!$E$2:$E$1421,Documents!$A$2:$A$1421,$A155,Documents!$C$2:$C$1421,"events")),"")</f>
        <v/>
      </c>
      <c r="G155" s="0" t="str">
        <f aca="false">IFERROR(IF(maxifs(Documents!$E$2:$E$1421,Documents!$A$2:$A$1421,$A155,Documents!$C$2:$C$1421,"map")=0,"",maxifs(Documents!$E$2:$E$1421,Documents!$A$2:$A$1421,$A155,Documents!$C$2:$C$1421,"map")),"")</f>
        <v/>
      </c>
      <c r="H155" s="0" t="str">
        <f aca="false">IFERROR(IF(maxifs(Documents!$E$2:$E$1421,Documents!$A$2:$A$1421,$A155,Documents!$C$2:$C$1421,"dive_map")=0,"",maxifs(Documents!$E$2:$E$1421,Documents!$A$2:$A$1421,$A155,Documents!$C$2:$C$1421,"dive_map")),"")</f>
        <v/>
      </c>
      <c r="I155" s="0" t="str">
        <f aca="false">IFERROR(IF(maxifs(Documents!$E$2:$E$1421,Documents!$A$2:$A$1421,$A155,Documents!$C$2:$C$1421,"spa_menu")=0,"",maxifs(Documents!$E$2:$E$1421,Documents!$A$2:$A$1421,$A155,Documents!$C$2:$C$1421,"spa_menu")),"")</f>
        <v/>
      </c>
      <c r="J155" s="0" t="str">
        <f aca="false">IFERROR(IF(maxifs(Documents!$E$2:$E$1421,Documents!$A$2:$A$1421,$A155,Documents!$C$2:$C$1421,"dining_menu")=0,"",maxifs(Documents!$E$2:$E$1421,Documents!$A$2:$A$1421,$A155,Documents!$C$2:$C$1421,"dining_menu")),"")</f>
        <v/>
      </c>
      <c r="K155" s="0" t="str">
        <f aca="false">IFERROR(IF(maxifs(Documents!$E$2:$E$1421,Documents!$A$2:$A$1421,$A155,Documents!$C$2:$C$1421,"dive_prices")=0,"",maxifs(Documents!$E$2:$E$1421,Documents!$A$2:$A$1421,$A155,Documents!$C$2:$C$1421,"dive_prices")),"")</f>
        <v/>
      </c>
      <c r="L155" s="0" t="str">
        <f aca="false">IFERROR(IF(maxifs(Documents!$E$2:$E$1421,Documents!$A$2:$A$1421,$A155,Documents!$C$2:$C$1421,"excursions")=0,"",maxifs(Documents!$E$2:$E$1421,Documents!$A$2:$A$1421,$A155,Documents!$C$2:$C$1421,"excursions")),"")</f>
        <v/>
      </c>
      <c r="M155" s="0" t="str">
        <f aca="false">IFERROR(IF(maxifs(Documents!$E$2:$E$1421,Documents!$A$2:$A$1421,$A155,Documents!$C$2:$C$1421,"kids")=0,"",maxifs(Documents!$E$2:$E$1421,Documents!$A$2:$A$1421,$A155,Documents!$C$2:$C$1421,"kids")),"")</f>
        <v/>
      </c>
      <c r="N155" s="0" t="str">
        <f aca="false">IFERROR(IF(maxifs(Documents!$E$2:$E$1421,Documents!$A$2:$A$1421,$A155,Documents!$C$2:$C$1421,"villa_plans")=0,"",maxifs(Documents!$E$2:$E$1421,Documents!$A$2:$A$1421,$A155,Documents!$C$2:$C$1421,"villa_plans")),"")</f>
        <v/>
      </c>
      <c r="O155" s="0" t="str">
        <f aca="false">IFERROR(IF(maxifs(Documents!$E$2:$E$1421,Documents!$A$2:$A$1421,$A155,Documents!$C$2:$C$1421,"all_inclusive")=0,"",maxifs(Documents!$E$2:$E$1421,Documents!$A$2:$A$1421,$A155,Documents!$C$2:$C$1421,"all_inclusive")),"")</f>
        <v/>
      </c>
      <c r="P155" s="0" t="str">
        <f aca="false">IFERROR(IF(maxifs(Documents!$E$2:$E$1421,Documents!$A$2:$A$1421,$A155,Documents!$C$2:$C$1421,"sustainability")=0,"",maxifs(Documents!$E$2:$E$1421,Documents!$A$2:$A$1421,$A155,Documents!$C$2:$C$1421,"sustainability")),"")</f>
        <v/>
      </c>
      <c r="Q155" s="0" t="str">
        <f aca="false">IFERROR(IF(maxifs(Documents!$E$2:$E$1421,Documents!$A$2:$A$1421,$A155,Documents!$C$2:$C$1421,"calendar")=0,"",maxifs(Documents!$E$2:$E$1421,Documents!$A$2:$A$1421,$A155,Documents!$C$2:$C$1421,"calendar")),"")</f>
        <v/>
      </c>
      <c r="R155" s="0" t="str">
        <f aca="false">IFERROR(IF(maxifs(Documents!$E$2:$E$1421,Documents!$A$2:$A$1421,$A155,Documents!$C$2:$C$1421,"brochure")=0,"",maxifs(Documents!$E$2:$E$1421,Documents!$A$2:$A$1421,$A155,Documents!$C$2:$C$1421,"brochure")),"")</f>
        <v/>
      </c>
      <c r="S155" s="0" t="str">
        <f aca="false">IFERROR(IF(maxifs(Documents!$E$2:$E$1421,Documents!$A$2:$A$1421,$A155,Documents!$C$2:$C$1421,"press_kit")=0,"",maxifs(Documents!$E$2:$E$1421,Documents!$A$2:$A$1421,$A155,Documents!$C$2:$C$1421,"press_kit")),"")</f>
        <v/>
      </c>
      <c r="T155" s="0" t="str">
        <f aca="false">IFERROR(IF(maxifs(Documents!$E$2:$E$1421,Documents!$A$2:$A$1421,$A155,Documents!$C$2:$C$1421,"other")=0,"",maxifs(Documents!$E$2:$E$1421,Documents!$A$2:$A$1421,$A155,Documents!$C$2:$C$1421,"other")),"")</f>
        <v/>
      </c>
      <c r="U155" s="0" t="str">
        <f aca="false">IFERROR(IF(maxifs(Documents!$E$2:$E$1421,Documents!$A$2:$A$1421,$A155,Documents!$C$2:$C$1421,"obsolete")=0,"",maxifs(Documents!$E$2:$E$1421,Documents!$A$2:$A$1421,$A155,Documents!$C$2:$C$1421,"obsolete")),"")</f>
        <v/>
      </c>
      <c r="V155" s="0" t="n">
        <f aca="false">COUNTIFS(Documents!$A$2:$A$1421,$A155)</f>
        <v>2</v>
      </c>
      <c r="W155" s="0" t="n">
        <f aca="false">COUNTIFS(Documents!$A$2:$A$1421,$A155,Documents!$R$2:$R$1421,"current")</f>
        <v>0</v>
      </c>
      <c r="X155" s="0" t="str">
        <f aca="false">HYPERLINK("https://www.neoscapesmaldives.com/wp-content/uploads/Factsheet-Taj-Exotica-Resort-Spa-_Maldives-NEO.pdf","2021_Factsheet-Taj-Exotica-Resort-Spa-_M")</f>
        <v>2021_Factsheet-Taj-Exotica-Resort-Spa-_M</v>
      </c>
      <c r="Y155" s="0" t="s">
        <v>28</v>
      </c>
    </row>
    <row r="156" customFormat="false" ht="15" hidden="false" customHeight="false" outlineLevel="0" collapsed="false">
      <c r="A156" s="0" t="n">
        <v>155</v>
      </c>
      <c r="B156" s="0" t="s">
        <v>212</v>
      </c>
      <c r="C156" s="0" t="s">
        <v>112</v>
      </c>
      <c r="D156" s="0" t="str">
        <f aca="false">IFERROR(IF(maxifs(Documents!$E$2:$E$1421,Documents!$A$2:$A$1421,$A156,Documents!$C$2:$C$1421,"factsheet")=0,"",maxifs(Documents!$E$2:$E$1421,Documents!$A$2:$A$1421,$A156,Documents!$C$2:$C$1421,"factsheet")),"")</f>
        <v/>
      </c>
      <c r="E156" s="0" t="str">
        <f aca="false">IFERROR(IF(maxifs(Documents!$E$2:$E$1421,Documents!$A$2:$A$1421,$A156,Documents!$C$2:$C$1421,"wedding")=0,"",maxifs(Documents!$E$2:$E$1421,Documents!$A$2:$A$1421,$A156,Documents!$C$2:$C$1421,"wedding")),"")</f>
        <v/>
      </c>
      <c r="F156" s="0" t="str">
        <f aca="false">IFERROR(IF(maxifs(Documents!$E$2:$E$1421,Documents!$A$2:$A$1421,$A156,Documents!$C$2:$C$1421,"events")=0,"",maxifs(Documents!$E$2:$E$1421,Documents!$A$2:$A$1421,$A156,Documents!$C$2:$C$1421,"events")),"")</f>
        <v/>
      </c>
      <c r="G156" s="0" t="str">
        <f aca="false">IFERROR(IF(maxifs(Documents!$E$2:$E$1421,Documents!$A$2:$A$1421,$A156,Documents!$C$2:$C$1421,"map")=0,"",maxifs(Documents!$E$2:$E$1421,Documents!$A$2:$A$1421,$A156,Documents!$C$2:$C$1421,"map")),"")</f>
        <v/>
      </c>
      <c r="H156" s="0" t="str">
        <f aca="false">IFERROR(IF(maxifs(Documents!$E$2:$E$1421,Documents!$A$2:$A$1421,$A156,Documents!$C$2:$C$1421,"dive_map")=0,"",maxifs(Documents!$E$2:$E$1421,Documents!$A$2:$A$1421,$A156,Documents!$C$2:$C$1421,"dive_map")),"")</f>
        <v/>
      </c>
      <c r="I156" s="0" t="str">
        <f aca="false">IFERROR(IF(maxifs(Documents!$E$2:$E$1421,Documents!$A$2:$A$1421,$A156,Documents!$C$2:$C$1421,"spa_menu")=0,"",maxifs(Documents!$E$2:$E$1421,Documents!$A$2:$A$1421,$A156,Documents!$C$2:$C$1421,"spa_menu")),"")</f>
        <v/>
      </c>
      <c r="J156" s="0" t="str">
        <f aca="false">IFERROR(IF(maxifs(Documents!$E$2:$E$1421,Documents!$A$2:$A$1421,$A156,Documents!$C$2:$C$1421,"dining_menu")=0,"",maxifs(Documents!$E$2:$E$1421,Documents!$A$2:$A$1421,$A156,Documents!$C$2:$C$1421,"dining_menu")),"")</f>
        <v/>
      </c>
      <c r="K156" s="0" t="str">
        <f aca="false">IFERROR(IF(maxifs(Documents!$E$2:$E$1421,Documents!$A$2:$A$1421,$A156,Documents!$C$2:$C$1421,"dive_prices")=0,"",maxifs(Documents!$E$2:$E$1421,Documents!$A$2:$A$1421,$A156,Documents!$C$2:$C$1421,"dive_prices")),"")</f>
        <v/>
      </c>
      <c r="L156" s="0" t="str">
        <f aca="false">IFERROR(IF(maxifs(Documents!$E$2:$E$1421,Documents!$A$2:$A$1421,$A156,Documents!$C$2:$C$1421,"excursions")=0,"",maxifs(Documents!$E$2:$E$1421,Documents!$A$2:$A$1421,$A156,Documents!$C$2:$C$1421,"excursions")),"")</f>
        <v/>
      </c>
      <c r="M156" s="0" t="str">
        <f aca="false">IFERROR(IF(maxifs(Documents!$E$2:$E$1421,Documents!$A$2:$A$1421,$A156,Documents!$C$2:$C$1421,"kids")=0,"",maxifs(Documents!$E$2:$E$1421,Documents!$A$2:$A$1421,$A156,Documents!$C$2:$C$1421,"kids")),"")</f>
        <v/>
      </c>
      <c r="N156" s="0" t="str">
        <f aca="false">IFERROR(IF(maxifs(Documents!$E$2:$E$1421,Documents!$A$2:$A$1421,$A156,Documents!$C$2:$C$1421,"villa_plans")=0,"",maxifs(Documents!$E$2:$E$1421,Documents!$A$2:$A$1421,$A156,Documents!$C$2:$C$1421,"villa_plans")),"")</f>
        <v/>
      </c>
      <c r="O156" s="0" t="str">
        <f aca="false">IFERROR(IF(maxifs(Documents!$E$2:$E$1421,Documents!$A$2:$A$1421,$A156,Documents!$C$2:$C$1421,"all_inclusive")=0,"",maxifs(Documents!$E$2:$E$1421,Documents!$A$2:$A$1421,$A156,Documents!$C$2:$C$1421,"all_inclusive")),"")</f>
        <v/>
      </c>
      <c r="P156" s="0" t="str">
        <f aca="false">IFERROR(IF(maxifs(Documents!$E$2:$E$1421,Documents!$A$2:$A$1421,$A156,Documents!$C$2:$C$1421,"sustainability")=0,"",maxifs(Documents!$E$2:$E$1421,Documents!$A$2:$A$1421,$A156,Documents!$C$2:$C$1421,"sustainability")),"")</f>
        <v/>
      </c>
      <c r="Q156" s="0" t="str">
        <f aca="false">IFERROR(IF(maxifs(Documents!$E$2:$E$1421,Documents!$A$2:$A$1421,$A156,Documents!$C$2:$C$1421,"calendar")=0,"",maxifs(Documents!$E$2:$E$1421,Documents!$A$2:$A$1421,$A156,Documents!$C$2:$C$1421,"calendar")),"")</f>
        <v/>
      </c>
      <c r="R156" s="0" t="str">
        <f aca="false">IFERROR(IF(maxifs(Documents!$E$2:$E$1421,Documents!$A$2:$A$1421,$A156,Documents!$C$2:$C$1421,"brochure")=0,"",maxifs(Documents!$E$2:$E$1421,Documents!$A$2:$A$1421,$A156,Documents!$C$2:$C$1421,"brochure")),"")</f>
        <v/>
      </c>
      <c r="S156" s="0" t="str">
        <f aca="false">IFERROR(IF(maxifs(Documents!$E$2:$E$1421,Documents!$A$2:$A$1421,$A156,Documents!$C$2:$C$1421,"press_kit")=0,"",maxifs(Documents!$E$2:$E$1421,Documents!$A$2:$A$1421,$A156,Documents!$C$2:$C$1421,"press_kit")),"")</f>
        <v/>
      </c>
      <c r="T156" s="0" t="str">
        <f aca="false">IFERROR(IF(maxifs(Documents!$E$2:$E$1421,Documents!$A$2:$A$1421,$A156,Documents!$C$2:$C$1421,"other")=0,"",maxifs(Documents!$E$2:$E$1421,Documents!$A$2:$A$1421,$A156,Documents!$C$2:$C$1421,"other")),"")</f>
        <v/>
      </c>
      <c r="U156" s="0" t="str">
        <f aca="false">IFERROR(IF(maxifs(Documents!$E$2:$E$1421,Documents!$A$2:$A$1421,$A156,Documents!$C$2:$C$1421,"obsolete")=0,"",maxifs(Documents!$E$2:$E$1421,Documents!$A$2:$A$1421,$A156,Documents!$C$2:$C$1421,"obsolete")),"")</f>
        <v/>
      </c>
      <c r="V156" s="0" t="n">
        <f aca="false">COUNTIFS(Documents!$A$2:$A$1421,$A156)</f>
        <v>2</v>
      </c>
      <c r="W156" s="0" t="n">
        <f aca="false">COUNTIFS(Documents!$A$2:$A$1421,$A156,Documents!$R$2:$R$1421,"current")</f>
        <v>0</v>
      </c>
      <c r="X156" s="0" t="str">
        <f aca="false">HYPERLINK("https://www.neoscapesmaldives.com/wp-content/uploads/halaveli-factsheet-en-24april2023.pdf","2023_halaveli-factsheet-en-24april2023.p")</f>
        <v>2023_halaveli-factsheet-en-24april2023.p</v>
      </c>
      <c r="Y156" s="0" t="s">
        <v>28</v>
      </c>
      <c r="Z156" s="0" t="s">
        <v>213</v>
      </c>
    </row>
    <row r="157" customFormat="false" ht="15" hidden="false" customHeight="false" outlineLevel="0" collapsed="false">
      <c r="A157" s="0" t="n">
        <v>156</v>
      </c>
      <c r="B157" s="0" t="s">
        <v>214</v>
      </c>
      <c r="C157" s="0" t="s">
        <v>112</v>
      </c>
      <c r="D157" s="0" t="str">
        <f aca="false">IFERROR(IF(maxifs(Documents!$E$2:$E$1421,Documents!$A$2:$A$1421,$A157,Documents!$C$2:$C$1421,"factsheet")=0,"",maxifs(Documents!$E$2:$E$1421,Documents!$A$2:$A$1421,$A157,Documents!$C$2:$C$1421,"factsheet")),"")</f>
        <v/>
      </c>
      <c r="E157" s="0" t="str">
        <f aca="false">IFERROR(IF(maxifs(Documents!$E$2:$E$1421,Documents!$A$2:$A$1421,$A157,Documents!$C$2:$C$1421,"wedding")=0,"",maxifs(Documents!$E$2:$E$1421,Documents!$A$2:$A$1421,$A157,Documents!$C$2:$C$1421,"wedding")),"")</f>
        <v/>
      </c>
      <c r="F157" s="0" t="str">
        <f aca="false">IFERROR(IF(maxifs(Documents!$E$2:$E$1421,Documents!$A$2:$A$1421,$A157,Documents!$C$2:$C$1421,"events")=0,"",maxifs(Documents!$E$2:$E$1421,Documents!$A$2:$A$1421,$A157,Documents!$C$2:$C$1421,"events")),"")</f>
        <v/>
      </c>
      <c r="G157" s="0" t="str">
        <f aca="false">IFERROR(IF(maxifs(Documents!$E$2:$E$1421,Documents!$A$2:$A$1421,$A157,Documents!$C$2:$C$1421,"map")=0,"",maxifs(Documents!$E$2:$E$1421,Documents!$A$2:$A$1421,$A157,Documents!$C$2:$C$1421,"map")),"")</f>
        <v/>
      </c>
      <c r="H157" s="0" t="str">
        <f aca="false">IFERROR(IF(maxifs(Documents!$E$2:$E$1421,Documents!$A$2:$A$1421,$A157,Documents!$C$2:$C$1421,"dive_map")=0,"",maxifs(Documents!$E$2:$E$1421,Documents!$A$2:$A$1421,$A157,Documents!$C$2:$C$1421,"dive_map")),"")</f>
        <v/>
      </c>
      <c r="I157" s="0" t="str">
        <f aca="false">IFERROR(IF(maxifs(Documents!$E$2:$E$1421,Documents!$A$2:$A$1421,$A157,Documents!$C$2:$C$1421,"spa_menu")=0,"",maxifs(Documents!$E$2:$E$1421,Documents!$A$2:$A$1421,$A157,Documents!$C$2:$C$1421,"spa_menu")),"")</f>
        <v/>
      </c>
      <c r="J157" s="0" t="str">
        <f aca="false">IFERROR(IF(maxifs(Documents!$E$2:$E$1421,Documents!$A$2:$A$1421,$A157,Documents!$C$2:$C$1421,"dining_menu")=0,"",maxifs(Documents!$E$2:$E$1421,Documents!$A$2:$A$1421,$A157,Documents!$C$2:$C$1421,"dining_menu")),"")</f>
        <v/>
      </c>
      <c r="K157" s="0" t="str">
        <f aca="false">IFERROR(IF(maxifs(Documents!$E$2:$E$1421,Documents!$A$2:$A$1421,$A157,Documents!$C$2:$C$1421,"dive_prices")=0,"",maxifs(Documents!$E$2:$E$1421,Documents!$A$2:$A$1421,$A157,Documents!$C$2:$C$1421,"dive_prices")),"")</f>
        <v/>
      </c>
      <c r="L157" s="0" t="str">
        <f aca="false">IFERROR(IF(maxifs(Documents!$E$2:$E$1421,Documents!$A$2:$A$1421,$A157,Documents!$C$2:$C$1421,"excursions")=0,"",maxifs(Documents!$E$2:$E$1421,Documents!$A$2:$A$1421,$A157,Documents!$C$2:$C$1421,"excursions")),"")</f>
        <v/>
      </c>
      <c r="M157" s="0" t="str">
        <f aca="false">IFERROR(IF(maxifs(Documents!$E$2:$E$1421,Documents!$A$2:$A$1421,$A157,Documents!$C$2:$C$1421,"kids")=0,"",maxifs(Documents!$E$2:$E$1421,Documents!$A$2:$A$1421,$A157,Documents!$C$2:$C$1421,"kids")),"")</f>
        <v/>
      </c>
      <c r="N157" s="0" t="str">
        <f aca="false">IFERROR(IF(maxifs(Documents!$E$2:$E$1421,Documents!$A$2:$A$1421,$A157,Documents!$C$2:$C$1421,"villa_plans")=0,"",maxifs(Documents!$E$2:$E$1421,Documents!$A$2:$A$1421,$A157,Documents!$C$2:$C$1421,"villa_plans")),"")</f>
        <v/>
      </c>
      <c r="O157" s="0" t="str">
        <f aca="false">IFERROR(IF(maxifs(Documents!$E$2:$E$1421,Documents!$A$2:$A$1421,$A157,Documents!$C$2:$C$1421,"all_inclusive")=0,"",maxifs(Documents!$E$2:$E$1421,Documents!$A$2:$A$1421,$A157,Documents!$C$2:$C$1421,"all_inclusive")),"")</f>
        <v/>
      </c>
      <c r="P157" s="0" t="str">
        <f aca="false">IFERROR(IF(maxifs(Documents!$E$2:$E$1421,Documents!$A$2:$A$1421,$A157,Documents!$C$2:$C$1421,"sustainability")=0,"",maxifs(Documents!$E$2:$E$1421,Documents!$A$2:$A$1421,$A157,Documents!$C$2:$C$1421,"sustainability")),"")</f>
        <v/>
      </c>
      <c r="Q157" s="0" t="str">
        <f aca="false">IFERROR(IF(maxifs(Documents!$E$2:$E$1421,Documents!$A$2:$A$1421,$A157,Documents!$C$2:$C$1421,"calendar")=0,"",maxifs(Documents!$E$2:$E$1421,Documents!$A$2:$A$1421,$A157,Documents!$C$2:$C$1421,"calendar")),"")</f>
        <v/>
      </c>
      <c r="R157" s="0" t="str">
        <f aca="false">IFERROR(IF(maxifs(Documents!$E$2:$E$1421,Documents!$A$2:$A$1421,$A157,Documents!$C$2:$C$1421,"brochure")=0,"",maxifs(Documents!$E$2:$E$1421,Documents!$A$2:$A$1421,$A157,Documents!$C$2:$C$1421,"brochure")),"")</f>
        <v/>
      </c>
      <c r="S157" s="0" t="str">
        <f aca="false">IFERROR(IF(maxifs(Documents!$E$2:$E$1421,Documents!$A$2:$A$1421,$A157,Documents!$C$2:$C$1421,"press_kit")=0,"",maxifs(Documents!$E$2:$E$1421,Documents!$A$2:$A$1421,$A157,Documents!$C$2:$C$1421,"press_kit")),"")</f>
        <v/>
      </c>
      <c r="T157" s="0" t="str">
        <f aca="false">IFERROR(IF(maxifs(Documents!$E$2:$E$1421,Documents!$A$2:$A$1421,$A157,Documents!$C$2:$C$1421,"other")=0,"",maxifs(Documents!$E$2:$E$1421,Documents!$A$2:$A$1421,$A157,Documents!$C$2:$C$1421,"other")),"")</f>
        <v/>
      </c>
      <c r="U157" s="0" t="str">
        <f aca="false">IFERROR(IF(maxifs(Documents!$E$2:$E$1421,Documents!$A$2:$A$1421,$A157,Documents!$C$2:$C$1421,"obsolete")=0,"",maxifs(Documents!$E$2:$E$1421,Documents!$A$2:$A$1421,$A157,Documents!$C$2:$C$1421,"obsolete")),"")</f>
        <v/>
      </c>
      <c r="V157" s="0" t="n">
        <f aca="false">COUNTIFS(Documents!$A$2:$A$1421,$A157)</f>
        <v>0</v>
      </c>
      <c r="W157" s="0" t="n">
        <f aca="false">COUNTIFS(Documents!$A$2:$A$1421,$A157,Documents!$R$2:$R$1421,"current")</f>
        <v>0</v>
      </c>
      <c r="Y157" s="0" t="s">
        <v>31</v>
      </c>
    </row>
    <row r="158" customFormat="false" ht="15" hidden="false" customHeight="false" outlineLevel="0" collapsed="false">
      <c r="A158" s="0" t="n">
        <v>157</v>
      </c>
      <c r="B158" s="0" t="s">
        <v>215</v>
      </c>
      <c r="C158" s="0" t="s">
        <v>112</v>
      </c>
      <c r="D158" s="0" t="str">
        <f aca="false">IFERROR(IF(maxifs(Documents!$E$2:$E$1421,Documents!$A$2:$A$1421,$A158,Documents!$C$2:$C$1421,"factsheet")=0,"",maxifs(Documents!$E$2:$E$1421,Documents!$A$2:$A$1421,$A158,Documents!$C$2:$C$1421,"factsheet")),"")</f>
        <v/>
      </c>
      <c r="E158" s="0" t="str">
        <f aca="false">IFERROR(IF(maxifs(Documents!$E$2:$E$1421,Documents!$A$2:$A$1421,$A158,Documents!$C$2:$C$1421,"wedding")=0,"",maxifs(Documents!$E$2:$E$1421,Documents!$A$2:$A$1421,$A158,Documents!$C$2:$C$1421,"wedding")),"")</f>
        <v/>
      </c>
      <c r="F158" s="0" t="str">
        <f aca="false">IFERROR(IF(maxifs(Documents!$E$2:$E$1421,Documents!$A$2:$A$1421,$A158,Documents!$C$2:$C$1421,"events")=0,"",maxifs(Documents!$E$2:$E$1421,Documents!$A$2:$A$1421,$A158,Documents!$C$2:$C$1421,"events")),"")</f>
        <v/>
      </c>
      <c r="G158" s="0" t="str">
        <f aca="false">IFERROR(IF(maxifs(Documents!$E$2:$E$1421,Documents!$A$2:$A$1421,$A158,Documents!$C$2:$C$1421,"map")=0,"",maxifs(Documents!$E$2:$E$1421,Documents!$A$2:$A$1421,$A158,Documents!$C$2:$C$1421,"map")),"")</f>
        <v/>
      </c>
      <c r="H158" s="0" t="str">
        <f aca="false">IFERROR(IF(maxifs(Documents!$E$2:$E$1421,Documents!$A$2:$A$1421,$A158,Documents!$C$2:$C$1421,"dive_map")=0,"",maxifs(Documents!$E$2:$E$1421,Documents!$A$2:$A$1421,$A158,Documents!$C$2:$C$1421,"dive_map")),"")</f>
        <v/>
      </c>
      <c r="I158" s="0" t="str">
        <f aca="false">IFERROR(IF(maxifs(Documents!$E$2:$E$1421,Documents!$A$2:$A$1421,$A158,Documents!$C$2:$C$1421,"spa_menu")=0,"",maxifs(Documents!$E$2:$E$1421,Documents!$A$2:$A$1421,$A158,Documents!$C$2:$C$1421,"spa_menu")),"")</f>
        <v/>
      </c>
      <c r="J158" s="0" t="str">
        <f aca="false">IFERROR(IF(maxifs(Documents!$E$2:$E$1421,Documents!$A$2:$A$1421,$A158,Documents!$C$2:$C$1421,"dining_menu")=0,"",maxifs(Documents!$E$2:$E$1421,Documents!$A$2:$A$1421,$A158,Documents!$C$2:$C$1421,"dining_menu")),"")</f>
        <v/>
      </c>
      <c r="K158" s="0" t="str">
        <f aca="false">IFERROR(IF(maxifs(Documents!$E$2:$E$1421,Documents!$A$2:$A$1421,$A158,Documents!$C$2:$C$1421,"dive_prices")=0,"",maxifs(Documents!$E$2:$E$1421,Documents!$A$2:$A$1421,$A158,Documents!$C$2:$C$1421,"dive_prices")),"")</f>
        <v/>
      </c>
      <c r="L158" s="0" t="str">
        <f aca="false">IFERROR(IF(maxifs(Documents!$E$2:$E$1421,Documents!$A$2:$A$1421,$A158,Documents!$C$2:$C$1421,"excursions")=0,"",maxifs(Documents!$E$2:$E$1421,Documents!$A$2:$A$1421,$A158,Documents!$C$2:$C$1421,"excursions")),"")</f>
        <v/>
      </c>
      <c r="M158" s="0" t="str">
        <f aca="false">IFERROR(IF(maxifs(Documents!$E$2:$E$1421,Documents!$A$2:$A$1421,$A158,Documents!$C$2:$C$1421,"kids")=0,"",maxifs(Documents!$E$2:$E$1421,Documents!$A$2:$A$1421,$A158,Documents!$C$2:$C$1421,"kids")),"")</f>
        <v/>
      </c>
      <c r="N158" s="0" t="str">
        <f aca="false">IFERROR(IF(maxifs(Documents!$E$2:$E$1421,Documents!$A$2:$A$1421,$A158,Documents!$C$2:$C$1421,"villa_plans")=0,"",maxifs(Documents!$E$2:$E$1421,Documents!$A$2:$A$1421,$A158,Documents!$C$2:$C$1421,"villa_plans")),"")</f>
        <v/>
      </c>
      <c r="O158" s="0" t="str">
        <f aca="false">IFERROR(IF(maxifs(Documents!$E$2:$E$1421,Documents!$A$2:$A$1421,$A158,Documents!$C$2:$C$1421,"all_inclusive")=0,"",maxifs(Documents!$E$2:$E$1421,Documents!$A$2:$A$1421,$A158,Documents!$C$2:$C$1421,"all_inclusive")),"")</f>
        <v/>
      </c>
      <c r="P158" s="0" t="str">
        <f aca="false">IFERROR(IF(maxifs(Documents!$E$2:$E$1421,Documents!$A$2:$A$1421,$A158,Documents!$C$2:$C$1421,"sustainability")=0,"",maxifs(Documents!$E$2:$E$1421,Documents!$A$2:$A$1421,$A158,Documents!$C$2:$C$1421,"sustainability")),"")</f>
        <v/>
      </c>
      <c r="Q158" s="0" t="str">
        <f aca="false">IFERROR(IF(maxifs(Documents!$E$2:$E$1421,Documents!$A$2:$A$1421,$A158,Documents!$C$2:$C$1421,"calendar")=0,"",maxifs(Documents!$E$2:$E$1421,Documents!$A$2:$A$1421,$A158,Documents!$C$2:$C$1421,"calendar")),"")</f>
        <v/>
      </c>
      <c r="R158" s="0" t="str">
        <f aca="false">IFERROR(IF(maxifs(Documents!$E$2:$E$1421,Documents!$A$2:$A$1421,$A158,Documents!$C$2:$C$1421,"brochure")=0,"",maxifs(Documents!$E$2:$E$1421,Documents!$A$2:$A$1421,$A158,Documents!$C$2:$C$1421,"brochure")),"")</f>
        <v/>
      </c>
      <c r="S158" s="0" t="str">
        <f aca="false">IFERROR(IF(maxifs(Documents!$E$2:$E$1421,Documents!$A$2:$A$1421,$A158,Documents!$C$2:$C$1421,"press_kit")=0,"",maxifs(Documents!$E$2:$E$1421,Documents!$A$2:$A$1421,$A158,Documents!$C$2:$C$1421,"press_kit")),"")</f>
        <v/>
      </c>
      <c r="T158" s="0" t="str">
        <f aca="false">IFERROR(IF(maxifs(Documents!$E$2:$E$1421,Documents!$A$2:$A$1421,$A158,Documents!$C$2:$C$1421,"other")=0,"",maxifs(Documents!$E$2:$E$1421,Documents!$A$2:$A$1421,$A158,Documents!$C$2:$C$1421,"other")),"")</f>
        <v/>
      </c>
      <c r="U158" s="0" t="str">
        <f aca="false">IFERROR(IF(maxifs(Documents!$E$2:$E$1421,Documents!$A$2:$A$1421,$A158,Documents!$C$2:$C$1421,"obsolete")=0,"",maxifs(Documents!$E$2:$E$1421,Documents!$A$2:$A$1421,$A158,Documents!$C$2:$C$1421,"obsolete")),"")</f>
        <v/>
      </c>
      <c r="V158" s="0" t="n">
        <f aca="false">COUNTIFS(Documents!$A$2:$A$1421,$A158)</f>
        <v>22</v>
      </c>
      <c r="W158" s="0" t="n">
        <f aca="false">COUNTIFS(Documents!$A$2:$A$1421,$A158,Documents!$R$2:$R$1421,"current")</f>
        <v>5</v>
      </c>
      <c r="X158" s="0" t="str">
        <f aca="false">HYPERLINK("https://d7h9v39iheghu.cloudfront.net/previews/7837a234-9635-4da8-b132-476aacd9b4c1/397975b9-e453-4fa8-acb7-4ab8dbe8fb8e/397975b9-e453-4fa8-acb7-4ab8dbe8fb8e?Policy=eyJTdGF0ZW1lbnQiOiBbeyJSZXNvdXJjZSI6Imh0dHBzOi8vZDdoOXYzOWloZWdodS5jbG91ZGZyb250Lm5ldC9wcmV2aWV3cy83ODM3YTIzNC05NjM1LTRkYTgtYjEzMi00NzZhYWNkOWI0YzEqIiwiQ29uZGl0aW9uIjp7IkRhdGVMZXNzVGhhbiI6eyJBV1M6RXBvY2hUaW1lIjoxNzkzNjg0MDEwfX19XX0_&amp;Signature=0NCrDHEtg~3Ag4tUAPQa6ilJ6cyZ~w4zVuMSD7cG~r-mqETwrHjP~ymbFvuB7vZlbnPnlWCA1ED5pRAzfLnrljg2GzmBKzehdZ5pgyEdg2DhUh1PdoH9P3mOCEtIvAjK8OJMABLlrsk9l-sKHGYMa1a1Cwv28E-vbs9wjG1faMxEGG67VKe8YrbKJea-zq31p-n-SwDxEgYcBaFhSoyAOtk-LQQh4YnbO4e3Mh1O3qhd1CUPoi~QB1~gR8sul5CK0VJQczSIV5ZAIetLpT6YzKJjTsyOlpvwM1Ndaf6IhiW6ocfSJj45JPk5h8YsmO05fa9p1P7DalJRXVD6AH0o6g__&amp;Key-Pair-Id=APKAJXJN6VNR3OLZJXJA","2026_The Nautilus Maldives - Factsheet 2")</f>
        <v>2026_The Nautilus Maldives - Factsheet 2</v>
      </c>
      <c r="Y158" s="0" t="s">
        <v>35</v>
      </c>
    </row>
    <row r="159" customFormat="false" ht="15" hidden="false" customHeight="false" outlineLevel="0" collapsed="false">
      <c r="A159" s="0" t="n">
        <v>158</v>
      </c>
      <c r="B159" s="0" t="s">
        <v>216</v>
      </c>
      <c r="C159" s="0" t="s">
        <v>112</v>
      </c>
      <c r="D159" s="0" t="str">
        <f aca="false">IFERROR(IF(maxifs(Documents!$E$2:$E$1421,Documents!$A$2:$A$1421,$A159,Documents!$C$2:$C$1421,"factsheet")=0,"",maxifs(Documents!$E$2:$E$1421,Documents!$A$2:$A$1421,$A159,Documents!$C$2:$C$1421,"factsheet")),"")</f>
        <v/>
      </c>
      <c r="E159" s="0" t="str">
        <f aca="false">IFERROR(IF(maxifs(Documents!$E$2:$E$1421,Documents!$A$2:$A$1421,$A159,Documents!$C$2:$C$1421,"wedding")=0,"",maxifs(Documents!$E$2:$E$1421,Documents!$A$2:$A$1421,$A159,Documents!$C$2:$C$1421,"wedding")),"")</f>
        <v/>
      </c>
      <c r="F159" s="0" t="str">
        <f aca="false">IFERROR(IF(maxifs(Documents!$E$2:$E$1421,Documents!$A$2:$A$1421,$A159,Documents!$C$2:$C$1421,"events")=0,"",maxifs(Documents!$E$2:$E$1421,Documents!$A$2:$A$1421,$A159,Documents!$C$2:$C$1421,"events")),"")</f>
        <v/>
      </c>
      <c r="G159" s="0" t="str">
        <f aca="false">IFERROR(IF(maxifs(Documents!$E$2:$E$1421,Documents!$A$2:$A$1421,$A159,Documents!$C$2:$C$1421,"map")=0,"",maxifs(Documents!$E$2:$E$1421,Documents!$A$2:$A$1421,$A159,Documents!$C$2:$C$1421,"map")),"")</f>
        <v/>
      </c>
      <c r="H159" s="0" t="str">
        <f aca="false">IFERROR(IF(maxifs(Documents!$E$2:$E$1421,Documents!$A$2:$A$1421,$A159,Documents!$C$2:$C$1421,"dive_map")=0,"",maxifs(Documents!$E$2:$E$1421,Documents!$A$2:$A$1421,$A159,Documents!$C$2:$C$1421,"dive_map")),"")</f>
        <v/>
      </c>
      <c r="I159" s="0" t="str">
        <f aca="false">IFERROR(IF(maxifs(Documents!$E$2:$E$1421,Documents!$A$2:$A$1421,$A159,Documents!$C$2:$C$1421,"spa_menu")=0,"",maxifs(Documents!$E$2:$E$1421,Documents!$A$2:$A$1421,$A159,Documents!$C$2:$C$1421,"spa_menu")),"")</f>
        <v/>
      </c>
      <c r="J159" s="0" t="str">
        <f aca="false">IFERROR(IF(maxifs(Documents!$E$2:$E$1421,Documents!$A$2:$A$1421,$A159,Documents!$C$2:$C$1421,"dining_menu")=0,"",maxifs(Documents!$E$2:$E$1421,Documents!$A$2:$A$1421,$A159,Documents!$C$2:$C$1421,"dining_menu")),"")</f>
        <v/>
      </c>
      <c r="K159" s="0" t="str">
        <f aca="false">IFERROR(IF(maxifs(Documents!$E$2:$E$1421,Documents!$A$2:$A$1421,$A159,Documents!$C$2:$C$1421,"dive_prices")=0,"",maxifs(Documents!$E$2:$E$1421,Documents!$A$2:$A$1421,$A159,Documents!$C$2:$C$1421,"dive_prices")),"")</f>
        <v/>
      </c>
      <c r="L159" s="0" t="str">
        <f aca="false">IFERROR(IF(maxifs(Documents!$E$2:$E$1421,Documents!$A$2:$A$1421,$A159,Documents!$C$2:$C$1421,"excursions")=0,"",maxifs(Documents!$E$2:$E$1421,Documents!$A$2:$A$1421,$A159,Documents!$C$2:$C$1421,"excursions")),"")</f>
        <v/>
      </c>
      <c r="M159" s="0" t="str">
        <f aca="false">IFERROR(IF(maxifs(Documents!$E$2:$E$1421,Documents!$A$2:$A$1421,$A159,Documents!$C$2:$C$1421,"kids")=0,"",maxifs(Documents!$E$2:$E$1421,Documents!$A$2:$A$1421,$A159,Documents!$C$2:$C$1421,"kids")),"")</f>
        <v/>
      </c>
      <c r="N159" s="0" t="str">
        <f aca="false">IFERROR(IF(maxifs(Documents!$E$2:$E$1421,Documents!$A$2:$A$1421,$A159,Documents!$C$2:$C$1421,"villa_plans")=0,"",maxifs(Documents!$E$2:$E$1421,Documents!$A$2:$A$1421,$A159,Documents!$C$2:$C$1421,"villa_plans")),"")</f>
        <v/>
      </c>
      <c r="O159" s="0" t="str">
        <f aca="false">IFERROR(IF(maxifs(Documents!$E$2:$E$1421,Documents!$A$2:$A$1421,$A159,Documents!$C$2:$C$1421,"all_inclusive")=0,"",maxifs(Documents!$E$2:$E$1421,Documents!$A$2:$A$1421,$A159,Documents!$C$2:$C$1421,"all_inclusive")),"")</f>
        <v/>
      </c>
      <c r="P159" s="0" t="str">
        <f aca="false">IFERROR(IF(maxifs(Documents!$E$2:$E$1421,Documents!$A$2:$A$1421,$A159,Documents!$C$2:$C$1421,"sustainability")=0,"",maxifs(Documents!$E$2:$E$1421,Documents!$A$2:$A$1421,$A159,Documents!$C$2:$C$1421,"sustainability")),"")</f>
        <v/>
      </c>
      <c r="Q159" s="0" t="str">
        <f aca="false">IFERROR(IF(maxifs(Documents!$E$2:$E$1421,Documents!$A$2:$A$1421,$A159,Documents!$C$2:$C$1421,"calendar")=0,"",maxifs(Documents!$E$2:$E$1421,Documents!$A$2:$A$1421,$A159,Documents!$C$2:$C$1421,"calendar")),"")</f>
        <v/>
      </c>
      <c r="R159" s="0" t="str">
        <f aca="false">IFERROR(IF(maxifs(Documents!$E$2:$E$1421,Documents!$A$2:$A$1421,$A159,Documents!$C$2:$C$1421,"brochure")=0,"",maxifs(Documents!$E$2:$E$1421,Documents!$A$2:$A$1421,$A159,Documents!$C$2:$C$1421,"brochure")),"")</f>
        <v/>
      </c>
      <c r="S159" s="0" t="str">
        <f aca="false">IFERROR(IF(maxifs(Documents!$E$2:$E$1421,Documents!$A$2:$A$1421,$A159,Documents!$C$2:$C$1421,"press_kit")=0,"",maxifs(Documents!$E$2:$E$1421,Documents!$A$2:$A$1421,$A159,Documents!$C$2:$C$1421,"press_kit")),"")</f>
        <v/>
      </c>
      <c r="T159" s="0" t="str">
        <f aca="false">IFERROR(IF(maxifs(Documents!$E$2:$E$1421,Documents!$A$2:$A$1421,$A159,Documents!$C$2:$C$1421,"other")=0,"",maxifs(Documents!$E$2:$E$1421,Documents!$A$2:$A$1421,$A159,Documents!$C$2:$C$1421,"other")),"")</f>
        <v/>
      </c>
      <c r="U159" s="0" t="str">
        <f aca="false">IFERROR(IF(maxifs(Documents!$E$2:$E$1421,Documents!$A$2:$A$1421,$A159,Documents!$C$2:$C$1421,"obsolete")=0,"",maxifs(Documents!$E$2:$E$1421,Documents!$A$2:$A$1421,$A159,Documents!$C$2:$C$1421,"obsolete")),"")</f>
        <v/>
      </c>
      <c r="V159" s="0" t="n">
        <f aca="false">COUNTIFS(Documents!$A$2:$A$1421,$A159)</f>
        <v>4</v>
      </c>
      <c r="W159" s="0" t="n">
        <f aca="false">COUNTIFS(Documents!$A$2:$A$1421,$A159,Documents!$R$2:$R$1421,"current")</f>
        <v>3</v>
      </c>
      <c r="X159" s="0" t="str">
        <f aca="false">HYPERLINK("https://www.neoscapesmaldives.com/wp-content/uploads/PAM_FACTSHEET_2025.pdf","2025_PAM_FACTSHEET_2025.pdf")</f>
        <v>2025_PAM_FACTSHEET_2025.pdf</v>
      </c>
      <c r="Y159" s="0" t="s">
        <v>28</v>
      </c>
    </row>
    <row r="160" customFormat="false" ht="15" hidden="false" customHeight="false" outlineLevel="0" collapsed="false">
      <c r="A160" s="0" t="n">
        <v>159</v>
      </c>
      <c r="B160" s="0" t="s">
        <v>217</v>
      </c>
      <c r="C160" s="0" t="s">
        <v>112</v>
      </c>
      <c r="D160" s="0" t="str">
        <f aca="false">IFERROR(IF(maxifs(Documents!$E$2:$E$1421,Documents!$A$2:$A$1421,$A160,Documents!$C$2:$C$1421,"factsheet")=0,"",maxifs(Documents!$E$2:$E$1421,Documents!$A$2:$A$1421,$A160,Documents!$C$2:$C$1421,"factsheet")),"")</f>
        <v/>
      </c>
      <c r="E160" s="0" t="str">
        <f aca="false">IFERROR(IF(maxifs(Documents!$E$2:$E$1421,Documents!$A$2:$A$1421,$A160,Documents!$C$2:$C$1421,"wedding")=0,"",maxifs(Documents!$E$2:$E$1421,Documents!$A$2:$A$1421,$A160,Documents!$C$2:$C$1421,"wedding")),"")</f>
        <v/>
      </c>
      <c r="F160" s="0" t="str">
        <f aca="false">IFERROR(IF(maxifs(Documents!$E$2:$E$1421,Documents!$A$2:$A$1421,$A160,Documents!$C$2:$C$1421,"events")=0,"",maxifs(Documents!$E$2:$E$1421,Documents!$A$2:$A$1421,$A160,Documents!$C$2:$C$1421,"events")),"")</f>
        <v/>
      </c>
      <c r="G160" s="0" t="str">
        <f aca="false">IFERROR(IF(maxifs(Documents!$E$2:$E$1421,Documents!$A$2:$A$1421,$A160,Documents!$C$2:$C$1421,"map")=0,"",maxifs(Documents!$E$2:$E$1421,Documents!$A$2:$A$1421,$A160,Documents!$C$2:$C$1421,"map")),"")</f>
        <v/>
      </c>
      <c r="H160" s="0" t="str">
        <f aca="false">IFERROR(IF(maxifs(Documents!$E$2:$E$1421,Documents!$A$2:$A$1421,$A160,Documents!$C$2:$C$1421,"dive_map")=0,"",maxifs(Documents!$E$2:$E$1421,Documents!$A$2:$A$1421,$A160,Documents!$C$2:$C$1421,"dive_map")),"")</f>
        <v/>
      </c>
      <c r="I160" s="0" t="str">
        <f aca="false">IFERROR(IF(maxifs(Documents!$E$2:$E$1421,Documents!$A$2:$A$1421,$A160,Documents!$C$2:$C$1421,"spa_menu")=0,"",maxifs(Documents!$E$2:$E$1421,Documents!$A$2:$A$1421,$A160,Documents!$C$2:$C$1421,"spa_menu")),"")</f>
        <v/>
      </c>
      <c r="J160" s="0" t="str">
        <f aca="false">IFERROR(IF(maxifs(Documents!$E$2:$E$1421,Documents!$A$2:$A$1421,$A160,Documents!$C$2:$C$1421,"dining_menu")=0,"",maxifs(Documents!$E$2:$E$1421,Documents!$A$2:$A$1421,$A160,Documents!$C$2:$C$1421,"dining_menu")),"")</f>
        <v/>
      </c>
      <c r="K160" s="0" t="str">
        <f aca="false">IFERROR(IF(maxifs(Documents!$E$2:$E$1421,Documents!$A$2:$A$1421,$A160,Documents!$C$2:$C$1421,"dive_prices")=0,"",maxifs(Documents!$E$2:$E$1421,Documents!$A$2:$A$1421,$A160,Documents!$C$2:$C$1421,"dive_prices")),"")</f>
        <v/>
      </c>
      <c r="L160" s="0" t="str">
        <f aca="false">IFERROR(IF(maxifs(Documents!$E$2:$E$1421,Documents!$A$2:$A$1421,$A160,Documents!$C$2:$C$1421,"excursions")=0,"",maxifs(Documents!$E$2:$E$1421,Documents!$A$2:$A$1421,$A160,Documents!$C$2:$C$1421,"excursions")),"")</f>
        <v/>
      </c>
      <c r="M160" s="0" t="str">
        <f aca="false">IFERROR(IF(maxifs(Documents!$E$2:$E$1421,Documents!$A$2:$A$1421,$A160,Documents!$C$2:$C$1421,"kids")=0,"",maxifs(Documents!$E$2:$E$1421,Documents!$A$2:$A$1421,$A160,Documents!$C$2:$C$1421,"kids")),"")</f>
        <v/>
      </c>
      <c r="N160" s="0" t="str">
        <f aca="false">IFERROR(IF(maxifs(Documents!$E$2:$E$1421,Documents!$A$2:$A$1421,$A160,Documents!$C$2:$C$1421,"villa_plans")=0,"",maxifs(Documents!$E$2:$E$1421,Documents!$A$2:$A$1421,$A160,Documents!$C$2:$C$1421,"villa_plans")),"")</f>
        <v/>
      </c>
      <c r="O160" s="0" t="str">
        <f aca="false">IFERROR(IF(maxifs(Documents!$E$2:$E$1421,Documents!$A$2:$A$1421,$A160,Documents!$C$2:$C$1421,"all_inclusive")=0,"",maxifs(Documents!$E$2:$E$1421,Documents!$A$2:$A$1421,$A160,Documents!$C$2:$C$1421,"all_inclusive")),"")</f>
        <v/>
      </c>
      <c r="P160" s="0" t="str">
        <f aca="false">IFERROR(IF(maxifs(Documents!$E$2:$E$1421,Documents!$A$2:$A$1421,$A160,Documents!$C$2:$C$1421,"sustainability")=0,"",maxifs(Documents!$E$2:$E$1421,Documents!$A$2:$A$1421,$A160,Documents!$C$2:$C$1421,"sustainability")),"")</f>
        <v/>
      </c>
      <c r="Q160" s="0" t="str">
        <f aca="false">IFERROR(IF(maxifs(Documents!$E$2:$E$1421,Documents!$A$2:$A$1421,$A160,Documents!$C$2:$C$1421,"calendar")=0,"",maxifs(Documents!$E$2:$E$1421,Documents!$A$2:$A$1421,$A160,Documents!$C$2:$C$1421,"calendar")),"")</f>
        <v/>
      </c>
      <c r="R160" s="0" t="str">
        <f aca="false">IFERROR(IF(maxifs(Documents!$E$2:$E$1421,Documents!$A$2:$A$1421,$A160,Documents!$C$2:$C$1421,"brochure")=0,"",maxifs(Documents!$E$2:$E$1421,Documents!$A$2:$A$1421,$A160,Documents!$C$2:$C$1421,"brochure")),"")</f>
        <v/>
      </c>
      <c r="S160" s="0" t="str">
        <f aca="false">IFERROR(IF(maxifs(Documents!$E$2:$E$1421,Documents!$A$2:$A$1421,$A160,Documents!$C$2:$C$1421,"press_kit")=0,"",maxifs(Documents!$E$2:$E$1421,Documents!$A$2:$A$1421,$A160,Documents!$C$2:$C$1421,"press_kit")),"")</f>
        <v/>
      </c>
      <c r="T160" s="0" t="str">
        <f aca="false">IFERROR(IF(maxifs(Documents!$E$2:$E$1421,Documents!$A$2:$A$1421,$A160,Documents!$C$2:$C$1421,"other")=0,"",maxifs(Documents!$E$2:$E$1421,Documents!$A$2:$A$1421,$A160,Documents!$C$2:$C$1421,"other")),"")</f>
        <v/>
      </c>
      <c r="U160" s="0" t="str">
        <f aca="false">IFERROR(IF(maxifs(Documents!$E$2:$E$1421,Documents!$A$2:$A$1421,$A160,Documents!$C$2:$C$1421,"obsolete")=0,"",maxifs(Documents!$E$2:$E$1421,Documents!$A$2:$A$1421,$A160,Documents!$C$2:$C$1421,"obsolete")),"")</f>
        <v/>
      </c>
      <c r="V160" s="0" t="n">
        <f aca="false">COUNTIFS(Documents!$A$2:$A$1421,$A160)</f>
        <v>4</v>
      </c>
      <c r="W160" s="0" t="n">
        <f aca="false">COUNTIFS(Documents!$A$2:$A$1421,$A160,Documents!$R$2:$R$1421,"current")</f>
        <v>2</v>
      </c>
      <c r="X160" s="0" t="str">
        <f aca="false">HYPERLINK("https://www.neoscapesmaldives.com/wp-content/uploads/Fact-sheet-Dhonveli.pdf","2023_Fact-sheet-Dhonveli.pdf")</f>
        <v>2023_Fact-sheet-Dhonveli.pdf</v>
      </c>
      <c r="Y160" s="0" t="s">
        <v>28</v>
      </c>
    </row>
    <row r="161" customFormat="false" ht="15" hidden="false" customHeight="false" outlineLevel="0" collapsed="false">
      <c r="A161" s="0" t="n">
        <v>160</v>
      </c>
      <c r="B161" s="0" t="s">
        <v>218</v>
      </c>
      <c r="C161" s="0" t="s">
        <v>112</v>
      </c>
      <c r="D161" s="0" t="str">
        <f aca="false">IFERROR(IF(maxifs(Documents!$E$2:$E$1421,Documents!$A$2:$A$1421,$A161,Documents!$C$2:$C$1421,"factsheet")=0,"",maxifs(Documents!$E$2:$E$1421,Documents!$A$2:$A$1421,$A161,Documents!$C$2:$C$1421,"factsheet")),"")</f>
        <v/>
      </c>
      <c r="E161" s="0" t="str">
        <f aca="false">IFERROR(IF(maxifs(Documents!$E$2:$E$1421,Documents!$A$2:$A$1421,$A161,Documents!$C$2:$C$1421,"wedding")=0,"",maxifs(Documents!$E$2:$E$1421,Documents!$A$2:$A$1421,$A161,Documents!$C$2:$C$1421,"wedding")),"")</f>
        <v/>
      </c>
      <c r="F161" s="0" t="str">
        <f aca="false">IFERROR(IF(maxifs(Documents!$E$2:$E$1421,Documents!$A$2:$A$1421,$A161,Documents!$C$2:$C$1421,"events")=0,"",maxifs(Documents!$E$2:$E$1421,Documents!$A$2:$A$1421,$A161,Documents!$C$2:$C$1421,"events")),"")</f>
        <v/>
      </c>
      <c r="G161" s="0" t="str">
        <f aca="false">IFERROR(IF(maxifs(Documents!$E$2:$E$1421,Documents!$A$2:$A$1421,$A161,Documents!$C$2:$C$1421,"map")=0,"",maxifs(Documents!$E$2:$E$1421,Documents!$A$2:$A$1421,$A161,Documents!$C$2:$C$1421,"map")),"")</f>
        <v/>
      </c>
      <c r="H161" s="0" t="str">
        <f aca="false">IFERROR(IF(maxifs(Documents!$E$2:$E$1421,Documents!$A$2:$A$1421,$A161,Documents!$C$2:$C$1421,"dive_map")=0,"",maxifs(Documents!$E$2:$E$1421,Documents!$A$2:$A$1421,$A161,Documents!$C$2:$C$1421,"dive_map")),"")</f>
        <v/>
      </c>
      <c r="I161" s="0" t="str">
        <f aca="false">IFERROR(IF(maxifs(Documents!$E$2:$E$1421,Documents!$A$2:$A$1421,$A161,Documents!$C$2:$C$1421,"spa_menu")=0,"",maxifs(Documents!$E$2:$E$1421,Documents!$A$2:$A$1421,$A161,Documents!$C$2:$C$1421,"spa_menu")),"")</f>
        <v/>
      </c>
      <c r="J161" s="0" t="str">
        <f aca="false">IFERROR(IF(maxifs(Documents!$E$2:$E$1421,Documents!$A$2:$A$1421,$A161,Documents!$C$2:$C$1421,"dining_menu")=0,"",maxifs(Documents!$E$2:$E$1421,Documents!$A$2:$A$1421,$A161,Documents!$C$2:$C$1421,"dining_menu")),"")</f>
        <v/>
      </c>
      <c r="K161" s="0" t="str">
        <f aca="false">IFERROR(IF(maxifs(Documents!$E$2:$E$1421,Documents!$A$2:$A$1421,$A161,Documents!$C$2:$C$1421,"dive_prices")=0,"",maxifs(Documents!$E$2:$E$1421,Documents!$A$2:$A$1421,$A161,Documents!$C$2:$C$1421,"dive_prices")),"")</f>
        <v/>
      </c>
      <c r="L161" s="0" t="str">
        <f aca="false">IFERROR(IF(maxifs(Documents!$E$2:$E$1421,Documents!$A$2:$A$1421,$A161,Documents!$C$2:$C$1421,"excursions")=0,"",maxifs(Documents!$E$2:$E$1421,Documents!$A$2:$A$1421,$A161,Documents!$C$2:$C$1421,"excursions")),"")</f>
        <v/>
      </c>
      <c r="M161" s="0" t="str">
        <f aca="false">IFERROR(IF(maxifs(Documents!$E$2:$E$1421,Documents!$A$2:$A$1421,$A161,Documents!$C$2:$C$1421,"kids")=0,"",maxifs(Documents!$E$2:$E$1421,Documents!$A$2:$A$1421,$A161,Documents!$C$2:$C$1421,"kids")),"")</f>
        <v/>
      </c>
      <c r="N161" s="0" t="str">
        <f aca="false">IFERROR(IF(maxifs(Documents!$E$2:$E$1421,Documents!$A$2:$A$1421,$A161,Documents!$C$2:$C$1421,"villa_plans")=0,"",maxifs(Documents!$E$2:$E$1421,Documents!$A$2:$A$1421,$A161,Documents!$C$2:$C$1421,"villa_plans")),"")</f>
        <v/>
      </c>
      <c r="O161" s="0" t="str">
        <f aca="false">IFERROR(IF(maxifs(Documents!$E$2:$E$1421,Documents!$A$2:$A$1421,$A161,Documents!$C$2:$C$1421,"all_inclusive")=0,"",maxifs(Documents!$E$2:$E$1421,Documents!$A$2:$A$1421,$A161,Documents!$C$2:$C$1421,"all_inclusive")),"")</f>
        <v/>
      </c>
      <c r="P161" s="0" t="str">
        <f aca="false">IFERROR(IF(maxifs(Documents!$E$2:$E$1421,Documents!$A$2:$A$1421,$A161,Documents!$C$2:$C$1421,"sustainability")=0,"",maxifs(Documents!$E$2:$E$1421,Documents!$A$2:$A$1421,$A161,Documents!$C$2:$C$1421,"sustainability")),"")</f>
        <v/>
      </c>
      <c r="Q161" s="0" t="str">
        <f aca="false">IFERROR(IF(maxifs(Documents!$E$2:$E$1421,Documents!$A$2:$A$1421,$A161,Documents!$C$2:$C$1421,"calendar")=0,"",maxifs(Documents!$E$2:$E$1421,Documents!$A$2:$A$1421,$A161,Documents!$C$2:$C$1421,"calendar")),"")</f>
        <v/>
      </c>
      <c r="R161" s="0" t="str">
        <f aca="false">IFERROR(IF(maxifs(Documents!$E$2:$E$1421,Documents!$A$2:$A$1421,$A161,Documents!$C$2:$C$1421,"brochure")=0,"",maxifs(Documents!$E$2:$E$1421,Documents!$A$2:$A$1421,$A161,Documents!$C$2:$C$1421,"brochure")),"")</f>
        <v/>
      </c>
      <c r="S161" s="0" t="str">
        <f aca="false">IFERROR(IF(maxifs(Documents!$E$2:$E$1421,Documents!$A$2:$A$1421,$A161,Documents!$C$2:$C$1421,"press_kit")=0,"",maxifs(Documents!$E$2:$E$1421,Documents!$A$2:$A$1421,$A161,Documents!$C$2:$C$1421,"press_kit")),"")</f>
        <v/>
      </c>
      <c r="T161" s="0" t="str">
        <f aca="false">IFERROR(IF(maxifs(Documents!$E$2:$E$1421,Documents!$A$2:$A$1421,$A161,Documents!$C$2:$C$1421,"other")=0,"",maxifs(Documents!$E$2:$E$1421,Documents!$A$2:$A$1421,$A161,Documents!$C$2:$C$1421,"other")),"")</f>
        <v/>
      </c>
      <c r="U161" s="0" t="str">
        <f aca="false">IFERROR(IF(maxifs(Documents!$E$2:$E$1421,Documents!$A$2:$A$1421,$A161,Documents!$C$2:$C$1421,"obsolete")=0,"",maxifs(Documents!$E$2:$E$1421,Documents!$A$2:$A$1421,$A161,Documents!$C$2:$C$1421,"obsolete")),"")</f>
        <v/>
      </c>
      <c r="V161" s="0" t="n">
        <f aca="false">COUNTIFS(Documents!$A$2:$A$1421,$A161)</f>
        <v>3</v>
      </c>
      <c r="W161" s="0" t="n">
        <f aca="false">COUNTIFS(Documents!$A$2:$A$1421,$A161,Documents!$R$2:$R$1421,"current")</f>
        <v>2</v>
      </c>
      <c r="X161" s="0" t="str">
        <f aca="false">HYPERLINK("https://www.neoscapesmaldives.com/wp-content/uploads/Fact-sheet-Velifushi.pdf","2023_Fact-sheet-Velifushi.pdf")</f>
        <v>2023_Fact-sheet-Velifushi.pdf</v>
      </c>
      <c r="Y161" s="0" t="s">
        <v>28</v>
      </c>
    </row>
    <row r="162" customFormat="false" ht="15" hidden="false" customHeight="false" outlineLevel="0" collapsed="false">
      <c r="A162" s="0" t="n">
        <v>161</v>
      </c>
      <c r="B162" s="0" t="s">
        <v>219</v>
      </c>
      <c r="C162" s="0" t="s">
        <v>112</v>
      </c>
      <c r="D162" s="0" t="str">
        <f aca="false">IFERROR(IF(maxifs(Documents!$E$2:$E$1421,Documents!$A$2:$A$1421,$A162,Documents!$C$2:$C$1421,"factsheet")=0,"",maxifs(Documents!$E$2:$E$1421,Documents!$A$2:$A$1421,$A162,Documents!$C$2:$C$1421,"factsheet")),"")</f>
        <v/>
      </c>
      <c r="E162" s="0" t="str">
        <f aca="false">IFERROR(IF(maxifs(Documents!$E$2:$E$1421,Documents!$A$2:$A$1421,$A162,Documents!$C$2:$C$1421,"wedding")=0,"",maxifs(Documents!$E$2:$E$1421,Documents!$A$2:$A$1421,$A162,Documents!$C$2:$C$1421,"wedding")),"")</f>
        <v/>
      </c>
      <c r="F162" s="0" t="str">
        <f aca="false">IFERROR(IF(maxifs(Documents!$E$2:$E$1421,Documents!$A$2:$A$1421,$A162,Documents!$C$2:$C$1421,"events")=0,"",maxifs(Documents!$E$2:$E$1421,Documents!$A$2:$A$1421,$A162,Documents!$C$2:$C$1421,"events")),"")</f>
        <v/>
      </c>
      <c r="G162" s="0" t="str">
        <f aca="false">IFERROR(IF(maxifs(Documents!$E$2:$E$1421,Documents!$A$2:$A$1421,$A162,Documents!$C$2:$C$1421,"map")=0,"",maxifs(Documents!$E$2:$E$1421,Documents!$A$2:$A$1421,$A162,Documents!$C$2:$C$1421,"map")),"")</f>
        <v/>
      </c>
      <c r="H162" s="0" t="str">
        <f aca="false">IFERROR(IF(maxifs(Documents!$E$2:$E$1421,Documents!$A$2:$A$1421,$A162,Documents!$C$2:$C$1421,"dive_map")=0,"",maxifs(Documents!$E$2:$E$1421,Documents!$A$2:$A$1421,$A162,Documents!$C$2:$C$1421,"dive_map")),"")</f>
        <v/>
      </c>
      <c r="I162" s="0" t="str">
        <f aca="false">IFERROR(IF(maxifs(Documents!$E$2:$E$1421,Documents!$A$2:$A$1421,$A162,Documents!$C$2:$C$1421,"spa_menu")=0,"",maxifs(Documents!$E$2:$E$1421,Documents!$A$2:$A$1421,$A162,Documents!$C$2:$C$1421,"spa_menu")),"")</f>
        <v/>
      </c>
      <c r="J162" s="0" t="str">
        <f aca="false">IFERROR(IF(maxifs(Documents!$E$2:$E$1421,Documents!$A$2:$A$1421,$A162,Documents!$C$2:$C$1421,"dining_menu")=0,"",maxifs(Documents!$E$2:$E$1421,Documents!$A$2:$A$1421,$A162,Documents!$C$2:$C$1421,"dining_menu")),"")</f>
        <v/>
      </c>
      <c r="K162" s="0" t="str">
        <f aca="false">IFERROR(IF(maxifs(Documents!$E$2:$E$1421,Documents!$A$2:$A$1421,$A162,Documents!$C$2:$C$1421,"dive_prices")=0,"",maxifs(Documents!$E$2:$E$1421,Documents!$A$2:$A$1421,$A162,Documents!$C$2:$C$1421,"dive_prices")),"")</f>
        <v/>
      </c>
      <c r="L162" s="0" t="str">
        <f aca="false">IFERROR(IF(maxifs(Documents!$E$2:$E$1421,Documents!$A$2:$A$1421,$A162,Documents!$C$2:$C$1421,"excursions")=0,"",maxifs(Documents!$E$2:$E$1421,Documents!$A$2:$A$1421,$A162,Documents!$C$2:$C$1421,"excursions")),"")</f>
        <v/>
      </c>
      <c r="M162" s="0" t="str">
        <f aca="false">IFERROR(IF(maxifs(Documents!$E$2:$E$1421,Documents!$A$2:$A$1421,$A162,Documents!$C$2:$C$1421,"kids")=0,"",maxifs(Documents!$E$2:$E$1421,Documents!$A$2:$A$1421,$A162,Documents!$C$2:$C$1421,"kids")),"")</f>
        <v/>
      </c>
      <c r="N162" s="0" t="str">
        <f aca="false">IFERROR(IF(maxifs(Documents!$E$2:$E$1421,Documents!$A$2:$A$1421,$A162,Documents!$C$2:$C$1421,"villa_plans")=0,"",maxifs(Documents!$E$2:$E$1421,Documents!$A$2:$A$1421,$A162,Documents!$C$2:$C$1421,"villa_plans")),"")</f>
        <v/>
      </c>
      <c r="O162" s="0" t="str">
        <f aca="false">IFERROR(IF(maxifs(Documents!$E$2:$E$1421,Documents!$A$2:$A$1421,$A162,Documents!$C$2:$C$1421,"all_inclusive")=0,"",maxifs(Documents!$E$2:$E$1421,Documents!$A$2:$A$1421,$A162,Documents!$C$2:$C$1421,"all_inclusive")),"")</f>
        <v/>
      </c>
      <c r="P162" s="0" t="str">
        <f aca="false">IFERROR(IF(maxifs(Documents!$E$2:$E$1421,Documents!$A$2:$A$1421,$A162,Documents!$C$2:$C$1421,"sustainability")=0,"",maxifs(Documents!$E$2:$E$1421,Documents!$A$2:$A$1421,$A162,Documents!$C$2:$C$1421,"sustainability")),"")</f>
        <v/>
      </c>
      <c r="Q162" s="0" t="str">
        <f aca="false">IFERROR(IF(maxifs(Documents!$E$2:$E$1421,Documents!$A$2:$A$1421,$A162,Documents!$C$2:$C$1421,"calendar")=0,"",maxifs(Documents!$E$2:$E$1421,Documents!$A$2:$A$1421,$A162,Documents!$C$2:$C$1421,"calendar")),"")</f>
        <v/>
      </c>
      <c r="R162" s="0" t="str">
        <f aca="false">IFERROR(IF(maxifs(Documents!$E$2:$E$1421,Documents!$A$2:$A$1421,$A162,Documents!$C$2:$C$1421,"brochure")=0,"",maxifs(Documents!$E$2:$E$1421,Documents!$A$2:$A$1421,$A162,Documents!$C$2:$C$1421,"brochure")),"")</f>
        <v/>
      </c>
      <c r="S162" s="0" t="str">
        <f aca="false">IFERROR(IF(maxifs(Documents!$E$2:$E$1421,Documents!$A$2:$A$1421,$A162,Documents!$C$2:$C$1421,"press_kit")=0,"",maxifs(Documents!$E$2:$E$1421,Documents!$A$2:$A$1421,$A162,Documents!$C$2:$C$1421,"press_kit")),"")</f>
        <v/>
      </c>
      <c r="T162" s="0" t="str">
        <f aca="false">IFERROR(IF(maxifs(Documents!$E$2:$E$1421,Documents!$A$2:$A$1421,$A162,Documents!$C$2:$C$1421,"other")=0,"",maxifs(Documents!$E$2:$E$1421,Documents!$A$2:$A$1421,$A162,Documents!$C$2:$C$1421,"other")),"")</f>
        <v/>
      </c>
      <c r="U162" s="0" t="str">
        <f aca="false">IFERROR(IF(maxifs(Documents!$E$2:$E$1421,Documents!$A$2:$A$1421,$A162,Documents!$C$2:$C$1421,"obsolete")=0,"",maxifs(Documents!$E$2:$E$1421,Documents!$A$2:$A$1421,$A162,Documents!$C$2:$C$1421,"obsolete")),"")</f>
        <v/>
      </c>
      <c r="V162" s="0" t="n">
        <f aca="false">COUNTIFS(Documents!$A$2:$A$1421,$A162)</f>
        <v>1</v>
      </c>
      <c r="W162" s="0" t="n">
        <f aca="false">COUNTIFS(Documents!$A$2:$A$1421,$A162,Documents!$R$2:$R$1421,"current")</f>
        <v>1</v>
      </c>
      <c r="Y162" s="0" t="s">
        <v>31</v>
      </c>
    </row>
    <row r="163" customFormat="false" ht="15" hidden="false" customHeight="false" outlineLevel="0" collapsed="false">
      <c r="A163" s="0" t="n">
        <v>162</v>
      </c>
      <c r="B163" s="0" t="s">
        <v>220</v>
      </c>
      <c r="C163" s="0" t="s">
        <v>112</v>
      </c>
      <c r="D163" s="0" t="str">
        <f aca="false">IFERROR(IF(maxifs(Documents!$E$2:$E$1421,Documents!$A$2:$A$1421,$A163,Documents!$C$2:$C$1421,"factsheet")=0,"",maxifs(Documents!$E$2:$E$1421,Documents!$A$2:$A$1421,$A163,Documents!$C$2:$C$1421,"factsheet")),"")</f>
        <v/>
      </c>
      <c r="E163" s="0" t="str">
        <f aca="false">IFERROR(IF(maxifs(Documents!$E$2:$E$1421,Documents!$A$2:$A$1421,$A163,Documents!$C$2:$C$1421,"wedding")=0,"",maxifs(Documents!$E$2:$E$1421,Documents!$A$2:$A$1421,$A163,Documents!$C$2:$C$1421,"wedding")),"")</f>
        <v/>
      </c>
      <c r="F163" s="0" t="str">
        <f aca="false">IFERROR(IF(maxifs(Documents!$E$2:$E$1421,Documents!$A$2:$A$1421,$A163,Documents!$C$2:$C$1421,"events")=0,"",maxifs(Documents!$E$2:$E$1421,Documents!$A$2:$A$1421,$A163,Documents!$C$2:$C$1421,"events")),"")</f>
        <v/>
      </c>
      <c r="G163" s="0" t="str">
        <f aca="false">IFERROR(IF(maxifs(Documents!$E$2:$E$1421,Documents!$A$2:$A$1421,$A163,Documents!$C$2:$C$1421,"map")=0,"",maxifs(Documents!$E$2:$E$1421,Documents!$A$2:$A$1421,$A163,Documents!$C$2:$C$1421,"map")),"")</f>
        <v/>
      </c>
      <c r="H163" s="0" t="str">
        <f aca="false">IFERROR(IF(maxifs(Documents!$E$2:$E$1421,Documents!$A$2:$A$1421,$A163,Documents!$C$2:$C$1421,"dive_map")=0,"",maxifs(Documents!$E$2:$E$1421,Documents!$A$2:$A$1421,$A163,Documents!$C$2:$C$1421,"dive_map")),"")</f>
        <v/>
      </c>
      <c r="I163" s="0" t="str">
        <f aca="false">IFERROR(IF(maxifs(Documents!$E$2:$E$1421,Documents!$A$2:$A$1421,$A163,Documents!$C$2:$C$1421,"spa_menu")=0,"",maxifs(Documents!$E$2:$E$1421,Documents!$A$2:$A$1421,$A163,Documents!$C$2:$C$1421,"spa_menu")),"")</f>
        <v/>
      </c>
      <c r="J163" s="0" t="str">
        <f aca="false">IFERROR(IF(maxifs(Documents!$E$2:$E$1421,Documents!$A$2:$A$1421,$A163,Documents!$C$2:$C$1421,"dining_menu")=0,"",maxifs(Documents!$E$2:$E$1421,Documents!$A$2:$A$1421,$A163,Documents!$C$2:$C$1421,"dining_menu")),"")</f>
        <v/>
      </c>
      <c r="K163" s="0" t="str">
        <f aca="false">IFERROR(IF(maxifs(Documents!$E$2:$E$1421,Documents!$A$2:$A$1421,$A163,Documents!$C$2:$C$1421,"dive_prices")=0,"",maxifs(Documents!$E$2:$E$1421,Documents!$A$2:$A$1421,$A163,Documents!$C$2:$C$1421,"dive_prices")),"")</f>
        <v/>
      </c>
      <c r="L163" s="0" t="str">
        <f aca="false">IFERROR(IF(maxifs(Documents!$E$2:$E$1421,Documents!$A$2:$A$1421,$A163,Documents!$C$2:$C$1421,"excursions")=0,"",maxifs(Documents!$E$2:$E$1421,Documents!$A$2:$A$1421,$A163,Documents!$C$2:$C$1421,"excursions")),"")</f>
        <v/>
      </c>
      <c r="M163" s="0" t="str">
        <f aca="false">IFERROR(IF(maxifs(Documents!$E$2:$E$1421,Documents!$A$2:$A$1421,$A163,Documents!$C$2:$C$1421,"kids")=0,"",maxifs(Documents!$E$2:$E$1421,Documents!$A$2:$A$1421,$A163,Documents!$C$2:$C$1421,"kids")),"")</f>
        <v/>
      </c>
      <c r="N163" s="0" t="str">
        <f aca="false">IFERROR(IF(maxifs(Documents!$E$2:$E$1421,Documents!$A$2:$A$1421,$A163,Documents!$C$2:$C$1421,"villa_plans")=0,"",maxifs(Documents!$E$2:$E$1421,Documents!$A$2:$A$1421,$A163,Documents!$C$2:$C$1421,"villa_plans")),"")</f>
        <v/>
      </c>
      <c r="O163" s="0" t="str">
        <f aca="false">IFERROR(IF(maxifs(Documents!$E$2:$E$1421,Documents!$A$2:$A$1421,$A163,Documents!$C$2:$C$1421,"all_inclusive")=0,"",maxifs(Documents!$E$2:$E$1421,Documents!$A$2:$A$1421,$A163,Documents!$C$2:$C$1421,"all_inclusive")),"")</f>
        <v/>
      </c>
      <c r="P163" s="0" t="str">
        <f aca="false">IFERROR(IF(maxifs(Documents!$E$2:$E$1421,Documents!$A$2:$A$1421,$A163,Documents!$C$2:$C$1421,"sustainability")=0,"",maxifs(Documents!$E$2:$E$1421,Documents!$A$2:$A$1421,$A163,Documents!$C$2:$C$1421,"sustainability")),"")</f>
        <v/>
      </c>
      <c r="Q163" s="0" t="str">
        <f aca="false">IFERROR(IF(maxifs(Documents!$E$2:$E$1421,Documents!$A$2:$A$1421,$A163,Documents!$C$2:$C$1421,"calendar")=0,"",maxifs(Documents!$E$2:$E$1421,Documents!$A$2:$A$1421,$A163,Documents!$C$2:$C$1421,"calendar")),"")</f>
        <v/>
      </c>
      <c r="R163" s="0" t="str">
        <f aca="false">IFERROR(IF(maxifs(Documents!$E$2:$E$1421,Documents!$A$2:$A$1421,$A163,Documents!$C$2:$C$1421,"brochure")=0,"",maxifs(Documents!$E$2:$E$1421,Documents!$A$2:$A$1421,$A163,Documents!$C$2:$C$1421,"brochure")),"")</f>
        <v/>
      </c>
      <c r="S163" s="0" t="str">
        <f aca="false">IFERROR(IF(maxifs(Documents!$E$2:$E$1421,Documents!$A$2:$A$1421,$A163,Documents!$C$2:$C$1421,"press_kit")=0,"",maxifs(Documents!$E$2:$E$1421,Documents!$A$2:$A$1421,$A163,Documents!$C$2:$C$1421,"press_kit")),"")</f>
        <v/>
      </c>
      <c r="T163" s="0" t="str">
        <f aca="false">IFERROR(IF(maxifs(Documents!$E$2:$E$1421,Documents!$A$2:$A$1421,$A163,Documents!$C$2:$C$1421,"other")=0,"",maxifs(Documents!$E$2:$E$1421,Documents!$A$2:$A$1421,$A163,Documents!$C$2:$C$1421,"other")),"")</f>
        <v/>
      </c>
      <c r="U163" s="0" t="str">
        <f aca="false">IFERROR(IF(maxifs(Documents!$E$2:$E$1421,Documents!$A$2:$A$1421,$A163,Documents!$C$2:$C$1421,"obsolete")=0,"",maxifs(Documents!$E$2:$E$1421,Documents!$A$2:$A$1421,$A163,Documents!$C$2:$C$1421,"obsolete")),"")</f>
        <v/>
      </c>
      <c r="V163" s="0" t="n">
        <f aca="false">COUNTIFS(Documents!$A$2:$A$1421,$A163)</f>
        <v>21</v>
      </c>
      <c r="W163" s="0" t="n">
        <f aca="false">COUNTIFS(Documents!$A$2:$A$1421,$A163,Documents!$R$2:$R$1421,"current")</f>
        <v>19</v>
      </c>
      <c r="Y163" s="0" t="s">
        <v>31</v>
      </c>
    </row>
    <row r="164" customFormat="false" ht="15" hidden="false" customHeight="false" outlineLevel="0" collapsed="false">
      <c r="A164" s="0" t="n">
        <v>163</v>
      </c>
      <c r="B164" s="0" t="s">
        <v>221</v>
      </c>
      <c r="C164" s="0" t="s">
        <v>112</v>
      </c>
      <c r="D164" s="0" t="str">
        <f aca="false">IFERROR(IF(maxifs(Documents!$E$2:$E$1421,Documents!$A$2:$A$1421,$A164,Documents!$C$2:$C$1421,"factsheet")=0,"",maxifs(Documents!$E$2:$E$1421,Documents!$A$2:$A$1421,$A164,Documents!$C$2:$C$1421,"factsheet")),"")</f>
        <v/>
      </c>
      <c r="E164" s="0" t="str">
        <f aca="false">IFERROR(IF(maxifs(Documents!$E$2:$E$1421,Documents!$A$2:$A$1421,$A164,Documents!$C$2:$C$1421,"wedding")=0,"",maxifs(Documents!$E$2:$E$1421,Documents!$A$2:$A$1421,$A164,Documents!$C$2:$C$1421,"wedding")),"")</f>
        <v/>
      </c>
      <c r="F164" s="0" t="str">
        <f aca="false">IFERROR(IF(maxifs(Documents!$E$2:$E$1421,Documents!$A$2:$A$1421,$A164,Documents!$C$2:$C$1421,"events")=0,"",maxifs(Documents!$E$2:$E$1421,Documents!$A$2:$A$1421,$A164,Documents!$C$2:$C$1421,"events")),"")</f>
        <v/>
      </c>
      <c r="G164" s="0" t="str">
        <f aca="false">IFERROR(IF(maxifs(Documents!$E$2:$E$1421,Documents!$A$2:$A$1421,$A164,Documents!$C$2:$C$1421,"map")=0,"",maxifs(Documents!$E$2:$E$1421,Documents!$A$2:$A$1421,$A164,Documents!$C$2:$C$1421,"map")),"")</f>
        <v/>
      </c>
      <c r="H164" s="0" t="str">
        <f aca="false">IFERROR(IF(maxifs(Documents!$E$2:$E$1421,Documents!$A$2:$A$1421,$A164,Documents!$C$2:$C$1421,"dive_map")=0,"",maxifs(Documents!$E$2:$E$1421,Documents!$A$2:$A$1421,$A164,Documents!$C$2:$C$1421,"dive_map")),"")</f>
        <v/>
      </c>
      <c r="I164" s="0" t="str">
        <f aca="false">IFERROR(IF(maxifs(Documents!$E$2:$E$1421,Documents!$A$2:$A$1421,$A164,Documents!$C$2:$C$1421,"spa_menu")=0,"",maxifs(Documents!$E$2:$E$1421,Documents!$A$2:$A$1421,$A164,Documents!$C$2:$C$1421,"spa_menu")),"")</f>
        <v/>
      </c>
      <c r="J164" s="0" t="str">
        <f aca="false">IFERROR(IF(maxifs(Documents!$E$2:$E$1421,Documents!$A$2:$A$1421,$A164,Documents!$C$2:$C$1421,"dining_menu")=0,"",maxifs(Documents!$E$2:$E$1421,Documents!$A$2:$A$1421,$A164,Documents!$C$2:$C$1421,"dining_menu")),"")</f>
        <v/>
      </c>
      <c r="K164" s="0" t="str">
        <f aca="false">IFERROR(IF(maxifs(Documents!$E$2:$E$1421,Documents!$A$2:$A$1421,$A164,Documents!$C$2:$C$1421,"dive_prices")=0,"",maxifs(Documents!$E$2:$E$1421,Documents!$A$2:$A$1421,$A164,Documents!$C$2:$C$1421,"dive_prices")),"")</f>
        <v/>
      </c>
      <c r="L164" s="0" t="str">
        <f aca="false">IFERROR(IF(maxifs(Documents!$E$2:$E$1421,Documents!$A$2:$A$1421,$A164,Documents!$C$2:$C$1421,"excursions")=0,"",maxifs(Documents!$E$2:$E$1421,Documents!$A$2:$A$1421,$A164,Documents!$C$2:$C$1421,"excursions")),"")</f>
        <v/>
      </c>
      <c r="M164" s="0" t="str">
        <f aca="false">IFERROR(IF(maxifs(Documents!$E$2:$E$1421,Documents!$A$2:$A$1421,$A164,Documents!$C$2:$C$1421,"kids")=0,"",maxifs(Documents!$E$2:$E$1421,Documents!$A$2:$A$1421,$A164,Documents!$C$2:$C$1421,"kids")),"")</f>
        <v/>
      </c>
      <c r="N164" s="0" t="str">
        <f aca="false">IFERROR(IF(maxifs(Documents!$E$2:$E$1421,Documents!$A$2:$A$1421,$A164,Documents!$C$2:$C$1421,"villa_plans")=0,"",maxifs(Documents!$E$2:$E$1421,Documents!$A$2:$A$1421,$A164,Documents!$C$2:$C$1421,"villa_plans")),"")</f>
        <v/>
      </c>
      <c r="O164" s="0" t="str">
        <f aca="false">IFERROR(IF(maxifs(Documents!$E$2:$E$1421,Documents!$A$2:$A$1421,$A164,Documents!$C$2:$C$1421,"all_inclusive")=0,"",maxifs(Documents!$E$2:$E$1421,Documents!$A$2:$A$1421,$A164,Documents!$C$2:$C$1421,"all_inclusive")),"")</f>
        <v/>
      </c>
      <c r="P164" s="0" t="str">
        <f aca="false">IFERROR(IF(maxifs(Documents!$E$2:$E$1421,Documents!$A$2:$A$1421,$A164,Documents!$C$2:$C$1421,"sustainability")=0,"",maxifs(Documents!$E$2:$E$1421,Documents!$A$2:$A$1421,$A164,Documents!$C$2:$C$1421,"sustainability")),"")</f>
        <v/>
      </c>
      <c r="Q164" s="0" t="str">
        <f aca="false">IFERROR(IF(maxifs(Documents!$E$2:$E$1421,Documents!$A$2:$A$1421,$A164,Documents!$C$2:$C$1421,"calendar")=0,"",maxifs(Documents!$E$2:$E$1421,Documents!$A$2:$A$1421,$A164,Documents!$C$2:$C$1421,"calendar")),"")</f>
        <v/>
      </c>
      <c r="R164" s="0" t="str">
        <f aca="false">IFERROR(IF(maxifs(Documents!$E$2:$E$1421,Documents!$A$2:$A$1421,$A164,Documents!$C$2:$C$1421,"brochure")=0,"",maxifs(Documents!$E$2:$E$1421,Documents!$A$2:$A$1421,$A164,Documents!$C$2:$C$1421,"brochure")),"")</f>
        <v/>
      </c>
      <c r="S164" s="0" t="str">
        <f aca="false">IFERROR(IF(maxifs(Documents!$E$2:$E$1421,Documents!$A$2:$A$1421,$A164,Documents!$C$2:$C$1421,"press_kit")=0,"",maxifs(Documents!$E$2:$E$1421,Documents!$A$2:$A$1421,$A164,Documents!$C$2:$C$1421,"press_kit")),"")</f>
        <v/>
      </c>
      <c r="T164" s="0" t="str">
        <f aca="false">IFERROR(IF(maxifs(Documents!$E$2:$E$1421,Documents!$A$2:$A$1421,$A164,Documents!$C$2:$C$1421,"other")=0,"",maxifs(Documents!$E$2:$E$1421,Documents!$A$2:$A$1421,$A164,Documents!$C$2:$C$1421,"other")),"")</f>
        <v/>
      </c>
      <c r="U164" s="0" t="str">
        <f aca="false">IFERROR(IF(maxifs(Documents!$E$2:$E$1421,Documents!$A$2:$A$1421,$A164,Documents!$C$2:$C$1421,"obsolete")=0,"",maxifs(Documents!$E$2:$E$1421,Documents!$A$2:$A$1421,$A164,Documents!$C$2:$C$1421,"obsolete")),"")</f>
        <v/>
      </c>
      <c r="V164" s="0" t="n">
        <f aca="false">COUNTIFS(Documents!$A$2:$A$1421,$A164)</f>
        <v>8</v>
      </c>
      <c r="W164" s="0" t="n">
        <f aca="false">COUNTIFS(Documents!$A$2:$A$1421,$A164,Documents!$R$2:$R$1421,"current")</f>
        <v>1</v>
      </c>
      <c r="X164" s="0" t="str">
        <f aca="false">HYPERLINK("https://www.neoscapesmaldives.com/wp-content/uploads/Fact-Sheet-Adaara-Prestige-Vadoo.pdf","2023_Fact-Sheet-Adaara-Prestige-Vadoo.pd")</f>
        <v>2023_Fact-Sheet-Adaara-Prestige-Vadoo.pd</v>
      </c>
      <c r="Y164" s="0" t="s">
        <v>28</v>
      </c>
    </row>
    <row r="165" customFormat="false" ht="15" hidden="false" customHeight="false" outlineLevel="0" collapsed="false">
      <c r="A165" s="0" t="n">
        <v>164</v>
      </c>
      <c r="B165" s="0" t="s">
        <v>222</v>
      </c>
      <c r="C165" s="0" t="s">
        <v>112</v>
      </c>
      <c r="D165" s="0" t="str">
        <f aca="false">IFERROR(IF(maxifs(Documents!$E$2:$E$1421,Documents!$A$2:$A$1421,$A165,Documents!$C$2:$C$1421,"factsheet")=0,"",maxifs(Documents!$E$2:$E$1421,Documents!$A$2:$A$1421,$A165,Documents!$C$2:$C$1421,"factsheet")),"")</f>
        <v/>
      </c>
      <c r="E165" s="0" t="str">
        <f aca="false">IFERROR(IF(maxifs(Documents!$E$2:$E$1421,Documents!$A$2:$A$1421,$A165,Documents!$C$2:$C$1421,"wedding")=0,"",maxifs(Documents!$E$2:$E$1421,Documents!$A$2:$A$1421,$A165,Documents!$C$2:$C$1421,"wedding")),"")</f>
        <v/>
      </c>
      <c r="F165" s="0" t="str">
        <f aca="false">IFERROR(IF(maxifs(Documents!$E$2:$E$1421,Documents!$A$2:$A$1421,$A165,Documents!$C$2:$C$1421,"events")=0,"",maxifs(Documents!$E$2:$E$1421,Documents!$A$2:$A$1421,$A165,Documents!$C$2:$C$1421,"events")),"")</f>
        <v/>
      </c>
      <c r="G165" s="0" t="str">
        <f aca="false">IFERROR(IF(maxifs(Documents!$E$2:$E$1421,Documents!$A$2:$A$1421,$A165,Documents!$C$2:$C$1421,"map")=0,"",maxifs(Documents!$E$2:$E$1421,Documents!$A$2:$A$1421,$A165,Documents!$C$2:$C$1421,"map")),"")</f>
        <v/>
      </c>
      <c r="H165" s="0" t="str">
        <f aca="false">IFERROR(IF(maxifs(Documents!$E$2:$E$1421,Documents!$A$2:$A$1421,$A165,Documents!$C$2:$C$1421,"dive_map")=0,"",maxifs(Documents!$E$2:$E$1421,Documents!$A$2:$A$1421,$A165,Documents!$C$2:$C$1421,"dive_map")),"")</f>
        <v/>
      </c>
      <c r="I165" s="0" t="str">
        <f aca="false">IFERROR(IF(maxifs(Documents!$E$2:$E$1421,Documents!$A$2:$A$1421,$A165,Documents!$C$2:$C$1421,"spa_menu")=0,"",maxifs(Documents!$E$2:$E$1421,Documents!$A$2:$A$1421,$A165,Documents!$C$2:$C$1421,"spa_menu")),"")</f>
        <v/>
      </c>
      <c r="J165" s="0" t="str">
        <f aca="false">IFERROR(IF(maxifs(Documents!$E$2:$E$1421,Documents!$A$2:$A$1421,$A165,Documents!$C$2:$C$1421,"dining_menu")=0,"",maxifs(Documents!$E$2:$E$1421,Documents!$A$2:$A$1421,$A165,Documents!$C$2:$C$1421,"dining_menu")),"")</f>
        <v/>
      </c>
      <c r="K165" s="0" t="str">
        <f aca="false">IFERROR(IF(maxifs(Documents!$E$2:$E$1421,Documents!$A$2:$A$1421,$A165,Documents!$C$2:$C$1421,"dive_prices")=0,"",maxifs(Documents!$E$2:$E$1421,Documents!$A$2:$A$1421,$A165,Documents!$C$2:$C$1421,"dive_prices")),"")</f>
        <v/>
      </c>
      <c r="L165" s="0" t="str">
        <f aca="false">IFERROR(IF(maxifs(Documents!$E$2:$E$1421,Documents!$A$2:$A$1421,$A165,Documents!$C$2:$C$1421,"excursions")=0,"",maxifs(Documents!$E$2:$E$1421,Documents!$A$2:$A$1421,$A165,Documents!$C$2:$C$1421,"excursions")),"")</f>
        <v/>
      </c>
      <c r="M165" s="0" t="str">
        <f aca="false">IFERROR(IF(maxifs(Documents!$E$2:$E$1421,Documents!$A$2:$A$1421,$A165,Documents!$C$2:$C$1421,"kids")=0,"",maxifs(Documents!$E$2:$E$1421,Documents!$A$2:$A$1421,$A165,Documents!$C$2:$C$1421,"kids")),"")</f>
        <v/>
      </c>
      <c r="N165" s="0" t="str">
        <f aca="false">IFERROR(IF(maxifs(Documents!$E$2:$E$1421,Documents!$A$2:$A$1421,$A165,Documents!$C$2:$C$1421,"villa_plans")=0,"",maxifs(Documents!$E$2:$E$1421,Documents!$A$2:$A$1421,$A165,Documents!$C$2:$C$1421,"villa_plans")),"")</f>
        <v/>
      </c>
      <c r="O165" s="0" t="str">
        <f aca="false">IFERROR(IF(maxifs(Documents!$E$2:$E$1421,Documents!$A$2:$A$1421,$A165,Documents!$C$2:$C$1421,"all_inclusive")=0,"",maxifs(Documents!$E$2:$E$1421,Documents!$A$2:$A$1421,$A165,Documents!$C$2:$C$1421,"all_inclusive")),"")</f>
        <v/>
      </c>
      <c r="P165" s="0" t="str">
        <f aca="false">IFERROR(IF(maxifs(Documents!$E$2:$E$1421,Documents!$A$2:$A$1421,$A165,Documents!$C$2:$C$1421,"sustainability")=0,"",maxifs(Documents!$E$2:$E$1421,Documents!$A$2:$A$1421,$A165,Documents!$C$2:$C$1421,"sustainability")),"")</f>
        <v/>
      </c>
      <c r="Q165" s="0" t="str">
        <f aca="false">IFERROR(IF(maxifs(Documents!$E$2:$E$1421,Documents!$A$2:$A$1421,$A165,Documents!$C$2:$C$1421,"calendar")=0,"",maxifs(Documents!$E$2:$E$1421,Documents!$A$2:$A$1421,$A165,Documents!$C$2:$C$1421,"calendar")),"")</f>
        <v/>
      </c>
      <c r="R165" s="0" t="str">
        <f aca="false">IFERROR(IF(maxifs(Documents!$E$2:$E$1421,Documents!$A$2:$A$1421,$A165,Documents!$C$2:$C$1421,"brochure")=0,"",maxifs(Documents!$E$2:$E$1421,Documents!$A$2:$A$1421,$A165,Documents!$C$2:$C$1421,"brochure")),"")</f>
        <v/>
      </c>
      <c r="S165" s="0" t="str">
        <f aca="false">IFERROR(IF(maxifs(Documents!$E$2:$E$1421,Documents!$A$2:$A$1421,$A165,Documents!$C$2:$C$1421,"press_kit")=0,"",maxifs(Documents!$E$2:$E$1421,Documents!$A$2:$A$1421,$A165,Documents!$C$2:$C$1421,"press_kit")),"")</f>
        <v/>
      </c>
      <c r="T165" s="0" t="str">
        <f aca="false">IFERROR(IF(maxifs(Documents!$E$2:$E$1421,Documents!$A$2:$A$1421,$A165,Documents!$C$2:$C$1421,"other")=0,"",maxifs(Documents!$E$2:$E$1421,Documents!$A$2:$A$1421,$A165,Documents!$C$2:$C$1421,"other")),"")</f>
        <v/>
      </c>
      <c r="U165" s="0" t="str">
        <f aca="false">IFERROR(IF(maxifs(Documents!$E$2:$E$1421,Documents!$A$2:$A$1421,$A165,Documents!$C$2:$C$1421,"obsolete")=0,"",maxifs(Documents!$E$2:$E$1421,Documents!$A$2:$A$1421,$A165,Documents!$C$2:$C$1421,"obsolete")),"")</f>
        <v/>
      </c>
      <c r="V165" s="0" t="n">
        <f aca="false">COUNTIFS(Documents!$A$2:$A$1421,$A165)</f>
        <v>5</v>
      </c>
      <c r="W165" s="0" t="n">
        <f aca="false">COUNTIFS(Documents!$A$2:$A$1421,$A165,Documents!$R$2:$R$1421,"current")</f>
        <v>3</v>
      </c>
      <c r="X165" s="0" t="str">
        <f aca="false">HYPERLINK("https://awesomegetawaymaldives.com/wp-content/uploads/2026/03/Baros.pdf","2026_Baros.pdf")</f>
        <v>2026_Baros.pdf</v>
      </c>
      <c r="Y165" s="0" t="s">
        <v>28</v>
      </c>
    </row>
    <row r="166" customFormat="false" ht="15" hidden="false" customHeight="false" outlineLevel="0" collapsed="false">
      <c r="A166" s="0" t="n">
        <v>165</v>
      </c>
      <c r="B166" s="0" t="s">
        <v>223</v>
      </c>
      <c r="C166" s="0" t="s">
        <v>112</v>
      </c>
      <c r="D166" s="0" t="str">
        <f aca="false">IFERROR(IF(maxifs(Documents!$E$2:$E$1421,Documents!$A$2:$A$1421,$A166,Documents!$C$2:$C$1421,"factsheet")=0,"",maxifs(Documents!$E$2:$E$1421,Documents!$A$2:$A$1421,$A166,Documents!$C$2:$C$1421,"factsheet")),"")</f>
        <v/>
      </c>
      <c r="E166" s="0" t="str">
        <f aca="false">IFERROR(IF(maxifs(Documents!$E$2:$E$1421,Documents!$A$2:$A$1421,$A166,Documents!$C$2:$C$1421,"wedding")=0,"",maxifs(Documents!$E$2:$E$1421,Documents!$A$2:$A$1421,$A166,Documents!$C$2:$C$1421,"wedding")),"")</f>
        <v/>
      </c>
      <c r="F166" s="0" t="str">
        <f aca="false">IFERROR(IF(maxifs(Documents!$E$2:$E$1421,Documents!$A$2:$A$1421,$A166,Documents!$C$2:$C$1421,"events")=0,"",maxifs(Documents!$E$2:$E$1421,Documents!$A$2:$A$1421,$A166,Documents!$C$2:$C$1421,"events")),"")</f>
        <v/>
      </c>
      <c r="G166" s="0" t="str">
        <f aca="false">IFERROR(IF(maxifs(Documents!$E$2:$E$1421,Documents!$A$2:$A$1421,$A166,Documents!$C$2:$C$1421,"map")=0,"",maxifs(Documents!$E$2:$E$1421,Documents!$A$2:$A$1421,$A166,Documents!$C$2:$C$1421,"map")),"")</f>
        <v/>
      </c>
      <c r="H166" s="0" t="str">
        <f aca="false">IFERROR(IF(maxifs(Documents!$E$2:$E$1421,Documents!$A$2:$A$1421,$A166,Documents!$C$2:$C$1421,"dive_map")=0,"",maxifs(Documents!$E$2:$E$1421,Documents!$A$2:$A$1421,$A166,Documents!$C$2:$C$1421,"dive_map")),"")</f>
        <v/>
      </c>
      <c r="I166" s="0" t="str">
        <f aca="false">IFERROR(IF(maxifs(Documents!$E$2:$E$1421,Documents!$A$2:$A$1421,$A166,Documents!$C$2:$C$1421,"spa_menu")=0,"",maxifs(Documents!$E$2:$E$1421,Documents!$A$2:$A$1421,$A166,Documents!$C$2:$C$1421,"spa_menu")),"")</f>
        <v/>
      </c>
      <c r="J166" s="0" t="str">
        <f aca="false">IFERROR(IF(maxifs(Documents!$E$2:$E$1421,Documents!$A$2:$A$1421,$A166,Documents!$C$2:$C$1421,"dining_menu")=0,"",maxifs(Documents!$E$2:$E$1421,Documents!$A$2:$A$1421,$A166,Documents!$C$2:$C$1421,"dining_menu")),"")</f>
        <v/>
      </c>
      <c r="K166" s="0" t="str">
        <f aca="false">IFERROR(IF(maxifs(Documents!$E$2:$E$1421,Documents!$A$2:$A$1421,$A166,Documents!$C$2:$C$1421,"dive_prices")=0,"",maxifs(Documents!$E$2:$E$1421,Documents!$A$2:$A$1421,$A166,Documents!$C$2:$C$1421,"dive_prices")),"")</f>
        <v/>
      </c>
      <c r="L166" s="0" t="str">
        <f aca="false">IFERROR(IF(maxifs(Documents!$E$2:$E$1421,Documents!$A$2:$A$1421,$A166,Documents!$C$2:$C$1421,"excursions")=0,"",maxifs(Documents!$E$2:$E$1421,Documents!$A$2:$A$1421,$A166,Documents!$C$2:$C$1421,"excursions")),"")</f>
        <v/>
      </c>
      <c r="M166" s="0" t="str">
        <f aca="false">IFERROR(IF(maxifs(Documents!$E$2:$E$1421,Documents!$A$2:$A$1421,$A166,Documents!$C$2:$C$1421,"kids")=0,"",maxifs(Documents!$E$2:$E$1421,Documents!$A$2:$A$1421,$A166,Documents!$C$2:$C$1421,"kids")),"")</f>
        <v/>
      </c>
      <c r="N166" s="0" t="str">
        <f aca="false">IFERROR(IF(maxifs(Documents!$E$2:$E$1421,Documents!$A$2:$A$1421,$A166,Documents!$C$2:$C$1421,"villa_plans")=0,"",maxifs(Documents!$E$2:$E$1421,Documents!$A$2:$A$1421,$A166,Documents!$C$2:$C$1421,"villa_plans")),"")</f>
        <v/>
      </c>
      <c r="O166" s="0" t="str">
        <f aca="false">IFERROR(IF(maxifs(Documents!$E$2:$E$1421,Documents!$A$2:$A$1421,$A166,Documents!$C$2:$C$1421,"all_inclusive")=0,"",maxifs(Documents!$E$2:$E$1421,Documents!$A$2:$A$1421,$A166,Documents!$C$2:$C$1421,"all_inclusive")),"")</f>
        <v/>
      </c>
      <c r="P166" s="0" t="str">
        <f aca="false">IFERROR(IF(maxifs(Documents!$E$2:$E$1421,Documents!$A$2:$A$1421,$A166,Documents!$C$2:$C$1421,"sustainability")=0,"",maxifs(Documents!$E$2:$E$1421,Documents!$A$2:$A$1421,$A166,Documents!$C$2:$C$1421,"sustainability")),"")</f>
        <v/>
      </c>
      <c r="Q166" s="0" t="str">
        <f aca="false">IFERROR(IF(maxifs(Documents!$E$2:$E$1421,Documents!$A$2:$A$1421,$A166,Documents!$C$2:$C$1421,"calendar")=0,"",maxifs(Documents!$E$2:$E$1421,Documents!$A$2:$A$1421,$A166,Documents!$C$2:$C$1421,"calendar")),"")</f>
        <v/>
      </c>
      <c r="R166" s="0" t="str">
        <f aca="false">IFERROR(IF(maxifs(Documents!$E$2:$E$1421,Documents!$A$2:$A$1421,$A166,Documents!$C$2:$C$1421,"brochure")=0,"",maxifs(Documents!$E$2:$E$1421,Documents!$A$2:$A$1421,$A166,Documents!$C$2:$C$1421,"brochure")),"")</f>
        <v/>
      </c>
      <c r="S166" s="0" t="str">
        <f aca="false">IFERROR(IF(maxifs(Documents!$E$2:$E$1421,Documents!$A$2:$A$1421,$A166,Documents!$C$2:$C$1421,"press_kit")=0,"",maxifs(Documents!$E$2:$E$1421,Documents!$A$2:$A$1421,$A166,Documents!$C$2:$C$1421,"press_kit")),"")</f>
        <v/>
      </c>
      <c r="T166" s="0" t="str">
        <f aca="false">IFERROR(IF(maxifs(Documents!$E$2:$E$1421,Documents!$A$2:$A$1421,$A166,Documents!$C$2:$C$1421,"other")=0,"",maxifs(Documents!$E$2:$E$1421,Documents!$A$2:$A$1421,$A166,Documents!$C$2:$C$1421,"other")),"")</f>
        <v/>
      </c>
      <c r="U166" s="0" t="str">
        <f aca="false">IFERROR(IF(maxifs(Documents!$E$2:$E$1421,Documents!$A$2:$A$1421,$A166,Documents!$C$2:$C$1421,"obsolete")=0,"",maxifs(Documents!$E$2:$E$1421,Documents!$A$2:$A$1421,$A166,Documents!$C$2:$C$1421,"obsolete")),"")</f>
        <v/>
      </c>
      <c r="V166" s="0" t="n">
        <f aca="false">COUNTIFS(Documents!$A$2:$A$1421,$A166)</f>
        <v>2</v>
      </c>
      <c r="W166" s="0" t="n">
        <f aca="false">COUNTIFS(Documents!$A$2:$A$1421,$A166,Documents!$R$2:$R$1421,"current")</f>
        <v>0</v>
      </c>
      <c r="X166" s="0" t="str">
        <f aca="false">HYPERLINK("https://www.neoscapesmaldives.com/wp-content/uploads/velasaru_resort_factsheet_rdc.pdf","2020_velasaru_resort_factsheet_rdc.pdf")</f>
        <v>2020_velasaru_resort_factsheet_rdc.pdf</v>
      </c>
      <c r="Y166" s="0" t="s">
        <v>28</v>
      </c>
      <c r="Z166" s="0" t="s">
        <v>224</v>
      </c>
    </row>
    <row r="167" customFormat="false" ht="15" hidden="false" customHeight="false" outlineLevel="0" collapsed="false">
      <c r="A167" s="0" t="n">
        <v>166</v>
      </c>
      <c r="B167" s="0" t="s">
        <v>225</v>
      </c>
      <c r="C167" s="0" t="s">
        <v>112</v>
      </c>
      <c r="D167" s="0" t="str">
        <f aca="false">IFERROR(IF(maxifs(Documents!$E$2:$E$1421,Documents!$A$2:$A$1421,$A167,Documents!$C$2:$C$1421,"factsheet")=0,"",maxifs(Documents!$E$2:$E$1421,Documents!$A$2:$A$1421,$A167,Documents!$C$2:$C$1421,"factsheet")),"")</f>
        <v/>
      </c>
      <c r="E167" s="0" t="str">
        <f aca="false">IFERROR(IF(maxifs(Documents!$E$2:$E$1421,Documents!$A$2:$A$1421,$A167,Documents!$C$2:$C$1421,"wedding")=0,"",maxifs(Documents!$E$2:$E$1421,Documents!$A$2:$A$1421,$A167,Documents!$C$2:$C$1421,"wedding")),"")</f>
        <v/>
      </c>
      <c r="F167" s="0" t="str">
        <f aca="false">IFERROR(IF(maxifs(Documents!$E$2:$E$1421,Documents!$A$2:$A$1421,$A167,Documents!$C$2:$C$1421,"events")=0,"",maxifs(Documents!$E$2:$E$1421,Documents!$A$2:$A$1421,$A167,Documents!$C$2:$C$1421,"events")),"")</f>
        <v/>
      </c>
      <c r="G167" s="0" t="str">
        <f aca="false">IFERROR(IF(maxifs(Documents!$E$2:$E$1421,Documents!$A$2:$A$1421,$A167,Documents!$C$2:$C$1421,"map")=0,"",maxifs(Documents!$E$2:$E$1421,Documents!$A$2:$A$1421,$A167,Documents!$C$2:$C$1421,"map")),"")</f>
        <v/>
      </c>
      <c r="H167" s="0" t="str">
        <f aca="false">IFERROR(IF(maxifs(Documents!$E$2:$E$1421,Documents!$A$2:$A$1421,$A167,Documents!$C$2:$C$1421,"dive_map")=0,"",maxifs(Documents!$E$2:$E$1421,Documents!$A$2:$A$1421,$A167,Documents!$C$2:$C$1421,"dive_map")),"")</f>
        <v/>
      </c>
      <c r="I167" s="0" t="str">
        <f aca="false">IFERROR(IF(maxifs(Documents!$E$2:$E$1421,Documents!$A$2:$A$1421,$A167,Documents!$C$2:$C$1421,"spa_menu")=0,"",maxifs(Documents!$E$2:$E$1421,Documents!$A$2:$A$1421,$A167,Documents!$C$2:$C$1421,"spa_menu")),"")</f>
        <v/>
      </c>
      <c r="J167" s="0" t="str">
        <f aca="false">IFERROR(IF(maxifs(Documents!$E$2:$E$1421,Documents!$A$2:$A$1421,$A167,Documents!$C$2:$C$1421,"dining_menu")=0,"",maxifs(Documents!$E$2:$E$1421,Documents!$A$2:$A$1421,$A167,Documents!$C$2:$C$1421,"dining_menu")),"")</f>
        <v/>
      </c>
      <c r="K167" s="0" t="str">
        <f aca="false">IFERROR(IF(maxifs(Documents!$E$2:$E$1421,Documents!$A$2:$A$1421,$A167,Documents!$C$2:$C$1421,"dive_prices")=0,"",maxifs(Documents!$E$2:$E$1421,Documents!$A$2:$A$1421,$A167,Documents!$C$2:$C$1421,"dive_prices")),"")</f>
        <v/>
      </c>
      <c r="L167" s="0" t="str">
        <f aca="false">IFERROR(IF(maxifs(Documents!$E$2:$E$1421,Documents!$A$2:$A$1421,$A167,Documents!$C$2:$C$1421,"excursions")=0,"",maxifs(Documents!$E$2:$E$1421,Documents!$A$2:$A$1421,$A167,Documents!$C$2:$C$1421,"excursions")),"")</f>
        <v/>
      </c>
      <c r="M167" s="0" t="str">
        <f aca="false">IFERROR(IF(maxifs(Documents!$E$2:$E$1421,Documents!$A$2:$A$1421,$A167,Documents!$C$2:$C$1421,"kids")=0,"",maxifs(Documents!$E$2:$E$1421,Documents!$A$2:$A$1421,$A167,Documents!$C$2:$C$1421,"kids")),"")</f>
        <v/>
      </c>
      <c r="N167" s="0" t="str">
        <f aca="false">IFERROR(IF(maxifs(Documents!$E$2:$E$1421,Documents!$A$2:$A$1421,$A167,Documents!$C$2:$C$1421,"villa_plans")=0,"",maxifs(Documents!$E$2:$E$1421,Documents!$A$2:$A$1421,$A167,Documents!$C$2:$C$1421,"villa_plans")),"")</f>
        <v/>
      </c>
      <c r="O167" s="0" t="str">
        <f aca="false">IFERROR(IF(maxifs(Documents!$E$2:$E$1421,Documents!$A$2:$A$1421,$A167,Documents!$C$2:$C$1421,"all_inclusive")=0,"",maxifs(Documents!$E$2:$E$1421,Documents!$A$2:$A$1421,$A167,Documents!$C$2:$C$1421,"all_inclusive")),"")</f>
        <v/>
      </c>
      <c r="P167" s="0" t="str">
        <f aca="false">IFERROR(IF(maxifs(Documents!$E$2:$E$1421,Documents!$A$2:$A$1421,$A167,Documents!$C$2:$C$1421,"sustainability")=0,"",maxifs(Documents!$E$2:$E$1421,Documents!$A$2:$A$1421,$A167,Documents!$C$2:$C$1421,"sustainability")),"")</f>
        <v/>
      </c>
      <c r="Q167" s="0" t="str">
        <f aca="false">IFERROR(IF(maxifs(Documents!$E$2:$E$1421,Documents!$A$2:$A$1421,$A167,Documents!$C$2:$C$1421,"calendar")=0,"",maxifs(Documents!$E$2:$E$1421,Documents!$A$2:$A$1421,$A167,Documents!$C$2:$C$1421,"calendar")),"")</f>
        <v/>
      </c>
      <c r="R167" s="0" t="str">
        <f aca="false">IFERROR(IF(maxifs(Documents!$E$2:$E$1421,Documents!$A$2:$A$1421,$A167,Documents!$C$2:$C$1421,"brochure")=0,"",maxifs(Documents!$E$2:$E$1421,Documents!$A$2:$A$1421,$A167,Documents!$C$2:$C$1421,"brochure")),"")</f>
        <v/>
      </c>
      <c r="S167" s="0" t="str">
        <f aca="false">IFERROR(IF(maxifs(Documents!$E$2:$E$1421,Documents!$A$2:$A$1421,$A167,Documents!$C$2:$C$1421,"press_kit")=0,"",maxifs(Documents!$E$2:$E$1421,Documents!$A$2:$A$1421,$A167,Documents!$C$2:$C$1421,"press_kit")),"")</f>
        <v/>
      </c>
      <c r="T167" s="0" t="str">
        <f aca="false">IFERROR(IF(maxifs(Documents!$E$2:$E$1421,Documents!$A$2:$A$1421,$A167,Documents!$C$2:$C$1421,"other")=0,"",maxifs(Documents!$E$2:$E$1421,Documents!$A$2:$A$1421,$A167,Documents!$C$2:$C$1421,"other")),"")</f>
        <v/>
      </c>
      <c r="U167" s="0" t="str">
        <f aca="false">IFERROR(IF(maxifs(Documents!$E$2:$E$1421,Documents!$A$2:$A$1421,$A167,Documents!$C$2:$C$1421,"obsolete")=0,"",maxifs(Documents!$E$2:$E$1421,Documents!$A$2:$A$1421,$A167,Documents!$C$2:$C$1421,"obsolete")),"")</f>
        <v/>
      </c>
      <c r="V167" s="0" t="n">
        <f aca="false">COUNTIFS(Documents!$A$2:$A$1421,$A167)</f>
        <v>3</v>
      </c>
      <c r="W167" s="0" t="n">
        <f aca="false">COUNTIFS(Documents!$A$2:$A$1421,$A167,Documents!$R$2:$R$1421,"current")</f>
        <v>0</v>
      </c>
      <c r="X167" s="0" t="str">
        <f aca="false">HYPERLINK("https://www.neoscapesmaldives.com/wp-content/uploads/Factsheet-Kuramathi-Maldives.pdf","2019_Factsheet-Kuramathi-Maldives.pdf")</f>
        <v>2019_Factsheet-Kuramathi-Maldives.pdf</v>
      </c>
      <c r="Y167" s="0" t="s">
        <v>28</v>
      </c>
    </row>
    <row r="168" customFormat="false" ht="15" hidden="false" customHeight="false" outlineLevel="0" collapsed="false">
      <c r="A168" s="0" t="n">
        <v>167</v>
      </c>
      <c r="B168" s="0" t="s">
        <v>226</v>
      </c>
      <c r="C168" s="0" t="s">
        <v>112</v>
      </c>
      <c r="D168" s="0" t="str">
        <f aca="false">IFERROR(IF(maxifs(Documents!$E$2:$E$1421,Documents!$A$2:$A$1421,$A168,Documents!$C$2:$C$1421,"factsheet")=0,"",maxifs(Documents!$E$2:$E$1421,Documents!$A$2:$A$1421,$A168,Documents!$C$2:$C$1421,"factsheet")),"")</f>
        <v/>
      </c>
      <c r="E168" s="0" t="str">
        <f aca="false">IFERROR(IF(maxifs(Documents!$E$2:$E$1421,Documents!$A$2:$A$1421,$A168,Documents!$C$2:$C$1421,"wedding")=0,"",maxifs(Documents!$E$2:$E$1421,Documents!$A$2:$A$1421,$A168,Documents!$C$2:$C$1421,"wedding")),"")</f>
        <v/>
      </c>
      <c r="F168" s="0" t="str">
        <f aca="false">IFERROR(IF(maxifs(Documents!$E$2:$E$1421,Documents!$A$2:$A$1421,$A168,Documents!$C$2:$C$1421,"events")=0,"",maxifs(Documents!$E$2:$E$1421,Documents!$A$2:$A$1421,$A168,Documents!$C$2:$C$1421,"events")),"")</f>
        <v/>
      </c>
      <c r="G168" s="0" t="str">
        <f aca="false">IFERROR(IF(maxifs(Documents!$E$2:$E$1421,Documents!$A$2:$A$1421,$A168,Documents!$C$2:$C$1421,"map")=0,"",maxifs(Documents!$E$2:$E$1421,Documents!$A$2:$A$1421,$A168,Documents!$C$2:$C$1421,"map")),"")</f>
        <v/>
      </c>
      <c r="H168" s="0" t="str">
        <f aca="false">IFERROR(IF(maxifs(Documents!$E$2:$E$1421,Documents!$A$2:$A$1421,$A168,Documents!$C$2:$C$1421,"dive_map")=0,"",maxifs(Documents!$E$2:$E$1421,Documents!$A$2:$A$1421,$A168,Documents!$C$2:$C$1421,"dive_map")),"")</f>
        <v/>
      </c>
      <c r="I168" s="0" t="str">
        <f aca="false">IFERROR(IF(maxifs(Documents!$E$2:$E$1421,Documents!$A$2:$A$1421,$A168,Documents!$C$2:$C$1421,"spa_menu")=0,"",maxifs(Documents!$E$2:$E$1421,Documents!$A$2:$A$1421,$A168,Documents!$C$2:$C$1421,"spa_menu")),"")</f>
        <v/>
      </c>
      <c r="J168" s="0" t="str">
        <f aca="false">IFERROR(IF(maxifs(Documents!$E$2:$E$1421,Documents!$A$2:$A$1421,$A168,Documents!$C$2:$C$1421,"dining_menu")=0,"",maxifs(Documents!$E$2:$E$1421,Documents!$A$2:$A$1421,$A168,Documents!$C$2:$C$1421,"dining_menu")),"")</f>
        <v/>
      </c>
      <c r="K168" s="0" t="str">
        <f aca="false">IFERROR(IF(maxifs(Documents!$E$2:$E$1421,Documents!$A$2:$A$1421,$A168,Documents!$C$2:$C$1421,"dive_prices")=0,"",maxifs(Documents!$E$2:$E$1421,Documents!$A$2:$A$1421,$A168,Documents!$C$2:$C$1421,"dive_prices")),"")</f>
        <v/>
      </c>
      <c r="L168" s="0" t="str">
        <f aca="false">IFERROR(IF(maxifs(Documents!$E$2:$E$1421,Documents!$A$2:$A$1421,$A168,Documents!$C$2:$C$1421,"excursions")=0,"",maxifs(Documents!$E$2:$E$1421,Documents!$A$2:$A$1421,$A168,Documents!$C$2:$C$1421,"excursions")),"")</f>
        <v/>
      </c>
      <c r="M168" s="0" t="str">
        <f aca="false">IFERROR(IF(maxifs(Documents!$E$2:$E$1421,Documents!$A$2:$A$1421,$A168,Documents!$C$2:$C$1421,"kids")=0,"",maxifs(Documents!$E$2:$E$1421,Documents!$A$2:$A$1421,$A168,Documents!$C$2:$C$1421,"kids")),"")</f>
        <v/>
      </c>
      <c r="N168" s="0" t="str">
        <f aca="false">IFERROR(IF(maxifs(Documents!$E$2:$E$1421,Documents!$A$2:$A$1421,$A168,Documents!$C$2:$C$1421,"villa_plans")=0,"",maxifs(Documents!$E$2:$E$1421,Documents!$A$2:$A$1421,$A168,Documents!$C$2:$C$1421,"villa_plans")),"")</f>
        <v/>
      </c>
      <c r="O168" s="0" t="str">
        <f aca="false">IFERROR(IF(maxifs(Documents!$E$2:$E$1421,Documents!$A$2:$A$1421,$A168,Documents!$C$2:$C$1421,"all_inclusive")=0,"",maxifs(Documents!$E$2:$E$1421,Documents!$A$2:$A$1421,$A168,Documents!$C$2:$C$1421,"all_inclusive")),"")</f>
        <v/>
      </c>
      <c r="P168" s="0" t="str">
        <f aca="false">IFERROR(IF(maxifs(Documents!$E$2:$E$1421,Documents!$A$2:$A$1421,$A168,Documents!$C$2:$C$1421,"sustainability")=0,"",maxifs(Documents!$E$2:$E$1421,Documents!$A$2:$A$1421,$A168,Documents!$C$2:$C$1421,"sustainability")),"")</f>
        <v/>
      </c>
      <c r="Q168" s="0" t="str">
        <f aca="false">IFERROR(IF(maxifs(Documents!$E$2:$E$1421,Documents!$A$2:$A$1421,$A168,Documents!$C$2:$C$1421,"calendar")=0,"",maxifs(Documents!$E$2:$E$1421,Documents!$A$2:$A$1421,$A168,Documents!$C$2:$C$1421,"calendar")),"")</f>
        <v/>
      </c>
      <c r="R168" s="0" t="str">
        <f aca="false">IFERROR(IF(maxifs(Documents!$E$2:$E$1421,Documents!$A$2:$A$1421,$A168,Documents!$C$2:$C$1421,"brochure")=0,"",maxifs(Documents!$E$2:$E$1421,Documents!$A$2:$A$1421,$A168,Documents!$C$2:$C$1421,"brochure")),"")</f>
        <v/>
      </c>
      <c r="S168" s="0" t="str">
        <f aca="false">IFERROR(IF(maxifs(Documents!$E$2:$E$1421,Documents!$A$2:$A$1421,$A168,Documents!$C$2:$C$1421,"press_kit")=0,"",maxifs(Documents!$E$2:$E$1421,Documents!$A$2:$A$1421,$A168,Documents!$C$2:$C$1421,"press_kit")),"")</f>
        <v/>
      </c>
      <c r="T168" s="0" t="str">
        <f aca="false">IFERROR(IF(maxifs(Documents!$E$2:$E$1421,Documents!$A$2:$A$1421,$A168,Documents!$C$2:$C$1421,"other")=0,"",maxifs(Documents!$E$2:$E$1421,Documents!$A$2:$A$1421,$A168,Documents!$C$2:$C$1421,"other")),"")</f>
        <v/>
      </c>
      <c r="U168" s="0" t="str">
        <f aca="false">IFERROR(IF(maxifs(Documents!$E$2:$E$1421,Documents!$A$2:$A$1421,$A168,Documents!$C$2:$C$1421,"obsolete")=0,"",maxifs(Documents!$E$2:$E$1421,Documents!$A$2:$A$1421,$A168,Documents!$C$2:$C$1421,"obsolete")),"")</f>
        <v/>
      </c>
      <c r="V168" s="0" t="n">
        <f aca="false">COUNTIFS(Documents!$A$2:$A$1421,$A168)</f>
        <v>3</v>
      </c>
      <c r="W168" s="0" t="n">
        <f aca="false">COUNTIFS(Documents!$A$2:$A$1421,$A168,Documents!$R$2:$R$1421,"current")</f>
        <v>2</v>
      </c>
      <c r="Y168" s="0" t="s">
        <v>31</v>
      </c>
    </row>
    <row r="169" customFormat="false" ht="15" hidden="false" customHeight="false" outlineLevel="0" collapsed="false">
      <c r="A169" s="0" t="n">
        <v>168</v>
      </c>
      <c r="B169" s="0" t="s">
        <v>227</v>
      </c>
      <c r="C169" s="0" t="s">
        <v>112</v>
      </c>
      <c r="D169" s="0" t="str">
        <f aca="false">IFERROR(IF(maxifs(Documents!$E$2:$E$1421,Documents!$A$2:$A$1421,$A169,Documents!$C$2:$C$1421,"factsheet")=0,"",maxifs(Documents!$E$2:$E$1421,Documents!$A$2:$A$1421,$A169,Documents!$C$2:$C$1421,"factsheet")),"")</f>
        <v/>
      </c>
      <c r="E169" s="0" t="str">
        <f aca="false">IFERROR(IF(maxifs(Documents!$E$2:$E$1421,Documents!$A$2:$A$1421,$A169,Documents!$C$2:$C$1421,"wedding")=0,"",maxifs(Documents!$E$2:$E$1421,Documents!$A$2:$A$1421,$A169,Documents!$C$2:$C$1421,"wedding")),"")</f>
        <v/>
      </c>
      <c r="F169" s="0" t="str">
        <f aca="false">IFERROR(IF(maxifs(Documents!$E$2:$E$1421,Documents!$A$2:$A$1421,$A169,Documents!$C$2:$C$1421,"events")=0,"",maxifs(Documents!$E$2:$E$1421,Documents!$A$2:$A$1421,$A169,Documents!$C$2:$C$1421,"events")),"")</f>
        <v/>
      </c>
      <c r="G169" s="0" t="str">
        <f aca="false">IFERROR(IF(maxifs(Documents!$E$2:$E$1421,Documents!$A$2:$A$1421,$A169,Documents!$C$2:$C$1421,"map")=0,"",maxifs(Documents!$E$2:$E$1421,Documents!$A$2:$A$1421,$A169,Documents!$C$2:$C$1421,"map")),"")</f>
        <v/>
      </c>
      <c r="H169" s="0" t="str">
        <f aca="false">IFERROR(IF(maxifs(Documents!$E$2:$E$1421,Documents!$A$2:$A$1421,$A169,Documents!$C$2:$C$1421,"dive_map")=0,"",maxifs(Documents!$E$2:$E$1421,Documents!$A$2:$A$1421,$A169,Documents!$C$2:$C$1421,"dive_map")),"")</f>
        <v/>
      </c>
      <c r="I169" s="0" t="str">
        <f aca="false">IFERROR(IF(maxifs(Documents!$E$2:$E$1421,Documents!$A$2:$A$1421,$A169,Documents!$C$2:$C$1421,"spa_menu")=0,"",maxifs(Documents!$E$2:$E$1421,Documents!$A$2:$A$1421,$A169,Documents!$C$2:$C$1421,"spa_menu")),"")</f>
        <v/>
      </c>
      <c r="J169" s="0" t="str">
        <f aca="false">IFERROR(IF(maxifs(Documents!$E$2:$E$1421,Documents!$A$2:$A$1421,$A169,Documents!$C$2:$C$1421,"dining_menu")=0,"",maxifs(Documents!$E$2:$E$1421,Documents!$A$2:$A$1421,$A169,Documents!$C$2:$C$1421,"dining_menu")),"")</f>
        <v/>
      </c>
      <c r="K169" s="0" t="str">
        <f aca="false">IFERROR(IF(maxifs(Documents!$E$2:$E$1421,Documents!$A$2:$A$1421,$A169,Documents!$C$2:$C$1421,"dive_prices")=0,"",maxifs(Documents!$E$2:$E$1421,Documents!$A$2:$A$1421,$A169,Documents!$C$2:$C$1421,"dive_prices")),"")</f>
        <v/>
      </c>
      <c r="L169" s="0" t="str">
        <f aca="false">IFERROR(IF(maxifs(Documents!$E$2:$E$1421,Documents!$A$2:$A$1421,$A169,Documents!$C$2:$C$1421,"excursions")=0,"",maxifs(Documents!$E$2:$E$1421,Documents!$A$2:$A$1421,$A169,Documents!$C$2:$C$1421,"excursions")),"")</f>
        <v/>
      </c>
      <c r="M169" s="0" t="str">
        <f aca="false">IFERROR(IF(maxifs(Documents!$E$2:$E$1421,Documents!$A$2:$A$1421,$A169,Documents!$C$2:$C$1421,"kids")=0,"",maxifs(Documents!$E$2:$E$1421,Documents!$A$2:$A$1421,$A169,Documents!$C$2:$C$1421,"kids")),"")</f>
        <v/>
      </c>
      <c r="N169" s="0" t="str">
        <f aca="false">IFERROR(IF(maxifs(Documents!$E$2:$E$1421,Documents!$A$2:$A$1421,$A169,Documents!$C$2:$C$1421,"villa_plans")=0,"",maxifs(Documents!$E$2:$E$1421,Documents!$A$2:$A$1421,$A169,Documents!$C$2:$C$1421,"villa_plans")),"")</f>
        <v/>
      </c>
      <c r="O169" s="0" t="str">
        <f aca="false">IFERROR(IF(maxifs(Documents!$E$2:$E$1421,Documents!$A$2:$A$1421,$A169,Documents!$C$2:$C$1421,"all_inclusive")=0,"",maxifs(Documents!$E$2:$E$1421,Documents!$A$2:$A$1421,$A169,Documents!$C$2:$C$1421,"all_inclusive")),"")</f>
        <v/>
      </c>
      <c r="P169" s="0" t="str">
        <f aca="false">IFERROR(IF(maxifs(Documents!$E$2:$E$1421,Documents!$A$2:$A$1421,$A169,Documents!$C$2:$C$1421,"sustainability")=0,"",maxifs(Documents!$E$2:$E$1421,Documents!$A$2:$A$1421,$A169,Documents!$C$2:$C$1421,"sustainability")),"")</f>
        <v/>
      </c>
      <c r="Q169" s="0" t="str">
        <f aca="false">IFERROR(IF(maxifs(Documents!$E$2:$E$1421,Documents!$A$2:$A$1421,$A169,Documents!$C$2:$C$1421,"calendar")=0,"",maxifs(Documents!$E$2:$E$1421,Documents!$A$2:$A$1421,$A169,Documents!$C$2:$C$1421,"calendar")),"")</f>
        <v/>
      </c>
      <c r="R169" s="0" t="str">
        <f aca="false">IFERROR(IF(maxifs(Documents!$E$2:$E$1421,Documents!$A$2:$A$1421,$A169,Documents!$C$2:$C$1421,"brochure")=0,"",maxifs(Documents!$E$2:$E$1421,Documents!$A$2:$A$1421,$A169,Documents!$C$2:$C$1421,"brochure")),"")</f>
        <v/>
      </c>
      <c r="S169" s="0" t="str">
        <f aca="false">IFERROR(IF(maxifs(Documents!$E$2:$E$1421,Documents!$A$2:$A$1421,$A169,Documents!$C$2:$C$1421,"press_kit")=0,"",maxifs(Documents!$E$2:$E$1421,Documents!$A$2:$A$1421,$A169,Documents!$C$2:$C$1421,"press_kit")),"")</f>
        <v/>
      </c>
      <c r="T169" s="0" t="str">
        <f aca="false">IFERROR(IF(maxifs(Documents!$E$2:$E$1421,Documents!$A$2:$A$1421,$A169,Documents!$C$2:$C$1421,"other")=0,"",maxifs(Documents!$E$2:$E$1421,Documents!$A$2:$A$1421,$A169,Documents!$C$2:$C$1421,"other")),"")</f>
        <v/>
      </c>
      <c r="U169" s="0" t="str">
        <f aca="false">IFERROR(IF(maxifs(Documents!$E$2:$E$1421,Documents!$A$2:$A$1421,$A169,Documents!$C$2:$C$1421,"obsolete")=0,"",maxifs(Documents!$E$2:$E$1421,Documents!$A$2:$A$1421,$A169,Documents!$C$2:$C$1421,"obsolete")),"")</f>
        <v/>
      </c>
      <c r="V169" s="0" t="n">
        <f aca="false">COUNTIFS(Documents!$A$2:$A$1421,$A169)</f>
        <v>2</v>
      </c>
      <c r="W169" s="0" t="n">
        <f aca="false">COUNTIFS(Documents!$A$2:$A$1421,$A169,Documents!$R$2:$R$1421,"current")</f>
        <v>2</v>
      </c>
      <c r="X169" s="0" t="str">
        <f aca="false">HYPERLINK("https://www.neoscapesmaldives.com/wp-content/uploads/GB-_-You-_-Me-Maldives-_-Fact-Sheet-2026.pdf","2026_GB-_-You-_-Me-Maldives-_-Fact-Sheet")</f>
        <v>2026_GB-_-You-_-Me-Maldives-_-Fact-Sheet</v>
      </c>
      <c r="Y169" s="0" t="s">
        <v>28</v>
      </c>
      <c r="Z169" s="0" t="s">
        <v>228</v>
      </c>
    </row>
    <row r="170" customFormat="false" ht="15" hidden="false" customHeight="false" outlineLevel="0" collapsed="false">
      <c r="A170" s="0" t="n">
        <v>169</v>
      </c>
      <c r="B170" s="0" t="s">
        <v>229</v>
      </c>
      <c r="C170" s="0" t="s">
        <v>112</v>
      </c>
      <c r="D170" s="0" t="str">
        <f aca="false">IFERROR(IF(maxifs(Documents!$E$2:$E$1421,Documents!$A$2:$A$1421,$A170,Documents!$C$2:$C$1421,"factsheet")=0,"",maxifs(Documents!$E$2:$E$1421,Documents!$A$2:$A$1421,$A170,Documents!$C$2:$C$1421,"factsheet")),"")</f>
        <v/>
      </c>
      <c r="E170" s="0" t="str">
        <f aca="false">IFERROR(IF(maxifs(Documents!$E$2:$E$1421,Documents!$A$2:$A$1421,$A170,Documents!$C$2:$C$1421,"wedding")=0,"",maxifs(Documents!$E$2:$E$1421,Documents!$A$2:$A$1421,$A170,Documents!$C$2:$C$1421,"wedding")),"")</f>
        <v/>
      </c>
      <c r="F170" s="0" t="str">
        <f aca="false">IFERROR(IF(maxifs(Documents!$E$2:$E$1421,Documents!$A$2:$A$1421,$A170,Documents!$C$2:$C$1421,"events")=0,"",maxifs(Documents!$E$2:$E$1421,Documents!$A$2:$A$1421,$A170,Documents!$C$2:$C$1421,"events")),"")</f>
        <v/>
      </c>
      <c r="G170" s="0" t="str">
        <f aca="false">IFERROR(IF(maxifs(Documents!$E$2:$E$1421,Documents!$A$2:$A$1421,$A170,Documents!$C$2:$C$1421,"map")=0,"",maxifs(Documents!$E$2:$E$1421,Documents!$A$2:$A$1421,$A170,Documents!$C$2:$C$1421,"map")),"")</f>
        <v/>
      </c>
      <c r="H170" s="0" t="str">
        <f aca="false">IFERROR(IF(maxifs(Documents!$E$2:$E$1421,Documents!$A$2:$A$1421,$A170,Documents!$C$2:$C$1421,"dive_map")=0,"",maxifs(Documents!$E$2:$E$1421,Documents!$A$2:$A$1421,$A170,Documents!$C$2:$C$1421,"dive_map")),"")</f>
        <v/>
      </c>
      <c r="I170" s="0" t="str">
        <f aca="false">IFERROR(IF(maxifs(Documents!$E$2:$E$1421,Documents!$A$2:$A$1421,$A170,Documents!$C$2:$C$1421,"spa_menu")=0,"",maxifs(Documents!$E$2:$E$1421,Documents!$A$2:$A$1421,$A170,Documents!$C$2:$C$1421,"spa_menu")),"")</f>
        <v/>
      </c>
      <c r="J170" s="0" t="str">
        <f aca="false">IFERROR(IF(maxifs(Documents!$E$2:$E$1421,Documents!$A$2:$A$1421,$A170,Documents!$C$2:$C$1421,"dining_menu")=0,"",maxifs(Documents!$E$2:$E$1421,Documents!$A$2:$A$1421,$A170,Documents!$C$2:$C$1421,"dining_menu")),"")</f>
        <v/>
      </c>
      <c r="K170" s="0" t="str">
        <f aca="false">IFERROR(IF(maxifs(Documents!$E$2:$E$1421,Documents!$A$2:$A$1421,$A170,Documents!$C$2:$C$1421,"dive_prices")=0,"",maxifs(Documents!$E$2:$E$1421,Documents!$A$2:$A$1421,$A170,Documents!$C$2:$C$1421,"dive_prices")),"")</f>
        <v/>
      </c>
      <c r="L170" s="0" t="str">
        <f aca="false">IFERROR(IF(maxifs(Documents!$E$2:$E$1421,Documents!$A$2:$A$1421,$A170,Documents!$C$2:$C$1421,"excursions")=0,"",maxifs(Documents!$E$2:$E$1421,Documents!$A$2:$A$1421,$A170,Documents!$C$2:$C$1421,"excursions")),"")</f>
        <v/>
      </c>
      <c r="M170" s="0" t="str">
        <f aca="false">IFERROR(IF(maxifs(Documents!$E$2:$E$1421,Documents!$A$2:$A$1421,$A170,Documents!$C$2:$C$1421,"kids")=0,"",maxifs(Documents!$E$2:$E$1421,Documents!$A$2:$A$1421,$A170,Documents!$C$2:$C$1421,"kids")),"")</f>
        <v/>
      </c>
      <c r="N170" s="0" t="str">
        <f aca="false">IFERROR(IF(maxifs(Documents!$E$2:$E$1421,Documents!$A$2:$A$1421,$A170,Documents!$C$2:$C$1421,"villa_plans")=0,"",maxifs(Documents!$E$2:$E$1421,Documents!$A$2:$A$1421,$A170,Documents!$C$2:$C$1421,"villa_plans")),"")</f>
        <v/>
      </c>
      <c r="O170" s="0" t="str">
        <f aca="false">IFERROR(IF(maxifs(Documents!$E$2:$E$1421,Documents!$A$2:$A$1421,$A170,Documents!$C$2:$C$1421,"all_inclusive")=0,"",maxifs(Documents!$E$2:$E$1421,Documents!$A$2:$A$1421,$A170,Documents!$C$2:$C$1421,"all_inclusive")),"")</f>
        <v/>
      </c>
      <c r="P170" s="0" t="str">
        <f aca="false">IFERROR(IF(maxifs(Documents!$E$2:$E$1421,Documents!$A$2:$A$1421,$A170,Documents!$C$2:$C$1421,"sustainability")=0,"",maxifs(Documents!$E$2:$E$1421,Documents!$A$2:$A$1421,$A170,Documents!$C$2:$C$1421,"sustainability")),"")</f>
        <v/>
      </c>
      <c r="Q170" s="0" t="str">
        <f aca="false">IFERROR(IF(maxifs(Documents!$E$2:$E$1421,Documents!$A$2:$A$1421,$A170,Documents!$C$2:$C$1421,"calendar")=0,"",maxifs(Documents!$E$2:$E$1421,Documents!$A$2:$A$1421,$A170,Documents!$C$2:$C$1421,"calendar")),"")</f>
        <v/>
      </c>
      <c r="R170" s="0" t="str">
        <f aca="false">IFERROR(IF(maxifs(Documents!$E$2:$E$1421,Documents!$A$2:$A$1421,$A170,Documents!$C$2:$C$1421,"brochure")=0,"",maxifs(Documents!$E$2:$E$1421,Documents!$A$2:$A$1421,$A170,Documents!$C$2:$C$1421,"brochure")),"")</f>
        <v/>
      </c>
      <c r="S170" s="0" t="str">
        <f aca="false">IFERROR(IF(maxifs(Documents!$E$2:$E$1421,Documents!$A$2:$A$1421,$A170,Documents!$C$2:$C$1421,"press_kit")=0,"",maxifs(Documents!$E$2:$E$1421,Documents!$A$2:$A$1421,$A170,Documents!$C$2:$C$1421,"press_kit")),"")</f>
        <v/>
      </c>
      <c r="T170" s="0" t="str">
        <f aca="false">IFERROR(IF(maxifs(Documents!$E$2:$E$1421,Documents!$A$2:$A$1421,$A170,Documents!$C$2:$C$1421,"other")=0,"",maxifs(Documents!$E$2:$E$1421,Documents!$A$2:$A$1421,$A170,Documents!$C$2:$C$1421,"other")),"")</f>
        <v/>
      </c>
      <c r="U170" s="0" t="str">
        <f aca="false">IFERROR(IF(maxifs(Documents!$E$2:$E$1421,Documents!$A$2:$A$1421,$A170,Documents!$C$2:$C$1421,"obsolete")=0,"",maxifs(Documents!$E$2:$E$1421,Documents!$A$2:$A$1421,$A170,Documents!$C$2:$C$1421,"obsolete")),"")</f>
        <v/>
      </c>
      <c r="V170" s="0" t="n">
        <f aca="false">COUNTIFS(Documents!$A$2:$A$1421,$A170)</f>
        <v>2</v>
      </c>
      <c r="W170" s="0" t="n">
        <f aca="false">COUNTIFS(Documents!$A$2:$A$1421,$A170,Documents!$R$2:$R$1421,"current")</f>
        <v>1</v>
      </c>
      <c r="X170" s="0" t="str">
        <f aca="false">HYPERLINK("https://www.neoscapesmaldives.com/wp-content/uploads/Factsheet-Banyan-Tree-Vabbinfaru-compressed.pdf","2025_Factsheet-Banyan-Tree-Vabbinfaru-co")</f>
        <v>2025_Factsheet-Banyan-Tree-Vabbinfaru-co</v>
      </c>
      <c r="Y170" s="0" t="s">
        <v>28</v>
      </c>
    </row>
    <row r="171" customFormat="false" ht="15" hidden="false" customHeight="false" outlineLevel="0" collapsed="false">
      <c r="A171" s="0" t="n">
        <v>170</v>
      </c>
      <c r="B171" s="0" t="s">
        <v>230</v>
      </c>
      <c r="C171" s="0" t="s">
        <v>112</v>
      </c>
      <c r="D171" s="0" t="str">
        <f aca="false">IFERROR(IF(maxifs(Documents!$E$2:$E$1421,Documents!$A$2:$A$1421,$A171,Documents!$C$2:$C$1421,"factsheet")=0,"",maxifs(Documents!$E$2:$E$1421,Documents!$A$2:$A$1421,$A171,Documents!$C$2:$C$1421,"factsheet")),"")</f>
        <v/>
      </c>
      <c r="E171" s="0" t="str">
        <f aca="false">IFERROR(IF(maxifs(Documents!$E$2:$E$1421,Documents!$A$2:$A$1421,$A171,Documents!$C$2:$C$1421,"wedding")=0,"",maxifs(Documents!$E$2:$E$1421,Documents!$A$2:$A$1421,$A171,Documents!$C$2:$C$1421,"wedding")),"")</f>
        <v/>
      </c>
      <c r="F171" s="0" t="str">
        <f aca="false">IFERROR(IF(maxifs(Documents!$E$2:$E$1421,Documents!$A$2:$A$1421,$A171,Documents!$C$2:$C$1421,"events")=0,"",maxifs(Documents!$E$2:$E$1421,Documents!$A$2:$A$1421,$A171,Documents!$C$2:$C$1421,"events")),"")</f>
        <v/>
      </c>
      <c r="G171" s="0" t="str">
        <f aca="false">IFERROR(IF(maxifs(Documents!$E$2:$E$1421,Documents!$A$2:$A$1421,$A171,Documents!$C$2:$C$1421,"map")=0,"",maxifs(Documents!$E$2:$E$1421,Documents!$A$2:$A$1421,$A171,Documents!$C$2:$C$1421,"map")),"")</f>
        <v/>
      </c>
      <c r="H171" s="0" t="str">
        <f aca="false">IFERROR(IF(maxifs(Documents!$E$2:$E$1421,Documents!$A$2:$A$1421,$A171,Documents!$C$2:$C$1421,"dive_map")=0,"",maxifs(Documents!$E$2:$E$1421,Documents!$A$2:$A$1421,$A171,Documents!$C$2:$C$1421,"dive_map")),"")</f>
        <v/>
      </c>
      <c r="I171" s="0" t="str">
        <f aca="false">IFERROR(IF(maxifs(Documents!$E$2:$E$1421,Documents!$A$2:$A$1421,$A171,Documents!$C$2:$C$1421,"spa_menu")=0,"",maxifs(Documents!$E$2:$E$1421,Documents!$A$2:$A$1421,$A171,Documents!$C$2:$C$1421,"spa_menu")),"")</f>
        <v/>
      </c>
      <c r="J171" s="0" t="str">
        <f aca="false">IFERROR(IF(maxifs(Documents!$E$2:$E$1421,Documents!$A$2:$A$1421,$A171,Documents!$C$2:$C$1421,"dining_menu")=0,"",maxifs(Documents!$E$2:$E$1421,Documents!$A$2:$A$1421,$A171,Documents!$C$2:$C$1421,"dining_menu")),"")</f>
        <v/>
      </c>
      <c r="K171" s="0" t="str">
        <f aca="false">IFERROR(IF(maxifs(Documents!$E$2:$E$1421,Documents!$A$2:$A$1421,$A171,Documents!$C$2:$C$1421,"dive_prices")=0,"",maxifs(Documents!$E$2:$E$1421,Documents!$A$2:$A$1421,$A171,Documents!$C$2:$C$1421,"dive_prices")),"")</f>
        <v/>
      </c>
      <c r="L171" s="0" t="str">
        <f aca="false">IFERROR(IF(maxifs(Documents!$E$2:$E$1421,Documents!$A$2:$A$1421,$A171,Documents!$C$2:$C$1421,"excursions")=0,"",maxifs(Documents!$E$2:$E$1421,Documents!$A$2:$A$1421,$A171,Documents!$C$2:$C$1421,"excursions")),"")</f>
        <v/>
      </c>
      <c r="M171" s="0" t="str">
        <f aca="false">IFERROR(IF(maxifs(Documents!$E$2:$E$1421,Documents!$A$2:$A$1421,$A171,Documents!$C$2:$C$1421,"kids")=0,"",maxifs(Documents!$E$2:$E$1421,Documents!$A$2:$A$1421,$A171,Documents!$C$2:$C$1421,"kids")),"")</f>
        <v/>
      </c>
      <c r="N171" s="0" t="str">
        <f aca="false">IFERROR(IF(maxifs(Documents!$E$2:$E$1421,Documents!$A$2:$A$1421,$A171,Documents!$C$2:$C$1421,"villa_plans")=0,"",maxifs(Documents!$E$2:$E$1421,Documents!$A$2:$A$1421,$A171,Documents!$C$2:$C$1421,"villa_plans")),"")</f>
        <v/>
      </c>
      <c r="O171" s="0" t="str">
        <f aca="false">IFERROR(IF(maxifs(Documents!$E$2:$E$1421,Documents!$A$2:$A$1421,$A171,Documents!$C$2:$C$1421,"all_inclusive")=0,"",maxifs(Documents!$E$2:$E$1421,Documents!$A$2:$A$1421,$A171,Documents!$C$2:$C$1421,"all_inclusive")),"")</f>
        <v/>
      </c>
      <c r="P171" s="0" t="str">
        <f aca="false">IFERROR(IF(maxifs(Documents!$E$2:$E$1421,Documents!$A$2:$A$1421,$A171,Documents!$C$2:$C$1421,"sustainability")=0,"",maxifs(Documents!$E$2:$E$1421,Documents!$A$2:$A$1421,$A171,Documents!$C$2:$C$1421,"sustainability")),"")</f>
        <v/>
      </c>
      <c r="Q171" s="0" t="str">
        <f aca="false">IFERROR(IF(maxifs(Documents!$E$2:$E$1421,Documents!$A$2:$A$1421,$A171,Documents!$C$2:$C$1421,"calendar")=0,"",maxifs(Documents!$E$2:$E$1421,Documents!$A$2:$A$1421,$A171,Documents!$C$2:$C$1421,"calendar")),"")</f>
        <v/>
      </c>
      <c r="R171" s="0" t="str">
        <f aca="false">IFERROR(IF(maxifs(Documents!$E$2:$E$1421,Documents!$A$2:$A$1421,$A171,Documents!$C$2:$C$1421,"brochure")=0,"",maxifs(Documents!$E$2:$E$1421,Documents!$A$2:$A$1421,$A171,Documents!$C$2:$C$1421,"brochure")),"")</f>
        <v/>
      </c>
      <c r="S171" s="0" t="str">
        <f aca="false">IFERROR(IF(maxifs(Documents!$E$2:$E$1421,Documents!$A$2:$A$1421,$A171,Documents!$C$2:$C$1421,"press_kit")=0,"",maxifs(Documents!$E$2:$E$1421,Documents!$A$2:$A$1421,$A171,Documents!$C$2:$C$1421,"press_kit")),"")</f>
        <v/>
      </c>
      <c r="T171" s="0" t="str">
        <f aca="false">IFERROR(IF(maxifs(Documents!$E$2:$E$1421,Documents!$A$2:$A$1421,$A171,Documents!$C$2:$C$1421,"other")=0,"",maxifs(Documents!$E$2:$E$1421,Documents!$A$2:$A$1421,$A171,Documents!$C$2:$C$1421,"other")),"")</f>
        <v/>
      </c>
      <c r="U171" s="0" t="str">
        <f aca="false">IFERROR(IF(maxifs(Documents!$E$2:$E$1421,Documents!$A$2:$A$1421,$A171,Documents!$C$2:$C$1421,"obsolete")=0,"",maxifs(Documents!$E$2:$E$1421,Documents!$A$2:$A$1421,$A171,Documents!$C$2:$C$1421,"obsolete")),"")</f>
        <v/>
      </c>
      <c r="V171" s="0" t="n">
        <f aca="false">COUNTIFS(Documents!$A$2:$A$1421,$A171)</f>
        <v>0</v>
      </c>
      <c r="W171" s="0" t="n">
        <f aca="false">COUNTIFS(Documents!$A$2:$A$1421,$A171,Documents!$R$2:$R$1421,"current")</f>
        <v>0</v>
      </c>
      <c r="Y171" s="0" t="s">
        <v>31</v>
      </c>
    </row>
    <row r="172" customFormat="false" ht="15" hidden="false" customHeight="false" outlineLevel="0" collapsed="false">
      <c r="A172" s="0" t="n">
        <v>171</v>
      </c>
      <c r="B172" s="0" t="s">
        <v>231</v>
      </c>
      <c r="C172" s="0" t="s">
        <v>112</v>
      </c>
      <c r="D172" s="0" t="str">
        <f aca="false">IFERROR(IF(maxifs(Documents!$E$2:$E$1421,Documents!$A$2:$A$1421,$A172,Documents!$C$2:$C$1421,"factsheet")=0,"",maxifs(Documents!$E$2:$E$1421,Documents!$A$2:$A$1421,$A172,Documents!$C$2:$C$1421,"factsheet")),"")</f>
        <v/>
      </c>
      <c r="E172" s="0" t="str">
        <f aca="false">IFERROR(IF(maxifs(Documents!$E$2:$E$1421,Documents!$A$2:$A$1421,$A172,Documents!$C$2:$C$1421,"wedding")=0,"",maxifs(Documents!$E$2:$E$1421,Documents!$A$2:$A$1421,$A172,Documents!$C$2:$C$1421,"wedding")),"")</f>
        <v/>
      </c>
      <c r="F172" s="0" t="str">
        <f aca="false">IFERROR(IF(maxifs(Documents!$E$2:$E$1421,Documents!$A$2:$A$1421,$A172,Documents!$C$2:$C$1421,"events")=0,"",maxifs(Documents!$E$2:$E$1421,Documents!$A$2:$A$1421,$A172,Documents!$C$2:$C$1421,"events")),"")</f>
        <v/>
      </c>
      <c r="G172" s="0" t="str">
        <f aca="false">IFERROR(IF(maxifs(Documents!$E$2:$E$1421,Documents!$A$2:$A$1421,$A172,Documents!$C$2:$C$1421,"map")=0,"",maxifs(Documents!$E$2:$E$1421,Documents!$A$2:$A$1421,$A172,Documents!$C$2:$C$1421,"map")),"")</f>
        <v/>
      </c>
      <c r="H172" s="0" t="str">
        <f aca="false">IFERROR(IF(maxifs(Documents!$E$2:$E$1421,Documents!$A$2:$A$1421,$A172,Documents!$C$2:$C$1421,"dive_map")=0,"",maxifs(Documents!$E$2:$E$1421,Documents!$A$2:$A$1421,$A172,Documents!$C$2:$C$1421,"dive_map")),"")</f>
        <v/>
      </c>
      <c r="I172" s="0" t="str">
        <f aca="false">IFERROR(IF(maxifs(Documents!$E$2:$E$1421,Documents!$A$2:$A$1421,$A172,Documents!$C$2:$C$1421,"spa_menu")=0,"",maxifs(Documents!$E$2:$E$1421,Documents!$A$2:$A$1421,$A172,Documents!$C$2:$C$1421,"spa_menu")),"")</f>
        <v/>
      </c>
      <c r="J172" s="0" t="str">
        <f aca="false">IFERROR(IF(maxifs(Documents!$E$2:$E$1421,Documents!$A$2:$A$1421,$A172,Documents!$C$2:$C$1421,"dining_menu")=0,"",maxifs(Documents!$E$2:$E$1421,Documents!$A$2:$A$1421,$A172,Documents!$C$2:$C$1421,"dining_menu")),"")</f>
        <v/>
      </c>
      <c r="K172" s="0" t="str">
        <f aca="false">IFERROR(IF(maxifs(Documents!$E$2:$E$1421,Documents!$A$2:$A$1421,$A172,Documents!$C$2:$C$1421,"dive_prices")=0,"",maxifs(Documents!$E$2:$E$1421,Documents!$A$2:$A$1421,$A172,Documents!$C$2:$C$1421,"dive_prices")),"")</f>
        <v/>
      </c>
      <c r="L172" s="0" t="str">
        <f aca="false">IFERROR(IF(maxifs(Documents!$E$2:$E$1421,Documents!$A$2:$A$1421,$A172,Documents!$C$2:$C$1421,"excursions")=0,"",maxifs(Documents!$E$2:$E$1421,Documents!$A$2:$A$1421,$A172,Documents!$C$2:$C$1421,"excursions")),"")</f>
        <v/>
      </c>
      <c r="M172" s="0" t="str">
        <f aca="false">IFERROR(IF(maxifs(Documents!$E$2:$E$1421,Documents!$A$2:$A$1421,$A172,Documents!$C$2:$C$1421,"kids")=0,"",maxifs(Documents!$E$2:$E$1421,Documents!$A$2:$A$1421,$A172,Documents!$C$2:$C$1421,"kids")),"")</f>
        <v/>
      </c>
      <c r="N172" s="0" t="str">
        <f aca="false">IFERROR(IF(maxifs(Documents!$E$2:$E$1421,Documents!$A$2:$A$1421,$A172,Documents!$C$2:$C$1421,"villa_plans")=0,"",maxifs(Documents!$E$2:$E$1421,Documents!$A$2:$A$1421,$A172,Documents!$C$2:$C$1421,"villa_plans")),"")</f>
        <v/>
      </c>
      <c r="O172" s="0" t="str">
        <f aca="false">IFERROR(IF(maxifs(Documents!$E$2:$E$1421,Documents!$A$2:$A$1421,$A172,Documents!$C$2:$C$1421,"all_inclusive")=0,"",maxifs(Documents!$E$2:$E$1421,Documents!$A$2:$A$1421,$A172,Documents!$C$2:$C$1421,"all_inclusive")),"")</f>
        <v/>
      </c>
      <c r="P172" s="0" t="str">
        <f aca="false">IFERROR(IF(maxifs(Documents!$E$2:$E$1421,Documents!$A$2:$A$1421,$A172,Documents!$C$2:$C$1421,"sustainability")=0,"",maxifs(Documents!$E$2:$E$1421,Documents!$A$2:$A$1421,$A172,Documents!$C$2:$C$1421,"sustainability")),"")</f>
        <v/>
      </c>
      <c r="Q172" s="0" t="str">
        <f aca="false">IFERROR(IF(maxifs(Documents!$E$2:$E$1421,Documents!$A$2:$A$1421,$A172,Documents!$C$2:$C$1421,"calendar")=0,"",maxifs(Documents!$E$2:$E$1421,Documents!$A$2:$A$1421,$A172,Documents!$C$2:$C$1421,"calendar")),"")</f>
        <v/>
      </c>
      <c r="R172" s="0" t="str">
        <f aca="false">IFERROR(IF(maxifs(Documents!$E$2:$E$1421,Documents!$A$2:$A$1421,$A172,Documents!$C$2:$C$1421,"brochure")=0,"",maxifs(Documents!$E$2:$E$1421,Documents!$A$2:$A$1421,$A172,Documents!$C$2:$C$1421,"brochure")),"")</f>
        <v/>
      </c>
      <c r="S172" s="0" t="str">
        <f aca="false">IFERROR(IF(maxifs(Documents!$E$2:$E$1421,Documents!$A$2:$A$1421,$A172,Documents!$C$2:$C$1421,"press_kit")=0,"",maxifs(Documents!$E$2:$E$1421,Documents!$A$2:$A$1421,$A172,Documents!$C$2:$C$1421,"press_kit")),"")</f>
        <v/>
      </c>
      <c r="T172" s="0" t="str">
        <f aca="false">IFERROR(IF(maxifs(Documents!$E$2:$E$1421,Documents!$A$2:$A$1421,$A172,Documents!$C$2:$C$1421,"other")=0,"",maxifs(Documents!$E$2:$E$1421,Documents!$A$2:$A$1421,$A172,Documents!$C$2:$C$1421,"other")),"")</f>
        <v/>
      </c>
      <c r="U172" s="0" t="str">
        <f aca="false">IFERROR(IF(maxifs(Documents!$E$2:$E$1421,Documents!$A$2:$A$1421,$A172,Documents!$C$2:$C$1421,"obsolete")=0,"",maxifs(Documents!$E$2:$E$1421,Documents!$A$2:$A$1421,$A172,Documents!$C$2:$C$1421,"obsolete")),"")</f>
        <v/>
      </c>
      <c r="V172" s="0" t="n">
        <f aca="false">COUNTIFS(Documents!$A$2:$A$1421,$A172)</f>
        <v>4</v>
      </c>
      <c r="W172" s="0" t="n">
        <f aca="false">COUNTIFS(Documents!$A$2:$A$1421,$A172,Documents!$R$2:$R$1421,"current")</f>
        <v>0</v>
      </c>
      <c r="X172" s="0" t="str">
        <f aca="false">HYPERLINK("https://neoscapesmaldives.com/wp-content/uploads/Velaa-Private-Island-Fact-Sheet.pdf","2019_Velaa-Private-Island-Fact-Sheet.pdf")</f>
        <v>2019_Velaa-Private-Island-Fact-Sheet.pdf</v>
      </c>
      <c r="Y172" s="0" t="s">
        <v>28</v>
      </c>
    </row>
    <row r="173" customFormat="false" ht="15" hidden="false" customHeight="false" outlineLevel="0" collapsed="false">
      <c r="A173" s="0" t="n">
        <v>172</v>
      </c>
      <c r="B173" s="0" t="s">
        <v>232</v>
      </c>
      <c r="C173" s="0" t="s">
        <v>112</v>
      </c>
      <c r="D173" s="0" t="str">
        <f aca="false">IFERROR(IF(maxifs(Documents!$E$2:$E$1421,Documents!$A$2:$A$1421,$A173,Documents!$C$2:$C$1421,"factsheet")=0,"",maxifs(Documents!$E$2:$E$1421,Documents!$A$2:$A$1421,$A173,Documents!$C$2:$C$1421,"factsheet")),"")</f>
        <v/>
      </c>
      <c r="E173" s="0" t="str">
        <f aca="false">IFERROR(IF(maxifs(Documents!$E$2:$E$1421,Documents!$A$2:$A$1421,$A173,Documents!$C$2:$C$1421,"wedding")=0,"",maxifs(Documents!$E$2:$E$1421,Documents!$A$2:$A$1421,$A173,Documents!$C$2:$C$1421,"wedding")),"")</f>
        <v/>
      </c>
      <c r="F173" s="0" t="str">
        <f aca="false">IFERROR(IF(maxifs(Documents!$E$2:$E$1421,Documents!$A$2:$A$1421,$A173,Documents!$C$2:$C$1421,"events")=0,"",maxifs(Documents!$E$2:$E$1421,Documents!$A$2:$A$1421,$A173,Documents!$C$2:$C$1421,"events")),"")</f>
        <v/>
      </c>
      <c r="G173" s="0" t="str">
        <f aca="false">IFERROR(IF(maxifs(Documents!$E$2:$E$1421,Documents!$A$2:$A$1421,$A173,Documents!$C$2:$C$1421,"map")=0,"",maxifs(Documents!$E$2:$E$1421,Documents!$A$2:$A$1421,$A173,Documents!$C$2:$C$1421,"map")),"")</f>
        <v/>
      </c>
      <c r="H173" s="0" t="str">
        <f aca="false">IFERROR(IF(maxifs(Documents!$E$2:$E$1421,Documents!$A$2:$A$1421,$A173,Documents!$C$2:$C$1421,"dive_map")=0,"",maxifs(Documents!$E$2:$E$1421,Documents!$A$2:$A$1421,$A173,Documents!$C$2:$C$1421,"dive_map")),"")</f>
        <v/>
      </c>
      <c r="I173" s="0" t="str">
        <f aca="false">IFERROR(IF(maxifs(Documents!$E$2:$E$1421,Documents!$A$2:$A$1421,$A173,Documents!$C$2:$C$1421,"spa_menu")=0,"",maxifs(Documents!$E$2:$E$1421,Documents!$A$2:$A$1421,$A173,Documents!$C$2:$C$1421,"spa_menu")),"")</f>
        <v/>
      </c>
      <c r="J173" s="0" t="str">
        <f aca="false">IFERROR(IF(maxifs(Documents!$E$2:$E$1421,Documents!$A$2:$A$1421,$A173,Documents!$C$2:$C$1421,"dining_menu")=0,"",maxifs(Documents!$E$2:$E$1421,Documents!$A$2:$A$1421,$A173,Documents!$C$2:$C$1421,"dining_menu")),"")</f>
        <v/>
      </c>
      <c r="K173" s="0" t="str">
        <f aca="false">IFERROR(IF(maxifs(Documents!$E$2:$E$1421,Documents!$A$2:$A$1421,$A173,Documents!$C$2:$C$1421,"dive_prices")=0,"",maxifs(Documents!$E$2:$E$1421,Documents!$A$2:$A$1421,$A173,Documents!$C$2:$C$1421,"dive_prices")),"")</f>
        <v/>
      </c>
      <c r="L173" s="0" t="str">
        <f aca="false">IFERROR(IF(maxifs(Documents!$E$2:$E$1421,Documents!$A$2:$A$1421,$A173,Documents!$C$2:$C$1421,"excursions")=0,"",maxifs(Documents!$E$2:$E$1421,Documents!$A$2:$A$1421,$A173,Documents!$C$2:$C$1421,"excursions")),"")</f>
        <v/>
      </c>
      <c r="M173" s="0" t="str">
        <f aca="false">IFERROR(IF(maxifs(Documents!$E$2:$E$1421,Documents!$A$2:$A$1421,$A173,Documents!$C$2:$C$1421,"kids")=0,"",maxifs(Documents!$E$2:$E$1421,Documents!$A$2:$A$1421,$A173,Documents!$C$2:$C$1421,"kids")),"")</f>
        <v/>
      </c>
      <c r="N173" s="0" t="str">
        <f aca="false">IFERROR(IF(maxifs(Documents!$E$2:$E$1421,Documents!$A$2:$A$1421,$A173,Documents!$C$2:$C$1421,"villa_plans")=0,"",maxifs(Documents!$E$2:$E$1421,Documents!$A$2:$A$1421,$A173,Documents!$C$2:$C$1421,"villa_plans")),"")</f>
        <v/>
      </c>
      <c r="O173" s="0" t="str">
        <f aca="false">IFERROR(IF(maxifs(Documents!$E$2:$E$1421,Documents!$A$2:$A$1421,$A173,Documents!$C$2:$C$1421,"all_inclusive")=0,"",maxifs(Documents!$E$2:$E$1421,Documents!$A$2:$A$1421,$A173,Documents!$C$2:$C$1421,"all_inclusive")),"")</f>
        <v/>
      </c>
      <c r="P173" s="0" t="str">
        <f aca="false">IFERROR(IF(maxifs(Documents!$E$2:$E$1421,Documents!$A$2:$A$1421,$A173,Documents!$C$2:$C$1421,"sustainability")=0,"",maxifs(Documents!$E$2:$E$1421,Documents!$A$2:$A$1421,$A173,Documents!$C$2:$C$1421,"sustainability")),"")</f>
        <v/>
      </c>
      <c r="Q173" s="0" t="str">
        <f aca="false">IFERROR(IF(maxifs(Documents!$E$2:$E$1421,Documents!$A$2:$A$1421,$A173,Documents!$C$2:$C$1421,"calendar")=0,"",maxifs(Documents!$E$2:$E$1421,Documents!$A$2:$A$1421,$A173,Documents!$C$2:$C$1421,"calendar")),"")</f>
        <v/>
      </c>
      <c r="R173" s="0" t="str">
        <f aca="false">IFERROR(IF(maxifs(Documents!$E$2:$E$1421,Documents!$A$2:$A$1421,$A173,Documents!$C$2:$C$1421,"brochure")=0,"",maxifs(Documents!$E$2:$E$1421,Documents!$A$2:$A$1421,$A173,Documents!$C$2:$C$1421,"brochure")),"")</f>
        <v/>
      </c>
      <c r="S173" s="0" t="str">
        <f aca="false">IFERROR(IF(maxifs(Documents!$E$2:$E$1421,Documents!$A$2:$A$1421,$A173,Documents!$C$2:$C$1421,"press_kit")=0,"",maxifs(Documents!$E$2:$E$1421,Documents!$A$2:$A$1421,$A173,Documents!$C$2:$C$1421,"press_kit")),"")</f>
        <v/>
      </c>
      <c r="T173" s="0" t="str">
        <f aca="false">IFERROR(IF(maxifs(Documents!$E$2:$E$1421,Documents!$A$2:$A$1421,$A173,Documents!$C$2:$C$1421,"other")=0,"",maxifs(Documents!$E$2:$E$1421,Documents!$A$2:$A$1421,$A173,Documents!$C$2:$C$1421,"other")),"")</f>
        <v/>
      </c>
      <c r="U173" s="0" t="str">
        <f aca="false">IFERROR(IF(maxifs(Documents!$E$2:$E$1421,Documents!$A$2:$A$1421,$A173,Documents!$C$2:$C$1421,"obsolete")=0,"",maxifs(Documents!$E$2:$E$1421,Documents!$A$2:$A$1421,$A173,Documents!$C$2:$C$1421,"obsolete")),"")</f>
        <v/>
      </c>
      <c r="V173" s="0" t="n">
        <f aca="false">COUNTIFS(Documents!$A$2:$A$1421,$A173)</f>
        <v>2</v>
      </c>
      <c r="W173" s="0" t="n">
        <f aca="false">COUNTIFS(Documents!$A$2:$A$1421,$A173,Documents!$R$2:$R$1421,"current")</f>
        <v>0</v>
      </c>
      <c r="X173" s="0" t="str">
        <f aca="false">HYPERLINK("https://sales.crownandchamparesorts.com/wp-content/uploads/2018/04/mirihi_fact_sheet.pdf","2017_mirihi_fact_sheet.pdf")</f>
        <v>2017_mirihi_fact_sheet.pdf</v>
      </c>
      <c r="Y173" s="0" t="s">
        <v>28</v>
      </c>
    </row>
    <row r="174" customFormat="false" ht="15" hidden="false" customHeight="false" outlineLevel="0" collapsed="false">
      <c r="A174" s="0" t="n">
        <v>173</v>
      </c>
      <c r="B174" s="0" t="s">
        <v>233</v>
      </c>
      <c r="C174" s="0" t="s">
        <v>112</v>
      </c>
      <c r="D174" s="0" t="str">
        <f aca="false">IFERROR(IF(maxifs(Documents!$E$2:$E$1421,Documents!$A$2:$A$1421,$A174,Documents!$C$2:$C$1421,"factsheet")=0,"",maxifs(Documents!$E$2:$E$1421,Documents!$A$2:$A$1421,$A174,Documents!$C$2:$C$1421,"factsheet")),"")</f>
        <v/>
      </c>
      <c r="E174" s="0" t="str">
        <f aca="false">IFERROR(IF(maxifs(Documents!$E$2:$E$1421,Documents!$A$2:$A$1421,$A174,Documents!$C$2:$C$1421,"wedding")=0,"",maxifs(Documents!$E$2:$E$1421,Documents!$A$2:$A$1421,$A174,Documents!$C$2:$C$1421,"wedding")),"")</f>
        <v/>
      </c>
      <c r="F174" s="0" t="str">
        <f aca="false">IFERROR(IF(maxifs(Documents!$E$2:$E$1421,Documents!$A$2:$A$1421,$A174,Documents!$C$2:$C$1421,"events")=0,"",maxifs(Documents!$E$2:$E$1421,Documents!$A$2:$A$1421,$A174,Documents!$C$2:$C$1421,"events")),"")</f>
        <v/>
      </c>
      <c r="G174" s="0" t="str">
        <f aca="false">IFERROR(IF(maxifs(Documents!$E$2:$E$1421,Documents!$A$2:$A$1421,$A174,Documents!$C$2:$C$1421,"map")=0,"",maxifs(Documents!$E$2:$E$1421,Documents!$A$2:$A$1421,$A174,Documents!$C$2:$C$1421,"map")),"")</f>
        <v/>
      </c>
      <c r="H174" s="0" t="str">
        <f aca="false">IFERROR(IF(maxifs(Documents!$E$2:$E$1421,Documents!$A$2:$A$1421,$A174,Documents!$C$2:$C$1421,"dive_map")=0,"",maxifs(Documents!$E$2:$E$1421,Documents!$A$2:$A$1421,$A174,Documents!$C$2:$C$1421,"dive_map")),"")</f>
        <v/>
      </c>
      <c r="I174" s="0" t="str">
        <f aca="false">IFERROR(IF(maxifs(Documents!$E$2:$E$1421,Documents!$A$2:$A$1421,$A174,Documents!$C$2:$C$1421,"spa_menu")=0,"",maxifs(Documents!$E$2:$E$1421,Documents!$A$2:$A$1421,$A174,Documents!$C$2:$C$1421,"spa_menu")),"")</f>
        <v/>
      </c>
      <c r="J174" s="0" t="str">
        <f aca="false">IFERROR(IF(maxifs(Documents!$E$2:$E$1421,Documents!$A$2:$A$1421,$A174,Documents!$C$2:$C$1421,"dining_menu")=0,"",maxifs(Documents!$E$2:$E$1421,Documents!$A$2:$A$1421,$A174,Documents!$C$2:$C$1421,"dining_menu")),"")</f>
        <v/>
      </c>
      <c r="K174" s="0" t="str">
        <f aca="false">IFERROR(IF(maxifs(Documents!$E$2:$E$1421,Documents!$A$2:$A$1421,$A174,Documents!$C$2:$C$1421,"dive_prices")=0,"",maxifs(Documents!$E$2:$E$1421,Documents!$A$2:$A$1421,$A174,Documents!$C$2:$C$1421,"dive_prices")),"")</f>
        <v/>
      </c>
      <c r="L174" s="0" t="str">
        <f aca="false">IFERROR(IF(maxifs(Documents!$E$2:$E$1421,Documents!$A$2:$A$1421,$A174,Documents!$C$2:$C$1421,"excursions")=0,"",maxifs(Documents!$E$2:$E$1421,Documents!$A$2:$A$1421,$A174,Documents!$C$2:$C$1421,"excursions")),"")</f>
        <v/>
      </c>
      <c r="M174" s="0" t="str">
        <f aca="false">IFERROR(IF(maxifs(Documents!$E$2:$E$1421,Documents!$A$2:$A$1421,$A174,Documents!$C$2:$C$1421,"kids")=0,"",maxifs(Documents!$E$2:$E$1421,Documents!$A$2:$A$1421,$A174,Documents!$C$2:$C$1421,"kids")),"")</f>
        <v/>
      </c>
      <c r="N174" s="0" t="str">
        <f aca="false">IFERROR(IF(maxifs(Documents!$E$2:$E$1421,Documents!$A$2:$A$1421,$A174,Documents!$C$2:$C$1421,"villa_plans")=0,"",maxifs(Documents!$E$2:$E$1421,Documents!$A$2:$A$1421,$A174,Documents!$C$2:$C$1421,"villa_plans")),"")</f>
        <v/>
      </c>
      <c r="O174" s="0" t="str">
        <f aca="false">IFERROR(IF(maxifs(Documents!$E$2:$E$1421,Documents!$A$2:$A$1421,$A174,Documents!$C$2:$C$1421,"all_inclusive")=0,"",maxifs(Documents!$E$2:$E$1421,Documents!$A$2:$A$1421,$A174,Documents!$C$2:$C$1421,"all_inclusive")),"")</f>
        <v/>
      </c>
      <c r="P174" s="0" t="str">
        <f aca="false">IFERROR(IF(maxifs(Documents!$E$2:$E$1421,Documents!$A$2:$A$1421,$A174,Documents!$C$2:$C$1421,"sustainability")=0,"",maxifs(Documents!$E$2:$E$1421,Documents!$A$2:$A$1421,$A174,Documents!$C$2:$C$1421,"sustainability")),"")</f>
        <v/>
      </c>
      <c r="Q174" s="0" t="str">
        <f aca="false">IFERROR(IF(maxifs(Documents!$E$2:$E$1421,Documents!$A$2:$A$1421,$A174,Documents!$C$2:$C$1421,"calendar")=0,"",maxifs(Documents!$E$2:$E$1421,Documents!$A$2:$A$1421,$A174,Documents!$C$2:$C$1421,"calendar")),"")</f>
        <v/>
      </c>
      <c r="R174" s="0" t="str">
        <f aca="false">IFERROR(IF(maxifs(Documents!$E$2:$E$1421,Documents!$A$2:$A$1421,$A174,Documents!$C$2:$C$1421,"brochure")=0,"",maxifs(Documents!$E$2:$E$1421,Documents!$A$2:$A$1421,$A174,Documents!$C$2:$C$1421,"brochure")),"")</f>
        <v/>
      </c>
      <c r="S174" s="0" t="str">
        <f aca="false">IFERROR(IF(maxifs(Documents!$E$2:$E$1421,Documents!$A$2:$A$1421,$A174,Documents!$C$2:$C$1421,"press_kit")=0,"",maxifs(Documents!$E$2:$E$1421,Documents!$A$2:$A$1421,$A174,Documents!$C$2:$C$1421,"press_kit")),"")</f>
        <v/>
      </c>
      <c r="T174" s="0" t="str">
        <f aca="false">IFERROR(IF(maxifs(Documents!$E$2:$E$1421,Documents!$A$2:$A$1421,$A174,Documents!$C$2:$C$1421,"other")=0,"",maxifs(Documents!$E$2:$E$1421,Documents!$A$2:$A$1421,$A174,Documents!$C$2:$C$1421,"other")),"")</f>
        <v/>
      </c>
      <c r="U174" s="0" t="str">
        <f aca="false">IFERROR(IF(maxifs(Documents!$E$2:$E$1421,Documents!$A$2:$A$1421,$A174,Documents!$C$2:$C$1421,"obsolete")=0,"",maxifs(Documents!$E$2:$E$1421,Documents!$A$2:$A$1421,$A174,Documents!$C$2:$C$1421,"obsolete")),"")</f>
        <v/>
      </c>
      <c r="V174" s="0" t="n">
        <f aca="false">COUNTIFS(Documents!$A$2:$A$1421,$A174)</f>
        <v>3</v>
      </c>
      <c r="W174" s="0" t="n">
        <f aca="false">COUNTIFS(Documents!$A$2:$A$1421,$A174,Documents!$R$2:$R$1421,"current")</f>
        <v>0</v>
      </c>
      <c r="X174" s="0" t="str">
        <f aca="false">HYPERLINK("https://www.neoscapesmaldives.com/wp-content/uploads/Factsheet-Kurumba-Maldives.pdf","2019_Factsheet-Kurumba-Maldives.pdf")</f>
        <v>2019_Factsheet-Kurumba-Maldives.pdf</v>
      </c>
      <c r="Y174" s="0" t="s">
        <v>28</v>
      </c>
    </row>
    <row r="175" customFormat="false" ht="15" hidden="false" customHeight="false" outlineLevel="0" collapsed="false">
      <c r="A175" s="0" t="n">
        <v>174</v>
      </c>
      <c r="B175" s="0" t="s">
        <v>234</v>
      </c>
      <c r="C175" s="0" t="s">
        <v>112</v>
      </c>
      <c r="D175" s="0" t="str">
        <f aca="false">IFERROR(IF(maxifs(Documents!$E$2:$E$1421,Documents!$A$2:$A$1421,$A175,Documents!$C$2:$C$1421,"factsheet")=0,"",maxifs(Documents!$E$2:$E$1421,Documents!$A$2:$A$1421,$A175,Documents!$C$2:$C$1421,"factsheet")),"")</f>
        <v/>
      </c>
      <c r="E175" s="0" t="str">
        <f aca="false">IFERROR(IF(maxifs(Documents!$E$2:$E$1421,Documents!$A$2:$A$1421,$A175,Documents!$C$2:$C$1421,"wedding")=0,"",maxifs(Documents!$E$2:$E$1421,Documents!$A$2:$A$1421,$A175,Documents!$C$2:$C$1421,"wedding")),"")</f>
        <v/>
      </c>
      <c r="F175" s="0" t="str">
        <f aca="false">IFERROR(IF(maxifs(Documents!$E$2:$E$1421,Documents!$A$2:$A$1421,$A175,Documents!$C$2:$C$1421,"events")=0,"",maxifs(Documents!$E$2:$E$1421,Documents!$A$2:$A$1421,$A175,Documents!$C$2:$C$1421,"events")),"")</f>
        <v/>
      </c>
      <c r="G175" s="0" t="str">
        <f aca="false">IFERROR(IF(maxifs(Documents!$E$2:$E$1421,Documents!$A$2:$A$1421,$A175,Documents!$C$2:$C$1421,"map")=0,"",maxifs(Documents!$E$2:$E$1421,Documents!$A$2:$A$1421,$A175,Documents!$C$2:$C$1421,"map")),"")</f>
        <v/>
      </c>
      <c r="H175" s="0" t="str">
        <f aca="false">IFERROR(IF(maxifs(Documents!$E$2:$E$1421,Documents!$A$2:$A$1421,$A175,Documents!$C$2:$C$1421,"dive_map")=0,"",maxifs(Documents!$E$2:$E$1421,Documents!$A$2:$A$1421,$A175,Documents!$C$2:$C$1421,"dive_map")),"")</f>
        <v/>
      </c>
      <c r="I175" s="0" t="str">
        <f aca="false">IFERROR(IF(maxifs(Documents!$E$2:$E$1421,Documents!$A$2:$A$1421,$A175,Documents!$C$2:$C$1421,"spa_menu")=0,"",maxifs(Documents!$E$2:$E$1421,Documents!$A$2:$A$1421,$A175,Documents!$C$2:$C$1421,"spa_menu")),"")</f>
        <v/>
      </c>
      <c r="J175" s="0" t="str">
        <f aca="false">IFERROR(IF(maxifs(Documents!$E$2:$E$1421,Documents!$A$2:$A$1421,$A175,Documents!$C$2:$C$1421,"dining_menu")=0,"",maxifs(Documents!$E$2:$E$1421,Documents!$A$2:$A$1421,$A175,Documents!$C$2:$C$1421,"dining_menu")),"")</f>
        <v/>
      </c>
      <c r="K175" s="0" t="str">
        <f aca="false">IFERROR(IF(maxifs(Documents!$E$2:$E$1421,Documents!$A$2:$A$1421,$A175,Documents!$C$2:$C$1421,"dive_prices")=0,"",maxifs(Documents!$E$2:$E$1421,Documents!$A$2:$A$1421,$A175,Documents!$C$2:$C$1421,"dive_prices")),"")</f>
        <v/>
      </c>
      <c r="L175" s="0" t="str">
        <f aca="false">IFERROR(IF(maxifs(Documents!$E$2:$E$1421,Documents!$A$2:$A$1421,$A175,Documents!$C$2:$C$1421,"excursions")=0,"",maxifs(Documents!$E$2:$E$1421,Documents!$A$2:$A$1421,$A175,Documents!$C$2:$C$1421,"excursions")),"")</f>
        <v/>
      </c>
      <c r="M175" s="0" t="str">
        <f aca="false">IFERROR(IF(maxifs(Documents!$E$2:$E$1421,Documents!$A$2:$A$1421,$A175,Documents!$C$2:$C$1421,"kids")=0,"",maxifs(Documents!$E$2:$E$1421,Documents!$A$2:$A$1421,$A175,Documents!$C$2:$C$1421,"kids")),"")</f>
        <v/>
      </c>
      <c r="N175" s="0" t="str">
        <f aca="false">IFERROR(IF(maxifs(Documents!$E$2:$E$1421,Documents!$A$2:$A$1421,$A175,Documents!$C$2:$C$1421,"villa_plans")=0,"",maxifs(Documents!$E$2:$E$1421,Documents!$A$2:$A$1421,$A175,Documents!$C$2:$C$1421,"villa_plans")),"")</f>
        <v/>
      </c>
      <c r="O175" s="0" t="str">
        <f aca="false">IFERROR(IF(maxifs(Documents!$E$2:$E$1421,Documents!$A$2:$A$1421,$A175,Documents!$C$2:$C$1421,"all_inclusive")=0,"",maxifs(Documents!$E$2:$E$1421,Documents!$A$2:$A$1421,$A175,Documents!$C$2:$C$1421,"all_inclusive")),"")</f>
        <v/>
      </c>
      <c r="P175" s="0" t="str">
        <f aca="false">IFERROR(IF(maxifs(Documents!$E$2:$E$1421,Documents!$A$2:$A$1421,$A175,Documents!$C$2:$C$1421,"sustainability")=0,"",maxifs(Documents!$E$2:$E$1421,Documents!$A$2:$A$1421,$A175,Documents!$C$2:$C$1421,"sustainability")),"")</f>
        <v/>
      </c>
      <c r="Q175" s="0" t="str">
        <f aca="false">IFERROR(IF(maxifs(Documents!$E$2:$E$1421,Documents!$A$2:$A$1421,$A175,Documents!$C$2:$C$1421,"calendar")=0,"",maxifs(Documents!$E$2:$E$1421,Documents!$A$2:$A$1421,$A175,Documents!$C$2:$C$1421,"calendar")),"")</f>
        <v/>
      </c>
      <c r="R175" s="0" t="str">
        <f aca="false">IFERROR(IF(maxifs(Documents!$E$2:$E$1421,Documents!$A$2:$A$1421,$A175,Documents!$C$2:$C$1421,"brochure")=0,"",maxifs(Documents!$E$2:$E$1421,Documents!$A$2:$A$1421,$A175,Documents!$C$2:$C$1421,"brochure")),"")</f>
        <v/>
      </c>
      <c r="S175" s="0" t="str">
        <f aca="false">IFERROR(IF(maxifs(Documents!$E$2:$E$1421,Documents!$A$2:$A$1421,$A175,Documents!$C$2:$C$1421,"press_kit")=0,"",maxifs(Documents!$E$2:$E$1421,Documents!$A$2:$A$1421,$A175,Documents!$C$2:$C$1421,"press_kit")),"")</f>
        <v/>
      </c>
      <c r="T175" s="0" t="str">
        <f aca="false">IFERROR(IF(maxifs(Documents!$E$2:$E$1421,Documents!$A$2:$A$1421,$A175,Documents!$C$2:$C$1421,"other")=0,"",maxifs(Documents!$E$2:$E$1421,Documents!$A$2:$A$1421,$A175,Documents!$C$2:$C$1421,"other")),"")</f>
        <v/>
      </c>
      <c r="U175" s="0" t="str">
        <f aca="false">IFERROR(IF(maxifs(Documents!$E$2:$E$1421,Documents!$A$2:$A$1421,$A175,Documents!$C$2:$C$1421,"obsolete")=0,"",maxifs(Documents!$E$2:$E$1421,Documents!$A$2:$A$1421,$A175,Documents!$C$2:$C$1421,"obsolete")),"")</f>
        <v/>
      </c>
      <c r="V175" s="0" t="n">
        <f aca="false">COUNTIFS(Documents!$A$2:$A$1421,$A175)</f>
        <v>5</v>
      </c>
      <c r="W175" s="0" t="n">
        <f aca="false">COUNTIFS(Documents!$A$2:$A$1421,$A175,Documents!$R$2:$R$1421,"current")</f>
        <v>2</v>
      </c>
      <c r="X175" s="0" t="str">
        <f aca="false">HYPERLINK("https://sales.crownandchamparesorts.com/wp-content/uploads/2025/12/FactSheetVilamendhoo110125103126Ver260425.pdf","2025_FactSheetVilamendhoo110125103126Ver")</f>
        <v>2025_FactSheetVilamendhoo110125103126Ver</v>
      </c>
      <c r="Y175" s="0" t="s">
        <v>28</v>
      </c>
    </row>
    <row r="176" customFormat="false" ht="15" hidden="false" customHeight="false" outlineLevel="0" collapsed="false">
      <c r="A176" s="0" t="n">
        <v>175</v>
      </c>
      <c r="B176" s="0" t="s">
        <v>235</v>
      </c>
      <c r="C176" s="0" t="s">
        <v>112</v>
      </c>
      <c r="D176" s="0" t="str">
        <f aca="false">IFERROR(IF(maxifs(Documents!$E$2:$E$1421,Documents!$A$2:$A$1421,$A176,Documents!$C$2:$C$1421,"factsheet")=0,"",maxifs(Documents!$E$2:$E$1421,Documents!$A$2:$A$1421,$A176,Documents!$C$2:$C$1421,"factsheet")),"")</f>
        <v/>
      </c>
      <c r="E176" s="0" t="str">
        <f aca="false">IFERROR(IF(maxifs(Documents!$E$2:$E$1421,Documents!$A$2:$A$1421,$A176,Documents!$C$2:$C$1421,"wedding")=0,"",maxifs(Documents!$E$2:$E$1421,Documents!$A$2:$A$1421,$A176,Documents!$C$2:$C$1421,"wedding")),"")</f>
        <v/>
      </c>
      <c r="F176" s="0" t="str">
        <f aca="false">IFERROR(IF(maxifs(Documents!$E$2:$E$1421,Documents!$A$2:$A$1421,$A176,Documents!$C$2:$C$1421,"events")=0,"",maxifs(Documents!$E$2:$E$1421,Documents!$A$2:$A$1421,$A176,Documents!$C$2:$C$1421,"events")),"")</f>
        <v/>
      </c>
      <c r="G176" s="0" t="str">
        <f aca="false">IFERROR(IF(maxifs(Documents!$E$2:$E$1421,Documents!$A$2:$A$1421,$A176,Documents!$C$2:$C$1421,"map")=0,"",maxifs(Documents!$E$2:$E$1421,Documents!$A$2:$A$1421,$A176,Documents!$C$2:$C$1421,"map")),"")</f>
        <v/>
      </c>
      <c r="H176" s="0" t="str">
        <f aca="false">IFERROR(IF(maxifs(Documents!$E$2:$E$1421,Documents!$A$2:$A$1421,$A176,Documents!$C$2:$C$1421,"dive_map")=0,"",maxifs(Documents!$E$2:$E$1421,Documents!$A$2:$A$1421,$A176,Documents!$C$2:$C$1421,"dive_map")),"")</f>
        <v/>
      </c>
      <c r="I176" s="0" t="str">
        <f aca="false">IFERROR(IF(maxifs(Documents!$E$2:$E$1421,Documents!$A$2:$A$1421,$A176,Documents!$C$2:$C$1421,"spa_menu")=0,"",maxifs(Documents!$E$2:$E$1421,Documents!$A$2:$A$1421,$A176,Documents!$C$2:$C$1421,"spa_menu")),"")</f>
        <v/>
      </c>
      <c r="J176" s="0" t="str">
        <f aca="false">IFERROR(IF(maxifs(Documents!$E$2:$E$1421,Documents!$A$2:$A$1421,$A176,Documents!$C$2:$C$1421,"dining_menu")=0,"",maxifs(Documents!$E$2:$E$1421,Documents!$A$2:$A$1421,$A176,Documents!$C$2:$C$1421,"dining_menu")),"")</f>
        <v/>
      </c>
      <c r="K176" s="0" t="str">
        <f aca="false">IFERROR(IF(maxifs(Documents!$E$2:$E$1421,Documents!$A$2:$A$1421,$A176,Documents!$C$2:$C$1421,"dive_prices")=0,"",maxifs(Documents!$E$2:$E$1421,Documents!$A$2:$A$1421,$A176,Documents!$C$2:$C$1421,"dive_prices")),"")</f>
        <v/>
      </c>
      <c r="L176" s="0" t="str">
        <f aca="false">IFERROR(IF(maxifs(Documents!$E$2:$E$1421,Documents!$A$2:$A$1421,$A176,Documents!$C$2:$C$1421,"excursions")=0,"",maxifs(Documents!$E$2:$E$1421,Documents!$A$2:$A$1421,$A176,Documents!$C$2:$C$1421,"excursions")),"")</f>
        <v/>
      </c>
      <c r="M176" s="0" t="str">
        <f aca="false">IFERROR(IF(maxifs(Documents!$E$2:$E$1421,Documents!$A$2:$A$1421,$A176,Documents!$C$2:$C$1421,"kids")=0,"",maxifs(Documents!$E$2:$E$1421,Documents!$A$2:$A$1421,$A176,Documents!$C$2:$C$1421,"kids")),"")</f>
        <v/>
      </c>
      <c r="N176" s="0" t="str">
        <f aca="false">IFERROR(IF(maxifs(Documents!$E$2:$E$1421,Documents!$A$2:$A$1421,$A176,Documents!$C$2:$C$1421,"villa_plans")=0,"",maxifs(Documents!$E$2:$E$1421,Documents!$A$2:$A$1421,$A176,Documents!$C$2:$C$1421,"villa_plans")),"")</f>
        <v/>
      </c>
      <c r="O176" s="0" t="str">
        <f aca="false">IFERROR(IF(maxifs(Documents!$E$2:$E$1421,Documents!$A$2:$A$1421,$A176,Documents!$C$2:$C$1421,"all_inclusive")=0,"",maxifs(Documents!$E$2:$E$1421,Documents!$A$2:$A$1421,$A176,Documents!$C$2:$C$1421,"all_inclusive")),"")</f>
        <v/>
      </c>
      <c r="P176" s="0" t="str">
        <f aca="false">IFERROR(IF(maxifs(Documents!$E$2:$E$1421,Documents!$A$2:$A$1421,$A176,Documents!$C$2:$C$1421,"sustainability")=0,"",maxifs(Documents!$E$2:$E$1421,Documents!$A$2:$A$1421,$A176,Documents!$C$2:$C$1421,"sustainability")),"")</f>
        <v/>
      </c>
      <c r="Q176" s="0" t="str">
        <f aca="false">IFERROR(IF(maxifs(Documents!$E$2:$E$1421,Documents!$A$2:$A$1421,$A176,Documents!$C$2:$C$1421,"calendar")=0,"",maxifs(Documents!$E$2:$E$1421,Documents!$A$2:$A$1421,$A176,Documents!$C$2:$C$1421,"calendar")),"")</f>
        <v/>
      </c>
      <c r="R176" s="0" t="str">
        <f aca="false">IFERROR(IF(maxifs(Documents!$E$2:$E$1421,Documents!$A$2:$A$1421,$A176,Documents!$C$2:$C$1421,"brochure")=0,"",maxifs(Documents!$E$2:$E$1421,Documents!$A$2:$A$1421,$A176,Documents!$C$2:$C$1421,"brochure")),"")</f>
        <v/>
      </c>
      <c r="S176" s="0" t="str">
        <f aca="false">IFERROR(IF(maxifs(Documents!$E$2:$E$1421,Documents!$A$2:$A$1421,$A176,Documents!$C$2:$C$1421,"press_kit")=0,"",maxifs(Documents!$E$2:$E$1421,Documents!$A$2:$A$1421,$A176,Documents!$C$2:$C$1421,"press_kit")),"")</f>
        <v/>
      </c>
      <c r="T176" s="0" t="str">
        <f aca="false">IFERROR(IF(maxifs(Documents!$E$2:$E$1421,Documents!$A$2:$A$1421,$A176,Documents!$C$2:$C$1421,"other")=0,"",maxifs(Documents!$E$2:$E$1421,Documents!$A$2:$A$1421,$A176,Documents!$C$2:$C$1421,"other")),"")</f>
        <v/>
      </c>
      <c r="U176" s="0" t="str">
        <f aca="false">IFERROR(IF(maxifs(Documents!$E$2:$E$1421,Documents!$A$2:$A$1421,$A176,Documents!$C$2:$C$1421,"obsolete")=0,"",maxifs(Documents!$E$2:$E$1421,Documents!$A$2:$A$1421,$A176,Documents!$C$2:$C$1421,"obsolete")),"")</f>
        <v/>
      </c>
      <c r="V176" s="0" t="n">
        <f aca="false">COUNTIFS(Documents!$A$2:$A$1421,$A176)</f>
        <v>18</v>
      </c>
      <c r="W176" s="0" t="n">
        <f aca="false">COUNTIFS(Documents!$A$2:$A$1421,$A176,Documents!$R$2:$R$1421,"current")</f>
        <v>13</v>
      </c>
      <c r="X176" s="0" t="str">
        <f aca="false">HYPERLINK("https://d7h9v39iheghu.cloudfront.net/previews/42de57ca-7efe-4d5a-8d86-d9172148eacf/34aa3ec0-d630-4957-8cbf-a4261e08f6c2/185648f3-aab7-4610-b45f-077bc50842e3?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2026_Villa Nautica - Factsheet Jul 2026.")</f>
        <v>2026_Villa Nautica - Factsheet Jul 2026.</v>
      </c>
      <c r="Z176" s="0" t="s">
        <v>236</v>
      </c>
    </row>
    <row r="177" customFormat="false" ht="15" hidden="false" customHeight="false" outlineLevel="0" collapsed="false">
      <c r="A177" s="0" t="n">
        <v>176</v>
      </c>
      <c r="B177" s="0" t="s">
        <v>237</v>
      </c>
      <c r="C177" s="0" t="s">
        <v>112</v>
      </c>
      <c r="D177" s="0" t="str">
        <f aca="false">IFERROR(IF(maxifs(Documents!$E$2:$E$1421,Documents!$A$2:$A$1421,$A177,Documents!$C$2:$C$1421,"factsheet")=0,"",maxifs(Documents!$E$2:$E$1421,Documents!$A$2:$A$1421,$A177,Documents!$C$2:$C$1421,"factsheet")),"")</f>
        <v/>
      </c>
      <c r="E177" s="0" t="str">
        <f aca="false">IFERROR(IF(maxifs(Documents!$E$2:$E$1421,Documents!$A$2:$A$1421,$A177,Documents!$C$2:$C$1421,"wedding")=0,"",maxifs(Documents!$E$2:$E$1421,Documents!$A$2:$A$1421,$A177,Documents!$C$2:$C$1421,"wedding")),"")</f>
        <v/>
      </c>
      <c r="F177" s="0" t="str">
        <f aca="false">IFERROR(IF(maxifs(Documents!$E$2:$E$1421,Documents!$A$2:$A$1421,$A177,Documents!$C$2:$C$1421,"events")=0,"",maxifs(Documents!$E$2:$E$1421,Documents!$A$2:$A$1421,$A177,Documents!$C$2:$C$1421,"events")),"")</f>
        <v/>
      </c>
      <c r="G177" s="0" t="str">
        <f aca="false">IFERROR(IF(maxifs(Documents!$E$2:$E$1421,Documents!$A$2:$A$1421,$A177,Documents!$C$2:$C$1421,"map")=0,"",maxifs(Documents!$E$2:$E$1421,Documents!$A$2:$A$1421,$A177,Documents!$C$2:$C$1421,"map")),"")</f>
        <v/>
      </c>
      <c r="H177" s="0" t="str">
        <f aca="false">IFERROR(IF(maxifs(Documents!$E$2:$E$1421,Documents!$A$2:$A$1421,$A177,Documents!$C$2:$C$1421,"dive_map")=0,"",maxifs(Documents!$E$2:$E$1421,Documents!$A$2:$A$1421,$A177,Documents!$C$2:$C$1421,"dive_map")),"")</f>
        <v/>
      </c>
      <c r="I177" s="0" t="str">
        <f aca="false">IFERROR(IF(maxifs(Documents!$E$2:$E$1421,Documents!$A$2:$A$1421,$A177,Documents!$C$2:$C$1421,"spa_menu")=0,"",maxifs(Documents!$E$2:$E$1421,Documents!$A$2:$A$1421,$A177,Documents!$C$2:$C$1421,"spa_menu")),"")</f>
        <v/>
      </c>
      <c r="J177" s="0" t="str">
        <f aca="false">IFERROR(IF(maxifs(Documents!$E$2:$E$1421,Documents!$A$2:$A$1421,$A177,Documents!$C$2:$C$1421,"dining_menu")=0,"",maxifs(Documents!$E$2:$E$1421,Documents!$A$2:$A$1421,$A177,Documents!$C$2:$C$1421,"dining_menu")),"")</f>
        <v/>
      </c>
      <c r="K177" s="0" t="str">
        <f aca="false">IFERROR(IF(maxifs(Documents!$E$2:$E$1421,Documents!$A$2:$A$1421,$A177,Documents!$C$2:$C$1421,"dive_prices")=0,"",maxifs(Documents!$E$2:$E$1421,Documents!$A$2:$A$1421,$A177,Documents!$C$2:$C$1421,"dive_prices")),"")</f>
        <v/>
      </c>
      <c r="L177" s="0" t="str">
        <f aca="false">IFERROR(IF(maxifs(Documents!$E$2:$E$1421,Documents!$A$2:$A$1421,$A177,Documents!$C$2:$C$1421,"excursions")=0,"",maxifs(Documents!$E$2:$E$1421,Documents!$A$2:$A$1421,$A177,Documents!$C$2:$C$1421,"excursions")),"")</f>
        <v/>
      </c>
      <c r="M177" s="0" t="str">
        <f aca="false">IFERROR(IF(maxifs(Documents!$E$2:$E$1421,Documents!$A$2:$A$1421,$A177,Documents!$C$2:$C$1421,"kids")=0,"",maxifs(Documents!$E$2:$E$1421,Documents!$A$2:$A$1421,$A177,Documents!$C$2:$C$1421,"kids")),"")</f>
        <v/>
      </c>
      <c r="N177" s="0" t="str">
        <f aca="false">IFERROR(IF(maxifs(Documents!$E$2:$E$1421,Documents!$A$2:$A$1421,$A177,Documents!$C$2:$C$1421,"villa_plans")=0,"",maxifs(Documents!$E$2:$E$1421,Documents!$A$2:$A$1421,$A177,Documents!$C$2:$C$1421,"villa_plans")),"")</f>
        <v/>
      </c>
      <c r="O177" s="0" t="str">
        <f aca="false">IFERROR(IF(maxifs(Documents!$E$2:$E$1421,Documents!$A$2:$A$1421,$A177,Documents!$C$2:$C$1421,"all_inclusive")=0,"",maxifs(Documents!$E$2:$E$1421,Documents!$A$2:$A$1421,$A177,Documents!$C$2:$C$1421,"all_inclusive")),"")</f>
        <v/>
      </c>
      <c r="P177" s="0" t="str">
        <f aca="false">IFERROR(IF(maxifs(Documents!$E$2:$E$1421,Documents!$A$2:$A$1421,$A177,Documents!$C$2:$C$1421,"sustainability")=0,"",maxifs(Documents!$E$2:$E$1421,Documents!$A$2:$A$1421,$A177,Documents!$C$2:$C$1421,"sustainability")),"")</f>
        <v/>
      </c>
      <c r="Q177" s="0" t="str">
        <f aca="false">IFERROR(IF(maxifs(Documents!$E$2:$E$1421,Documents!$A$2:$A$1421,$A177,Documents!$C$2:$C$1421,"calendar")=0,"",maxifs(Documents!$E$2:$E$1421,Documents!$A$2:$A$1421,$A177,Documents!$C$2:$C$1421,"calendar")),"")</f>
        <v/>
      </c>
      <c r="R177" s="0" t="str">
        <f aca="false">IFERROR(IF(maxifs(Documents!$E$2:$E$1421,Documents!$A$2:$A$1421,$A177,Documents!$C$2:$C$1421,"brochure")=0,"",maxifs(Documents!$E$2:$E$1421,Documents!$A$2:$A$1421,$A177,Documents!$C$2:$C$1421,"brochure")),"")</f>
        <v/>
      </c>
      <c r="S177" s="0" t="str">
        <f aca="false">IFERROR(IF(maxifs(Documents!$E$2:$E$1421,Documents!$A$2:$A$1421,$A177,Documents!$C$2:$C$1421,"press_kit")=0,"",maxifs(Documents!$E$2:$E$1421,Documents!$A$2:$A$1421,$A177,Documents!$C$2:$C$1421,"press_kit")),"")</f>
        <v/>
      </c>
      <c r="T177" s="0" t="str">
        <f aca="false">IFERROR(IF(maxifs(Documents!$E$2:$E$1421,Documents!$A$2:$A$1421,$A177,Documents!$C$2:$C$1421,"other")=0,"",maxifs(Documents!$E$2:$E$1421,Documents!$A$2:$A$1421,$A177,Documents!$C$2:$C$1421,"other")),"")</f>
        <v/>
      </c>
      <c r="U177" s="0" t="str">
        <f aca="false">IFERROR(IF(maxifs(Documents!$E$2:$E$1421,Documents!$A$2:$A$1421,$A177,Documents!$C$2:$C$1421,"obsolete")=0,"",maxifs(Documents!$E$2:$E$1421,Documents!$A$2:$A$1421,$A177,Documents!$C$2:$C$1421,"obsolete")),"")</f>
        <v/>
      </c>
      <c r="V177" s="0" t="n">
        <f aca="false">COUNTIFS(Documents!$A$2:$A$1421,$A177)</f>
        <v>14</v>
      </c>
      <c r="W177" s="0" t="n">
        <f aca="false">COUNTIFS(Documents!$A$2:$A$1421,$A177,Documents!$R$2:$R$1421,"current")</f>
        <v>11</v>
      </c>
      <c r="X177" s="0" t="str">
        <f aca="false">HYPERLINK("https://d7h9v39iheghu.cloudfront.net/previews/42de57ca-7efe-4d5a-8d86-d9172148eacf/712f206d-41a8-4b34-9995-3943d4414af0/712f206d-41a8-4b34-9995-3943d4414af0?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2026_Villa Park - Two Bedroom Beach Pool")</f>
        <v>2026_Villa Park - Two Bedroom Beach Pool</v>
      </c>
      <c r="Y177" s="0" t="s">
        <v>91</v>
      </c>
    </row>
    <row r="178" customFormat="false" ht="15" hidden="false" customHeight="false" outlineLevel="0" collapsed="false">
      <c r="A178" s="0" t="n">
        <v>177</v>
      </c>
      <c r="B178" s="0" t="s">
        <v>238</v>
      </c>
      <c r="C178" s="0" t="s">
        <v>112</v>
      </c>
      <c r="D178" s="0" t="str">
        <f aca="false">IFERROR(IF(maxifs(Documents!$E$2:$E$1421,Documents!$A$2:$A$1421,$A178,Documents!$C$2:$C$1421,"factsheet")=0,"",maxifs(Documents!$E$2:$E$1421,Documents!$A$2:$A$1421,$A178,Documents!$C$2:$C$1421,"factsheet")),"")</f>
        <v/>
      </c>
      <c r="E178" s="0" t="str">
        <f aca="false">IFERROR(IF(maxifs(Documents!$E$2:$E$1421,Documents!$A$2:$A$1421,$A178,Documents!$C$2:$C$1421,"wedding")=0,"",maxifs(Documents!$E$2:$E$1421,Documents!$A$2:$A$1421,$A178,Documents!$C$2:$C$1421,"wedding")),"")</f>
        <v/>
      </c>
      <c r="F178" s="0" t="str">
        <f aca="false">IFERROR(IF(maxifs(Documents!$E$2:$E$1421,Documents!$A$2:$A$1421,$A178,Documents!$C$2:$C$1421,"events")=0,"",maxifs(Documents!$E$2:$E$1421,Documents!$A$2:$A$1421,$A178,Documents!$C$2:$C$1421,"events")),"")</f>
        <v/>
      </c>
      <c r="G178" s="0" t="str">
        <f aca="false">IFERROR(IF(maxifs(Documents!$E$2:$E$1421,Documents!$A$2:$A$1421,$A178,Documents!$C$2:$C$1421,"map")=0,"",maxifs(Documents!$E$2:$E$1421,Documents!$A$2:$A$1421,$A178,Documents!$C$2:$C$1421,"map")),"")</f>
        <v/>
      </c>
      <c r="H178" s="0" t="str">
        <f aca="false">IFERROR(IF(maxifs(Documents!$E$2:$E$1421,Documents!$A$2:$A$1421,$A178,Documents!$C$2:$C$1421,"dive_map")=0,"",maxifs(Documents!$E$2:$E$1421,Documents!$A$2:$A$1421,$A178,Documents!$C$2:$C$1421,"dive_map")),"")</f>
        <v/>
      </c>
      <c r="I178" s="0" t="str">
        <f aca="false">IFERROR(IF(maxifs(Documents!$E$2:$E$1421,Documents!$A$2:$A$1421,$A178,Documents!$C$2:$C$1421,"spa_menu")=0,"",maxifs(Documents!$E$2:$E$1421,Documents!$A$2:$A$1421,$A178,Documents!$C$2:$C$1421,"spa_menu")),"")</f>
        <v/>
      </c>
      <c r="J178" s="0" t="str">
        <f aca="false">IFERROR(IF(maxifs(Documents!$E$2:$E$1421,Documents!$A$2:$A$1421,$A178,Documents!$C$2:$C$1421,"dining_menu")=0,"",maxifs(Documents!$E$2:$E$1421,Documents!$A$2:$A$1421,$A178,Documents!$C$2:$C$1421,"dining_menu")),"")</f>
        <v/>
      </c>
      <c r="K178" s="0" t="str">
        <f aca="false">IFERROR(IF(maxifs(Documents!$E$2:$E$1421,Documents!$A$2:$A$1421,$A178,Documents!$C$2:$C$1421,"dive_prices")=0,"",maxifs(Documents!$E$2:$E$1421,Documents!$A$2:$A$1421,$A178,Documents!$C$2:$C$1421,"dive_prices")),"")</f>
        <v/>
      </c>
      <c r="L178" s="0" t="str">
        <f aca="false">IFERROR(IF(maxifs(Documents!$E$2:$E$1421,Documents!$A$2:$A$1421,$A178,Documents!$C$2:$C$1421,"excursions")=0,"",maxifs(Documents!$E$2:$E$1421,Documents!$A$2:$A$1421,$A178,Documents!$C$2:$C$1421,"excursions")),"")</f>
        <v/>
      </c>
      <c r="M178" s="0" t="str">
        <f aca="false">IFERROR(IF(maxifs(Documents!$E$2:$E$1421,Documents!$A$2:$A$1421,$A178,Documents!$C$2:$C$1421,"kids")=0,"",maxifs(Documents!$E$2:$E$1421,Documents!$A$2:$A$1421,$A178,Documents!$C$2:$C$1421,"kids")),"")</f>
        <v/>
      </c>
      <c r="N178" s="0" t="str">
        <f aca="false">IFERROR(IF(maxifs(Documents!$E$2:$E$1421,Documents!$A$2:$A$1421,$A178,Documents!$C$2:$C$1421,"villa_plans")=0,"",maxifs(Documents!$E$2:$E$1421,Documents!$A$2:$A$1421,$A178,Documents!$C$2:$C$1421,"villa_plans")),"")</f>
        <v/>
      </c>
      <c r="O178" s="0" t="str">
        <f aca="false">IFERROR(IF(maxifs(Documents!$E$2:$E$1421,Documents!$A$2:$A$1421,$A178,Documents!$C$2:$C$1421,"all_inclusive")=0,"",maxifs(Documents!$E$2:$E$1421,Documents!$A$2:$A$1421,$A178,Documents!$C$2:$C$1421,"all_inclusive")),"")</f>
        <v/>
      </c>
      <c r="P178" s="0" t="str">
        <f aca="false">IFERROR(IF(maxifs(Documents!$E$2:$E$1421,Documents!$A$2:$A$1421,$A178,Documents!$C$2:$C$1421,"sustainability")=0,"",maxifs(Documents!$E$2:$E$1421,Documents!$A$2:$A$1421,$A178,Documents!$C$2:$C$1421,"sustainability")),"")</f>
        <v/>
      </c>
      <c r="Q178" s="0" t="str">
        <f aca="false">IFERROR(IF(maxifs(Documents!$E$2:$E$1421,Documents!$A$2:$A$1421,$A178,Documents!$C$2:$C$1421,"calendar")=0,"",maxifs(Documents!$E$2:$E$1421,Documents!$A$2:$A$1421,$A178,Documents!$C$2:$C$1421,"calendar")),"")</f>
        <v/>
      </c>
      <c r="R178" s="0" t="str">
        <f aca="false">IFERROR(IF(maxifs(Documents!$E$2:$E$1421,Documents!$A$2:$A$1421,$A178,Documents!$C$2:$C$1421,"brochure")=0,"",maxifs(Documents!$E$2:$E$1421,Documents!$A$2:$A$1421,$A178,Documents!$C$2:$C$1421,"brochure")),"")</f>
        <v/>
      </c>
      <c r="S178" s="0" t="str">
        <f aca="false">IFERROR(IF(maxifs(Documents!$E$2:$E$1421,Documents!$A$2:$A$1421,$A178,Documents!$C$2:$C$1421,"press_kit")=0,"",maxifs(Documents!$E$2:$E$1421,Documents!$A$2:$A$1421,$A178,Documents!$C$2:$C$1421,"press_kit")),"")</f>
        <v/>
      </c>
      <c r="T178" s="0" t="str">
        <f aca="false">IFERROR(IF(maxifs(Documents!$E$2:$E$1421,Documents!$A$2:$A$1421,$A178,Documents!$C$2:$C$1421,"other")=0,"",maxifs(Documents!$E$2:$E$1421,Documents!$A$2:$A$1421,$A178,Documents!$C$2:$C$1421,"other")),"")</f>
        <v/>
      </c>
      <c r="U178" s="0" t="str">
        <f aca="false">IFERROR(IF(maxifs(Documents!$E$2:$E$1421,Documents!$A$2:$A$1421,$A178,Documents!$C$2:$C$1421,"obsolete")=0,"",maxifs(Documents!$E$2:$E$1421,Documents!$A$2:$A$1421,$A178,Documents!$C$2:$C$1421,"obsolete")),"")</f>
        <v/>
      </c>
      <c r="V178" s="0" t="n">
        <f aca="false">COUNTIFS(Documents!$A$2:$A$1421,$A178)</f>
        <v>11</v>
      </c>
      <c r="W178" s="0" t="n">
        <f aca="false">COUNTIFS(Documents!$A$2:$A$1421,$A178,Documents!$R$2:$R$1421,"current")</f>
        <v>8</v>
      </c>
      <c r="X178" s="0" t="str">
        <f aca="false">HYPERLINK("https://d7h9v39iheghu.cloudfront.net/previews/42de57ca-7efe-4d5a-8d86-d9172148eacf/20af4d23-8283-4d93-8324-afc58428a875/8ef05306-025c-4c59-ade0-6c4b5eac4b00?Policy=eyJTdGF0ZW1lbnQiOiBbeyJSZXNvdXJjZSI6Imh0dHBzOi8vZDdoOXYzOWloZWdodS5jbG91ZGZyb250Lm5ldC9wcmV2aWV3cy80MmRlNTdjYS03ZWZlLTRkNWEtOGQ4Ni1kOTE3MjE0OGVhY2YqIiwiQ29uZGl0aW9uIjp7IkRhdGVMZXNzVGhhbiI6eyJBV1M6RXBvY2hUaW1lIjoxNzkzNjk2OTU2fX19XX0_&amp;Signature=Vzs-zJl8tl5ac3bWITSsHUZQxqBbKumCntqITMi707QlgNawp35AYETVu1lHU6NlchvstDJ4ejGVpVOhrU-oyvcxqwRXcMBCp7gUdjvEIB7VYeYEz4xQfg2V14KAKWS4NIz4SlHdXWdqmlhoi2S0VtUKbJPqjYa95uNR2ltFKIDtBc5oDkrafWTKW4gIvesGI-rVf79HGAyP4qx871btzz2MdWwRRFNK5Od7jBPE25tRZSgCkrdsNMC6h0PaRFrpAUN4WSxvO4b93M2vvjFy-By6Rw27FQAVU3YHu~jhZ0RH0m-gTjcs4SVkM2Dd6IZ8K0g4UkB5mZwvYClMwvtn1Q__&amp;Key-Pair-Id=APKAJXJN6VNR3OLZJXJA","2026_Royal - Factsheet Jun 2026.pdf")</f>
        <v>2026_Royal - Factsheet Jun 2026.pdf</v>
      </c>
      <c r="Y178" s="0" t="s">
        <v>35</v>
      </c>
    </row>
    <row r="179" customFormat="false" ht="15" hidden="false" customHeight="false" outlineLevel="0" collapsed="false">
      <c r="A179" s="0" t="n">
        <v>178</v>
      </c>
      <c r="B179" s="0" t="s">
        <v>239</v>
      </c>
      <c r="C179" s="0" t="s">
        <v>112</v>
      </c>
      <c r="D179" s="0" t="str">
        <f aca="false">IFERROR(IF(maxifs(Documents!$E$2:$E$1421,Documents!$A$2:$A$1421,$A179,Documents!$C$2:$C$1421,"factsheet")=0,"",maxifs(Documents!$E$2:$E$1421,Documents!$A$2:$A$1421,$A179,Documents!$C$2:$C$1421,"factsheet")),"")</f>
        <v/>
      </c>
      <c r="E179" s="0" t="str">
        <f aca="false">IFERROR(IF(maxifs(Documents!$E$2:$E$1421,Documents!$A$2:$A$1421,$A179,Documents!$C$2:$C$1421,"wedding")=0,"",maxifs(Documents!$E$2:$E$1421,Documents!$A$2:$A$1421,$A179,Documents!$C$2:$C$1421,"wedding")),"")</f>
        <v/>
      </c>
      <c r="F179" s="0" t="str">
        <f aca="false">IFERROR(IF(maxifs(Documents!$E$2:$E$1421,Documents!$A$2:$A$1421,$A179,Documents!$C$2:$C$1421,"events")=0,"",maxifs(Documents!$E$2:$E$1421,Documents!$A$2:$A$1421,$A179,Documents!$C$2:$C$1421,"events")),"")</f>
        <v/>
      </c>
      <c r="G179" s="0" t="str">
        <f aca="false">IFERROR(IF(maxifs(Documents!$E$2:$E$1421,Documents!$A$2:$A$1421,$A179,Documents!$C$2:$C$1421,"map")=0,"",maxifs(Documents!$E$2:$E$1421,Documents!$A$2:$A$1421,$A179,Documents!$C$2:$C$1421,"map")),"")</f>
        <v/>
      </c>
      <c r="H179" s="0" t="str">
        <f aca="false">IFERROR(IF(maxifs(Documents!$E$2:$E$1421,Documents!$A$2:$A$1421,$A179,Documents!$C$2:$C$1421,"dive_map")=0,"",maxifs(Documents!$E$2:$E$1421,Documents!$A$2:$A$1421,$A179,Documents!$C$2:$C$1421,"dive_map")),"")</f>
        <v/>
      </c>
      <c r="I179" s="0" t="str">
        <f aca="false">IFERROR(IF(maxifs(Documents!$E$2:$E$1421,Documents!$A$2:$A$1421,$A179,Documents!$C$2:$C$1421,"spa_menu")=0,"",maxifs(Documents!$E$2:$E$1421,Documents!$A$2:$A$1421,$A179,Documents!$C$2:$C$1421,"spa_menu")),"")</f>
        <v/>
      </c>
      <c r="J179" s="0" t="str">
        <f aca="false">IFERROR(IF(maxifs(Documents!$E$2:$E$1421,Documents!$A$2:$A$1421,$A179,Documents!$C$2:$C$1421,"dining_menu")=0,"",maxifs(Documents!$E$2:$E$1421,Documents!$A$2:$A$1421,$A179,Documents!$C$2:$C$1421,"dining_menu")),"")</f>
        <v/>
      </c>
      <c r="K179" s="0" t="str">
        <f aca="false">IFERROR(IF(maxifs(Documents!$E$2:$E$1421,Documents!$A$2:$A$1421,$A179,Documents!$C$2:$C$1421,"dive_prices")=0,"",maxifs(Documents!$E$2:$E$1421,Documents!$A$2:$A$1421,$A179,Documents!$C$2:$C$1421,"dive_prices")),"")</f>
        <v/>
      </c>
      <c r="L179" s="0" t="str">
        <f aca="false">IFERROR(IF(maxifs(Documents!$E$2:$E$1421,Documents!$A$2:$A$1421,$A179,Documents!$C$2:$C$1421,"excursions")=0,"",maxifs(Documents!$E$2:$E$1421,Documents!$A$2:$A$1421,$A179,Documents!$C$2:$C$1421,"excursions")),"")</f>
        <v/>
      </c>
      <c r="M179" s="0" t="str">
        <f aca="false">IFERROR(IF(maxifs(Documents!$E$2:$E$1421,Documents!$A$2:$A$1421,$A179,Documents!$C$2:$C$1421,"kids")=0,"",maxifs(Documents!$E$2:$E$1421,Documents!$A$2:$A$1421,$A179,Documents!$C$2:$C$1421,"kids")),"")</f>
        <v/>
      </c>
      <c r="N179" s="0" t="str">
        <f aca="false">IFERROR(IF(maxifs(Documents!$E$2:$E$1421,Documents!$A$2:$A$1421,$A179,Documents!$C$2:$C$1421,"villa_plans")=0,"",maxifs(Documents!$E$2:$E$1421,Documents!$A$2:$A$1421,$A179,Documents!$C$2:$C$1421,"villa_plans")),"")</f>
        <v/>
      </c>
      <c r="O179" s="0" t="str">
        <f aca="false">IFERROR(IF(maxifs(Documents!$E$2:$E$1421,Documents!$A$2:$A$1421,$A179,Documents!$C$2:$C$1421,"all_inclusive")=0,"",maxifs(Documents!$E$2:$E$1421,Documents!$A$2:$A$1421,$A179,Documents!$C$2:$C$1421,"all_inclusive")),"")</f>
        <v/>
      </c>
      <c r="P179" s="0" t="str">
        <f aca="false">IFERROR(IF(maxifs(Documents!$E$2:$E$1421,Documents!$A$2:$A$1421,$A179,Documents!$C$2:$C$1421,"sustainability")=0,"",maxifs(Documents!$E$2:$E$1421,Documents!$A$2:$A$1421,$A179,Documents!$C$2:$C$1421,"sustainability")),"")</f>
        <v/>
      </c>
      <c r="Q179" s="0" t="str">
        <f aca="false">IFERROR(IF(maxifs(Documents!$E$2:$E$1421,Documents!$A$2:$A$1421,$A179,Documents!$C$2:$C$1421,"calendar")=0,"",maxifs(Documents!$E$2:$E$1421,Documents!$A$2:$A$1421,$A179,Documents!$C$2:$C$1421,"calendar")),"")</f>
        <v/>
      </c>
      <c r="R179" s="0" t="str">
        <f aca="false">IFERROR(IF(maxifs(Documents!$E$2:$E$1421,Documents!$A$2:$A$1421,$A179,Documents!$C$2:$C$1421,"brochure")=0,"",maxifs(Documents!$E$2:$E$1421,Documents!$A$2:$A$1421,$A179,Documents!$C$2:$C$1421,"brochure")),"")</f>
        <v/>
      </c>
      <c r="S179" s="0" t="str">
        <f aca="false">IFERROR(IF(maxifs(Documents!$E$2:$E$1421,Documents!$A$2:$A$1421,$A179,Documents!$C$2:$C$1421,"press_kit")=0,"",maxifs(Documents!$E$2:$E$1421,Documents!$A$2:$A$1421,$A179,Documents!$C$2:$C$1421,"press_kit")),"")</f>
        <v/>
      </c>
      <c r="T179" s="0" t="str">
        <f aca="false">IFERROR(IF(maxifs(Documents!$E$2:$E$1421,Documents!$A$2:$A$1421,$A179,Documents!$C$2:$C$1421,"other")=0,"",maxifs(Documents!$E$2:$E$1421,Documents!$A$2:$A$1421,$A179,Documents!$C$2:$C$1421,"other")),"")</f>
        <v/>
      </c>
      <c r="U179" s="0" t="str">
        <f aca="false">IFERROR(IF(maxifs(Documents!$E$2:$E$1421,Documents!$A$2:$A$1421,$A179,Documents!$C$2:$C$1421,"obsolete")=0,"",maxifs(Documents!$E$2:$E$1421,Documents!$A$2:$A$1421,$A179,Documents!$C$2:$C$1421,"obsolete")),"")</f>
        <v/>
      </c>
      <c r="V179" s="0" t="n">
        <f aca="false">COUNTIFS(Documents!$A$2:$A$1421,$A179)</f>
        <v>11</v>
      </c>
      <c r="W179" s="0" t="n">
        <f aca="false">COUNTIFS(Documents!$A$2:$A$1421,$A179,Documents!$R$2:$R$1421,"current")</f>
        <v>0</v>
      </c>
      <c r="X179" s="0" t="str">
        <f aca="false">HYPERLINK("https://neoscapesmaldives.com/wp-content/uploads/Diamonds-Athuruga-Fact-Sheet-2019.pdf","2019_Diamonds-Athuruga-Fact-Sheet-2019.p")</f>
        <v>2019_Diamonds-Athuruga-Fact-Sheet-2019.p</v>
      </c>
      <c r="Y179" s="0" t="s">
        <v>28</v>
      </c>
    </row>
    <row r="180" customFormat="false" ht="15" hidden="false" customHeight="false" outlineLevel="0" collapsed="false">
      <c r="A180" s="0" t="n">
        <v>179</v>
      </c>
      <c r="B180" s="0" t="s">
        <v>240</v>
      </c>
      <c r="C180" s="0" t="s">
        <v>112</v>
      </c>
      <c r="D180" s="0" t="str">
        <f aca="false">IFERROR(IF(maxifs(Documents!$E$2:$E$1421,Documents!$A$2:$A$1421,$A180,Documents!$C$2:$C$1421,"factsheet")=0,"",maxifs(Documents!$E$2:$E$1421,Documents!$A$2:$A$1421,$A180,Documents!$C$2:$C$1421,"factsheet")),"")</f>
        <v/>
      </c>
      <c r="E180" s="0" t="str">
        <f aca="false">IFERROR(IF(maxifs(Documents!$E$2:$E$1421,Documents!$A$2:$A$1421,$A180,Documents!$C$2:$C$1421,"wedding")=0,"",maxifs(Documents!$E$2:$E$1421,Documents!$A$2:$A$1421,$A180,Documents!$C$2:$C$1421,"wedding")),"")</f>
        <v/>
      </c>
      <c r="F180" s="0" t="str">
        <f aca="false">IFERROR(IF(maxifs(Documents!$E$2:$E$1421,Documents!$A$2:$A$1421,$A180,Documents!$C$2:$C$1421,"events")=0,"",maxifs(Documents!$E$2:$E$1421,Documents!$A$2:$A$1421,$A180,Documents!$C$2:$C$1421,"events")),"")</f>
        <v/>
      </c>
      <c r="G180" s="0" t="str">
        <f aca="false">IFERROR(IF(maxifs(Documents!$E$2:$E$1421,Documents!$A$2:$A$1421,$A180,Documents!$C$2:$C$1421,"map")=0,"",maxifs(Documents!$E$2:$E$1421,Documents!$A$2:$A$1421,$A180,Documents!$C$2:$C$1421,"map")),"")</f>
        <v/>
      </c>
      <c r="H180" s="0" t="str">
        <f aca="false">IFERROR(IF(maxifs(Documents!$E$2:$E$1421,Documents!$A$2:$A$1421,$A180,Documents!$C$2:$C$1421,"dive_map")=0,"",maxifs(Documents!$E$2:$E$1421,Documents!$A$2:$A$1421,$A180,Documents!$C$2:$C$1421,"dive_map")),"")</f>
        <v/>
      </c>
      <c r="I180" s="0" t="str">
        <f aca="false">IFERROR(IF(maxifs(Documents!$E$2:$E$1421,Documents!$A$2:$A$1421,$A180,Documents!$C$2:$C$1421,"spa_menu")=0,"",maxifs(Documents!$E$2:$E$1421,Documents!$A$2:$A$1421,$A180,Documents!$C$2:$C$1421,"spa_menu")),"")</f>
        <v/>
      </c>
      <c r="J180" s="0" t="str">
        <f aca="false">IFERROR(IF(maxifs(Documents!$E$2:$E$1421,Documents!$A$2:$A$1421,$A180,Documents!$C$2:$C$1421,"dining_menu")=0,"",maxifs(Documents!$E$2:$E$1421,Documents!$A$2:$A$1421,$A180,Documents!$C$2:$C$1421,"dining_menu")),"")</f>
        <v/>
      </c>
      <c r="K180" s="0" t="str">
        <f aca="false">IFERROR(IF(maxifs(Documents!$E$2:$E$1421,Documents!$A$2:$A$1421,$A180,Documents!$C$2:$C$1421,"dive_prices")=0,"",maxifs(Documents!$E$2:$E$1421,Documents!$A$2:$A$1421,$A180,Documents!$C$2:$C$1421,"dive_prices")),"")</f>
        <v/>
      </c>
      <c r="L180" s="0" t="str">
        <f aca="false">IFERROR(IF(maxifs(Documents!$E$2:$E$1421,Documents!$A$2:$A$1421,$A180,Documents!$C$2:$C$1421,"excursions")=0,"",maxifs(Documents!$E$2:$E$1421,Documents!$A$2:$A$1421,$A180,Documents!$C$2:$C$1421,"excursions")),"")</f>
        <v/>
      </c>
      <c r="M180" s="0" t="str">
        <f aca="false">IFERROR(IF(maxifs(Documents!$E$2:$E$1421,Documents!$A$2:$A$1421,$A180,Documents!$C$2:$C$1421,"kids")=0,"",maxifs(Documents!$E$2:$E$1421,Documents!$A$2:$A$1421,$A180,Documents!$C$2:$C$1421,"kids")),"")</f>
        <v/>
      </c>
      <c r="N180" s="0" t="str">
        <f aca="false">IFERROR(IF(maxifs(Documents!$E$2:$E$1421,Documents!$A$2:$A$1421,$A180,Documents!$C$2:$C$1421,"villa_plans")=0,"",maxifs(Documents!$E$2:$E$1421,Documents!$A$2:$A$1421,$A180,Documents!$C$2:$C$1421,"villa_plans")),"")</f>
        <v/>
      </c>
      <c r="O180" s="0" t="str">
        <f aca="false">IFERROR(IF(maxifs(Documents!$E$2:$E$1421,Documents!$A$2:$A$1421,$A180,Documents!$C$2:$C$1421,"all_inclusive")=0,"",maxifs(Documents!$E$2:$E$1421,Documents!$A$2:$A$1421,$A180,Documents!$C$2:$C$1421,"all_inclusive")),"")</f>
        <v/>
      </c>
      <c r="P180" s="0" t="str">
        <f aca="false">IFERROR(IF(maxifs(Documents!$E$2:$E$1421,Documents!$A$2:$A$1421,$A180,Documents!$C$2:$C$1421,"sustainability")=0,"",maxifs(Documents!$E$2:$E$1421,Documents!$A$2:$A$1421,$A180,Documents!$C$2:$C$1421,"sustainability")),"")</f>
        <v/>
      </c>
      <c r="Q180" s="0" t="str">
        <f aca="false">IFERROR(IF(maxifs(Documents!$E$2:$E$1421,Documents!$A$2:$A$1421,$A180,Documents!$C$2:$C$1421,"calendar")=0,"",maxifs(Documents!$E$2:$E$1421,Documents!$A$2:$A$1421,$A180,Documents!$C$2:$C$1421,"calendar")),"")</f>
        <v/>
      </c>
      <c r="R180" s="0" t="str">
        <f aca="false">IFERROR(IF(maxifs(Documents!$E$2:$E$1421,Documents!$A$2:$A$1421,$A180,Documents!$C$2:$C$1421,"brochure")=0,"",maxifs(Documents!$E$2:$E$1421,Documents!$A$2:$A$1421,$A180,Documents!$C$2:$C$1421,"brochure")),"")</f>
        <v/>
      </c>
      <c r="S180" s="0" t="str">
        <f aca="false">IFERROR(IF(maxifs(Documents!$E$2:$E$1421,Documents!$A$2:$A$1421,$A180,Documents!$C$2:$C$1421,"press_kit")=0,"",maxifs(Documents!$E$2:$E$1421,Documents!$A$2:$A$1421,$A180,Documents!$C$2:$C$1421,"press_kit")),"")</f>
        <v/>
      </c>
      <c r="T180" s="0" t="str">
        <f aca="false">IFERROR(IF(maxifs(Documents!$E$2:$E$1421,Documents!$A$2:$A$1421,$A180,Documents!$C$2:$C$1421,"other")=0,"",maxifs(Documents!$E$2:$E$1421,Documents!$A$2:$A$1421,$A180,Documents!$C$2:$C$1421,"other")),"")</f>
        <v/>
      </c>
      <c r="U180" s="0" t="str">
        <f aca="false">IFERROR(IF(maxifs(Documents!$E$2:$E$1421,Documents!$A$2:$A$1421,$A180,Documents!$C$2:$C$1421,"obsolete")=0,"",maxifs(Documents!$E$2:$E$1421,Documents!$A$2:$A$1421,$A180,Documents!$C$2:$C$1421,"obsolete")),"")</f>
        <v/>
      </c>
      <c r="V180" s="0" t="n">
        <f aca="false">COUNTIFS(Documents!$A$2:$A$1421,$A180)</f>
        <v>3</v>
      </c>
      <c r="W180" s="0" t="n">
        <f aca="false">COUNTIFS(Documents!$A$2:$A$1421,$A180,Documents!$R$2:$R$1421,"current")</f>
        <v>1</v>
      </c>
      <c r="X180" s="0" t="str">
        <f aca="false">HYPERLINK("https://www.neoscapesmaldives.com/wp-content/uploads/Siyam-World-Factsheet_02-Nov-2024-31-Oct-25.pdf","2024_Siyam-World-Factsheet_02-Nov-2024-3")</f>
        <v>2024_Siyam-World-Factsheet_02-Nov-2024-3</v>
      </c>
      <c r="Y180" s="0" t="s">
        <v>28</v>
      </c>
    </row>
    <row r="181" customFormat="false" ht="15" hidden="false" customHeight="false" outlineLevel="0" collapsed="false">
      <c r="A181" s="0" t="n">
        <v>180</v>
      </c>
      <c r="B181" s="0" t="s">
        <v>241</v>
      </c>
      <c r="C181" s="0" t="s">
        <v>112</v>
      </c>
      <c r="D181" s="0" t="str">
        <f aca="false">IFERROR(IF(maxifs(Documents!$E$2:$E$1421,Documents!$A$2:$A$1421,$A181,Documents!$C$2:$C$1421,"factsheet")=0,"",maxifs(Documents!$E$2:$E$1421,Documents!$A$2:$A$1421,$A181,Documents!$C$2:$C$1421,"factsheet")),"")</f>
        <v/>
      </c>
      <c r="E181" s="0" t="str">
        <f aca="false">IFERROR(IF(maxifs(Documents!$E$2:$E$1421,Documents!$A$2:$A$1421,$A181,Documents!$C$2:$C$1421,"wedding")=0,"",maxifs(Documents!$E$2:$E$1421,Documents!$A$2:$A$1421,$A181,Documents!$C$2:$C$1421,"wedding")),"")</f>
        <v/>
      </c>
      <c r="F181" s="0" t="str">
        <f aca="false">IFERROR(IF(maxifs(Documents!$E$2:$E$1421,Documents!$A$2:$A$1421,$A181,Documents!$C$2:$C$1421,"events")=0,"",maxifs(Documents!$E$2:$E$1421,Documents!$A$2:$A$1421,$A181,Documents!$C$2:$C$1421,"events")),"")</f>
        <v/>
      </c>
      <c r="G181" s="0" t="str">
        <f aca="false">IFERROR(IF(maxifs(Documents!$E$2:$E$1421,Documents!$A$2:$A$1421,$A181,Documents!$C$2:$C$1421,"map")=0,"",maxifs(Documents!$E$2:$E$1421,Documents!$A$2:$A$1421,$A181,Documents!$C$2:$C$1421,"map")),"")</f>
        <v/>
      </c>
      <c r="H181" s="0" t="str">
        <f aca="false">IFERROR(IF(maxifs(Documents!$E$2:$E$1421,Documents!$A$2:$A$1421,$A181,Documents!$C$2:$C$1421,"dive_map")=0,"",maxifs(Documents!$E$2:$E$1421,Documents!$A$2:$A$1421,$A181,Documents!$C$2:$C$1421,"dive_map")),"")</f>
        <v/>
      </c>
      <c r="I181" s="0" t="str">
        <f aca="false">IFERROR(IF(maxifs(Documents!$E$2:$E$1421,Documents!$A$2:$A$1421,$A181,Documents!$C$2:$C$1421,"spa_menu")=0,"",maxifs(Documents!$E$2:$E$1421,Documents!$A$2:$A$1421,$A181,Documents!$C$2:$C$1421,"spa_menu")),"")</f>
        <v/>
      </c>
      <c r="J181" s="0" t="str">
        <f aca="false">IFERROR(IF(maxifs(Documents!$E$2:$E$1421,Documents!$A$2:$A$1421,$A181,Documents!$C$2:$C$1421,"dining_menu")=0,"",maxifs(Documents!$E$2:$E$1421,Documents!$A$2:$A$1421,$A181,Documents!$C$2:$C$1421,"dining_menu")),"")</f>
        <v/>
      </c>
      <c r="K181" s="0" t="str">
        <f aca="false">IFERROR(IF(maxifs(Documents!$E$2:$E$1421,Documents!$A$2:$A$1421,$A181,Documents!$C$2:$C$1421,"dive_prices")=0,"",maxifs(Documents!$E$2:$E$1421,Documents!$A$2:$A$1421,$A181,Documents!$C$2:$C$1421,"dive_prices")),"")</f>
        <v/>
      </c>
      <c r="L181" s="0" t="str">
        <f aca="false">IFERROR(IF(maxifs(Documents!$E$2:$E$1421,Documents!$A$2:$A$1421,$A181,Documents!$C$2:$C$1421,"excursions")=0,"",maxifs(Documents!$E$2:$E$1421,Documents!$A$2:$A$1421,$A181,Documents!$C$2:$C$1421,"excursions")),"")</f>
        <v/>
      </c>
      <c r="M181" s="0" t="str">
        <f aca="false">IFERROR(IF(maxifs(Documents!$E$2:$E$1421,Documents!$A$2:$A$1421,$A181,Documents!$C$2:$C$1421,"kids")=0,"",maxifs(Documents!$E$2:$E$1421,Documents!$A$2:$A$1421,$A181,Documents!$C$2:$C$1421,"kids")),"")</f>
        <v/>
      </c>
      <c r="N181" s="0" t="str">
        <f aca="false">IFERROR(IF(maxifs(Documents!$E$2:$E$1421,Documents!$A$2:$A$1421,$A181,Documents!$C$2:$C$1421,"villa_plans")=0,"",maxifs(Documents!$E$2:$E$1421,Documents!$A$2:$A$1421,$A181,Documents!$C$2:$C$1421,"villa_plans")),"")</f>
        <v/>
      </c>
      <c r="O181" s="0" t="str">
        <f aca="false">IFERROR(IF(maxifs(Documents!$E$2:$E$1421,Documents!$A$2:$A$1421,$A181,Documents!$C$2:$C$1421,"all_inclusive")=0,"",maxifs(Documents!$E$2:$E$1421,Documents!$A$2:$A$1421,$A181,Documents!$C$2:$C$1421,"all_inclusive")),"")</f>
        <v/>
      </c>
      <c r="P181" s="0" t="str">
        <f aca="false">IFERROR(IF(maxifs(Documents!$E$2:$E$1421,Documents!$A$2:$A$1421,$A181,Documents!$C$2:$C$1421,"sustainability")=0,"",maxifs(Documents!$E$2:$E$1421,Documents!$A$2:$A$1421,$A181,Documents!$C$2:$C$1421,"sustainability")),"")</f>
        <v/>
      </c>
      <c r="Q181" s="0" t="str">
        <f aca="false">IFERROR(IF(maxifs(Documents!$E$2:$E$1421,Documents!$A$2:$A$1421,$A181,Documents!$C$2:$C$1421,"calendar")=0,"",maxifs(Documents!$E$2:$E$1421,Documents!$A$2:$A$1421,$A181,Documents!$C$2:$C$1421,"calendar")),"")</f>
        <v/>
      </c>
      <c r="R181" s="0" t="str">
        <f aca="false">IFERROR(IF(maxifs(Documents!$E$2:$E$1421,Documents!$A$2:$A$1421,$A181,Documents!$C$2:$C$1421,"brochure")=0,"",maxifs(Documents!$E$2:$E$1421,Documents!$A$2:$A$1421,$A181,Documents!$C$2:$C$1421,"brochure")),"")</f>
        <v/>
      </c>
      <c r="S181" s="0" t="str">
        <f aca="false">IFERROR(IF(maxifs(Documents!$E$2:$E$1421,Documents!$A$2:$A$1421,$A181,Documents!$C$2:$C$1421,"press_kit")=0,"",maxifs(Documents!$E$2:$E$1421,Documents!$A$2:$A$1421,$A181,Documents!$C$2:$C$1421,"press_kit")),"")</f>
        <v/>
      </c>
      <c r="T181" s="0" t="str">
        <f aca="false">IFERROR(IF(maxifs(Documents!$E$2:$E$1421,Documents!$A$2:$A$1421,$A181,Documents!$C$2:$C$1421,"other")=0,"",maxifs(Documents!$E$2:$E$1421,Documents!$A$2:$A$1421,$A181,Documents!$C$2:$C$1421,"other")),"")</f>
        <v/>
      </c>
      <c r="U181" s="0" t="str">
        <f aca="false">IFERROR(IF(maxifs(Documents!$E$2:$E$1421,Documents!$A$2:$A$1421,$A181,Documents!$C$2:$C$1421,"obsolete")=0,"",maxifs(Documents!$E$2:$E$1421,Documents!$A$2:$A$1421,$A181,Documents!$C$2:$C$1421,"obsolete")),"")</f>
        <v/>
      </c>
      <c r="V181" s="0" t="n">
        <f aca="false">COUNTIFS(Documents!$A$2:$A$1421,$A181)</f>
        <v>4</v>
      </c>
      <c r="W181" s="0" t="n">
        <f aca="false">COUNTIFS(Documents!$A$2:$A$1421,$A181,Documents!$R$2:$R$1421,"current")</f>
        <v>3</v>
      </c>
      <c r="X181" s="0" t="str">
        <f aca="false">HYPERLINK("https://www.neoscapesmaldives.com/wp-content/uploads/LUX_-South-Ari-Atoll-Factsheet-ENG.pdf","2025_LUX_-South-Ari-Atoll-Factsheet-ENG.")</f>
        <v>2025_LUX_-South-Ari-Atoll-Factsheet-ENG.</v>
      </c>
      <c r="Y181" s="0" t="s">
        <v>28</v>
      </c>
    </row>
    <row r="182" customFormat="false" ht="15" hidden="false" customHeight="false" outlineLevel="0" collapsed="false">
      <c r="A182" s="0" t="n">
        <v>181</v>
      </c>
      <c r="B182" s="0" t="s">
        <v>242</v>
      </c>
      <c r="C182" s="0" t="s">
        <v>112</v>
      </c>
      <c r="D182" s="0" t="str">
        <f aca="false">IFERROR(IF(maxifs(Documents!$E$2:$E$1421,Documents!$A$2:$A$1421,$A182,Documents!$C$2:$C$1421,"factsheet")=0,"",maxifs(Documents!$E$2:$E$1421,Documents!$A$2:$A$1421,$A182,Documents!$C$2:$C$1421,"factsheet")),"")</f>
        <v/>
      </c>
      <c r="E182" s="0" t="str">
        <f aca="false">IFERROR(IF(maxifs(Documents!$E$2:$E$1421,Documents!$A$2:$A$1421,$A182,Documents!$C$2:$C$1421,"wedding")=0,"",maxifs(Documents!$E$2:$E$1421,Documents!$A$2:$A$1421,$A182,Documents!$C$2:$C$1421,"wedding")),"")</f>
        <v/>
      </c>
      <c r="F182" s="0" t="str">
        <f aca="false">IFERROR(IF(maxifs(Documents!$E$2:$E$1421,Documents!$A$2:$A$1421,$A182,Documents!$C$2:$C$1421,"events")=0,"",maxifs(Documents!$E$2:$E$1421,Documents!$A$2:$A$1421,$A182,Documents!$C$2:$C$1421,"events")),"")</f>
        <v/>
      </c>
      <c r="G182" s="0" t="str">
        <f aca="false">IFERROR(IF(maxifs(Documents!$E$2:$E$1421,Documents!$A$2:$A$1421,$A182,Documents!$C$2:$C$1421,"map")=0,"",maxifs(Documents!$E$2:$E$1421,Documents!$A$2:$A$1421,$A182,Documents!$C$2:$C$1421,"map")),"")</f>
        <v/>
      </c>
      <c r="H182" s="0" t="str">
        <f aca="false">IFERROR(IF(maxifs(Documents!$E$2:$E$1421,Documents!$A$2:$A$1421,$A182,Documents!$C$2:$C$1421,"dive_map")=0,"",maxifs(Documents!$E$2:$E$1421,Documents!$A$2:$A$1421,$A182,Documents!$C$2:$C$1421,"dive_map")),"")</f>
        <v/>
      </c>
      <c r="I182" s="0" t="str">
        <f aca="false">IFERROR(IF(maxifs(Documents!$E$2:$E$1421,Documents!$A$2:$A$1421,$A182,Documents!$C$2:$C$1421,"spa_menu")=0,"",maxifs(Documents!$E$2:$E$1421,Documents!$A$2:$A$1421,$A182,Documents!$C$2:$C$1421,"spa_menu")),"")</f>
        <v/>
      </c>
      <c r="J182" s="0" t="str">
        <f aca="false">IFERROR(IF(maxifs(Documents!$E$2:$E$1421,Documents!$A$2:$A$1421,$A182,Documents!$C$2:$C$1421,"dining_menu")=0,"",maxifs(Documents!$E$2:$E$1421,Documents!$A$2:$A$1421,$A182,Documents!$C$2:$C$1421,"dining_menu")),"")</f>
        <v/>
      </c>
      <c r="K182" s="0" t="str">
        <f aca="false">IFERROR(IF(maxifs(Documents!$E$2:$E$1421,Documents!$A$2:$A$1421,$A182,Documents!$C$2:$C$1421,"dive_prices")=0,"",maxifs(Documents!$E$2:$E$1421,Documents!$A$2:$A$1421,$A182,Documents!$C$2:$C$1421,"dive_prices")),"")</f>
        <v/>
      </c>
      <c r="L182" s="0" t="str">
        <f aca="false">IFERROR(IF(maxifs(Documents!$E$2:$E$1421,Documents!$A$2:$A$1421,$A182,Documents!$C$2:$C$1421,"excursions")=0,"",maxifs(Documents!$E$2:$E$1421,Documents!$A$2:$A$1421,$A182,Documents!$C$2:$C$1421,"excursions")),"")</f>
        <v/>
      </c>
      <c r="M182" s="0" t="str">
        <f aca="false">IFERROR(IF(maxifs(Documents!$E$2:$E$1421,Documents!$A$2:$A$1421,$A182,Documents!$C$2:$C$1421,"kids")=0,"",maxifs(Documents!$E$2:$E$1421,Documents!$A$2:$A$1421,$A182,Documents!$C$2:$C$1421,"kids")),"")</f>
        <v/>
      </c>
      <c r="N182" s="0" t="str">
        <f aca="false">IFERROR(IF(maxifs(Documents!$E$2:$E$1421,Documents!$A$2:$A$1421,$A182,Documents!$C$2:$C$1421,"villa_plans")=0,"",maxifs(Documents!$E$2:$E$1421,Documents!$A$2:$A$1421,$A182,Documents!$C$2:$C$1421,"villa_plans")),"")</f>
        <v/>
      </c>
      <c r="O182" s="0" t="str">
        <f aca="false">IFERROR(IF(maxifs(Documents!$E$2:$E$1421,Documents!$A$2:$A$1421,$A182,Documents!$C$2:$C$1421,"all_inclusive")=0,"",maxifs(Documents!$E$2:$E$1421,Documents!$A$2:$A$1421,$A182,Documents!$C$2:$C$1421,"all_inclusive")),"")</f>
        <v/>
      </c>
      <c r="P182" s="0" t="str">
        <f aca="false">IFERROR(IF(maxifs(Documents!$E$2:$E$1421,Documents!$A$2:$A$1421,$A182,Documents!$C$2:$C$1421,"sustainability")=0,"",maxifs(Documents!$E$2:$E$1421,Documents!$A$2:$A$1421,$A182,Documents!$C$2:$C$1421,"sustainability")),"")</f>
        <v/>
      </c>
      <c r="Q182" s="0" t="str">
        <f aca="false">IFERROR(IF(maxifs(Documents!$E$2:$E$1421,Documents!$A$2:$A$1421,$A182,Documents!$C$2:$C$1421,"calendar")=0,"",maxifs(Documents!$E$2:$E$1421,Documents!$A$2:$A$1421,$A182,Documents!$C$2:$C$1421,"calendar")),"")</f>
        <v/>
      </c>
      <c r="R182" s="0" t="str">
        <f aca="false">IFERROR(IF(maxifs(Documents!$E$2:$E$1421,Documents!$A$2:$A$1421,$A182,Documents!$C$2:$C$1421,"brochure")=0,"",maxifs(Documents!$E$2:$E$1421,Documents!$A$2:$A$1421,$A182,Documents!$C$2:$C$1421,"brochure")),"")</f>
        <v/>
      </c>
      <c r="S182" s="0" t="str">
        <f aca="false">IFERROR(IF(maxifs(Documents!$E$2:$E$1421,Documents!$A$2:$A$1421,$A182,Documents!$C$2:$C$1421,"press_kit")=0,"",maxifs(Documents!$E$2:$E$1421,Documents!$A$2:$A$1421,$A182,Documents!$C$2:$C$1421,"press_kit")),"")</f>
        <v/>
      </c>
      <c r="T182" s="0" t="str">
        <f aca="false">IFERROR(IF(maxifs(Documents!$E$2:$E$1421,Documents!$A$2:$A$1421,$A182,Documents!$C$2:$C$1421,"other")=0,"",maxifs(Documents!$E$2:$E$1421,Documents!$A$2:$A$1421,$A182,Documents!$C$2:$C$1421,"other")),"")</f>
        <v/>
      </c>
      <c r="U182" s="0" t="str">
        <f aca="false">IFERROR(IF(maxifs(Documents!$E$2:$E$1421,Documents!$A$2:$A$1421,$A182,Documents!$C$2:$C$1421,"obsolete")=0,"",maxifs(Documents!$E$2:$E$1421,Documents!$A$2:$A$1421,$A182,Documents!$C$2:$C$1421,"obsolete")),"")</f>
        <v/>
      </c>
      <c r="V182" s="0" t="n">
        <f aca="false">COUNTIFS(Documents!$A$2:$A$1421,$A182)</f>
        <v>0</v>
      </c>
      <c r="W182" s="0" t="n">
        <f aca="false">COUNTIFS(Documents!$A$2:$A$1421,$A182,Documents!$R$2:$R$1421,"current")</f>
        <v>0</v>
      </c>
      <c r="Y182" s="0" t="s">
        <v>31</v>
      </c>
    </row>
    <row r="183" customFormat="false" ht="15" hidden="false" customHeight="false" outlineLevel="0" collapsed="false">
      <c r="A183" s="0" t="n">
        <v>182</v>
      </c>
      <c r="B183" s="0" t="s">
        <v>243</v>
      </c>
      <c r="C183" s="0" t="s">
        <v>112</v>
      </c>
      <c r="D183" s="0" t="str">
        <f aca="false">IFERROR(IF(maxifs(Documents!$E$2:$E$1421,Documents!$A$2:$A$1421,$A183,Documents!$C$2:$C$1421,"factsheet")=0,"",maxifs(Documents!$E$2:$E$1421,Documents!$A$2:$A$1421,$A183,Documents!$C$2:$C$1421,"factsheet")),"")</f>
        <v/>
      </c>
      <c r="E183" s="0" t="str">
        <f aca="false">IFERROR(IF(maxifs(Documents!$E$2:$E$1421,Documents!$A$2:$A$1421,$A183,Documents!$C$2:$C$1421,"wedding")=0,"",maxifs(Documents!$E$2:$E$1421,Documents!$A$2:$A$1421,$A183,Documents!$C$2:$C$1421,"wedding")),"")</f>
        <v/>
      </c>
      <c r="F183" s="0" t="str">
        <f aca="false">IFERROR(IF(maxifs(Documents!$E$2:$E$1421,Documents!$A$2:$A$1421,$A183,Documents!$C$2:$C$1421,"events")=0,"",maxifs(Documents!$E$2:$E$1421,Documents!$A$2:$A$1421,$A183,Documents!$C$2:$C$1421,"events")),"")</f>
        <v/>
      </c>
      <c r="G183" s="0" t="str">
        <f aca="false">IFERROR(IF(maxifs(Documents!$E$2:$E$1421,Documents!$A$2:$A$1421,$A183,Documents!$C$2:$C$1421,"map")=0,"",maxifs(Documents!$E$2:$E$1421,Documents!$A$2:$A$1421,$A183,Documents!$C$2:$C$1421,"map")),"")</f>
        <v/>
      </c>
      <c r="H183" s="0" t="str">
        <f aca="false">IFERROR(IF(maxifs(Documents!$E$2:$E$1421,Documents!$A$2:$A$1421,$A183,Documents!$C$2:$C$1421,"dive_map")=0,"",maxifs(Documents!$E$2:$E$1421,Documents!$A$2:$A$1421,$A183,Documents!$C$2:$C$1421,"dive_map")),"")</f>
        <v/>
      </c>
      <c r="I183" s="0" t="str">
        <f aca="false">IFERROR(IF(maxifs(Documents!$E$2:$E$1421,Documents!$A$2:$A$1421,$A183,Documents!$C$2:$C$1421,"spa_menu")=0,"",maxifs(Documents!$E$2:$E$1421,Documents!$A$2:$A$1421,$A183,Documents!$C$2:$C$1421,"spa_menu")),"")</f>
        <v/>
      </c>
      <c r="J183" s="0" t="str">
        <f aca="false">IFERROR(IF(maxifs(Documents!$E$2:$E$1421,Documents!$A$2:$A$1421,$A183,Documents!$C$2:$C$1421,"dining_menu")=0,"",maxifs(Documents!$E$2:$E$1421,Documents!$A$2:$A$1421,$A183,Documents!$C$2:$C$1421,"dining_menu")),"")</f>
        <v/>
      </c>
      <c r="K183" s="0" t="str">
        <f aca="false">IFERROR(IF(maxifs(Documents!$E$2:$E$1421,Documents!$A$2:$A$1421,$A183,Documents!$C$2:$C$1421,"dive_prices")=0,"",maxifs(Documents!$E$2:$E$1421,Documents!$A$2:$A$1421,$A183,Documents!$C$2:$C$1421,"dive_prices")),"")</f>
        <v/>
      </c>
      <c r="L183" s="0" t="str">
        <f aca="false">IFERROR(IF(maxifs(Documents!$E$2:$E$1421,Documents!$A$2:$A$1421,$A183,Documents!$C$2:$C$1421,"excursions")=0,"",maxifs(Documents!$E$2:$E$1421,Documents!$A$2:$A$1421,$A183,Documents!$C$2:$C$1421,"excursions")),"")</f>
        <v/>
      </c>
      <c r="M183" s="0" t="str">
        <f aca="false">IFERROR(IF(maxifs(Documents!$E$2:$E$1421,Documents!$A$2:$A$1421,$A183,Documents!$C$2:$C$1421,"kids")=0,"",maxifs(Documents!$E$2:$E$1421,Documents!$A$2:$A$1421,$A183,Documents!$C$2:$C$1421,"kids")),"")</f>
        <v/>
      </c>
      <c r="N183" s="0" t="str">
        <f aca="false">IFERROR(IF(maxifs(Documents!$E$2:$E$1421,Documents!$A$2:$A$1421,$A183,Documents!$C$2:$C$1421,"villa_plans")=0,"",maxifs(Documents!$E$2:$E$1421,Documents!$A$2:$A$1421,$A183,Documents!$C$2:$C$1421,"villa_plans")),"")</f>
        <v/>
      </c>
      <c r="O183" s="0" t="str">
        <f aca="false">IFERROR(IF(maxifs(Documents!$E$2:$E$1421,Documents!$A$2:$A$1421,$A183,Documents!$C$2:$C$1421,"all_inclusive")=0,"",maxifs(Documents!$E$2:$E$1421,Documents!$A$2:$A$1421,$A183,Documents!$C$2:$C$1421,"all_inclusive")),"")</f>
        <v/>
      </c>
      <c r="P183" s="0" t="str">
        <f aca="false">IFERROR(IF(maxifs(Documents!$E$2:$E$1421,Documents!$A$2:$A$1421,$A183,Documents!$C$2:$C$1421,"sustainability")=0,"",maxifs(Documents!$E$2:$E$1421,Documents!$A$2:$A$1421,$A183,Documents!$C$2:$C$1421,"sustainability")),"")</f>
        <v/>
      </c>
      <c r="Q183" s="0" t="str">
        <f aca="false">IFERROR(IF(maxifs(Documents!$E$2:$E$1421,Documents!$A$2:$A$1421,$A183,Documents!$C$2:$C$1421,"calendar")=0,"",maxifs(Documents!$E$2:$E$1421,Documents!$A$2:$A$1421,$A183,Documents!$C$2:$C$1421,"calendar")),"")</f>
        <v/>
      </c>
      <c r="R183" s="0" t="str">
        <f aca="false">IFERROR(IF(maxifs(Documents!$E$2:$E$1421,Documents!$A$2:$A$1421,$A183,Documents!$C$2:$C$1421,"brochure")=0,"",maxifs(Documents!$E$2:$E$1421,Documents!$A$2:$A$1421,$A183,Documents!$C$2:$C$1421,"brochure")),"")</f>
        <v/>
      </c>
      <c r="S183" s="0" t="str">
        <f aca="false">IFERROR(IF(maxifs(Documents!$E$2:$E$1421,Documents!$A$2:$A$1421,$A183,Documents!$C$2:$C$1421,"press_kit")=0,"",maxifs(Documents!$E$2:$E$1421,Documents!$A$2:$A$1421,$A183,Documents!$C$2:$C$1421,"press_kit")),"")</f>
        <v/>
      </c>
      <c r="T183" s="0" t="str">
        <f aca="false">IFERROR(IF(maxifs(Documents!$E$2:$E$1421,Documents!$A$2:$A$1421,$A183,Documents!$C$2:$C$1421,"other")=0,"",maxifs(Documents!$E$2:$E$1421,Documents!$A$2:$A$1421,$A183,Documents!$C$2:$C$1421,"other")),"")</f>
        <v/>
      </c>
      <c r="U183" s="0" t="str">
        <f aca="false">IFERROR(IF(maxifs(Documents!$E$2:$E$1421,Documents!$A$2:$A$1421,$A183,Documents!$C$2:$C$1421,"obsolete")=0,"",maxifs(Documents!$E$2:$E$1421,Documents!$A$2:$A$1421,$A183,Documents!$C$2:$C$1421,"obsolete")),"")</f>
        <v/>
      </c>
      <c r="V183" s="0" t="n">
        <f aca="false">COUNTIFS(Documents!$A$2:$A$1421,$A183)</f>
        <v>1</v>
      </c>
      <c r="W183" s="0" t="n">
        <f aca="false">COUNTIFS(Documents!$A$2:$A$1421,$A183,Documents!$R$2:$R$1421,"current")</f>
        <v>1</v>
      </c>
      <c r="X183" s="0" t="str">
        <f aca="false">HYPERLINK("https://www.neoscapesmaldives.com/wp-content/uploads/Kuredhivaru-Resort-And-Spa-Factsheet-ENG.pdf","2025_Kuredhivaru-Resort-And-Spa-Factshee")</f>
        <v>2025_Kuredhivaru-Resort-And-Spa-Factshee</v>
      </c>
      <c r="Y183" s="0"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4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46"/>
    <col collapsed="false" customWidth="true" hidden="false" outlineLevel="0" max="3" min="3" style="0" width="16"/>
    <col collapsed="false" customWidth="true" hidden="false" outlineLevel="0" max="4" min="4" style="0" width="50"/>
    <col collapsed="false" customWidth="true" hidden="false" outlineLevel="0" max="5" min="5" style="0" width="14"/>
    <col collapsed="false" customWidth="true" hidden="false" outlineLevel="0" max="6" min="6" style="0" width="12"/>
    <col collapsed="false" customWidth="true" hidden="false" outlineLevel="0" max="7" min="7" style="0" width="10"/>
    <col collapsed="false" customWidth="true" hidden="false" outlineLevel="0" max="8" min="8" style="0" width="8"/>
    <col collapsed="false" customWidth="true" hidden="false" outlineLevel="0" max="9" min="9" style="0" width="9"/>
    <col collapsed="false" customWidth="true" hidden="false" outlineLevel="0" max="10" min="10" style="0" width="12"/>
    <col collapsed="false" customWidth="true" hidden="false" outlineLevel="0" max="11" min="11" style="0" width="28"/>
    <col collapsed="false" customWidth="true" hidden="false" outlineLevel="0" max="12" min="12" style="0" width="13"/>
    <col collapsed="false" customWidth="true" hidden="false" outlineLevel="0" max="16" min="13" style="0" width="50"/>
    <col collapsed="false" customWidth="true" hidden="false" outlineLevel="0" max="17" min="17" style="0" width="8"/>
    <col collapsed="false" customWidth="true" hidden="false" outlineLevel="0" max="18" min="18" style="0" width="10"/>
    <col collapsed="false" customWidth="true" hidden="false" outlineLevel="0" max="19" min="19" style="0" width="11"/>
    <col collapsed="false" customWidth="true" hidden="false" outlineLevel="0" max="20" min="20" style="0" width="14"/>
    <col collapsed="false" customWidth="true" hidden="false" outlineLevel="0" max="21" min="21" style="0" width="12"/>
    <col collapsed="false" customWidth="true" hidden="false" outlineLevel="0" max="22" min="22" style="0" width="26"/>
  </cols>
  <sheetData>
    <row r="1" customFormat="false" ht="15" hidden="false" customHeight="false" outlineLevel="0" collapsed="false">
      <c r="A1" s="1" t="s">
        <v>244</v>
      </c>
      <c r="B1" s="1" t="s">
        <v>245</v>
      </c>
      <c r="C1" s="1" t="s">
        <v>246</v>
      </c>
      <c r="D1" s="1" t="s">
        <v>247</v>
      </c>
      <c r="E1" s="1" t="s">
        <v>248</v>
      </c>
      <c r="F1" s="1" t="s">
        <v>249</v>
      </c>
      <c r="G1" s="1" t="s">
        <v>250</v>
      </c>
      <c r="H1" s="1" t="s">
        <v>251</v>
      </c>
      <c r="I1" s="1" t="s">
        <v>252</v>
      </c>
      <c r="J1" s="1" t="s">
        <v>253</v>
      </c>
      <c r="K1" s="1" t="s">
        <v>254</v>
      </c>
      <c r="L1" s="1" t="s">
        <v>255</v>
      </c>
      <c r="M1" s="1" t="s">
        <v>256</v>
      </c>
      <c r="N1" s="1" t="s">
        <v>257</v>
      </c>
      <c r="O1" s="1" t="s">
        <v>258</v>
      </c>
      <c r="P1" s="1" t="s">
        <v>259</v>
      </c>
      <c r="Q1" s="1" t="s">
        <v>260</v>
      </c>
      <c r="R1" s="1" t="s">
        <v>261</v>
      </c>
      <c r="S1" s="1" t="s">
        <v>262</v>
      </c>
      <c r="T1" s="1" t="s">
        <v>263</v>
      </c>
      <c r="U1" s="1" t="s">
        <v>264</v>
      </c>
      <c r="V1" s="1" t="s">
        <v>265</v>
      </c>
    </row>
    <row r="2" customFormat="false" ht="15" hidden="false" customHeight="false" outlineLevel="0" collapsed="false">
      <c r="A2" s="0" t="n">
        <v>1</v>
      </c>
      <c r="B2" s="0" t="s">
        <v>26</v>
      </c>
      <c r="C2" s="0" t="s">
        <v>266</v>
      </c>
      <c r="D2" s="0" t="s">
        <v>267</v>
      </c>
      <c r="E2" s="0" t="n">
        <v>2026</v>
      </c>
      <c r="H2" s="0" t="n">
        <v>7</v>
      </c>
      <c r="I2" s="0" t="n">
        <v>10656</v>
      </c>
      <c r="J2" s="0" t="s">
        <v>268</v>
      </c>
      <c r="K2" s="0" t="s">
        <v>269</v>
      </c>
      <c r="L2" s="0" t="s">
        <v>270</v>
      </c>
      <c r="M2" s="0" t="s">
        <v>271</v>
      </c>
      <c r="N2" s="0" t="s">
        <v>272</v>
      </c>
      <c r="O2" s="0" t="s">
        <v>273</v>
      </c>
      <c r="P2" s="0" t="s">
        <v>274</v>
      </c>
      <c r="R2" s="0" t="s">
        <v>275</v>
      </c>
      <c r="S2" s="0" t="s">
        <v>268</v>
      </c>
      <c r="T2" s="0" t="s">
        <v>276</v>
      </c>
      <c r="U2" s="0" t="s">
        <v>277</v>
      </c>
    </row>
    <row r="3" customFormat="false" ht="15" hidden="false" customHeight="false" outlineLevel="0" collapsed="false">
      <c r="A3" s="0" t="n">
        <v>1</v>
      </c>
      <c r="B3" s="0" t="s">
        <v>26</v>
      </c>
      <c r="C3" s="0" t="s">
        <v>278</v>
      </c>
      <c r="D3" s="0" t="s">
        <v>279</v>
      </c>
      <c r="E3" s="0" t="n">
        <v>2024</v>
      </c>
      <c r="H3" s="0" t="n">
        <v>21</v>
      </c>
      <c r="I3" s="0" t="n">
        <v>9169</v>
      </c>
      <c r="J3" s="0" t="s">
        <v>268</v>
      </c>
      <c r="K3" s="0" t="s">
        <v>280</v>
      </c>
      <c r="L3" s="0" t="s">
        <v>270</v>
      </c>
      <c r="M3" s="0" t="s">
        <v>281</v>
      </c>
      <c r="N3" s="0" t="s">
        <v>281</v>
      </c>
      <c r="O3" s="0" t="s">
        <v>282</v>
      </c>
      <c r="P3" s="0" t="s">
        <v>283</v>
      </c>
      <c r="R3" s="0" t="s">
        <v>284</v>
      </c>
      <c r="S3" s="0" t="s">
        <v>268</v>
      </c>
      <c r="T3" s="0" t="s">
        <v>276</v>
      </c>
      <c r="U3" s="0" t="s">
        <v>277</v>
      </c>
    </row>
    <row r="4" customFormat="false" ht="15" hidden="false" customHeight="false" outlineLevel="0" collapsed="false">
      <c r="A4" s="0" t="n">
        <v>1</v>
      </c>
      <c r="B4" s="0" t="s">
        <v>26</v>
      </c>
      <c r="C4" s="0" t="s">
        <v>278</v>
      </c>
      <c r="D4" s="0" t="s">
        <v>285</v>
      </c>
      <c r="E4" s="0" t="n">
        <v>2022</v>
      </c>
      <c r="H4" s="0" t="n">
        <v>11</v>
      </c>
      <c r="I4" s="0" t="n">
        <v>3844</v>
      </c>
      <c r="J4" s="0" t="s">
        <v>268</v>
      </c>
      <c r="K4" s="0" t="s">
        <v>286</v>
      </c>
      <c r="L4" s="0" t="s">
        <v>270</v>
      </c>
      <c r="M4" s="0" t="s">
        <v>287</v>
      </c>
      <c r="N4" s="0" t="s">
        <v>287</v>
      </c>
      <c r="O4" s="0" t="s">
        <v>288</v>
      </c>
      <c r="P4" s="0" t="s">
        <v>289</v>
      </c>
      <c r="R4" s="0" t="s">
        <v>284</v>
      </c>
      <c r="S4" s="0" t="s">
        <v>290</v>
      </c>
      <c r="T4" s="0" t="s">
        <v>276</v>
      </c>
      <c r="U4" s="0" t="s">
        <v>277</v>
      </c>
    </row>
    <row r="5" customFormat="false" ht="15" hidden="false" customHeight="false" outlineLevel="0" collapsed="false">
      <c r="A5" s="0" t="n">
        <v>3</v>
      </c>
      <c r="B5" s="0" t="s">
        <v>32</v>
      </c>
      <c r="C5" s="0" t="s">
        <v>56</v>
      </c>
      <c r="D5" s="0" t="s">
        <v>291</v>
      </c>
      <c r="E5" s="0" t="n">
        <v>2026</v>
      </c>
      <c r="H5" s="0" t="n">
        <v>13</v>
      </c>
      <c r="I5" s="0" t="n">
        <v>7701</v>
      </c>
      <c r="J5" s="0" t="s">
        <v>268</v>
      </c>
      <c r="K5" s="0" t="s">
        <v>292</v>
      </c>
      <c r="L5" s="0" t="s">
        <v>293</v>
      </c>
      <c r="M5" s="0" t="s">
        <v>294</v>
      </c>
      <c r="N5" s="0" t="s">
        <v>294</v>
      </c>
      <c r="O5" s="0" t="s">
        <v>295</v>
      </c>
      <c r="P5" s="0" t="s">
        <v>296</v>
      </c>
      <c r="R5" s="0" t="s">
        <v>275</v>
      </c>
      <c r="S5" s="0" t="s">
        <v>268</v>
      </c>
      <c r="T5" s="0" t="s">
        <v>276</v>
      </c>
      <c r="U5" s="0" t="s">
        <v>277</v>
      </c>
    </row>
    <row r="6" customFormat="false" ht="15" hidden="false" customHeight="false" outlineLevel="0" collapsed="false">
      <c r="A6" s="0" t="n">
        <v>3</v>
      </c>
      <c r="B6" s="0" t="s">
        <v>32</v>
      </c>
      <c r="C6" s="0" t="s">
        <v>56</v>
      </c>
      <c r="D6" s="0" t="s">
        <v>297</v>
      </c>
      <c r="E6" s="0" t="n">
        <v>2023</v>
      </c>
      <c r="H6" s="0" t="n">
        <v>5</v>
      </c>
      <c r="I6" s="0" t="n">
        <v>1748</v>
      </c>
      <c r="J6" s="0" t="s">
        <v>268</v>
      </c>
      <c r="K6" s="0" t="s">
        <v>298</v>
      </c>
      <c r="L6" s="0" t="s">
        <v>270</v>
      </c>
      <c r="M6" s="0" t="s">
        <v>299</v>
      </c>
      <c r="N6" s="0" t="s">
        <v>299</v>
      </c>
      <c r="O6" s="0" t="s">
        <v>300</v>
      </c>
      <c r="P6" s="0" t="s">
        <v>301</v>
      </c>
      <c r="R6" s="0" t="s">
        <v>284</v>
      </c>
      <c r="S6" s="0" t="s">
        <v>290</v>
      </c>
      <c r="T6" s="0" t="s">
        <v>276</v>
      </c>
      <c r="U6" s="0" t="s">
        <v>277</v>
      </c>
    </row>
    <row r="7" customFormat="false" ht="15" hidden="false" customHeight="false" outlineLevel="0" collapsed="false">
      <c r="A7" s="0" t="n">
        <v>3</v>
      </c>
      <c r="B7" s="0" t="s">
        <v>32</v>
      </c>
      <c r="C7" s="0" t="s">
        <v>91</v>
      </c>
      <c r="D7" s="0" t="s">
        <v>302</v>
      </c>
      <c r="E7" s="0" t="n">
        <v>2027</v>
      </c>
      <c r="H7" s="0" t="n">
        <v>6</v>
      </c>
      <c r="I7" s="0" t="n">
        <v>1919</v>
      </c>
      <c r="J7" s="0" t="s">
        <v>268</v>
      </c>
      <c r="K7" s="0" t="s">
        <v>292</v>
      </c>
      <c r="L7" s="0" t="s">
        <v>293</v>
      </c>
      <c r="M7" s="0" t="s">
        <v>303</v>
      </c>
      <c r="N7" s="0" t="s">
        <v>303</v>
      </c>
      <c r="O7" s="0" t="s">
        <v>304</v>
      </c>
      <c r="P7" s="0" t="s">
        <v>305</v>
      </c>
      <c r="R7" s="0" t="s">
        <v>275</v>
      </c>
      <c r="S7" s="0" t="s">
        <v>268</v>
      </c>
      <c r="T7" s="0" t="s">
        <v>276</v>
      </c>
      <c r="U7" s="0" t="s">
        <v>277</v>
      </c>
    </row>
    <row r="8" customFormat="false" ht="15" hidden="false" customHeight="false" outlineLevel="0" collapsed="false">
      <c r="A8" s="0" t="n">
        <v>3</v>
      </c>
      <c r="B8" s="0" t="s">
        <v>32</v>
      </c>
      <c r="C8" s="0" t="s">
        <v>35</v>
      </c>
      <c r="D8" s="0" t="s">
        <v>302</v>
      </c>
      <c r="E8" s="0" t="n">
        <v>2027</v>
      </c>
      <c r="H8" s="0" t="n">
        <v>14</v>
      </c>
      <c r="I8" s="0" t="n">
        <v>24283</v>
      </c>
      <c r="J8" s="0" t="s">
        <v>268</v>
      </c>
      <c r="K8" s="0" t="s">
        <v>292</v>
      </c>
      <c r="L8" s="0" t="s">
        <v>293</v>
      </c>
      <c r="M8" s="0" t="s">
        <v>306</v>
      </c>
      <c r="N8" s="0" t="s">
        <v>306</v>
      </c>
      <c r="O8" s="0" t="s">
        <v>307</v>
      </c>
      <c r="P8" s="0" t="s">
        <v>308</v>
      </c>
      <c r="R8" s="0" t="s">
        <v>275</v>
      </c>
      <c r="S8" s="0" t="s">
        <v>268</v>
      </c>
      <c r="T8" s="0" t="s">
        <v>276</v>
      </c>
      <c r="U8" s="0" t="s">
        <v>277</v>
      </c>
    </row>
    <row r="9" customFormat="false" ht="15" hidden="false" customHeight="false" outlineLevel="0" collapsed="false">
      <c r="A9" s="0" t="n">
        <v>3</v>
      </c>
      <c r="B9" s="0" t="s">
        <v>32</v>
      </c>
      <c r="C9" s="0" t="s">
        <v>309</v>
      </c>
      <c r="D9" s="0" t="s">
        <v>310</v>
      </c>
      <c r="E9" s="0" t="n">
        <v>2025</v>
      </c>
      <c r="H9" s="0" t="n">
        <v>23</v>
      </c>
      <c r="I9" s="0" t="n">
        <v>1948</v>
      </c>
      <c r="J9" s="0" t="s">
        <v>268</v>
      </c>
      <c r="K9" s="0" t="s">
        <v>292</v>
      </c>
      <c r="L9" s="0" t="s">
        <v>293</v>
      </c>
      <c r="M9" s="0" t="s">
        <v>311</v>
      </c>
      <c r="N9" s="0" t="s">
        <v>311</v>
      </c>
      <c r="O9" s="0" t="s">
        <v>312</v>
      </c>
      <c r="P9" s="0" t="s">
        <v>313</v>
      </c>
      <c r="R9" s="0" t="s">
        <v>275</v>
      </c>
      <c r="S9" s="0" t="s">
        <v>268</v>
      </c>
      <c r="T9" s="0" t="s">
        <v>314</v>
      </c>
      <c r="U9" s="0" t="s">
        <v>277</v>
      </c>
      <c r="V9" s="0" t="s">
        <v>315</v>
      </c>
    </row>
    <row r="10" customFormat="false" ht="15" hidden="false" customHeight="false" outlineLevel="0" collapsed="false">
      <c r="A10" s="0" t="n">
        <v>3</v>
      </c>
      <c r="B10" s="0" t="s">
        <v>32</v>
      </c>
      <c r="C10" s="0" t="s">
        <v>309</v>
      </c>
      <c r="D10" s="0" t="s">
        <v>316</v>
      </c>
      <c r="E10" s="0" t="n">
        <v>2020</v>
      </c>
      <c r="H10" s="0" t="n">
        <v>1</v>
      </c>
      <c r="I10" s="0" t="n">
        <v>132</v>
      </c>
      <c r="J10" s="0" t="s">
        <v>290</v>
      </c>
      <c r="K10" s="0" t="s">
        <v>298</v>
      </c>
      <c r="L10" s="0" t="s">
        <v>270</v>
      </c>
      <c r="M10" s="0" t="s">
        <v>317</v>
      </c>
      <c r="N10" s="0" t="s">
        <v>317</v>
      </c>
      <c r="O10" s="0" t="s">
        <v>318</v>
      </c>
      <c r="P10" s="0" t="s">
        <v>319</v>
      </c>
      <c r="R10" s="0" t="s">
        <v>284</v>
      </c>
      <c r="S10" s="0" t="s">
        <v>290</v>
      </c>
      <c r="T10" s="0" t="s">
        <v>314</v>
      </c>
      <c r="U10" s="0" t="s">
        <v>277</v>
      </c>
      <c r="V10" s="0" t="s">
        <v>315</v>
      </c>
    </row>
    <row r="11" customFormat="false" ht="15" hidden="false" customHeight="false" outlineLevel="0" collapsed="false">
      <c r="A11" s="0" t="n">
        <v>3</v>
      </c>
      <c r="B11" s="0" t="s">
        <v>32</v>
      </c>
      <c r="C11" s="0" t="s">
        <v>266</v>
      </c>
      <c r="D11" s="0" t="s">
        <v>320</v>
      </c>
      <c r="E11" s="0" t="n">
        <v>2025</v>
      </c>
      <c r="H11" s="0" t="n">
        <v>7</v>
      </c>
      <c r="I11" s="0" t="n">
        <v>600</v>
      </c>
      <c r="J11" s="0" t="s">
        <v>268</v>
      </c>
      <c r="K11" s="0" t="s">
        <v>292</v>
      </c>
      <c r="L11" s="0" t="s">
        <v>293</v>
      </c>
      <c r="M11" s="0" t="s">
        <v>321</v>
      </c>
      <c r="N11" s="0" t="s">
        <v>321</v>
      </c>
      <c r="O11" s="0" t="s">
        <v>322</v>
      </c>
      <c r="P11" s="0" t="s">
        <v>323</v>
      </c>
      <c r="R11" s="0" t="s">
        <v>275</v>
      </c>
      <c r="S11" s="0" t="s">
        <v>268</v>
      </c>
      <c r="T11" s="0" t="s">
        <v>276</v>
      </c>
      <c r="U11" s="0" t="s">
        <v>277</v>
      </c>
    </row>
    <row r="12" customFormat="false" ht="15" hidden="false" customHeight="false" outlineLevel="0" collapsed="false">
      <c r="A12" s="0" t="n">
        <v>3</v>
      </c>
      <c r="B12" s="0" t="s">
        <v>32</v>
      </c>
      <c r="C12" s="0" t="s">
        <v>324</v>
      </c>
      <c r="D12" s="0" t="s">
        <v>291</v>
      </c>
      <c r="E12" s="0" t="n">
        <v>2026</v>
      </c>
      <c r="H12" s="0" t="n">
        <v>1</v>
      </c>
      <c r="I12" s="0" t="n">
        <v>95</v>
      </c>
      <c r="J12" s="0" t="s">
        <v>268</v>
      </c>
      <c r="K12" s="0" t="s">
        <v>292</v>
      </c>
      <c r="L12" s="0" t="s">
        <v>293</v>
      </c>
      <c r="M12" s="0" t="s">
        <v>325</v>
      </c>
      <c r="N12" s="0" t="s">
        <v>325</v>
      </c>
      <c r="O12" s="0" t="s">
        <v>326</v>
      </c>
      <c r="P12" s="0" t="s">
        <v>327</v>
      </c>
      <c r="R12" s="0" t="s">
        <v>275</v>
      </c>
      <c r="S12" s="0" t="s">
        <v>290</v>
      </c>
      <c r="T12" s="0" t="s">
        <v>276</v>
      </c>
      <c r="U12" s="0" t="s">
        <v>277</v>
      </c>
    </row>
    <row r="13" customFormat="false" ht="15" hidden="false" customHeight="false" outlineLevel="0" collapsed="false">
      <c r="A13" s="0" t="n">
        <v>3</v>
      </c>
      <c r="B13" s="0" t="s">
        <v>32</v>
      </c>
      <c r="C13" s="0" t="s">
        <v>324</v>
      </c>
      <c r="D13" s="0" t="s">
        <v>328</v>
      </c>
      <c r="E13" s="0" t="n">
        <v>2026</v>
      </c>
      <c r="H13" s="0" t="n">
        <v>2</v>
      </c>
      <c r="I13" s="0" t="n">
        <v>230</v>
      </c>
      <c r="J13" s="0" t="s">
        <v>268</v>
      </c>
      <c r="K13" s="0" t="s">
        <v>292</v>
      </c>
      <c r="L13" s="0" t="s">
        <v>293</v>
      </c>
      <c r="M13" s="0" t="s">
        <v>329</v>
      </c>
      <c r="N13" s="0" t="s">
        <v>329</v>
      </c>
      <c r="O13" s="0" t="s">
        <v>330</v>
      </c>
      <c r="P13" s="0" t="s">
        <v>331</v>
      </c>
      <c r="R13" s="0" t="s">
        <v>275</v>
      </c>
      <c r="S13" s="0" t="s">
        <v>268</v>
      </c>
      <c r="T13" s="0" t="s">
        <v>276</v>
      </c>
      <c r="U13" s="0" t="s">
        <v>277</v>
      </c>
    </row>
    <row r="14" customFormat="false" ht="15" hidden="false" customHeight="false" outlineLevel="0" collapsed="false">
      <c r="A14" s="0" t="n">
        <v>3</v>
      </c>
      <c r="B14" s="0" t="s">
        <v>32</v>
      </c>
      <c r="C14" s="0" t="s">
        <v>324</v>
      </c>
      <c r="D14" s="0" t="s">
        <v>320</v>
      </c>
      <c r="E14" s="0" t="n">
        <v>2025</v>
      </c>
      <c r="H14" s="0" t="n">
        <v>3</v>
      </c>
      <c r="I14" s="0" t="n">
        <v>172</v>
      </c>
      <c r="J14" s="0" t="s">
        <v>268</v>
      </c>
      <c r="K14" s="0" t="s">
        <v>292</v>
      </c>
      <c r="L14" s="0" t="s">
        <v>293</v>
      </c>
      <c r="M14" s="0" t="s">
        <v>332</v>
      </c>
      <c r="N14" s="0" t="s">
        <v>332</v>
      </c>
      <c r="O14" s="0" t="s">
        <v>333</v>
      </c>
      <c r="P14" s="0" t="s">
        <v>334</v>
      </c>
      <c r="R14" s="0" t="s">
        <v>275</v>
      </c>
      <c r="S14" s="0" t="s">
        <v>290</v>
      </c>
      <c r="T14" s="0" t="s">
        <v>276</v>
      </c>
      <c r="U14" s="0" t="s">
        <v>277</v>
      </c>
    </row>
    <row r="15" customFormat="false" ht="15" hidden="false" customHeight="false" outlineLevel="0" collapsed="false">
      <c r="A15" s="0" t="n">
        <v>3</v>
      </c>
      <c r="B15" s="0" t="s">
        <v>32</v>
      </c>
      <c r="C15" s="0" t="s">
        <v>335</v>
      </c>
      <c r="D15" s="0" t="s">
        <v>291</v>
      </c>
      <c r="E15" s="0" t="n">
        <v>2026</v>
      </c>
      <c r="H15" s="0" t="n">
        <v>12</v>
      </c>
      <c r="I15" s="0" t="n">
        <v>2120</v>
      </c>
      <c r="J15" s="0" t="s">
        <v>268</v>
      </c>
      <c r="K15" s="0" t="s">
        <v>292</v>
      </c>
      <c r="L15" s="0" t="s">
        <v>293</v>
      </c>
      <c r="M15" s="0" t="s">
        <v>336</v>
      </c>
      <c r="N15" s="0" t="s">
        <v>336</v>
      </c>
      <c r="O15" s="0" t="s">
        <v>337</v>
      </c>
      <c r="P15" s="0" t="s">
        <v>338</v>
      </c>
      <c r="R15" s="0" t="s">
        <v>275</v>
      </c>
      <c r="S15" s="0" t="s">
        <v>290</v>
      </c>
      <c r="T15" s="0" t="s">
        <v>276</v>
      </c>
      <c r="U15" s="0" t="s">
        <v>277</v>
      </c>
    </row>
    <row r="16" customFormat="false" ht="15" hidden="false" customHeight="false" outlineLevel="0" collapsed="false">
      <c r="A16" s="0" t="n">
        <v>3</v>
      </c>
      <c r="B16" s="0" t="s">
        <v>32</v>
      </c>
      <c r="C16" s="0" t="s">
        <v>335</v>
      </c>
      <c r="D16" s="0" t="s">
        <v>339</v>
      </c>
      <c r="E16" s="0" t="n">
        <v>2026</v>
      </c>
      <c r="H16" s="0" t="n">
        <v>14</v>
      </c>
      <c r="I16" s="0" t="n">
        <v>11407</v>
      </c>
      <c r="J16" s="0" t="s">
        <v>268</v>
      </c>
      <c r="K16" s="0" t="s">
        <v>292</v>
      </c>
      <c r="L16" s="0" t="s">
        <v>293</v>
      </c>
      <c r="M16" s="0" t="s">
        <v>340</v>
      </c>
      <c r="N16" s="0" t="s">
        <v>340</v>
      </c>
      <c r="O16" s="0" t="s">
        <v>341</v>
      </c>
      <c r="P16" s="0" t="s">
        <v>342</v>
      </c>
      <c r="R16" s="0" t="s">
        <v>275</v>
      </c>
      <c r="S16" s="0" t="s">
        <v>268</v>
      </c>
      <c r="T16" s="0" t="s">
        <v>276</v>
      </c>
      <c r="U16" s="0" t="s">
        <v>277</v>
      </c>
    </row>
    <row r="17" customFormat="false" ht="15" hidden="false" customHeight="false" outlineLevel="0" collapsed="false">
      <c r="A17" s="0" t="n">
        <v>3</v>
      </c>
      <c r="B17" s="0" t="s">
        <v>32</v>
      </c>
      <c r="C17" s="0" t="s">
        <v>278</v>
      </c>
      <c r="D17" s="0" t="s">
        <v>343</v>
      </c>
      <c r="E17" s="0" t="n">
        <v>2026</v>
      </c>
      <c r="H17" s="0" t="n">
        <v>5</v>
      </c>
      <c r="I17" s="0" t="n">
        <v>382</v>
      </c>
      <c r="J17" s="0" t="s">
        <v>268</v>
      </c>
      <c r="K17" s="0" t="s">
        <v>292</v>
      </c>
      <c r="L17" s="0" t="s">
        <v>293</v>
      </c>
      <c r="M17" s="0" t="s">
        <v>344</v>
      </c>
      <c r="N17" s="0" t="s">
        <v>344</v>
      </c>
      <c r="O17" s="0" t="s">
        <v>345</v>
      </c>
      <c r="P17" s="0" t="s">
        <v>346</v>
      </c>
      <c r="R17" s="0" t="s">
        <v>275</v>
      </c>
      <c r="S17" s="0" t="s">
        <v>290</v>
      </c>
      <c r="T17" s="0" t="s">
        <v>314</v>
      </c>
      <c r="U17" s="0" t="s">
        <v>277</v>
      </c>
      <c r="V17" s="0" t="s">
        <v>315</v>
      </c>
    </row>
    <row r="18" customFormat="false" ht="15" hidden="false" customHeight="false" outlineLevel="0" collapsed="false">
      <c r="A18" s="0" t="n">
        <v>3</v>
      </c>
      <c r="B18" s="0" t="s">
        <v>32</v>
      </c>
      <c r="C18" s="0" t="s">
        <v>278</v>
      </c>
      <c r="D18" s="0" t="s">
        <v>347</v>
      </c>
      <c r="E18" s="0" t="n">
        <v>2026</v>
      </c>
      <c r="H18" s="0" t="n">
        <v>23</v>
      </c>
      <c r="I18" s="0" t="n">
        <v>2167</v>
      </c>
      <c r="J18" s="0" t="s">
        <v>268</v>
      </c>
      <c r="K18" s="0" t="s">
        <v>292</v>
      </c>
      <c r="L18" s="0" t="s">
        <v>293</v>
      </c>
      <c r="M18" s="0" t="s">
        <v>348</v>
      </c>
      <c r="N18" s="0" t="s">
        <v>348</v>
      </c>
      <c r="O18" s="0" t="s">
        <v>349</v>
      </c>
      <c r="P18" s="0" t="s">
        <v>350</v>
      </c>
      <c r="R18" s="0" t="s">
        <v>275</v>
      </c>
      <c r="S18" s="0" t="s">
        <v>268</v>
      </c>
      <c r="T18" s="0" t="s">
        <v>314</v>
      </c>
      <c r="U18" s="0" t="s">
        <v>277</v>
      </c>
      <c r="V18" s="0" t="s">
        <v>315</v>
      </c>
    </row>
    <row r="19" customFormat="false" ht="15" hidden="false" customHeight="false" outlineLevel="0" collapsed="false">
      <c r="A19" s="0" t="n">
        <v>3</v>
      </c>
      <c r="B19" s="0" t="s">
        <v>32</v>
      </c>
      <c r="C19" s="0" t="s">
        <v>278</v>
      </c>
      <c r="D19" s="0" t="s">
        <v>351</v>
      </c>
      <c r="E19" s="0" t="n">
        <v>2025</v>
      </c>
      <c r="H19" s="0" t="n">
        <v>21</v>
      </c>
      <c r="I19" s="0" t="n">
        <v>4199</v>
      </c>
      <c r="J19" s="0" t="s">
        <v>268</v>
      </c>
      <c r="K19" s="0" t="s">
        <v>292</v>
      </c>
      <c r="L19" s="0" t="s">
        <v>293</v>
      </c>
      <c r="M19" s="0" t="s">
        <v>352</v>
      </c>
      <c r="N19" s="0" t="s">
        <v>352</v>
      </c>
      <c r="O19" s="0" t="s">
        <v>353</v>
      </c>
      <c r="P19" s="0" t="s">
        <v>354</v>
      </c>
      <c r="R19" s="0" t="s">
        <v>275</v>
      </c>
      <c r="S19" s="0" t="s">
        <v>290</v>
      </c>
      <c r="T19" s="0" t="s">
        <v>276</v>
      </c>
      <c r="U19" s="0" t="s">
        <v>277</v>
      </c>
    </row>
    <row r="20" customFormat="false" ht="15" hidden="false" customHeight="false" outlineLevel="0" collapsed="false">
      <c r="A20" s="0" t="n">
        <v>3</v>
      </c>
      <c r="B20" s="0" t="s">
        <v>32</v>
      </c>
      <c r="C20" s="0" t="s">
        <v>278</v>
      </c>
      <c r="D20" s="0" t="s">
        <v>355</v>
      </c>
      <c r="E20" s="0" t="n">
        <v>2025</v>
      </c>
      <c r="H20" s="0" t="n">
        <v>5</v>
      </c>
      <c r="I20" s="0" t="n">
        <v>384</v>
      </c>
      <c r="J20" s="0" t="s">
        <v>268</v>
      </c>
      <c r="K20" s="0" t="s">
        <v>292</v>
      </c>
      <c r="L20" s="0" t="s">
        <v>293</v>
      </c>
      <c r="M20" s="0" t="s">
        <v>356</v>
      </c>
      <c r="N20" s="0" t="s">
        <v>356</v>
      </c>
      <c r="O20" s="0" t="s">
        <v>357</v>
      </c>
      <c r="P20" s="0" t="s">
        <v>358</v>
      </c>
      <c r="R20" s="0" t="s">
        <v>275</v>
      </c>
      <c r="S20" s="0" t="s">
        <v>290</v>
      </c>
      <c r="T20" s="0" t="s">
        <v>314</v>
      </c>
      <c r="U20" s="0" t="s">
        <v>277</v>
      </c>
      <c r="V20" s="0" t="s">
        <v>315</v>
      </c>
    </row>
    <row r="21" customFormat="false" ht="15" hidden="false" customHeight="false" outlineLevel="0" collapsed="false">
      <c r="A21" s="0" t="n">
        <v>3</v>
      </c>
      <c r="B21" s="0" t="s">
        <v>32</v>
      </c>
      <c r="C21" s="0" t="s">
        <v>278</v>
      </c>
      <c r="D21" s="0" t="s">
        <v>359</v>
      </c>
      <c r="E21" s="0" t="n">
        <v>2025</v>
      </c>
      <c r="H21" s="0" t="n">
        <v>19</v>
      </c>
      <c r="I21" s="0" t="n">
        <v>3043</v>
      </c>
      <c r="J21" s="0" t="s">
        <v>268</v>
      </c>
      <c r="K21" s="0" t="s">
        <v>292</v>
      </c>
      <c r="L21" s="0" t="s">
        <v>293</v>
      </c>
      <c r="M21" s="0" t="s">
        <v>360</v>
      </c>
      <c r="N21" s="0" t="s">
        <v>360</v>
      </c>
      <c r="O21" s="0" t="s">
        <v>361</v>
      </c>
      <c r="P21" s="0" t="s">
        <v>362</v>
      </c>
      <c r="R21" s="0" t="s">
        <v>275</v>
      </c>
      <c r="S21" s="0" t="s">
        <v>290</v>
      </c>
      <c r="T21" s="0" t="s">
        <v>276</v>
      </c>
      <c r="U21" s="0" t="s">
        <v>277</v>
      </c>
    </row>
    <row r="22" customFormat="false" ht="15" hidden="false" customHeight="false" outlineLevel="0" collapsed="false">
      <c r="A22" s="0" t="n">
        <v>3</v>
      </c>
      <c r="B22" s="0" t="s">
        <v>32</v>
      </c>
      <c r="C22" s="0" t="s">
        <v>278</v>
      </c>
      <c r="D22" s="0" t="s">
        <v>363</v>
      </c>
      <c r="E22" s="0" t="n">
        <v>2023</v>
      </c>
      <c r="H22" s="0" t="n">
        <v>17</v>
      </c>
      <c r="I22" s="0" t="n">
        <v>2515</v>
      </c>
      <c r="J22" s="0" t="s">
        <v>268</v>
      </c>
      <c r="K22" s="0" t="s">
        <v>292</v>
      </c>
      <c r="L22" s="0" t="s">
        <v>293</v>
      </c>
      <c r="M22" s="0" t="s">
        <v>364</v>
      </c>
      <c r="N22" s="0" t="s">
        <v>364</v>
      </c>
      <c r="O22" s="0" t="s">
        <v>365</v>
      </c>
      <c r="P22" s="0" t="s">
        <v>366</v>
      </c>
      <c r="R22" s="0" t="s">
        <v>284</v>
      </c>
      <c r="S22" s="0" t="s">
        <v>290</v>
      </c>
      <c r="T22" s="0" t="s">
        <v>276</v>
      </c>
      <c r="U22" s="0" t="s">
        <v>277</v>
      </c>
    </row>
    <row r="23" customFormat="false" ht="15" hidden="false" customHeight="false" outlineLevel="0" collapsed="false">
      <c r="A23" s="0" t="n">
        <v>3</v>
      </c>
      <c r="B23" s="0" t="s">
        <v>32</v>
      </c>
      <c r="C23" s="0" t="s">
        <v>278</v>
      </c>
      <c r="D23" s="0" t="s">
        <v>367</v>
      </c>
      <c r="E23" s="0" t="n">
        <v>2022</v>
      </c>
      <c r="H23" s="0" t="n">
        <v>16</v>
      </c>
      <c r="I23" s="0" t="n">
        <v>4384</v>
      </c>
      <c r="J23" s="0" t="s">
        <v>268</v>
      </c>
      <c r="K23" s="0" t="s">
        <v>292</v>
      </c>
      <c r="L23" s="0" t="s">
        <v>293</v>
      </c>
      <c r="M23" s="0" t="s">
        <v>368</v>
      </c>
      <c r="N23" s="0" t="s">
        <v>368</v>
      </c>
      <c r="O23" s="0" t="s">
        <v>369</v>
      </c>
      <c r="P23" s="0" t="s">
        <v>370</v>
      </c>
      <c r="R23" s="0" t="s">
        <v>284</v>
      </c>
      <c r="S23" s="0" t="s">
        <v>290</v>
      </c>
      <c r="T23" s="0" t="s">
        <v>276</v>
      </c>
      <c r="U23" s="0" t="s">
        <v>277</v>
      </c>
    </row>
    <row r="24" customFormat="false" ht="15" hidden="false" customHeight="false" outlineLevel="0" collapsed="false">
      <c r="A24" s="0" t="n">
        <v>3</v>
      </c>
      <c r="B24" s="0" t="s">
        <v>32</v>
      </c>
      <c r="C24" s="0" t="s">
        <v>278</v>
      </c>
      <c r="D24" s="0" t="s">
        <v>371</v>
      </c>
      <c r="E24" s="0" t="n">
        <v>2021</v>
      </c>
      <c r="H24" s="0" t="n">
        <v>19</v>
      </c>
      <c r="I24" s="0" t="n">
        <v>4728</v>
      </c>
      <c r="J24" s="0" t="s">
        <v>268</v>
      </c>
      <c r="K24" s="0" t="s">
        <v>292</v>
      </c>
      <c r="L24" s="0" t="s">
        <v>293</v>
      </c>
      <c r="M24" s="0" t="s">
        <v>372</v>
      </c>
      <c r="N24" s="0" t="s">
        <v>372</v>
      </c>
      <c r="O24" s="0" t="s">
        <v>373</v>
      </c>
      <c r="P24" s="0" t="s">
        <v>374</v>
      </c>
      <c r="R24" s="0" t="s">
        <v>284</v>
      </c>
      <c r="S24" s="0" t="s">
        <v>290</v>
      </c>
      <c r="T24" s="0" t="s">
        <v>276</v>
      </c>
      <c r="U24" s="0" t="s">
        <v>277</v>
      </c>
    </row>
    <row r="25" customFormat="false" ht="15" hidden="false" customHeight="false" outlineLevel="0" collapsed="false">
      <c r="A25" s="0" t="n">
        <v>3</v>
      </c>
      <c r="B25" s="0" t="s">
        <v>32</v>
      </c>
      <c r="C25" s="0" t="s">
        <v>278</v>
      </c>
      <c r="D25" s="0" t="s">
        <v>375</v>
      </c>
      <c r="E25" s="0" t="n">
        <v>2019</v>
      </c>
      <c r="H25" s="0" t="n">
        <v>22</v>
      </c>
      <c r="I25" s="0" t="n">
        <v>5601</v>
      </c>
      <c r="J25" s="0" t="s">
        <v>290</v>
      </c>
      <c r="K25" s="0" t="s">
        <v>292</v>
      </c>
      <c r="L25" s="0" t="s">
        <v>293</v>
      </c>
      <c r="M25" s="0" t="s">
        <v>376</v>
      </c>
      <c r="N25" s="0" t="s">
        <v>376</v>
      </c>
      <c r="O25" s="0" t="s">
        <v>377</v>
      </c>
      <c r="P25" s="0" t="s">
        <v>378</v>
      </c>
      <c r="R25" s="0" t="s">
        <v>284</v>
      </c>
      <c r="S25" s="0" t="s">
        <v>290</v>
      </c>
      <c r="T25" s="0" t="s">
        <v>276</v>
      </c>
      <c r="U25" s="0" t="s">
        <v>277</v>
      </c>
    </row>
    <row r="26" customFormat="false" ht="15" hidden="false" customHeight="false" outlineLevel="0" collapsed="false">
      <c r="A26" s="0" t="n">
        <v>4</v>
      </c>
      <c r="B26" s="0" t="s">
        <v>34</v>
      </c>
      <c r="C26" s="0" t="s">
        <v>56</v>
      </c>
      <c r="D26" s="0" t="s">
        <v>379</v>
      </c>
      <c r="E26" s="0" t="n">
        <v>2024</v>
      </c>
      <c r="H26" s="0" t="n">
        <v>5</v>
      </c>
      <c r="I26" s="0" t="n">
        <v>1010</v>
      </c>
      <c r="J26" s="0" t="s">
        <v>268</v>
      </c>
      <c r="K26" s="0" t="s">
        <v>298</v>
      </c>
      <c r="L26" s="0" t="s">
        <v>270</v>
      </c>
      <c r="M26" s="0" t="s">
        <v>380</v>
      </c>
      <c r="N26" s="0" t="s">
        <v>380</v>
      </c>
      <c r="O26" s="0" t="s">
        <v>381</v>
      </c>
      <c r="P26" s="0" t="s">
        <v>382</v>
      </c>
      <c r="R26" s="0" t="s">
        <v>284</v>
      </c>
      <c r="S26" s="0" t="s">
        <v>268</v>
      </c>
      <c r="T26" s="0" t="s">
        <v>276</v>
      </c>
      <c r="U26" s="0" t="s">
        <v>277</v>
      </c>
    </row>
    <row r="27" customFormat="false" ht="15" hidden="false" customHeight="false" outlineLevel="0" collapsed="false">
      <c r="A27" s="0" t="n">
        <v>4</v>
      </c>
      <c r="B27" s="0" t="s">
        <v>34</v>
      </c>
      <c r="C27" s="0" t="s">
        <v>91</v>
      </c>
      <c r="D27" s="0" t="s">
        <v>383</v>
      </c>
      <c r="E27" s="0" t="n">
        <v>2024</v>
      </c>
      <c r="H27" s="0" t="n">
        <v>8</v>
      </c>
      <c r="I27" s="0" t="n">
        <v>6441</v>
      </c>
      <c r="J27" s="0" t="s">
        <v>268</v>
      </c>
      <c r="K27" s="0" t="s">
        <v>384</v>
      </c>
      <c r="L27" s="0" t="s">
        <v>293</v>
      </c>
      <c r="M27" s="0" t="s">
        <v>385</v>
      </c>
      <c r="N27" s="0" t="s">
        <v>385</v>
      </c>
      <c r="O27" s="0" t="s">
        <v>386</v>
      </c>
      <c r="P27" s="0" t="s">
        <v>387</v>
      </c>
      <c r="R27" s="0" t="s">
        <v>284</v>
      </c>
      <c r="S27" s="0" t="s">
        <v>268</v>
      </c>
      <c r="T27" s="0" t="s">
        <v>276</v>
      </c>
      <c r="U27" s="0" t="s">
        <v>277</v>
      </c>
    </row>
    <row r="28" customFormat="false" ht="15" hidden="false" customHeight="false" outlineLevel="0" collapsed="false">
      <c r="A28" s="0" t="n">
        <v>4</v>
      </c>
      <c r="B28" s="0" t="s">
        <v>34</v>
      </c>
      <c r="C28" s="0" t="s">
        <v>266</v>
      </c>
      <c r="D28" s="0" t="s">
        <v>388</v>
      </c>
      <c r="E28" s="0" t="n">
        <v>2024</v>
      </c>
      <c r="H28" s="0" t="n">
        <v>10</v>
      </c>
      <c r="I28" s="0" t="n">
        <v>2566</v>
      </c>
      <c r="J28" s="0" t="s">
        <v>268</v>
      </c>
      <c r="K28" s="0" t="s">
        <v>384</v>
      </c>
      <c r="L28" s="0" t="s">
        <v>293</v>
      </c>
      <c r="M28" s="0" t="s">
        <v>389</v>
      </c>
      <c r="N28" s="0" t="s">
        <v>389</v>
      </c>
      <c r="O28" s="0" t="s">
        <v>390</v>
      </c>
      <c r="P28" s="0" t="s">
        <v>391</v>
      </c>
      <c r="R28" s="0" t="s">
        <v>284</v>
      </c>
      <c r="S28" s="0" t="s">
        <v>290</v>
      </c>
      <c r="T28" s="0" t="s">
        <v>276</v>
      </c>
      <c r="U28" s="0" t="s">
        <v>277</v>
      </c>
    </row>
    <row r="29" customFormat="false" ht="15" hidden="false" customHeight="false" outlineLevel="0" collapsed="false">
      <c r="A29" s="0" t="n">
        <v>4</v>
      </c>
      <c r="B29" s="0" t="s">
        <v>34</v>
      </c>
      <c r="C29" s="0" t="s">
        <v>266</v>
      </c>
      <c r="D29" s="0" t="s">
        <v>392</v>
      </c>
      <c r="E29" s="0" t="n">
        <v>2024</v>
      </c>
      <c r="H29" s="0" t="n">
        <v>11</v>
      </c>
      <c r="I29" s="0" t="n">
        <v>675</v>
      </c>
      <c r="J29" s="0" t="s">
        <v>268</v>
      </c>
      <c r="K29" s="0" t="s">
        <v>384</v>
      </c>
      <c r="L29" s="0" t="s">
        <v>293</v>
      </c>
      <c r="M29" s="0" t="s">
        <v>393</v>
      </c>
      <c r="N29" s="0" t="s">
        <v>393</v>
      </c>
      <c r="O29" s="0" t="s">
        <v>394</v>
      </c>
      <c r="P29" s="0" t="s">
        <v>395</v>
      </c>
      <c r="R29" s="0" t="s">
        <v>284</v>
      </c>
      <c r="S29" s="0" t="s">
        <v>268</v>
      </c>
      <c r="T29" s="0" t="s">
        <v>276</v>
      </c>
      <c r="U29" s="0" t="s">
        <v>277</v>
      </c>
    </row>
    <row r="30" customFormat="false" ht="15" hidden="false" customHeight="false" outlineLevel="0" collapsed="false">
      <c r="A30" s="0" t="n">
        <v>4</v>
      </c>
      <c r="B30" s="0" t="s">
        <v>34</v>
      </c>
      <c r="C30" s="0" t="s">
        <v>266</v>
      </c>
      <c r="D30" s="0" t="s">
        <v>396</v>
      </c>
      <c r="E30" s="0" t="n">
        <v>2024</v>
      </c>
      <c r="H30" s="0" t="n">
        <v>11</v>
      </c>
      <c r="I30" s="0" t="n">
        <v>613</v>
      </c>
      <c r="J30" s="0" t="s">
        <v>268</v>
      </c>
      <c r="K30" s="0" t="s">
        <v>384</v>
      </c>
      <c r="L30" s="0" t="s">
        <v>293</v>
      </c>
      <c r="M30" s="0" t="s">
        <v>397</v>
      </c>
      <c r="N30" s="0" t="s">
        <v>397</v>
      </c>
      <c r="O30" s="0" t="s">
        <v>398</v>
      </c>
      <c r="P30" s="0" t="s">
        <v>399</v>
      </c>
      <c r="R30" s="0" t="s">
        <v>284</v>
      </c>
      <c r="S30" s="0" t="s">
        <v>290</v>
      </c>
      <c r="T30" s="0" t="s">
        <v>276</v>
      </c>
      <c r="U30" s="0" t="s">
        <v>277</v>
      </c>
    </row>
    <row r="31" customFormat="false" ht="15" hidden="false" customHeight="false" outlineLevel="0" collapsed="false">
      <c r="A31" s="0" t="n">
        <v>4</v>
      </c>
      <c r="B31" s="0" t="s">
        <v>34</v>
      </c>
      <c r="C31" s="0" t="s">
        <v>266</v>
      </c>
      <c r="D31" s="0" t="s">
        <v>400</v>
      </c>
      <c r="E31" s="0" t="n">
        <v>2024</v>
      </c>
      <c r="H31" s="0" t="n">
        <v>10</v>
      </c>
      <c r="I31" s="0" t="n">
        <v>927</v>
      </c>
      <c r="J31" s="0" t="s">
        <v>268</v>
      </c>
      <c r="K31" s="0" t="s">
        <v>384</v>
      </c>
      <c r="L31" s="0" t="s">
        <v>293</v>
      </c>
      <c r="M31" s="0" t="s">
        <v>401</v>
      </c>
      <c r="N31" s="0" t="s">
        <v>401</v>
      </c>
      <c r="O31" s="0" t="s">
        <v>402</v>
      </c>
      <c r="P31" s="0" t="s">
        <v>403</v>
      </c>
      <c r="R31" s="0" t="s">
        <v>284</v>
      </c>
      <c r="S31" s="0" t="s">
        <v>290</v>
      </c>
      <c r="T31" s="0" t="s">
        <v>276</v>
      </c>
      <c r="U31" s="0" t="s">
        <v>277</v>
      </c>
    </row>
    <row r="32" customFormat="false" ht="15" hidden="false" customHeight="false" outlineLevel="0" collapsed="false">
      <c r="A32" s="0" t="n">
        <v>4</v>
      </c>
      <c r="B32" s="0" t="s">
        <v>34</v>
      </c>
      <c r="C32" s="0" t="s">
        <v>266</v>
      </c>
      <c r="D32" s="0" t="s">
        <v>404</v>
      </c>
      <c r="E32" s="0" t="n">
        <v>2024</v>
      </c>
      <c r="H32" s="0" t="n">
        <v>10</v>
      </c>
      <c r="I32" s="0" t="n">
        <v>1188</v>
      </c>
      <c r="J32" s="0" t="s">
        <v>268</v>
      </c>
      <c r="K32" s="0" t="s">
        <v>384</v>
      </c>
      <c r="L32" s="0" t="s">
        <v>293</v>
      </c>
      <c r="M32" s="0" t="s">
        <v>405</v>
      </c>
      <c r="N32" s="0" t="s">
        <v>405</v>
      </c>
      <c r="O32" s="0" t="s">
        <v>406</v>
      </c>
      <c r="P32" s="0" t="s">
        <v>407</v>
      </c>
      <c r="R32" s="0" t="s">
        <v>284</v>
      </c>
      <c r="S32" s="0" t="s">
        <v>290</v>
      </c>
      <c r="T32" s="0" t="s">
        <v>276</v>
      </c>
      <c r="U32" s="0" t="s">
        <v>277</v>
      </c>
    </row>
    <row r="33" customFormat="false" ht="15" hidden="false" customHeight="false" outlineLevel="0" collapsed="false">
      <c r="A33" s="0" t="n">
        <v>4</v>
      </c>
      <c r="B33" s="0" t="s">
        <v>34</v>
      </c>
      <c r="C33" s="0" t="s">
        <v>266</v>
      </c>
      <c r="D33" s="0" t="s">
        <v>408</v>
      </c>
      <c r="E33" s="0" t="n">
        <v>2024</v>
      </c>
      <c r="H33" s="0" t="n">
        <v>11</v>
      </c>
      <c r="I33" s="0" t="n">
        <v>2449</v>
      </c>
      <c r="J33" s="0" t="s">
        <v>268</v>
      </c>
      <c r="K33" s="0" t="s">
        <v>384</v>
      </c>
      <c r="L33" s="0" t="s">
        <v>293</v>
      </c>
      <c r="M33" s="0" t="s">
        <v>409</v>
      </c>
      <c r="N33" s="0" t="s">
        <v>409</v>
      </c>
      <c r="O33" s="0" t="s">
        <v>410</v>
      </c>
      <c r="P33" s="0" t="s">
        <v>411</v>
      </c>
      <c r="R33" s="0" t="s">
        <v>284</v>
      </c>
      <c r="S33" s="0" t="s">
        <v>290</v>
      </c>
      <c r="T33" s="0" t="s">
        <v>276</v>
      </c>
      <c r="U33" s="0" t="s">
        <v>277</v>
      </c>
    </row>
    <row r="34" customFormat="false" ht="15" hidden="false" customHeight="false" outlineLevel="0" collapsed="false">
      <c r="A34" s="0" t="n">
        <v>4</v>
      </c>
      <c r="B34" s="0" t="s">
        <v>34</v>
      </c>
      <c r="C34" s="0" t="s">
        <v>266</v>
      </c>
      <c r="D34" s="0" t="s">
        <v>412</v>
      </c>
      <c r="E34" s="0" t="n">
        <v>2024</v>
      </c>
      <c r="H34" s="0" t="n">
        <v>1</v>
      </c>
      <c r="I34" s="0" t="n">
        <v>4086</v>
      </c>
      <c r="J34" s="0" t="s">
        <v>268</v>
      </c>
      <c r="K34" s="0" t="s">
        <v>384</v>
      </c>
      <c r="L34" s="0" t="s">
        <v>293</v>
      </c>
      <c r="M34" s="0" t="s">
        <v>413</v>
      </c>
      <c r="N34" s="0" t="s">
        <v>413</v>
      </c>
      <c r="O34" s="0" t="s">
        <v>414</v>
      </c>
      <c r="P34" s="0" t="s">
        <v>415</v>
      </c>
      <c r="R34" s="0" t="s">
        <v>284</v>
      </c>
      <c r="S34" s="0" t="s">
        <v>290</v>
      </c>
      <c r="T34" s="0" t="s">
        <v>276</v>
      </c>
      <c r="U34" s="0" t="s">
        <v>277</v>
      </c>
    </row>
    <row r="35" customFormat="false" ht="15" hidden="false" customHeight="false" outlineLevel="0" collapsed="false">
      <c r="A35" s="0" t="n">
        <v>4</v>
      </c>
      <c r="B35" s="0" t="s">
        <v>34</v>
      </c>
      <c r="C35" s="0" t="s">
        <v>266</v>
      </c>
      <c r="D35" s="0" t="s">
        <v>416</v>
      </c>
      <c r="E35" s="0" t="n">
        <v>2023</v>
      </c>
      <c r="H35" s="0" t="n">
        <v>5</v>
      </c>
      <c r="I35" s="0" t="n">
        <v>58</v>
      </c>
      <c r="J35" s="0" t="s">
        <v>268</v>
      </c>
      <c r="K35" s="0" t="s">
        <v>384</v>
      </c>
      <c r="L35" s="0" t="s">
        <v>293</v>
      </c>
      <c r="M35" s="0" t="s">
        <v>417</v>
      </c>
      <c r="N35" s="0" t="s">
        <v>417</v>
      </c>
      <c r="O35" s="0" t="s">
        <v>418</v>
      </c>
      <c r="P35" s="0" t="s">
        <v>419</v>
      </c>
      <c r="R35" s="0" t="s">
        <v>284</v>
      </c>
      <c r="S35" s="0" t="s">
        <v>290</v>
      </c>
      <c r="T35" s="0" t="s">
        <v>276</v>
      </c>
      <c r="U35" s="0" t="s">
        <v>277</v>
      </c>
    </row>
    <row r="36" customFormat="false" ht="15" hidden="false" customHeight="false" outlineLevel="0" collapsed="false">
      <c r="A36" s="0" t="n">
        <v>4</v>
      </c>
      <c r="B36" s="0" t="s">
        <v>34</v>
      </c>
      <c r="C36" s="0" t="s">
        <v>266</v>
      </c>
      <c r="D36" s="0" t="s">
        <v>420</v>
      </c>
      <c r="E36" s="0" t="n">
        <v>2023</v>
      </c>
      <c r="H36" s="0" t="n">
        <v>1</v>
      </c>
      <c r="I36" s="0" t="n">
        <v>194</v>
      </c>
      <c r="J36" s="0" t="s">
        <v>268</v>
      </c>
      <c r="K36" s="0" t="s">
        <v>384</v>
      </c>
      <c r="L36" s="0" t="s">
        <v>293</v>
      </c>
      <c r="M36" s="0" t="s">
        <v>421</v>
      </c>
      <c r="N36" s="0" t="s">
        <v>421</v>
      </c>
      <c r="O36" s="0" t="s">
        <v>422</v>
      </c>
      <c r="P36" s="0" t="s">
        <v>423</v>
      </c>
      <c r="R36" s="0" t="s">
        <v>284</v>
      </c>
      <c r="S36" s="0" t="s">
        <v>290</v>
      </c>
      <c r="T36" s="0" t="s">
        <v>276</v>
      </c>
      <c r="U36" s="0" t="s">
        <v>277</v>
      </c>
    </row>
    <row r="37" customFormat="false" ht="15" hidden="false" customHeight="false" outlineLevel="0" collapsed="false">
      <c r="A37" s="0" t="n">
        <v>4</v>
      </c>
      <c r="B37" s="0" t="s">
        <v>34</v>
      </c>
      <c r="C37" s="0" t="s">
        <v>266</v>
      </c>
      <c r="D37" s="0" t="s">
        <v>424</v>
      </c>
      <c r="E37" s="0" t="n">
        <v>2023</v>
      </c>
      <c r="H37" s="0" t="n">
        <v>1</v>
      </c>
      <c r="I37" s="0" t="n">
        <v>90</v>
      </c>
      <c r="J37" s="0" t="s">
        <v>268</v>
      </c>
      <c r="K37" s="0" t="s">
        <v>384</v>
      </c>
      <c r="L37" s="0" t="s">
        <v>293</v>
      </c>
      <c r="M37" s="0" t="s">
        <v>425</v>
      </c>
      <c r="N37" s="0" t="s">
        <v>425</v>
      </c>
      <c r="O37" s="0" t="s">
        <v>426</v>
      </c>
      <c r="P37" s="0" t="s">
        <v>427</v>
      </c>
      <c r="R37" s="0" t="s">
        <v>284</v>
      </c>
      <c r="S37" s="0" t="s">
        <v>290</v>
      </c>
      <c r="T37" s="0" t="s">
        <v>276</v>
      </c>
      <c r="U37" s="0" t="s">
        <v>277</v>
      </c>
    </row>
    <row r="38" customFormat="false" ht="15" hidden="false" customHeight="false" outlineLevel="0" collapsed="false">
      <c r="A38" s="0" t="n">
        <v>4</v>
      </c>
      <c r="B38" s="0" t="s">
        <v>34</v>
      </c>
      <c r="C38" s="0" t="s">
        <v>266</v>
      </c>
      <c r="D38" s="0" t="s">
        <v>428</v>
      </c>
      <c r="E38" s="0" t="n">
        <v>2023</v>
      </c>
      <c r="H38" s="0" t="n">
        <v>1</v>
      </c>
      <c r="I38" s="0" t="n">
        <v>219</v>
      </c>
      <c r="J38" s="0" t="s">
        <v>268</v>
      </c>
      <c r="K38" s="0" t="s">
        <v>384</v>
      </c>
      <c r="L38" s="0" t="s">
        <v>293</v>
      </c>
      <c r="M38" s="0" t="s">
        <v>429</v>
      </c>
      <c r="N38" s="0" t="s">
        <v>429</v>
      </c>
      <c r="O38" s="0" t="s">
        <v>430</v>
      </c>
      <c r="P38" s="0" t="s">
        <v>431</v>
      </c>
      <c r="R38" s="0" t="s">
        <v>284</v>
      </c>
      <c r="S38" s="0" t="s">
        <v>290</v>
      </c>
      <c r="T38" s="0" t="s">
        <v>276</v>
      </c>
      <c r="U38" s="0" t="s">
        <v>277</v>
      </c>
    </row>
    <row r="39" customFormat="false" ht="15" hidden="false" customHeight="false" outlineLevel="0" collapsed="false">
      <c r="A39" s="0" t="n">
        <v>4</v>
      </c>
      <c r="B39" s="0" t="s">
        <v>34</v>
      </c>
      <c r="C39" s="0" t="s">
        <v>266</v>
      </c>
      <c r="D39" s="0" t="s">
        <v>432</v>
      </c>
      <c r="E39" s="0" t="n">
        <v>2022</v>
      </c>
      <c r="H39" s="0" t="n">
        <v>1</v>
      </c>
      <c r="I39" s="0" t="n">
        <v>70</v>
      </c>
      <c r="J39" s="0" t="s">
        <v>268</v>
      </c>
      <c r="K39" s="0" t="s">
        <v>384</v>
      </c>
      <c r="L39" s="0" t="s">
        <v>293</v>
      </c>
      <c r="M39" s="0" t="s">
        <v>433</v>
      </c>
      <c r="N39" s="0" t="s">
        <v>433</v>
      </c>
      <c r="O39" s="0" t="s">
        <v>434</v>
      </c>
      <c r="P39" s="0" t="s">
        <v>435</v>
      </c>
      <c r="R39" s="0" t="s">
        <v>284</v>
      </c>
      <c r="S39" s="0" t="s">
        <v>290</v>
      </c>
      <c r="T39" s="0" t="s">
        <v>276</v>
      </c>
      <c r="U39" s="0" t="s">
        <v>277</v>
      </c>
    </row>
    <row r="40" customFormat="false" ht="15" hidden="false" customHeight="false" outlineLevel="0" collapsed="false">
      <c r="A40" s="0" t="n">
        <v>4</v>
      </c>
      <c r="B40" s="0" t="s">
        <v>34</v>
      </c>
      <c r="C40" s="0" t="s">
        <v>266</v>
      </c>
      <c r="D40" s="0" t="s">
        <v>436</v>
      </c>
      <c r="E40" s="0" t="n">
        <v>2022</v>
      </c>
      <c r="H40" s="0" t="n">
        <v>1</v>
      </c>
      <c r="I40" s="0" t="n">
        <v>157</v>
      </c>
      <c r="J40" s="0" t="s">
        <v>268</v>
      </c>
      <c r="K40" s="0" t="s">
        <v>384</v>
      </c>
      <c r="L40" s="0" t="s">
        <v>293</v>
      </c>
      <c r="M40" s="0" t="s">
        <v>437</v>
      </c>
      <c r="N40" s="0" t="s">
        <v>437</v>
      </c>
      <c r="O40" s="0" t="s">
        <v>438</v>
      </c>
      <c r="P40" s="0" t="s">
        <v>439</v>
      </c>
      <c r="R40" s="0" t="s">
        <v>284</v>
      </c>
      <c r="S40" s="0" t="s">
        <v>290</v>
      </c>
      <c r="T40" s="0" t="s">
        <v>276</v>
      </c>
      <c r="U40" s="0" t="s">
        <v>277</v>
      </c>
    </row>
    <row r="41" customFormat="false" ht="15" hidden="false" customHeight="false" outlineLevel="0" collapsed="false">
      <c r="A41" s="0" t="n">
        <v>4</v>
      </c>
      <c r="B41" s="0" t="s">
        <v>34</v>
      </c>
      <c r="C41" s="0" t="s">
        <v>266</v>
      </c>
      <c r="D41" s="0" t="s">
        <v>440</v>
      </c>
      <c r="E41" s="0" t="n">
        <v>2022</v>
      </c>
      <c r="H41" s="0" t="n">
        <v>1</v>
      </c>
      <c r="I41" s="0" t="n">
        <v>2361</v>
      </c>
      <c r="J41" s="0" t="s">
        <v>268</v>
      </c>
      <c r="K41" s="0" t="s">
        <v>384</v>
      </c>
      <c r="L41" s="0" t="s">
        <v>293</v>
      </c>
      <c r="M41" s="0" t="s">
        <v>441</v>
      </c>
      <c r="N41" s="0" t="s">
        <v>441</v>
      </c>
      <c r="O41" s="0" t="s">
        <v>442</v>
      </c>
      <c r="P41" s="0" t="s">
        <v>443</v>
      </c>
      <c r="R41" s="0" t="s">
        <v>284</v>
      </c>
      <c r="S41" s="0" t="s">
        <v>290</v>
      </c>
      <c r="T41" s="0" t="s">
        <v>276</v>
      </c>
      <c r="U41" s="0" t="s">
        <v>277</v>
      </c>
    </row>
    <row r="42" customFormat="false" ht="15" hidden="false" customHeight="false" outlineLevel="0" collapsed="false">
      <c r="A42" s="0" t="n">
        <v>4</v>
      </c>
      <c r="B42" s="0" t="s">
        <v>34</v>
      </c>
      <c r="C42" s="0" t="s">
        <v>266</v>
      </c>
      <c r="D42" s="0" t="s">
        <v>444</v>
      </c>
      <c r="E42" s="0" t="n">
        <v>2020</v>
      </c>
      <c r="H42" s="0" t="n">
        <v>7</v>
      </c>
      <c r="I42" s="0" t="n">
        <v>146</v>
      </c>
      <c r="J42" s="0" t="s">
        <v>268</v>
      </c>
      <c r="K42" s="0" t="s">
        <v>384</v>
      </c>
      <c r="L42" s="0" t="s">
        <v>293</v>
      </c>
      <c r="M42" s="0" t="s">
        <v>445</v>
      </c>
      <c r="N42" s="0" t="s">
        <v>445</v>
      </c>
      <c r="O42" s="0" t="s">
        <v>446</v>
      </c>
      <c r="P42" s="0" t="s">
        <v>447</v>
      </c>
      <c r="R42" s="0" t="s">
        <v>284</v>
      </c>
      <c r="S42" s="0" t="s">
        <v>290</v>
      </c>
      <c r="T42" s="0" t="s">
        <v>276</v>
      </c>
      <c r="U42" s="0" t="s">
        <v>277</v>
      </c>
    </row>
    <row r="43" customFormat="false" ht="15" hidden="false" customHeight="false" outlineLevel="0" collapsed="false">
      <c r="A43" s="0" t="n">
        <v>4</v>
      </c>
      <c r="B43" s="0" t="s">
        <v>34</v>
      </c>
      <c r="C43" s="0" t="s">
        <v>266</v>
      </c>
      <c r="D43" s="0" t="s">
        <v>448</v>
      </c>
      <c r="E43" s="0" t="n">
        <v>2020</v>
      </c>
      <c r="H43" s="0" t="n">
        <v>5</v>
      </c>
      <c r="I43" s="0" t="n">
        <v>316</v>
      </c>
      <c r="J43" s="0" t="s">
        <v>268</v>
      </c>
      <c r="K43" s="0" t="s">
        <v>384</v>
      </c>
      <c r="L43" s="0" t="s">
        <v>293</v>
      </c>
      <c r="M43" s="0" t="s">
        <v>449</v>
      </c>
      <c r="N43" s="0" t="s">
        <v>449</v>
      </c>
      <c r="O43" s="0" t="s">
        <v>450</v>
      </c>
      <c r="P43" s="0" t="s">
        <v>451</v>
      </c>
      <c r="R43" s="0" t="s">
        <v>284</v>
      </c>
      <c r="S43" s="0" t="s">
        <v>290</v>
      </c>
      <c r="T43" s="0" t="s">
        <v>276</v>
      </c>
      <c r="U43" s="0" t="s">
        <v>277</v>
      </c>
    </row>
    <row r="44" customFormat="false" ht="15" hidden="false" customHeight="false" outlineLevel="0" collapsed="false">
      <c r="A44" s="0" t="n">
        <v>4</v>
      </c>
      <c r="B44" s="0" t="s">
        <v>34</v>
      </c>
      <c r="C44" s="0" t="s">
        <v>266</v>
      </c>
      <c r="D44" s="0" t="s">
        <v>452</v>
      </c>
      <c r="E44" s="0" t="n">
        <v>2020</v>
      </c>
      <c r="H44" s="0" t="n">
        <v>4</v>
      </c>
      <c r="I44" s="0" t="n">
        <v>453</v>
      </c>
      <c r="J44" s="0" t="s">
        <v>268</v>
      </c>
      <c r="K44" s="0" t="s">
        <v>384</v>
      </c>
      <c r="L44" s="0" t="s">
        <v>293</v>
      </c>
      <c r="M44" s="0" t="s">
        <v>453</v>
      </c>
      <c r="N44" s="0" t="s">
        <v>453</v>
      </c>
      <c r="O44" s="0" t="s">
        <v>454</v>
      </c>
      <c r="P44" s="0" t="s">
        <v>455</v>
      </c>
      <c r="R44" s="0" t="s">
        <v>284</v>
      </c>
      <c r="S44" s="0" t="s">
        <v>290</v>
      </c>
      <c r="T44" s="0" t="s">
        <v>276</v>
      </c>
      <c r="U44" s="0" t="s">
        <v>277</v>
      </c>
    </row>
    <row r="45" customFormat="false" ht="15" hidden="false" customHeight="false" outlineLevel="0" collapsed="false">
      <c r="A45" s="0" t="n">
        <v>4</v>
      </c>
      <c r="B45" s="0" t="s">
        <v>34</v>
      </c>
      <c r="C45" s="0" t="s">
        <v>266</v>
      </c>
      <c r="D45" s="0" t="s">
        <v>456</v>
      </c>
      <c r="E45" s="0" t="n">
        <v>2020</v>
      </c>
      <c r="H45" s="0" t="n">
        <v>1</v>
      </c>
      <c r="I45" s="0" t="n">
        <v>76</v>
      </c>
      <c r="J45" s="0" t="s">
        <v>268</v>
      </c>
      <c r="K45" s="0" t="s">
        <v>384</v>
      </c>
      <c r="L45" s="0" t="s">
        <v>293</v>
      </c>
      <c r="M45" s="0" t="s">
        <v>457</v>
      </c>
      <c r="N45" s="0" t="s">
        <v>457</v>
      </c>
      <c r="O45" s="0" t="s">
        <v>458</v>
      </c>
      <c r="P45" s="0" t="s">
        <v>459</v>
      </c>
      <c r="R45" s="0" t="s">
        <v>284</v>
      </c>
      <c r="S45" s="0" t="s">
        <v>290</v>
      </c>
      <c r="T45" s="0" t="s">
        <v>276</v>
      </c>
      <c r="U45" s="0" t="s">
        <v>277</v>
      </c>
    </row>
    <row r="46" customFormat="false" ht="15" hidden="false" customHeight="false" outlineLevel="0" collapsed="false">
      <c r="A46" s="0" t="n">
        <v>4</v>
      </c>
      <c r="B46" s="0" t="s">
        <v>34</v>
      </c>
      <c r="C46" s="0" t="s">
        <v>266</v>
      </c>
      <c r="D46" s="0" t="s">
        <v>460</v>
      </c>
      <c r="E46" s="0" t="n">
        <v>2020</v>
      </c>
      <c r="H46" s="0" t="n">
        <v>4</v>
      </c>
      <c r="I46" s="0" t="n">
        <v>162</v>
      </c>
      <c r="J46" s="0" t="s">
        <v>268</v>
      </c>
      <c r="K46" s="0" t="s">
        <v>384</v>
      </c>
      <c r="L46" s="0" t="s">
        <v>293</v>
      </c>
      <c r="M46" s="0" t="s">
        <v>461</v>
      </c>
      <c r="N46" s="0" t="s">
        <v>461</v>
      </c>
      <c r="O46" s="0" t="s">
        <v>462</v>
      </c>
      <c r="P46" s="0" t="s">
        <v>463</v>
      </c>
      <c r="R46" s="0" t="s">
        <v>284</v>
      </c>
      <c r="S46" s="0" t="s">
        <v>290</v>
      </c>
      <c r="T46" s="0" t="s">
        <v>276</v>
      </c>
      <c r="U46" s="0" t="s">
        <v>277</v>
      </c>
    </row>
    <row r="47" customFormat="false" ht="15" hidden="false" customHeight="false" outlineLevel="0" collapsed="false">
      <c r="A47" s="0" t="n">
        <v>4</v>
      </c>
      <c r="B47" s="0" t="s">
        <v>34</v>
      </c>
      <c r="C47" s="0" t="s">
        <v>266</v>
      </c>
      <c r="D47" s="0" t="s">
        <v>464</v>
      </c>
      <c r="E47" s="0" t="n">
        <v>2019</v>
      </c>
      <c r="H47" s="0" t="n">
        <v>1</v>
      </c>
      <c r="I47" s="0" t="n">
        <v>4911</v>
      </c>
      <c r="J47" s="0" t="s">
        <v>268</v>
      </c>
      <c r="K47" s="0" t="s">
        <v>384</v>
      </c>
      <c r="L47" s="0" t="s">
        <v>293</v>
      </c>
      <c r="M47" s="0" t="s">
        <v>465</v>
      </c>
      <c r="N47" s="0" t="s">
        <v>465</v>
      </c>
      <c r="O47" s="0" t="s">
        <v>466</v>
      </c>
      <c r="P47" s="0" t="s">
        <v>467</v>
      </c>
      <c r="R47" s="0" t="s">
        <v>284</v>
      </c>
      <c r="S47" s="0" t="s">
        <v>290</v>
      </c>
      <c r="T47" s="0" t="s">
        <v>276</v>
      </c>
      <c r="U47" s="0" t="s">
        <v>277</v>
      </c>
    </row>
    <row r="48" customFormat="false" ht="15" hidden="false" customHeight="false" outlineLevel="0" collapsed="false">
      <c r="A48" s="0" t="n">
        <v>4</v>
      </c>
      <c r="B48" s="0" t="s">
        <v>34</v>
      </c>
      <c r="C48" s="0" t="s">
        <v>324</v>
      </c>
      <c r="D48" s="0" t="s">
        <v>468</v>
      </c>
      <c r="E48" s="0" t="n">
        <v>2025</v>
      </c>
      <c r="H48" s="0" t="n">
        <v>2</v>
      </c>
      <c r="I48" s="0" t="n">
        <v>75</v>
      </c>
      <c r="J48" s="0" t="s">
        <v>268</v>
      </c>
      <c r="K48" s="0" t="s">
        <v>384</v>
      </c>
      <c r="L48" s="0" t="s">
        <v>293</v>
      </c>
      <c r="M48" s="0" t="s">
        <v>469</v>
      </c>
      <c r="N48" s="0" t="s">
        <v>469</v>
      </c>
      <c r="O48" s="0" t="s">
        <v>470</v>
      </c>
      <c r="P48" s="0" t="s">
        <v>471</v>
      </c>
      <c r="R48" s="0" t="s">
        <v>275</v>
      </c>
      <c r="S48" s="0" t="s">
        <v>268</v>
      </c>
      <c r="T48" s="0" t="s">
        <v>276</v>
      </c>
      <c r="U48" s="0" t="s">
        <v>277</v>
      </c>
    </row>
    <row r="49" customFormat="false" ht="15" hidden="false" customHeight="false" outlineLevel="0" collapsed="false">
      <c r="A49" s="0" t="n">
        <v>4</v>
      </c>
      <c r="B49" s="0" t="s">
        <v>34</v>
      </c>
      <c r="C49" s="0" t="s">
        <v>324</v>
      </c>
      <c r="D49" s="0" t="s">
        <v>472</v>
      </c>
      <c r="E49" s="0" t="n">
        <v>2022</v>
      </c>
      <c r="H49" s="0" t="n">
        <v>2</v>
      </c>
      <c r="I49" s="0" t="n">
        <v>3718</v>
      </c>
      <c r="J49" s="0" t="s">
        <v>268</v>
      </c>
      <c r="K49" s="0" t="s">
        <v>384</v>
      </c>
      <c r="L49" s="0" t="s">
        <v>293</v>
      </c>
      <c r="M49" s="0" t="s">
        <v>473</v>
      </c>
      <c r="N49" s="0" t="s">
        <v>473</v>
      </c>
      <c r="O49" s="0" t="s">
        <v>474</v>
      </c>
      <c r="P49" s="0" t="s">
        <v>475</v>
      </c>
      <c r="R49" s="0" t="s">
        <v>284</v>
      </c>
      <c r="S49" s="0" t="s">
        <v>290</v>
      </c>
      <c r="T49" s="0" t="s">
        <v>276</v>
      </c>
      <c r="U49" s="0" t="s">
        <v>277</v>
      </c>
    </row>
    <row r="50" customFormat="false" ht="15" hidden="false" customHeight="false" outlineLevel="0" collapsed="false">
      <c r="A50" s="0" t="n">
        <v>4</v>
      </c>
      <c r="B50" s="0" t="s">
        <v>34</v>
      </c>
      <c r="C50" s="0" t="s">
        <v>335</v>
      </c>
      <c r="D50" s="0" t="s">
        <v>476</v>
      </c>
      <c r="E50" s="0" t="n">
        <v>2024</v>
      </c>
      <c r="H50" s="0" t="n">
        <v>1</v>
      </c>
      <c r="I50" s="0" t="n">
        <v>1897</v>
      </c>
      <c r="J50" s="0" t="s">
        <v>268</v>
      </c>
      <c r="K50" s="0" t="s">
        <v>384</v>
      </c>
      <c r="L50" s="0" t="s">
        <v>293</v>
      </c>
      <c r="M50" s="0" t="s">
        <v>477</v>
      </c>
      <c r="N50" s="0" t="s">
        <v>477</v>
      </c>
      <c r="O50" s="0" t="s">
        <v>478</v>
      </c>
      <c r="P50" s="0" t="s">
        <v>479</v>
      </c>
      <c r="R50" s="0" t="s">
        <v>284</v>
      </c>
      <c r="S50" s="0" t="s">
        <v>268</v>
      </c>
      <c r="T50" s="0" t="s">
        <v>276</v>
      </c>
      <c r="U50" s="0" t="s">
        <v>277</v>
      </c>
    </row>
    <row r="51" customFormat="false" ht="15" hidden="false" customHeight="false" outlineLevel="0" collapsed="false">
      <c r="A51" s="0" t="n">
        <v>4</v>
      </c>
      <c r="B51" s="0" t="s">
        <v>34</v>
      </c>
      <c r="C51" s="0" t="s">
        <v>480</v>
      </c>
      <c r="D51" s="0" t="s">
        <v>481</v>
      </c>
      <c r="E51" s="0" t="n">
        <v>2025</v>
      </c>
      <c r="H51" s="0" t="n">
        <v>7</v>
      </c>
      <c r="I51" s="0" t="n">
        <v>2196</v>
      </c>
      <c r="J51" s="0" t="s">
        <v>268</v>
      </c>
      <c r="K51" s="0" t="s">
        <v>384</v>
      </c>
      <c r="L51" s="0" t="s">
        <v>293</v>
      </c>
      <c r="M51" s="0" t="s">
        <v>482</v>
      </c>
      <c r="N51" s="0" t="s">
        <v>482</v>
      </c>
      <c r="O51" s="0" t="s">
        <v>483</v>
      </c>
      <c r="P51" s="0" t="s">
        <v>484</v>
      </c>
      <c r="R51" s="0" t="s">
        <v>275</v>
      </c>
      <c r="S51" s="0" t="s">
        <v>268</v>
      </c>
      <c r="T51" s="0" t="s">
        <v>276</v>
      </c>
      <c r="U51" s="0" t="s">
        <v>277</v>
      </c>
    </row>
    <row r="52" customFormat="false" ht="15" hidden="false" customHeight="false" outlineLevel="0" collapsed="false">
      <c r="A52" s="0" t="n">
        <v>4</v>
      </c>
      <c r="B52" s="0" t="s">
        <v>34</v>
      </c>
      <c r="C52" s="0" t="s">
        <v>480</v>
      </c>
      <c r="D52" s="0" t="s">
        <v>485</v>
      </c>
      <c r="E52" s="0" t="n">
        <v>2021</v>
      </c>
      <c r="H52" s="0" t="n">
        <v>1</v>
      </c>
      <c r="I52" s="0" t="n">
        <v>425</v>
      </c>
      <c r="J52" s="0" t="s">
        <v>268</v>
      </c>
      <c r="K52" s="0" t="s">
        <v>384</v>
      </c>
      <c r="L52" s="0" t="s">
        <v>293</v>
      </c>
      <c r="M52" s="0" t="s">
        <v>486</v>
      </c>
      <c r="N52" s="0" t="s">
        <v>486</v>
      </c>
      <c r="O52" s="0" t="s">
        <v>487</v>
      </c>
      <c r="P52" s="0" t="s">
        <v>488</v>
      </c>
      <c r="R52" s="0" t="s">
        <v>284</v>
      </c>
      <c r="S52" s="0" t="s">
        <v>290</v>
      </c>
      <c r="T52" s="0" t="s">
        <v>276</v>
      </c>
      <c r="U52" s="0" t="s">
        <v>277</v>
      </c>
    </row>
    <row r="53" customFormat="false" ht="15" hidden="false" customHeight="false" outlineLevel="0" collapsed="false">
      <c r="A53" s="0" t="n">
        <v>4</v>
      </c>
      <c r="B53" s="0" t="s">
        <v>34</v>
      </c>
      <c r="C53" s="0" t="s">
        <v>489</v>
      </c>
      <c r="D53" s="0" t="s">
        <v>490</v>
      </c>
      <c r="E53" s="0" t="n">
        <v>2021</v>
      </c>
      <c r="H53" s="0" t="n">
        <v>1</v>
      </c>
      <c r="I53" s="0" t="n">
        <v>3660</v>
      </c>
      <c r="J53" s="0" t="s">
        <v>268</v>
      </c>
      <c r="K53" s="0" t="s">
        <v>384</v>
      </c>
      <c r="L53" s="0" t="s">
        <v>293</v>
      </c>
      <c r="M53" s="0" t="s">
        <v>491</v>
      </c>
      <c r="N53" s="0" t="s">
        <v>491</v>
      </c>
      <c r="O53" s="0" t="s">
        <v>492</v>
      </c>
      <c r="P53" s="0" t="s">
        <v>493</v>
      </c>
      <c r="R53" s="0" t="s">
        <v>284</v>
      </c>
      <c r="S53" s="0" t="s">
        <v>268</v>
      </c>
      <c r="T53" s="0" t="s">
        <v>276</v>
      </c>
      <c r="U53" s="0" t="s">
        <v>277</v>
      </c>
    </row>
    <row r="54" customFormat="false" ht="15" hidden="false" customHeight="false" outlineLevel="0" collapsed="false">
      <c r="A54" s="0" t="n">
        <v>4</v>
      </c>
      <c r="B54" s="0" t="s">
        <v>34</v>
      </c>
      <c r="C54" s="0" t="s">
        <v>494</v>
      </c>
      <c r="D54" s="0" t="s">
        <v>495</v>
      </c>
      <c r="E54" s="0" t="n">
        <v>2023</v>
      </c>
      <c r="H54" s="0" t="n">
        <v>1</v>
      </c>
      <c r="I54" s="0" t="n">
        <v>39</v>
      </c>
      <c r="J54" s="0" t="s">
        <v>268</v>
      </c>
      <c r="K54" s="0" t="s">
        <v>384</v>
      </c>
      <c r="L54" s="0" t="s">
        <v>293</v>
      </c>
      <c r="M54" s="0" t="s">
        <v>496</v>
      </c>
      <c r="N54" s="0" t="s">
        <v>497</v>
      </c>
      <c r="O54" s="0" t="s">
        <v>498</v>
      </c>
      <c r="P54" s="0" t="s">
        <v>499</v>
      </c>
      <c r="R54" s="0" t="s">
        <v>284</v>
      </c>
      <c r="S54" s="0" t="s">
        <v>268</v>
      </c>
      <c r="T54" s="0" t="s">
        <v>276</v>
      </c>
      <c r="U54" s="0" t="s">
        <v>277</v>
      </c>
    </row>
    <row r="55" customFormat="false" ht="15" hidden="false" customHeight="false" outlineLevel="0" collapsed="false">
      <c r="A55" s="0" t="n">
        <v>4</v>
      </c>
      <c r="B55" s="0" t="s">
        <v>34</v>
      </c>
      <c r="C55" s="0" t="s">
        <v>500</v>
      </c>
      <c r="D55" s="0" t="s">
        <v>501</v>
      </c>
      <c r="E55" s="0" t="n">
        <v>2024</v>
      </c>
      <c r="H55" s="0" t="n">
        <v>1</v>
      </c>
      <c r="I55" s="0" t="n">
        <v>1903</v>
      </c>
      <c r="J55" s="0" t="s">
        <v>268</v>
      </c>
      <c r="K55" s="0" t="s">
        <v>384</v>
      </c>
      <c r="L55" s="0" t="s">
        <v>293</v>
      </c>
      <c r="M55" s="0" t="s">
        <v>502</v>
      </c>
      <c r="N55" s="0" t="s">
        <v>502</v>
      </c>
      <c r="O55" s="0" t="s">
        <v>503</v>
      </c>
      <c r="P55" s="0" t="s">
        <v>504</v>
      </c>
      <c r="R55" s="0" t="s">
        <v>284</v>
      </c>
      <c r="S55" s="0" t="s">
        <v>268</v>
      </c>
      <c r="T55" s="0" t="s">
        <v>276</v>
      </c>
      <c r="U55" s="0" t="s">
        <v>277</v>
      </c>
    </row>
    <row r="56" customFormat="false" ht="15" hidden="false" customHeight="false" outlineLevel="0" collapsed="false">
      <c r="A56" s="0" t="n">
        <v>5</v>
      </c>
      <c r="B56" s="0" t="s">
        <v>36</v>
      </c>
      <c r="C56" s="0" t="s">
        <v>56</v>
      </c>
      <c r="D56" s="0" t="s">
        <v>505</v>
      </c>
      <c r="E56" s="0" t="n">
        <v>2023</v>
      </c>
      <c r="H56" s="0" t="n">
        <v>16</v>
      </c>
      <c r="I56" s="0" t="n">
        <v>3164</v>
      </c>
      <c r="J56" s="0" t="s">
        <v>268</v>
      </c>
      <c r="K56" s="0" t="s">
        <v>298</v>
      </c>
      <c r="L56" s="0" t="s">
        <v>270</v>
      </c>
      <c r="M56" s="0" t="s">
        <v>506</v>
      </c>
      <c r="N56" s="0" t="s">
        <v>506</v>
      </c>
      <c r="O56" s="0" t="s">
        <v>507</v>
      </c>
      <c r="P56" s="0" t="s">
        <v>508</v>
      </c>
      <c r="R56" s="0" t="s">
        <v>284</v>
      </c>
      <c r="S56" s="0" t="s">
        <v>268</v>
      </c>
      <c r="T56" s="0" t="s">
        <v>276</v>
      </c>
      <c r="U56" s="0" t="s">
        <v>277</v>
      </c>
    </row>
    <row r="57" customFormat="false" ht="15" hidden="false" customHeight="false" outlineLevel="0" collapsed="false">
      <c r="A57" s="0" t="n">
        <v>5</v>
      </c>
      <c r="B57" s="0" t="s">
        <v>36</v>
      </c>
      <c r="C57" s="0" t="s">
        <v>309</v>
      </c>
      <c r="D57" s="0" t="s">
        <v>509</v>
      </c>
      <c r="E57" s="0" t="n">
        <v>2023</v>
      </c>
      <c r="H57" s="0" t="n">
        <v>1</v>
      </c>
      <c r="I57" s="0" t="n">
        <v>289</v>
      </c>
      <c r="J57" s="0" t="s">
        <v>268</v>
      </c>
      <c r="K57" s="0" t="s">
        <v>298</v>
      </c>
      <c r="L57" s="0" t="s">
        <v>270</v>
      </c>
      <c r="M57" s="0" t="s">
        <v>510</v>
      </c>
      <c r="N57" s="0" t="s">
        <v>510</v>
      </c>
      <c r="O57" s="0" t="s">
        <v>511</v>
      </c>
      <c r="P57" s="0" t="s">
        <v>512</v>
      </c>
      <c r="R57" s="0" t="s">
        <v>284</v>
      </c>
      <c r="S57" s="0" t="s">
        <v>268</v>
      </c>
      <c r="T57" s="0" t="s">
        <v>276</v>
      </c>
      <c r="U57" s="0" t="s">
        <v>277</v>
      </c>
    </row>
    <row r="58" customFormat="false" ht="15" hidden="false" customHeight="false" outlineLevel="0" collapsed="false">
      <c r="A58" s="0" t="n">
        <v>6</v>
      </c>
      <c r="B58" s="0" t="s">
        <v>38</v>
      </c>
      <c r="C58" s="0" t="s">
        <v>56</v>
      </c>
      <c r="D58" s="0" t="s">
        <v>513</v>
      </c>
      <c r="E58" s="0" t="n">
        <v>2025</v>
      </c>
      <c r="H58" s="0" t="n">
        <v>6</v>
      </c>
      <c r="I58" s="0" t="n">
        <v>9076</v>
      </c>
      <c r="J58" s="0" t="s">
        <v>268</v>
      </c>
      <c r="K58" s="0" t="s">
        <v>298</v>
      </c>
      <c r="L58" s="0" t="s">
        <v>270</v>
      </c>
      <c r="M58" s="0" t="s">
        <v>514</v>
      </c>
      <c r="N58" s="0" t="s">
        <v>514</v>
      </c>
      <c r="O58" s="0" t="s">
        <v>515</v>
      </c>
      <c r="P58" s="0" t="s">
        <v>516</v>
      </c>
      <c r="R58" s="0" t="s">
        <v>275</v>
      </c>
      <c r="S58" s="0" t="s">
        <v>268</v>
      </c>
      <c r="T58" s="0" t="s">
        <v>276</v>
      </c>
      <c r="U58" s="0" t="s">
        <v>277</v>
      </c>
    </row>
    <row r="59" customFormat="false" ht="15" hidden="false" customHeight="false" outlineLevel="0" collapsed="false">
      <c r="A59" s="0" t="n">
        <v>6</v>
      </c>
      <c r="B59" s="0" t="s">
        <v>38</v>
      </c>
      <c r="C59" s="0" t="s">
        <v>309</v>
      </c>
      <c r="D59" s="0" t="s">
        <v>517</v>
      </c>
      <c r="E59" s="0" t="n">
        <v>2024</v>
      </c>
      <c r="H59" s="0" t="n">
        <v>2</v>
      </c>
      <c r="I59" s="0" t="n">
        <v>7549</v>
      </c>
      <c r="J59" s="0" t="s">
        <v>268</v>
      </c>
      <c r="K59" s="0" t="s">
        <v>298</v>
      </c>
      <c r="L59" s="0" t="s">
        <v>270</v>
      </c>
      <c r="M59" s="0" t="s">
        <v>518</v>
      </c>
      <c r="N59" s="0" t="s">
        <v>518</v>
      </c>
      <c r="O59" s="0" t="s">
        <v>519</v>
      </c>
      <c r="P59" s="0" t="s">
        <v>520</v>
      </c>
      <c r="R59" s="0" t="s">
        <v>284</v>
      </c>
      <c r="S59" s="0" t="s">
        <v>268</v>
      </c>
      <c r="T59" s="0" t="s">
        <v>314</v>
      </c>
      <c r="U59" s="0" t="s">
        <v>277</v>
      </c>
      <c r="V59" s="0" t="s">
        <v>521</v>
      </c>
    </row>
    <row r="60" customFormat="false" ht="15" hidden="false" customHeight="false" outlineLevel="0" collapsed="false">
      <c r="A60" s="0" t="n">
        <v>7</v>
      </c>
      <c r="B60" s="0" t="s">
        <v>40</v>
      </c>
      <c r="C60" s="0" t="s">
        <v>56</v>
      </c>
      <c r="D60" s="0" t="s">
        <v>522</v>
      </c>
      <c r="E60" s="0" t="n">
        <v>2023</v>
      </c>
      <c r="H60" s="0" t="n">
        <v>4</v>
      </c>
      <c r="I60" s="0" t="n">
        <v>1549</v>
      </c>
      <c r="J60" s="0" t="s">
        <v>268</v>
      </c>
      <c r="K60" s="0" t="s">
        <v>298</v>
      </c>
      <c r="L60" s="0" t="s">
        <v>270</v>
      </c>
      <c r="M60" s="0" t="s">
        <v>523</v>
      </c>
      <c r="N60" s="0" t="s">
        <v>523</v>
      </c>
      <c r="O60" s="0" t="s">
        <v>524</v>
      </c>
      <c r="P60" s="0" t="s">
        <v>525</v>
      </c>
      <c r="R60" s="0" t="s">
        <v>284</v>
      </c>
      <c r="S60" s="0" t="s">
        <v>268</v>
      </c>
      <c r="T60" s="0" t="s">
        <v>276</v>
      </c>
      <c r="U60" s="0" t="s">
        <v>277</v>
      </c>
    </row>
    <row r="61" customFormat="false" ht="15" hidden="false" customHeight="false" outlineLevel="0" collapsed="false">
      <c r="A61" s="0" t="n">
        <v>7</v>
      </c>
      <c r="B61" s="0" t="s">
        <v>40</v>
      </c>
      <c r="C61" s="0" t="s">
        <v>309</v>
      </c>
      <c r="D61" s="0" t="s">
        <v>526</v>
      </c>
      <c r="E61" s="0" t="n">
        <v>2023</v>
      </c>
      <c r="H61" s="0" t="n">
        <v>2</v>
      </c>
      <c r="I61" s="0" t="n">
        <v>2717</v>
      </c>
      <c r="J61" s="0" t="s">
        <v>290</v>
      </c>
      <c r="K61" s="0" t="s">
        <v>298</v>
      </c>
      <c r="L61" s="0" t="s">
        <v>270</v>
      </c>
      <c r="M61" s="0" t="s">
        <v>527</v>
      </c>
      <c r="N61" s="0" t="s">
        <v>527</v>
      </c>
      <c r="O61" s="0" t="s">
        <v>528</v>
      </c>
      <c r="P61" s="0" t="s">
        <v>529</v>
      </c>
      <c r="R61" s="0" t="s">
        <v>284</v>
      </c>
      <c r="S61" s="0" t="s">
        <v>268</v>
      </c>
      <c r="T61" s="0" t="s">
        <v>276</v>
      </c>
      <c r="U61" s="0" t="s">
        <v>277</v>
      </c>
    </row>
    <row r="62" customFormat="false" ht="15" hidden="false" customHeight="false" outlineLevel="0" collapsed="false">
      <c r="A62" s="0" t="n">
        <v>7</v>
      </c>
      <c r="B62" s="0" t="s">
        <v>40</v>
      </c>
      <c r="C62" s="0" t="s">
        <v>530</v>
      </c>
      <c r="D62" s="0" t="s">
        <v>531</v>
      </c>
      <c r="E62" s="0" t="n">
        <v>2026</v>
      </c>
      <c r="H62" s="0" t="n">
        <v>8</v>
      </c>
      <c r="I62" s="0" t="n">
        <v>5371</v>
      </c>
      <c r="J62" s="0" t="s">
        <v>268</v>
      </c>
      <c r="K62" s="0" t="s">
        <v>269</v>
      </c>
      <c r="L62" s="0" t="s">
        <v>270</v>
      </c>
      <c r="M62" s="0" t="s">
        <v>532</v>
      </c>
      <c r="N62" s="0" t="s">
        <v>533</v>
      </c>
      <c r="O62" s="0" t="s">
        <v>534</v>
      </c>
      <c r="P62" s="0" t="s">
        <v>535</v>
      </c>
      <c r="R62" s="0" t="s">
        <v>275</v>
      </c>
      <c r="S62" s="0" t="s">
        <v>268</v>
      </c>
      <c r="T62" s="0" t="s">
        <v>276</v>
      </c>
      <c r="U62" s="0" t="s">
        <v>277</v>
      </c>
    </row>
    <row r="63" customFormat="false" ht="15" hidden="false" customHeight="false" outlineLevel="0" collapsed="false">
      <c r="A63" s="0" t="n">
        <v>7</v>
      </c>
      <c r="B63" s="0" t="s">
        <v>40</v>
      </c>
      <c r="C63" s="0" t="s">
        <v>278</v>
      </c>
      <c r="D63" s="0" t="s">
        <v>536</v>
      </c>
      <c r="E63" s="0" t="n">
        <v>2026</v>
      </c>
      <c r="H63" s="0" t="n">
        <v>3</v>
      </c>
      <c r="I63" s="0" t="n">
        <v>753</v>
      </c>
      <c r="J63" s="0" t="s">
        <v>268</v>
      </c>
      <c r="K63" s="0" t="s">
        <v>537</v>
      </c>
      <c r="L63" s="0" t="s">
        <v>293</v>
      </c>
      <c r="M63" s="0" t="s">
        <v>538</v>
      </c>
      <c r="N63" s="0" t="s">
        <v>538</v>
      </c>
      <c r="O63" s="0" t="s">
        <v>539</v>
      </c>
      <c r="P63" s="0" t="s">
        <v>540</v>
      </c>
      <c r="R63" s="0" t="s">
        <v>275</v>
      </c>
      <c r="S63" s="0" t="s">
        <v>268</v>
      </c>
      <c r="T63" s="0" t="s">
        <v>276</v>
      </c>
      <c r="U63" s="0" t="s">
        <v>277</v>
      </c>
    </row>
    <row r="64" customFormat="false" ht="15" hidden="false" customHeight="false" outlineLevel="0" collapsed="false">
      <c r="A64" s="0" t="n">
        <v>7</v>
      </c>
      <c r="B64" s="0" t="s">
        <v>40</v>
      </c>
      <c r="C64" s="0" t="s">
        <v>489</v>
      </c>
      <c r="D64" s="0" t="s">
        <v>541</v>
      </c>
      <c r="E64" s="0" t="n">
        <v>2026</v>
      </c>
      <c r="H64" s="0" t="n">
        <v>1</v>
      </c>
      <c r="I64" s="0" t="n">
        <v>5154</v>
      </c>
      <c r="J64" s="0" t="s">
        <v>268</v>
      </c>
      <c r="K64" s="0" t="s">
        <v>286</v>
      </c>
      <c r="L64" s="0" t="s">
        <v>270</v>
      </c>
      <c r="M64" s="0" t="s">
        <v>542</v>
      </c>
      <c r="N64" s="0" t="s">
        <v>542</v>
      </c>
      <c r="O64" s="0" t="s">
        <v>543</v>
      </c>
      <c r="P64" s="0" t="s">
        <v>544</v>
      </c>
      <c r="R64" s="0" t="s">
        <v>275</v>
      </c>
      <c r="S64" s="0" t="s">
        <v>268</v>
      </c>
      <c r="T64" s="0" t="s">
        <v>276</v>
      </c>
      <c r="U64" s="0" t="s">
        <v>277</v>
      </c>
    </row>
    <row r="65" customFormat="false" ht="15" hidden="false" customHeight="false" outlineLevel="0" collapsed="false">
      <c r="A65" s="0" t="n">
        <v>8</v>
      </c>
      <c r="B65" s="0" t="s">
        <v>41</v>
      </c>
      <c r="C65" s="0" t="s">
        <v>56</v>
      </c>
      <c r="D65" s="0" t="s">
        <v>545</v>
      </c>
      <c r="E65" s="0" t="n">
        <v>2025</v>
      </c>
      <c r="H65" s="0" t="n">
        <v>2</v>
      </c>
      <c r="I65" s="0" t="n">
        <v>250</v>
      </c>
      <c r="J65" s="0" t="s">
        <v>268</v>
      </c>
      <c r="K65" s="0" t="s">
        <v>298</v>
      </c>
      <c r="L65" s="0" t="s">
        <v>270</v>
      </c>
      <c r="M65" s="0" t="s">
        <v>546</v>
      </c>
      <c r="N65" s="0" t="s">
        <v>546</v>
      </c>
      <c r="O65" s="0" t="s">
        <v>547</v>
      </c>
      <c r="P65" s="0" t="s">
        <v>548</v>
      </c>
      <c r="R65" s="0" t="s">
        <v>275</v>
      </c>
      <c r="S65" s="0" t="s">
        <v>268</v>
      </c>
      <c r="T65" s="0" t="s">
        <v>276</v>
      </c>
      <c r="U65" s="0" t="s">
        <v>277</v>
      </c>
    </row>
    <row r="66" customFormat="false" ht="15" hidden="false" customHeight="false" outlineLevel="0" collapsed="false">
      <c r="A66" s="0" t="n">
        <v>8</v>
      </c>
      <c r="B66" s="0" t="s">
        <v>41</v>
      </c>
      <c r="C66" s="0" t="s">
        <v>309</v>
      </c>
      <c r="D66" s="0" t="s">
        <v>549</v>
      </c>
      <c r="E66" s="0" t="n">
        <v>2025</v>
      </c>
      <c r="H66" s="0" t="n">
        <v>1</v>
      </c>
      <c r="I66" s="0" t="n">
        <v>622</v>
      </c>
      <c r="J66" s="0" t="s">
        <v>290</v>
      </c>
      <c r="K66" s="0" t="s">
        <v>298</v>
      </c>
      <c r="L66" s="0" t="s">
        <v>270</v>
      </c>
      <c r="M66" s="0" t="s">
        <v>550</v>
      </c>
      <c r="N66" s="0" t="s">
        <v>550</v>
      </c>
      <c r="O66" s="0" t="s">
        <v>551</v>
      </c>
      <c r="P66" s="0" t="s">
        <v>552</v>
      </c>
      <c r="R66" s="0" t="s">
        <v>275</v>
      </c>
      <c r="S66" s="0" t="s">
        <v>268</v>
      </c>
      <c r="T66" s="0" t="s">
        <v>276</v>
      </c>
      <c r="U66" s="0" t="s">
        <v>277</v>
      </c>
    </row>
    <row r="67" customFormat="false" ht="15" hidden="false" customHeight="false" outlineLevel="0" collapsed="false">
      <c r="A67" s="0" t="n">
        <v>8</v>
      </c>
      <c r="B67" s="0" t="s">
        <v>41</v>
      </c>
      <c r="C67" s="0" t="s">
        <v>309</v>
      </c>
      <c r="D67" s="0" t="s">
        <v>553</v>
      </c>
      <c r="E67" s="0" t="n">
        <v>2022</v>
      </c>
      <c r="H67" s="0" t="n">
        <v>1</v>
      </c>
      <c r="I67" s="0" t="n">
        <v>10101</v>
      </c>
      <c r="J67" s="0" t="s">
        <v>268</v>
      </c>
      <c r="K67" s="0" t="s">
        <v>286</v>
      </c>
      <c r="L67" s="0" t="s">
        <v>270</v>
      </c>
      <c r="M67" s="0" t="s">
        <v>554</v>
      </c>
      <c r="N67" s="0" t="s">
        <v>554</v>
      </c>
      <c r="O67" s="0" t="s">
        <v>555</v>
      </c>
      <c r="P67" s="0" t="s">
        <v>556</v>
      </c>
      <c r="R67" s="0" t="s">
        <v>284</v>
      </c>
      <c r="S67" s="0" t="s">
        <v>290</v>
      </c>
      <c r="T67" s="0" t="s">
        <v>276</v>
      </c>
      <c r="U67" s="0" t="s">
        <v>277</v>
      </c>
    </row>
    <row r="68" customFormat="false" ht="15" hidden="false" customHeight="false" outlineLevel="0" collapsed="false">
      <c r="A68" s="0" t="n">
        <v>9</v>
      </c>
      <c r="B68" s="0" t="s">
        <v>42</v>
      </c>
      <c r="C68" s="0" t="s">
        <v>56</v>
      </c>
      <c r="D68" s="0" t="s">
        <v>557</v>
      </c>
      <c r="E68" s="0" t="n">
        <v>2026</v>
      </c>
      <c r="H68" s="0" t="n">
        <v>10</v>
      </c>
      <c r="I68" s="0" t="n">
        <v>26830</v>
      </c>
      <c r="J68" s="0" t="s">
        <v>268</v>
      </c>
      <c r="K68" s="0" t="s">
        <v>558</v>
      </c>
      <c r="L68" s="0" t="s">
        <v>293</v>
      </c>
      <c r="M68" s="0" t="s">
        <v>559</v>
      </c>
      <c r="N68" s="0" t="s">
        <v>559</v>
      </c>
      <c r="O68" s="0" t="s">
        <v>560</v>
      </c>
      <c r="P68" s="0" t="s">
        <v>561</v>
      </c>
      <c r="R68" s="0" t="s">
        <v>275</v>
      </c>
      <c r="S68" s="0" t="s">
        <v>268</v>
      </c>
      <c r="T68" s="0" t="s">
        <v>276</v>
      </c>
      <c r="U68" s="0" t="s">
        <v>277</v>
      </c>
    </row>
    <row r="69" customFormat="false" ht="15" hidden="false" customHeight="false" outlineLevel="0" collapsed="false">
      <c r="A69" s="0" t="n">
        <v>9</v>
      </c>
      <c r="B69" s="0" t="s">
        <v>42</v>
      </c>
      <c r="C69" s="0" t="s">
        <v>56</v>
      </c>
      <c r="D69" s="0" t="s">
        <v>562</v>
      </c>
      <c r="E69" s="0" t="n">
        <v>2023</v>
      </c>
      <c r="H69" s="0" t="n">
        <v>6</v>
      </c>
      <c r="I69" s="0" t="n">
        <v>21584</v>
      </c>
      <c r="J69" s="0" t="s">
        <v>268</v>
      </c>
      <c r="K69" s="0" t="s">
        <v>558</v>
      </c>
      <c r="L69" s="0" t="s">
        <v>293</v>
      </c>
      <c r="M69" s="0" t="s">
        <v>563</v>
      </c>
      <c r="N69" s="0" t="s">
        <v>563</v>
      </c>
      <c r="O69" s="0" t="s">
        <v>564</v>
      </c>
      <c r="P69" s="0" t="s">
        <v>565</v>
      </c>
      <c r="R69" s="0" t="s">
        <v>284</v>
      </c>
      <c r="S69" s="0" t="s">
        <v>290</v>
      </c>
      <c r="T69" s="0" t="s">
        <v>276</v>
      </c>
      <c r="U69" s="0" t="s">
        <v>277</v>
      </c>
    </row>
    <row r="70" customFormat="false" ht="15" hidden="false" customHeight="false" outlineLevel="0" collapsed="false">
      <c r="A70" s="0" t="n">
        <v>9</v>
      </c>
      <c r="B70" s="0" t="s">
        <v>42</v>
      </c>
      <c r="C70" s="0" t="s">
        <v>56</v>
      </c>
      <c r="D70" s="0" t="s">
        <v>566</v>
      </c>
      <c r="E70" s="0" t="n">
        <v>2021</v>
      </c>
      <c r="H70" s="0" t="n">
        <v>6</v>
      </c>
      <c r="I70" s="0" t="n">
        <v>1370</v>
      </c>
      <c r="J70" s="0" t="s">
        <v>268</v>
      </c>
      <c r="K70" s="0" t="s">
        <v>286</v>
      </c>
      <c r="L70" s="0" t="s">
        <v>270</v>
      </c>
      <c r="M70" s="0" t="s">
        <v>567</v>
      </c>
      <c r="N70" s="0" t="s">
        <v>567</v>
      </c>
      <c r="O70" s="0" t="s">
        <v>568</v>
      </c>
      <c r="P70" s="0" t="s">
        <v>569</v>
      </c>
      <c r="R70" s="0" t="s">
        <v>284</v>
      </c>
      <c r="S70" s="0" t="s">
        <v>290</v>
      </c>
      <c r="T70" s="0" t="s">
        <v>276</v>
      </c>
      <c r="U70" s="0" t="s">
        <v>277</v>
      </c>
    </row>
    <row r="71" customFormat="false" ht="15" hidden="false" customHeight="false" outlineLevel="0" collapsed="false">
      <c r="A71" s="0" t="n">
        <v>9</v>
      </c>
      <c r="B71" s="0" t="s">
        <v>42</v>
      </c>
      <c r="C71" s="0" t="s">
        <v>91</v>
      </c>
      <c r="D71" s="0" t="s">
        <v>570</v>
      </c>
      <c r="E71" s="0" t="n">
        <v>2024</v>
      </c>
      <c r="H71" s="0" t="n">
        <v>1</v>
      </c>
      <c r="I71" s="0" t="n">
        <v>410</v>
      </c>
      <c r="J71" s="0" t="s">
        <v>268</v>
      </c>
      <c r="K71" s="0" t="s">
        <v>558</v>
      </c>
      <c r="L71" s="0" t="s">
        <v>293</v>
      </c>
      <c r="M71" s="0" t="s">
        <v>571</v>
      </c>
      <c r="N71" s="0" t="s">
        <v>571</v>
      </c>
      <c r="O71" s="0" t="s">
        <v>572</v>
      </c>
      <c r="P71" s="0" t="s">
        <v>573</v>
      </c>
      <c r="R71" s="0" t="s">
        <v>284</v>
      </c>
      <c r="S71" s="0" t="s">
        <v>268</v>
      </c>
      <c r="T71" s="0" t="s">
        <v>276</v>
      </c>
      <c r="U71" s="0" t="s">
        <v>277</v>
      </c>
    </row>
    <row r="72" customFormat="false" ht="15" hidden="false" customHeight="false" outlineLevel="0" collapsed="false">
      <c r="A72" s="0" t="n">
        <v>9</v>
      </c>
      <c r="B72" s="0" t="s">
        <v>42</v>
      </c>
      <c r="C72" s="0" t="s">
        <v>91</v>
      </c>
      <c r="D72" s="0" t="s">
        <v>574</v>
      </c>
      <c r="E72" s="0" t="n">
        <v>2024</v>
      </c>
      <c r="H72" s="0" t="n">
        <v>1</v>
      </c>
      <c r="I72" s="0" t="n">
        <v>274</v>
      </c>
      <c r="J72" s="0" t="s">
        <v>268</v>
      </c>
      <c r="K72" s="0" t="s">
        <v>558</v>
      </c>
      <c r="L72" s="0" t="s">
        <v>293</v>
      </c>
      <c r="M72" s="0" t="s">
        <v>575</v>
      </c>
      <c r="N72" s="0" t="s">
        <v>575</v>
      </c>
      <c r="O72" s="0" t="s">
        <v>576</v>
      </c>
      <c r="P72" s="0" t="s">
        <v>577</v>
      </c>
      <c r="R72" s="0" t="s">
        <v>284</v>
      </c>
      <c r="S72" s="0" t="s">
        <v>290</v>
      </c>
      <c r="T72" s="0" t="s">
        <v>276</v>
      </c>
      <c r="U72" s="0" t="s">
        <v>277</v>
      </c>
    </row>
    <row r="73" customFormat="false" ht="15" hidden="false" customHeight="false" outlineLevel="0" collapsed="false">
      <c r="A73" s="0" t="n">
        <v>9</v>
      </c>
      <c r="B73" s="0" t="s">
        <v>42</v>
      </c>
      <c r="C73" s="0" t="s">
        <v>309</v>
      </c>
      <c r="D73" s="0" t="s">
        <v>578</v>
      </c>
      <c r="E73" s="0" t="n">
        <v>2024</v>
      </c>
      <c r="H73" s="0" t="n">
        <v>1</v>
      </c>
      <c r="I73" s="0" t="n">
        <v>1232</v>
      </c>
      <c r="J73" s="0" t="s">
        <v>268</v>
      </c>
      <c r="K73" s="0" t="s">
        <v>558</v>
      </c>
      <c r="L73" s="0" t="s">
        <v>293</v>
      </c>
      <c r="M73" s="0" t="s">
        <v>579</v>
      </c>
      <c r="N73" s="0" t="s">
        <v>579</v>
      </c>
      <c r="O73" s="0" t="s">
        <v>580</v>
      </c>
      <c r="P73" s="0" t="s">
        <v>581</v>
      </c>
      <c r="R73" s="0" t="s">
        <v>284</v>
      </c>
      <c r="S73" s="0" t="s">
        <v>268</v>
      </c>
      <c r="T73" s="0" t="s">
        <v>276</v>
      </c>
      <c r="U73" s="0" t="s">
        <v>277</v>
      </c>
    </row>
    <row r="74" customFormat="false" ht="15" hidden="false" customHeight="false" outlineLevel="0" collapsed="false">
      <c r="A74" s="0" t="n">
        <v>9</v>
      </c>
      <c r="B74" s="0" t="s">
        <v>42</v>
      </c>
      <c r="C74" s="0" t="s">
        <v>309</v>
      </c>
      <c r="D74" s="0" t="s">
        <v>582</v>
      </c>
      <c r="E74" s="0" t="n">
        <v>2019</v>
      </c>
      <c r="H74" s="0" t="n">
        <v>1</v>
      </c>
      <c r="I74" s="0" t="n">
        <v>3237</v>
      </c>
      <c r="J74" s="0" t="s">
        <v>290</v>
      </c>
      <c r="K74" s="0" t="s">
        <v>298</v>
      </c>
      <c r="L74" s="0" t="s">
        <v>270</v>
      </c>
      <c r="M74" s="0" t="s">
        <v>583</v>
      </c>
      <c r="N74" s="0" t="s">
        <v>583</v>
      </c>
      <c r="O74" s="0" t="s">
        <v>584</v>
      </c>
      <c r="P74" s="0" t="s">
        <v>585</v>
      </c>
      <c r="R74" s="0" t="s">
        <v>284</v>
      </c>
      <c r="S74" s="0" t="s">
        <v>290</v>
      </c>
      <c r="T74" s="0" t="s">
        <v>276</v>
      </c>
      <c r="U74" s="0" t="s">
        <v>277</v>
      </c>
    </row>
    <row r="75" customFormat="false" ht="15" hidden="false" customHeight="false" outlineLevel="0" collapsed="false">
      <c r="A75" s="0" t="n">
        <v>9</v>
      </c>
      <c r="B75" s="0" t="s">
        <v>42</v>
      </c>
      <c r="C75" s="0" t="s">
        <v>586</v>
      </c>
      <c r="D75" s="0" t="s">
        <v>587</v>
      </c>
      <c r="E75" s="0" t="n">
        <v>2026</v>
      </c>
      <c r="H75" s="0" t="n">
        <v>1</v>
      </c>
      <c r="I75" s="0" t="n">
        <v>666</v>
      </c>
      <c r="J75" s="0" t="s">
        <v>268</v>
      </c>
      <c r="K75" s="0" t="s">
        <v>558</v>
      </c>
      <c r="L75" s="0" t="s">
        <v>293</v>
      </c>
      <c r="M75" s="0" t="s">
        <v>588</v>
      </c>
      <c r="N75" s="0" t="s">
        <v>588</v>
      </c>
      <c r="O75" s="0" t="s">
        <v>589</v>
      </c>
      <c r="P75" s="0" t="s">
        <v>590</v>
      </c>
      <c r="R75" s="0" t="s">
        <v>275</v>
      </c>
      <c r="S75" s="0" t="s">
        <v>290</v>
      </c>
      <c r="T75" s="0" t="s">
        <v>276</v>
      </c>
      <c r="U75" s="0" t="s">
        <v>277</v>
      </c>
    </row>
    <row r="76" customFormat="false" ht="15" hidden="false" customHeight="false" outlineLevel="0" collapsed="false">
      <c r="A76" s="0" t="n">
        <v>9</v>
      </c>
      <c r="B76" s="0" t="s">
        <v>42</v>
      </c>
      <c r="C76" s="0" t="s">
        <v>586</v>
      </c>
      <c r="D76" s="0" t="s">
        <v>591</v>
      </c>
      <c r="E76" s="0" t="n">
        <v>2026</v>
      </c>
      <c r="H76" s="0" t="n">
        <v>1</v>
      </c>
      <c r="I76" s="0" t="n">
        <v>2414</v>
      </c>
      <c r="J76" s="0" t="s">
        <v>268</v>
      </c>
      <c r="K76" s="0" t="s">
        <v>558</v>
      </c>
      <c r="L76" s="0" t="s">
        <v>293</v>
      </c>
      <c r="M76" s="0" t="s">
        <v>592</v>
      </c>
      <c r="N76" s="0" t="s">
        <v>592</v>
      </c>
      <c r="O76" s="0" t="s">
        <v>593</v>
      </c>
      <c r="P76" s="0" t="s">
        <v>594</v>
      </c>
      <c r="R76" s="0" t="s">
        <v>275</v>
      </c>
      <c r="S76" s="0" t="s">
        <v>290</v>
      </c>
      <c r="T76" s="0" t="s">
        <v>276</v>
      </c>
      <c r="U76" s="0" t="s">
        <v>277</v>
      </c>
    </row>
    <row r="77" customFormat="false" ht="15" hidden="false" customHeight="false" outlineLevel="0" collapsed="false">
      <c r="A77" s="0" t="n">
        <v>9</v>
      </c>
      <c r="B77" s="0" t="s">
        <v>42</v>
      </c>
      <c r="C77" s="0" t="s">
        <v>586</v>
      </c>
      <c r="D77" s="0" t="s">
        <v>595</v>
      </c>
      <c r="E77" s="0" t="n">
        <v>2026</v>
      </c>
      <c r="H77" s="0" t="n">
        <v>2</v>
      </c>
      <c r="I77" s="0" t="n">
        <v>7202</v>
      </c>
      <c r="J77" s="0" t="s">
        <v>268</v>
      </c>
      <c r="K77" s="0" t="s">
        <v>558</v>
      </c>
      <c r="L77" s="0" t="s">
        <v>293</v>
      </c>
      <c r="M77" s="0" t="s">
        <v>596</v>
      </c>
      <c r="N77" s="0" t="s">
        <v>596</v>
      </c>
      <c r="O77" s="0" t="s">
        <v>597</v>
      </c>
      <c r="P77" s="0" t="s">
        <v>598</v>
      </c>
      <c r="R77" s="0" t="s">
        <v>275</v>
      </c>
      <c r="S77" s="0" t="s">
        <v>268</v>
      </c>
      <c r="T77" s="0" t="s">
        <v>276</v>
      </c>
      <c r="U77" s="0" t="s">
        <v>277</v>
      </c>
    </row>
    <row r="78" customFormat="false" ht="15" hidden="false" customHeight="false" outlineLevel="0" collapsed="false">
      <c r="A78" s="0" t="n">
        <v>9</v>
      </c>
      <c r="B78" s="0" t="s">
        <v>42</v>
      </c>
      <c r="C78" s="0" t="s">
        <v>586</v>
      </c>
      <c r="D78" s="0" t="s">
        <v>599</v>
      </c>
      <c r="E78" s="0" t="n">
        <v>2024</v>
      </c>
      <c r="H78" s="0" t="n">
        <v>7</v>
      </c>
      <c r="I78" s="0" t="n">
        <v>615</v>
      </c>
      <c r="J78" s="0" t="s">
        <v>268</v>
      </c>
      <c r="K78" s="0" t="s">
        <v>558</v>
      </c>
      <c r="L78" s="0" t="s">
        <v>293</v>
      </c>
      <c r="M78" s="0" t="s">
        <v>600</v>
      </c>
      <c r="N78" s="0" t="s">
        <v>600</v>
      </c>
      <c r="O78" s="0" t="s">
        <v>601</v>
      </c>
      <c r="P78" s="0" t="s">
        <v>602</v>
      </c>
      <c r="R78" s="0" t="s">
        <v>284</v>
      </c>
      <c r="S78" s="0" t="s">
        <v>290</v>
      </c>
      <c r="T78" s="0" t="s">
        <v>276</v>
      </c>
      <c r="U78" s="0" t="s">
        <v>277</v>
      </c>
    </row>
    <row r="79" customFormat="false" ht="15" hidden="false" customHeight="false" outlineLevel="0" collapsed="false">
      <c r="A79" s="0" t="n">
        <v>9</v>
      </c>
      <c r="B79" s="0" t="s">
        <v>42</v>
      </c>
      <c r="C79" s="0" t="s">
        <v>586</v>
      </c>
      <c r="D79" s="0" t="s">
        <v>603</v>
      </c>
      <c r="E79" s="0" t="n">
        <v>2024</v>
      </c>
      <c r="H79" s="0" t="n">
        <v>2</v>
      </c>
      <c r="I79" s="0" t="n">
        <v>220</v>
      </c>
      <c r="J79" s="0" t="s">
        <v>268</v>
      </c>
      <c r="K79" s="0" t="s">
        <v>558</v>
      </c>
      <c r="L79" s="0" t="s">
        <v>293</v>
      </c>
      <c r="M79" s="0" t="s">
        <v>604</v>
      </c>
      <c r="N79" s="0" t="s">
        <v>604</v>
      </c>
      <c r="O79" s="0" t="s">
        <v>605</v>
      </c>
      <c r="P79" s="0" t="s">
        <v>606</v>
      </c>
      <c r="R79" s="0" t="s">
        <v>284</v>
      </c>
      <c r="S79" s="0" t="s">
        <v>290</v>
      </c>
      <c r="T79" s="0" t="s">
        <v>276</v>
      </c>
      <c r="U79" s="0" t="s">
        <v>277</v>
      </c>
    </row>
    <row r="80" customFormat="false" ht="15" hidden="false" customHeight="false" outlineLevel="0" collapsed="false">
      <c r="A80" s="0" t="n">
        <v>9</v>
      </c>
      <c r="B80" s="0" t="s">
        <v>42</v>
      </c>
      <c r="C80" s="0" t="s">
        <v>586</v>
      </c>
      <c r="D80" s="0" t="s">
        <v>607</v>
      </c>
      <c r="E80" s="0" t="n">
        <v>2024</v>
      </c>
      <c r="H80" s="0" t="n">
        <v>2</v>
      </c>
      <c r="I80" s="0" t="n">
        <v>162</v>
      </c>
      <c r="J80" s="0" t="s">
        <v>268</v>
      </c>
      <c r="K80" s="0" t="s">
        <v>558</v>
      </c>
      <c r="L80" s="0" t="s">
        <v>293</v>
      </c>
      <c r="M80" s="0" t="s">
        <v>608</v>
      </c>
      <c r="N80" s="0" t="s">
        <v>608</v>
      </c>
      <c r="O80" s="0" t="s">
        <v>609</v>
      </c>
      <c r="P80" s="0" t="s">
        <v>610</v>
      </c>
      <c r="R80" s="0" t="s">
        <v>284</v>
      </c>
      <c r="S80" s="0" t="s">
        <v>290</v>
      </c>
      <c r="T80" s="0" t="s">
        <v>276</v>
      </c>
      <c r="U80" s="0" t="s">
        <v>277</v>
      </c>
    </row>
    <row r="81" customFormat="false" ht="15" hidden="false" customHeight="false" outlineLevel="0" collapsed="false">
      <c r="A81" s="0" t="n">
        <v>9</v>
      </c>
      <c r="B81" s="0" t="s">
        <v>42</v>
      </c>
      <c r="C81" s="0" t="s">
        <v>586</v>
      </c>
      <c r="D81" s="0" t="s">
        <v>611</v>
      </c>
      <c r="E81" s="0" t="n">
        <v>2024</v>
      </c>
      <c r="H81" s="0" t="n">
        <v>6</v>
      </c>
      <c r="I81" s="0" t="n">
        <v>398</v>
      </c>
      <c r="J81" s="0" t="s">
        <v>268</v>
      </c>
      <c r="K81" s="0" t="s">
        <v>558</v>
      </c>
      <c r="L81" s="0" t="s">
        <v>293</v>
      </c>
      <c r="M81" s="0" t="s">
        <v>612</v>
      </c>
      <c r="N81" s="0" t="s">
        <v>612</v>
      </c>
      <c r="O81" s="0" t="s">
        <v>613</v>
      </c>
      <c r="P81" s="0" t="s">
        <v>614</v>
      </c>
      <c r="R81" s="0" t="s">
        <v>284</v>
      </c>
      <c r="S81" s="0" t="s">
        <v>290</v>
      </c>
      <c r="T81" s="0" t="s">
        <v>276</v>
      </c>
      <c r="U81" s="0" t="s">
        <v>277</v>
      </c>
    </row>
    <row r="82" customFormat="false" ht="15" hidden="false" customHeight="false" outlineLevel="0" collapsed="false">
      <c r="A82" s="0" t="n">
        <v>9</v>
      </c>
      <c r="B82" s="0" t="s">
        <v>42</v>
      </c>
      <c r="C82" s="0" t="s">
        <v>586</v>
      </c>
      <c r="D82" s="0" t="s">
        <v>615</v>
      </c>
      <c r="E82" s="0" t="n">
        <v>2024</v>
      </c>
      <c r="H82" s="0" t="n">
        <v>3</v>
      </c>
      <c r="I82" s="0" t="n">
        <v>359</v>
      </c>
      <c r="J82" s="0" t="s">
        <v>268</v>
      </c>
      <c r="K82" s="0" t="s">
        <v>558</v>
      </c>
      <c r="L82" s="0" t="s">
        <v>293</v>
      </c>
      <c r="M82" s="0" t="s">
        <v>616</v>
      </c>
      <c r="N82" s="0" t="s">
        <v>616</v>
      </c>
      <c r="O82" s="0" t="s">
        <v>617</v>
      </c>
      <c r="P82" s="0" t="s">
        <v>618</v>
      </c>
      <c r="R82" s="0" t="s">
        <v>284</v>
      </c>
      <c r="S82" s="0" t="s">
        <v>290</v>
      </c>
      <c r="T82" s="0" t="s">
        <v>276</v>
      </c>
      <c r="U82" s="0" t="s">
        <v>277</v>
      </c>
    </row>
    <row r="83" customFormat="false" ht="15" hidden="false" customHeight="false" outlineLevel="0" collapsed="false">
      <c r="A83" s="0" t="n">
        <v>9</v>
      </c>
      <c r="B83" s="0" t="s">
        <v>42</v>
      </c>
      <c r="C83" s="0" t="s">
        <v>586</v>
      </c>
      <c r="D83" s="0" t="s">
        <v>619</v>
      </c>
      <c r="E83" s="0" t="n">
        <v>2024</v>
      </c>
      <c r="H83" s="0" t="n">
        <v>3</v>
      </c>
      <c r="I83" s="0" t="n">
        <v>296</v>
      </c>
      <c r="J83" s="0" t="s">
        <v>268</v>
      </c>
      <c r="K83" s="0" t="s">
        <v>558</v>
      </c>
      <c r="L83" s="0" t="s">
        <v>293</v>
      </c>
      <c r="M83" s="0" t="s">
        <v>620</v>
      </c>
      <c r="N83" s="0" t="s">
        <v>620</v>
      </c>
      <c r="O83" s="0" t="s">
        <v>621</v>
      </c>
      <c r="P83" s="0" t="s">
        <v>622</v>
      </c>
      <c r="R83" s="0" t="s">
        <v>284</v>
      </c>
      <c r="S83" s="0" t="s">
        <v>290</v>
      </c>
      <c r="T83" s="0" t="s">
        <v>276</v>
      </c>
      <c r="U83" s="0" t="s">
        <v>277</v>
      </c>
    </row>
    <row r="84" customFormat="false" ht="15" hidden="false" customHeight="false" outlineLevel="0" collapsed="false">
      <c r="A84" s="0" t="n">
        <v>9</v>
      </c>
      <c r="B84" s="0" t="s">
        <v>42</v>
      </c>
      <c r="C84" s="0" t="s">
        <v>586</v>
      </c>
      <c r="D84" s="0" t="s">
        <v>623</v>
      </c>
      <c r="E84" s="0" t="n">
        <v>2024</v>
      </c>
      <c r="H84" s="0" t="n">
        <v>2</v>
      </c>
      <c r="I84" s="0" t="n">
        <v>216</v>
      </c>
      <c r="J84" s="0" t="s">
        <v>268</v>
      </c>
      <c r="K84" s="0" t="s">
        <v>558</v>
      </c>
      <c r="L84" s="0" t="s">
        <v>293</v>
      </c>
      <c r="M84" s="0" t="s">
        <v>624</v>
      </c>
      <c r="N84" s="0" t="s">
        <v>624</v>
      </c>
      <c r="O84" s="0" t="s">
        <v>625</v>
      </c>
      <c r="P84" s="0" t="s">
        <v>626</v>
      </c>
      <c r="R84" s="0" t="s">
        <v>284</v>
      </c>
      <c r="S84" s="0" t="s">
        <v>290</v>
      </c>
      <c r="T84" s="0" t="s">
        <v>276</v>
      </c>
      <c r="U84" s="0" t="s">
        <v>277</v>
      </c>
    </row>
    <row r="85" customFormat="false" ht="15" hidden="false" customHeight="false" outlineLevel="0" collapsed="false">
      <c r="A85" s="0" t="n">
        <v>9</v>
      </c>
      <c r="B85" s="0" t="s">
        <v>42</v>
      </c>
      <c r="C85" s="0" t="s">
        <v>586</v>
      </c>
      <c r="D85" s="0" t="s">
        <v>627</v>
      </c>
      <c r="E85" s="0" t="n">
        <v>2024</v>
      </c>
      <c r="H85" s="0" t="n">
        <v>1</v>
      </c>
      <c r="I85" s="0" t="n">
        <v>419</v>
      </c>
      <c r="J85" s="0" t="s">
        <v>268</v>
      </c>
      <c r="K85" s="0" t="s">
        <v>558</v>
      </c>
      <c r="L85" s="0" t="s">
        <v>293</v>
      </c>
      <c r="M85" s="0" t="s">
        <v>628</v>
      </c>
      <c r="N85" s="0" t="s">
        <v>628</v>
      </c>
      <c r="O85" s="0" t="s">
        <v>629</v>
      </c>
      <c r="P85" s="0" t="s">
        <v>630</v>
      </c>
      <c r="R85" s="0" t="s">
        <v>284</v>
      </c>
      <c r="S85" s="0" t="s">
        <v>290</v>
      </c>
      <c r="T85" s="0" t="s">
        <v>276</v>
      </c>
      <c r="U85" s="0" t="s">
        <v>277</v>
      </c>
    </row>
    <row r="86" customFormat="false" ht="15" hidden="false" customHeight="false" outlineLevel="0" collapsed="false">
      <c r="A86" s="0" t="n">
        <v>9</v>
      </c>
      <c r="B86" s="0" t="s">
        <v>42</v>
      </c>
      <c r="C86" s="0" t="s">
        <v>586</v>
      </c>
      <c r="D86" s="0" t="s">
        <v>631</v>
      </c>
      <c r="E86" s="0" t="n">
        <v>2024</v>
      </c>
      <c r="H86" s="0" t="n">
        <v>2</v>
      </c>
      <c r="I86" s="0" t="n">
        <v>155</v>
      </c>
      <c r="J86" s="0" t="s">
        <v>268</v>
      </c>
      <c r="K86" s="0" t="s">
        <v>558</v>
      </c>
      <c r="L86" s="0" t="s">
        <v>293</v>
      </c>
      <c r="M86" s="0" t="s">
        <v>632</v>
      </c>
      <c r="N86" s="0" t="s">
        <v>632</v>
      </c>
      <c r="O86" s="0" t="s">
        <v>633</v>
      </c>
      <c r="P86" s="0" t="s">
        <v>634</v>
      </c>
      <c r="R86" s="0" t="s">
        <v>284</v>
      </c>
      <c r="S86" s="0" t="s">
        <v>290</v>
      </c>
      <c r="T86" s="0" t="s">
        <v>276</v>
      </c>
      <c r="U86" s="0" t="s">
        <v>277</v>
      </c>
    </row>
    <row r="87" customFormat="false" ht="15" hidden="false" customHeight="false" outlineLevel="0" collapsed="false">
      <c r="A87" s="0" t="n">
        <v>9</v>
      </c>
      <c r="B87" s="0" t="s">
        <v>42</v>
      </c>
      <c r="C87" s="0" t="s">
        <v>586</v>
      </c>
      <c r="D87" s="0" t="s">
        <v>635</v>
      </c>
      <c r="E87" s="0" t="n">
        <v>2024</v>
      </c>
      <c r="H87" s="0" t="n">
        <v>2</v>
      </c>
      <c r="I87" s="0" t="n">
        <v>613</v>
      </c>
      <c r="J87" s="0" t="s">
        <v>268</v>
      </c>
      <c r="K87" s="0" t="s">
        <v>558</v>
      </c>
      <c r="L87" s="0" t="s">
        <v>293</v>
      </c>
      <c r="M87" s="0" t="s">
        <v>636</v>
      </c>
      <c r="N87" s="0" t="s">
        <v>636</v>
      </c>
      <c r="O87" s="0" t="s">
        <v>637</v>
      </c>
      <c r="P87" s="0" t="s">
        <v>638</v>
      </c>
      <c r="R87" s="0" t="s">
        <v>284</v>
      </c>
      <c r="S87" s="0" t="s">
        <v>290</v>
      </c>
      <c r="T87" s="0" t="s">
        <v>276</v>
      </c>
      <c r="U87" s="0" t="s">
        <v>277</v>
      </c>
    </row>
    <row r="88" customFormat="false" ht="15" hidden="false" customHeight="false" outlineLevel="0" collapsed="false">
      <c r="A88" s="0" t="n">
        <v>9</v>
      </c>
      <c r="B88" s="0" t="s">
        <v>42</v>
      </c>
      <c r="C88" s="0" t="s">
        <v>586</v>
      </c>
      <c r="D88" s="0" t="s">
        <v>639</v>
      </c>
      <c r="E88" s="0" t="n">
        <v>2023</v>
      </c>
      <c r="H88" s="0" t="n">
        <v>2</v>
      </c>
      <c r="I88" s="0" t="n">
        <v>579</v>
      </c>
      <c r="J88" s="0" t="s">
        <v>268</v>
      </c>
      <c r="K88" s="0" t="s">
        <v>558</v>
      </c>
      <c r="L88" s="0" t="s">
        <v>293</v>
      </c>
      <c r="M88" s="0" t="s">
        <v>640</v>
      </c>
      <c r="N88" s="0" t="s">
        <v>640</v>
      </c>
      <c r="O88" s="0" t="s">
        <v>641</v>
      </c>
      <c r="P88" s="0" t="s">
        <v>642</v>
      </c>
      <c r="R88" s="0" t="s">
        <v>284</v>
      </c>
      <c r="S88" s="0" t="s">
        <v>290</v>
      </c>
      <c r="T88" s="0" t="s">
        <v>276</v>
      </c>
      <c r="U88" s="0" t="s">
        <v>277</v>
      </c>
    </row>
    <row r="89" customFormat="false" ht="15" hidden="false" customHeight="false" outlineLevel="0" collapsed="false">
      <c r="A89" s="0" t="n">
        <v>9</v>
      </c>
      <c r="B89" s="0" t="s">
        <v>42</v>
      </c>
      <c r="C89" s="0" t="s">
        <v>586</v>
      </c>
      <c r="D89" s="0" t="s">
        <v>643</v>
      </c>
      <c r="E89" s="0" t="n">
        <v>2023</v>
      </c>
      <c r="H89" s="0" t="n">
        <v>2</v>
      </c>
      <c r="I89" s="0" t="n">
        <v>476</v>
      </c>
      <c r="J89" s="0" t="s">
        <v>268</v>
      </c>
      <c r="K89" s="0" t="s">
        <v>558</v>
      </c>
      <c r="L89" s="0" t="s">
        <v>293</v>
      </c>
      <c r="M89" s="0" t="s">
        <v>644</v>
      </c>
      <c r="N89" s="0" t="s">
        <v>644</v>
      </c>
      <c r="O89" s="0" t="s">
        <v>645</v>
      </c>
      <c r="P89" s="0" t="s">
        <v>646</v>
      </c>
      <c r="R89" s="0" t="s">
        <v>284</v>
      </c>
      <c r="S89" s="0" t="s">
        <v>290</v>
      </c>
      <c r="T89" s="0" t="s">
        <v>276</v>
      </c>
      <c r="U89" s="0" t="s">
        <v>277</v>
      </c>
    </row>
    <row r="90" customFormat="false" ht="15" hidden="false" customHeight="false" outlineLevel="0" collapsed="false">
      <c r="A90" s="0" t="n">
        <v>9</v>
      </c>
      <c r="B90" s="0" t="s">
        <v>42</v>
      </c>
      <c r="C90" s="0" t="s">
        <v>586</v>
      </c>
      <c r="D90" s="0" t="s">
        <v>647</v>
      </c>
      <c r="E90" s="0" t="n">
        <v>2023</v>
      </c>
      <c r="H90" s="0" t="n">
        <v>2</v>
      </c>
      <c r="I90" s="0" t="n">
        <v>669</v>
      </c>
      <c r="J90" s="0" t="s">
        <v>268</v>
      </c>
      <c r="K90" s="0" t="s">
        <v>558</v>
      </c>
      <c r="L90" s="0" t="s">
        <v>293</v>
      </c>
      <c r="M90" s="0" t="s">
        <v>648</v>
      </c>
      <c r="N90" s="0" t="s">
        <v>648</v>
      </c>
      <c r="O90" s="0" t="s">
        <v>649</v>
      </c>
      <c r="P90" s="0" t="s">
        <v>650</v>
      </c>
      <c r="R90" s="0" t="s">
        <v>284</v>
      </c>
      <c r="S90" s="0" t="s">
        <v>290</v>
      </c>
      <c r="T90" s="0" t="s">
        <v>276</v>
      </c>
      <c r="U90" s="0" t="s">
        <v>277</v>
      </c>
    </row>
    <row r="91" customFormat="false" ht="15" hidden="false" customHeight="false" outlineLevel="0" collapsed="false">
      <c r="A91" s="0" t="n">
        <v>9</v>
      </c>
      <c r="B91" s="0" t="s">
        <v>42</v>
      </c>
      <c r="C91" s="0" t="s">
        <v>266</v>
      </c>
      <c r="D91" s="0" t="s">
        <v>651</v>
      </c>
      <c r="E91" s="0" t="n">
        <v>2026</v>
      </c>
      <c r="H91" s="0" t="n">
        <v>1</v>
      </c>
      <c r="I91" s="0" t="n">
        <v>65</v>
      </c>
      <c r="J91" s="0" t="s">
        <v>268</v>
      </c>
      <c r="K91" s="0" t="s">
        <v>558</v>
      </c>
      <c r="L91" s="0" t="s">
        <v>293</v>
      </c>
      <c r="M91" s="0" t="s">
        <v>652</v>
      </c>
      <c r="N91" s="0" t="s">
        <v>652</v>
      </c>
      <c r="O91" s="0" t="s">
        <v>653</v>
      </c>
      <c r="P91" s="0" t="s">
        <v>654</v>
      </c>
      <c r="R91" s="0" t="s">
        <v>275</v>
      </c>
      <c r="S91" s="0" t="s">
        <v>290</v>
      </c>
      <c r="T91" s="0" t="s">
        <v>276</v>
      </c>
      <c r="U91" s="0" t="s">
        <v>277</v>
      </c>
    </row>
    <row r="92" customFormat="false" ht="15" hidden="false" customHeight="false" outlineLevel="0" collapsed="false">
      <c r="A92" s="0" t="n">
        <v>9</v>
      </c>
      <c r="B92" s="0" t="s">
        <v>42</v>
      </c>
      <c r="C92" s="0" t="s">
        <v>266</v>
      </c>
      <c r="D92" s="0" t="s">
        <v>655</v>
      </c>
      <c r="E92" s="0" t="n">
        <v>2026</v>
      </c>
      <c r="H92" s="0" t="n">
        <v>1</v>
      </c>
      <c r="I92" s="0" t="n">
        <v>3054</v>
      </c>
      <c r="J92" s="0" t="s">
        <v>268</v>
      </c>
      <c r="K92" s="0" t="s">
        <v>558</v>
      </c>
      <c r="L92" s="0" t="s">
        <v>293</v>
      </c>
      <c r="M92" s="0" t="s">
        <v>656</v>
      </c>
      <c r="N92" s="0" t="s">
        <v>656</v>
      </c>
      <c r="O92" s="0" t="s">
        <v>657</v>
      </c>
      <c r="P92" s="0" t="s">
        <v>658</v>
      </c>
      <c r="R92" s="0" t="s">
        <v>275</v>
      </c>
      <c r="S92" s="0" t="s">
        <v>290</v>
      </c>
      <c r="T92" s="0" t="s">
        <v>276</v>
      </c>
      <c r="U92" s="0" t="s">
        <v>277</v>
      </c>
    </row>
    <row r="93" customFormat="false" ht="15" hidden="false" customHeight="false" outlineLevel="0" collapsed="false">
      <c r="A93" s="0" t="n">
        <v>9</v>
      </c>
      <c r="B93" s="0" t="s">
        <v>42</v>
      </c>
      <c r="C93" s="0" t="s">
        <v>266</v>
      </c>
      <c r="D93" s="0" t="s">
        <v>659</v>
      </c>
      <c r="E93" s="0" t="n">
        <v>2026</v>
      </c>
      <c r="H93" s="0" t="n">
        <v>1</v>
      </c>
      <c r="I93" s="0" t="n">
        <v>37</v>
      </c>
      <c r="J93" s="0" t="s">
        <v>268</v>
      </c>
      <c r="K93" s="0" t="s">
        <v>558</v>
      </c>
      <c r="L93" s="0" t="s">
        <v>293</v>
      </c>
      <c r="M93" s="0" t="s">
        <v>660</v>
      </c>
      <c r="N93" s="0" t="s">
        <v>660</v>
      </c>
      <c r="O93" s="0" t="s">
        <v>661</v>
      </c>
      <c r="P93" s="0" t="s">
        <v>662</v>
      </c>
      <c r="R93" s="0" t="s">
        <v>275</v>
      </c>
      <c r="S93" s="0" t="s">
        <v>290</v>
      </c>
      <c r="T93" s="0" t="s">
        <v>276</v>
      </c>
      <c r="U93" s="0" t="s">
        <v>277</v>
      </c>
    </row>
    <row r="94" customFormat="false" ht="15" hidden="false" customHeight="false" outlineLevel="0" collapsed="false">
      <c r="A94" s="0" t="n">
        <v>9</v>
      </c>
      <c r="B94" s="0" t="s">
        <v>42</v>
      </c>
      <c r="C94" s="0" t="s">
        <v>266</v>
      </c>
      <c r="D94" s="0" t="s">
        <v>663</v>
      </c>
      <c r="E94" s="0" t="n">
        <v>2026</v>
      </c>
      <c r="H94" s="0" t="n">
        <v>3</v>
      </c>
      <c r="I94" s="0" t="n">
        <v>657</v>
      </c>
      <c r="J94" s="0" t="s">
        <v>268</v>
      </c>
      <c r="K94" s="0" t="s">
        <v>558</v>
      </c>
      <c r="L94" s="0" t="s">
        <v>293</v>
      </c>
      <c r="M94" s="0" t="s">
        <v>664</v>
      </c>
      <c r="N94" s="0" t="s">
        <v>664</v>
      </c>
      <c r="O94" s="0" t="s">
        <v>665</v>
      </c>
      <c r="P94" s="0" t="s">
        <v>666</v>
      </c>
      <c r="R94" s="0" t="s">
        <v>275</v>
      </c>
      <c r="S94" s="0" t="s">
        <v>290</v>
      </c>
      <c r="T94" s="0" t="s">
        <v>276</v>
      </c>
      <c r="U94" s="0" t="s">
        <v>277</v>
      </c>
    </row>
    <row r="95" customFormat="false" ht="15" hidden="false" customHeight="false" outlineLevel="0" collapsed="false">
      <c r="A95" s="0" t="n">
        <v>9</v>
      </c>
      <c r="B95" s="0" t="s">
        <v>42</v>
      </c>
      <c r="C95" s="0" t="s">
        <v>266</v>
      </c>
      <c r="D95" s="0" t="s">
        <v>667</v>
      </c>
      <c r="E95" s="0" t="n">
        <v>2026</v>
      </c>
      <c r="H95" s="0" t="n">
        <v>2</v>
      </c>
      <c r="I95" s="0" t="n">
        <v>2588</v>
      </c>
      <c r="J95" s="0" t="s">
        <v>268</v>
      </c>
      <c r="K95" s="0" t="s">
        <v>558</v>
      </c>
      <c r="L95" s="0" t="s">
        <v>293</v>
      </c>
      <c r="M95" s="0" t="s">
        <v>668</v>
      </c>
      <c r="N95" s="0" t="s">
        <v>668</v>
      </c>
      <c r="O95" s="0" t="s">
        <v>669</v>
      </c>
      <c r="P95" s="0" t="s">
        <v>670</v>
      </c>
      <c r="R95" s="0" t="s">
        <v>275</v>
      </c>
      <c r="S95" s="0" t="s">
        <v>290</v>
      </c>
      <c r="T95" s="0" t="s">
        <v>276</v>
      </c>
      <c r="U95" s="0" t="s">
        <v>277</v>
      </c>
    </row>
    <row r="96" customFormat="false" ht="15" hidden="false" customHeight="false" outlineLevel="0" collapsed="false">
      <c r="A96" s="0" t="n">
        <v>9</v>
      </c>
      <c r="B96" s="0" t="s">
        <v>42</v>
      </c>
      <c r="C96" s="0" t="s">
        <v>266</v>
      </c>
      <c r="D96" s="0" t="s">
        <v>671</v>
      </c>
      <c r="E96" s="0" t="n">
        <v>2026</v>
      </c>
      <c r="H96" s="0" t="n">
        <v>7</v>
      </c>
      <c r="I96" s="0" t="n">
        <v>22845</v>
      </c>
      <c r="J96" s="0" t="s">
        <v>268</v>
      </c>
      <c r="K96" s="0" t="s">
        <v>558</v>
      </c>
      <c r="L96" s="0" t="s">
        <v>293</v>
      </c>
      <c r="M96" s="0" t="s">
        <v>672</v>
      </c>
      <c r="N96" s="0" t="s">
        <v>672</v>
      </c>
      <c r="O96" s="0" t="s">
        <v>673</v>
      </c>
      <c r="P96" s="0" t="s">
        <v>674</v>
      </c>
      <c r="R96" s="0" t="s">
        <v>275</v>
      </c>
      <c r="S96" s="0" t="s">
        <v>268</v>
      </c>
      <c r="T96" s="0" t="s">
        <v>276</v>
      </c>
      <c r="U96" s="0" t="s">
        <v>277</v>
      </c>
    </row>
    <row r="97" customFormat="false" ht="15" hidden="false" customHeight="false" outlineLevel="0" collapsed="false">
      <c r="A97" s="0" t="n">
        <v>9</v>
      </c>
      <c r="B97" s="0" t="s">
        <v>42</v>
      </c>
      <c r="C97" s="0" t="s">
        <v>266</v>
      </c>
      <c r="D97" s="0" t="s">
        <v>675</v>
      </c>
      <c r="E97" s="0" t="n">
        <v>2026</v>
      </c>
      <c r="H97" s="0" t="n">
        <v>3</v>
      </c>
      <c r="I97" s="0" t="n">
        <v>207</v>
      </c>
      <c r="J97" s="0" t="s">
        <v>268</v>
      </c>
      <c r="K97" s="0" t="s">
        <v>558</v>
      </c>
      <c r="L97" s="0" t="s">
        <v>293</v>
      </c>
      <c r="M97" s="0" t="s">
        <v>676</v>
      </c>
      <c r="N97" s="0" t="s">
        <v>676</v>
      </c>
      <c r="O97" s="0" t="s">
        <v>677</v>
      </c>
      <c r="P97" s="0" t="s">
        <v>678</v>
      </c>
      <c r="R97" s="0" t="s">
        <v>275</v>
      </c>
      <c r="S97" s="0" t="s">
        <v>290</v>
      </c>
      <c r="T97" s="0" t="s">
        <v>276</v>
      </c>
      <c r="U97" s="0" t="s">
        <v>277</v>
      </c>
    </row>
    <row r="98" customFormat="false" ht="15" hidden="false" customHeight="false" outlineLevel="0" collapsed="false">
      <c r="A98" s="0" t="n">
        <v>9</v>
      </c>
      <c r="B98" s="0" t="s">
        <v>42</v>
      </c>
      <c r="C98" s="0" t="s">
        <v>266</v>
      </c>
      <c r="D98" s="0" t="s">
        <v>679</v>
      </c>
      <c r="E98" s="0" t="n">
        <v>2026</v>
      </c>
      <c r="H98" s="0" t="n">
        <v>2</v>
      </c>
      <c r="I98" s="0" t="n">
        <v>234</v>
      </c>
      <c r="J98" s="0" t="s">
        <v>268</v>
      </c>
      <c r="K98" s="0" t="s">
        <v>558</v>
      </c>
      <c r="L98" s="0" t="s">
        <v>293</v>
      </c>
      <c r="M98" s="0" t="s">
        <v>680</v>
      </c>
      <c r="N98" s="0" t="s">
        <v>680</v>
      </c>
      <c r="O98" s="0" t="s">
        <v>681</v>
      </c>
      <c r="P98" s="0" t="s">
        <v>682</v>
      </c>
      <c r="R98" s="0" t="s">
        <v>275</v>
      </c>
      <c r="S98" s="0" t="s">
        <v>290</v>
      </c>
      <c r="T98" s="0" t="s">
        <v>276</v>
      </c>
      <c r="U98" s="0" t="s">
        <v>277</v>
      </c>
    </row>
    <row r="99" customFormat="false" ht="15" hidden="false" customHeight="false" outlineLevel="0" collapsed="false">
      <c r="A99" s="0" t="n">
        <v>9</v>
      </c>
      <c r="B99" s="0" t="s">
        <v>42</v>
      </c>
      <c r="C99" s="0" t="s">
        <v>266</v>
      </c>
      <c r="D99" s="0" t="s">
        <v>683</v>
      </c>
      <c r="E99" s="0" t="n">
        <v>2026</v>
      </c>
      <c r="H99" s="0" t="n">
        <v>2</v>
      </c>
      <c r="I99" s="0" t="n">
        <v>213</v>
      </c>
      <c r="J99" s="0" t="s">
        <v>268</v>
      </c>
      <c r="K99" s="0" t="s">
        <v>558</v>
      </c>
      <c r="L99" s="0" t="s">
        <v>293</v>
      </c>
      <c r="M99" s="0" t="s">
        <v>684</v>
      </c>
      <c r="N99" s="0" t="s">
        <v>684</v>
      </c>
      <c r="O99" s="0" t="s">
        <v>685</v>
      </c>
      <c r="P99" s="0" t="s">
        <v>686</v>
      </c>
      <c r="R99" s="0" t="s">
        <v>275</v>
      </c>
      <c r="S99" s="0" t="s">
        <v>290</v>
      </c>
      <c r="T99" s="0" t="s">
        <v>276</v>
      </c>
      <c r="U99" s="0" t="s">
        <v>277</v>
      </c>
    </row>
    <row r="100" customFormat="false" ht="15" hidden="false" customHeight="false" outlineLevel="0" collapsed="false">
      <c r="A100" s="0" t="n">
        <v>9</v>
      </c>
      <c r="B100" s="0" t="s">
        <v>42</v>
      </c>
      <c r="C100" s="0" t="s">
        <v>266</v>
      </c>
      <c r="D100" s="0" t="s">
        <v>687</v>
      </c>
      <c r="E100" s="0" t="n">
        <v>2026</v>
      </c>
      <c r="H100" s="0" t="n">
        <v>2</v>
      </c>
      <c r="I100" s="0" t="n">
        <v>152</v>
      </c>
      <c r="J100" s="0" t="s">
        <v>268</v>
      </c>
      <c r="K100" s="0" t="s">
        <v>558</v>
      </c>
      <c r="L100" s="0" t="s">
        <v>293</v>
      </c>
      <c r="M100" s="0" t="s">
        <v>688</v>
      </c>
      <c r="N100" s="0" t="s">
        <v>688</v>
      </c>
      <c r="O100" s="0" t="s">
        <v>689</v>
      </c>
      <c r="P100" s="0" t="s">
        <v>690</v>
      </c>
      <c r="R100" s="0" t="s">
        <v>275</v>
      </c>
      <c r="S100" s="0" t="s">
        <v>268</v>
      </c>
      <c r="T100" s="0" t="s">
        <v>314</v>
      </c>
      <c r="U100" s="0" t="s">
        <v>277</v>
      </c>
      <c r="V100" s="0" t="s">
        <v>691</v>
      </c>
    </row>
    <row r="101" customFormat="false" ht="15" hidden="false" customHeight="false" outlineLevel="0" collapsed="false">
      <c r="A101" s="0" t="n">
        <v>128</v>
      </c>
      <c r="B101" s="0" t="s">
        <v>183</v>
      </c>
      <c r="C101" s="0" t="s">
        <v>266</v>
      </c>
      <c r="D101" s="0" t="s">
        <v>687</v>
      </c>
      <c r="E101" s="0" t="n">
        <v>2026</v>
      </c>
      <c r="H101" s="0" t="n">
        <v>2</v>
      </c>
      <c r="I101" s="0" t="n">
        <v>152</v>
      </c>
      <c r="J101" s="0" t="s">
        <v>268</v>
      </c>
      <c r="K101" s="0" t="s">
        <v>558</v>
      </c>
      <c r="L101" s="0" t="s">
        <v>293</v>
      </c>
      <c r="M101" s="0" t="s">
        <v>688</v>
      </c>
      <c r="N101" s="0" t="s">
        <v>688</v>
      </c>
      <c r="O101" s="0" t="s">
        <v>689</v>
      </c>
      <c r="P101" s="0" t="s">
        <v>690</v>
      </c>
      <c r="R101" s="0" t="s">
        <v>275</v>
      </c>
      <c r="S101" s="0" t="s">
        <v>268</v>
      </c>
      <c r="T101" s="0" t="s">
        <v>314</v>
      </c>
      <c r="U101" s="0" t="s">
        <v>277</v>
      </c>
      <c r="V101" s="0" t="s">
        <v>691</v>
      </c>
    </row>
    <row r="102" customFormat="false" ht="15" hidden="false" customHeight="false" outlineLevel="0" collapsed="false">
      <c r="A102" s="0" t="n">
        <v>9</v>
      </c>
      <c r="B102" s="0" t="s">
        <v>42</v>
      </c>
      <c r="C102" s="0" t="s">
        <v>266</v>
      </c>
      <c r="D102" s="0" t="s">
        <v>692</v>
      </c>
      <c r="E102" s="0" t="n">
        <v>2025</v>
      </c>
      <c r="H102" s="0" t="n">
        <v>18</v>
      </c>
      <c r="I102" s="0" t="n">
        <v>5022</v>
      </c>
      <c r="J102" s="0" t="s">
        <v>268</v>
      </c>
      <c r="K102" s="0" t="s">
        <v>558</v>
      </c>
      <c r="L102" s="0" t="s">
        <v>293</v>
      </c>
      <c r="M102" s="0" t="s">
        <v>693</v>
      </c>
      <c r="N102" s="0" t="s">
        <v>693</v>
      </c>
      <c r="O102" s="0" t="s">
        <v>694</v>
      </c>
      <c r="P102" s="0" t="s">
        <v>695</v>
      </c>
      <c r="R102" s="0" t="s">
        <v>275</v>
      </c>
      <c r="S102" s="0" t="s">
        <v>290</v>
      </c>
      <c r="T102" s="0" t="s">
        <v>276</v>
      </c>
      <c r="U102" s="0" t="s">
        <v>277</v>
      </c>
    </row>
    <row r="103" customFormat="false" ht="15" hidden="false" customHeight="false" outlineLevel="0" collapsed="false">
      <c r="A103" s="0" t="n">
        <v>9</v>
      </c>
      <c r="B103" s="0" t="s">
        <v>42</v>
      </c>
      <c r="C103" s="0" t="s">
        <v>266</v>
      </c>
      <c r="D103" s="0" t="s">
        <v>696</v>
      </c>
      <c r="E103" s="0" t="n">
        <v>2025</v>
      </c>
      <c r="H103" s="0" t="n">
        <v>2</v>
      </c>
      <c r="I103" s="0" t="n">
        <v>181</v>
      </c>
      <c r="J103" s="0" t="s">
        <v>268</v>
      </c>
      <c r="K103" s="0" t="s">
        <v>558</v>
      </c>
      <c r="L103" s="0" t="s">
        <v>293</v>
      </c>
      <c r="M103" s="0" t="s">
        <v>697</v>
      </c>
      <c r="N103" s="0" t="s">
        <v>697</v>
      </c>
      <c r="O103" s="0" t="s">
        <v>698</v>
      </c>
      <c r="P103" s="0" t="s">
        <v>699</v>
      </c>
      <c r="R103" s="0" t="s">
        <v>275</v>
      </c>
      <c r="S103" s="0" t="s">
        <v>290</v>
      </c>
      <c r="T103" s="0" t="s">
        <v>276</v>
      </c>
      <c r="U103" s="0" t="s">
        <v>277</v>
      </c>
    </row>
    <row r="104" customFormat="false" ht="15" hidden="false" customHeight="false" outlineLevel="0" collapsed="false">
      <c r="A104" s="0" t="n">
        <v>9</v>
      </c>
      <c r="B104" s="0" t="s">
        <v>42</v>
      </c>
      <c r="C104" s="0" t="s">
        <v>266</v>
      </c>
      <c r="D104" s="0" t="s">
        <v>700</v>
      </c>
      <c r="E104" s="0" t="n">
        <v>2025</v>
      </c>
      <c r="H104" s="0" t="n">
        <v>2</v>
      </c>
      <c r="I104" s="0" t="n">
        <v>219</v>
      </c>
      <c r="J104" s="0" t="s">
        <v>268</v>
      </c>
      <c r="K104" s="0" t="s">
        <v>558</v>
      </c>
      <c r="L104" s="0" t="s">
        <v>293</v>
      </c>
      <c r="M104" s="0" t="s">
        <v>701</v>
      </c>
      <c r="N104" s="0" t="s">
        <v>701</v>
      </c>
      <c r="O104" s="0" t="s">
        <v>702</v>
      </c>
      <c r="P104" s="0" t="s">
        <v>703</v>
      </c>
      <c r="R104" s="0" t="s">
        <v>275</v>
      </c>
      <c r="S104" s="0" t="s">
        <v>290</v>
      </c>
      <c r="T104" s="0" t="s">
        <v>276</v>
      </c>
      <c r="U104" s="0" t="s">
        <v>277</v>
      </c>
    </row>
    <row r="105" customFormat="false" ht="15" hidden="false" customHeight="false" outlineLevel="0" collapsed="false">
      <c r="A105" s="0" t="n">
        <v>9</v>
      </c>
      <c r="B105" s="0" t="s">
        <v>42</v>
      </c>
      <c r="C105" s="0" t="s">
        <v>266</v>
      </c>
      <c r="D105" s="0" t="s">
        <v>704</v>
      </c>
      <c r="E105" s="0" t="n">
        <v>2025</v>
      </c>
      <c r="H105" s="0" t="n">
        <v>3</v>
      </c>
      <c r="I105" s="0" t="n">
        <v>236</v>
      </c>
      <c r="J105" s="0" t="s">
        <v>268</v>
      </c>
      <c r="K105" s="0" t="s">
        <v>558</v>
      </c>
      <c r="L105" s="0" t="s">
        <v>293</v>
      </c>
      <c r="M105" s="0" t="s">
        <v>705</v>
      </c>
      <c r="N105" s="0" t="s">
        <v>705</v>
      </c>
      <c r="O105" s="0" t="s">
        <v>706</v>
      </c>
      <c r="P105" s="0" t="s">
        <v>707</v>
      </c>
      <c r="R105" s="0" t="s">
        <v>275</v>
      </c>
      <c r="S105" s="0" t="s">
        <v>290</v>
      </c>
      <c r="T105" s="0" t="s">
        <v>276</v>
      </c>
      <c r="U105" s="0" t="s">
        <v>277</v>
      </c>
    </row>
    <row r="106" customFormat="false" ht="15" hidden="false" customHeight="false" outlineLevel="0" collapsed="false">
      <c r="A106" s="0" t="n">
        <v>9</v>
      </c>
      <c r="B106" s="0" t="s">
        <v>42</v>
      </c>
      <c r="C106" s="0" t="s">
        <v>266</v>
      </c>
      <c r="D106" s="0" t="s">
        <v>708</v>
      </c>
      <c r="E106" s="0" t="n">
        <v>2025</v>
      </c>
      <c r="H106" s="0" t="n">
        <v>3</v>
      </c>
      <c r="I106" s="0" t="n">
        <v>149</v>
      </c>
      <c r="J106" s="0" t="s">
        <v>268</v>
      </c>
      <c r="K106" s="0" t="s">
        <v>558</v>
      </c>
      <c r="L106" s="0" t="s">
        <v>293</v>
      </c>
      <c r="M106" s="0" t="s">
        <v>709</v>
      </c>
      <c r="N106" s="0" t="s">
        <v>709</v>
      </c>
      <c r="O106" s="0" t="s">
        <v>710</v>
      </c>
      <c r="P106" s="0" t="s">
        <v>711</v>
      </c>
      <c r="R106" s="0" t="s">
        <v>275</v>
      </c>
      <c r="S106" s="0" t="s">
        <v>290</v>
      </c>
      <c r="T106" s="0" t="s">
        <v>276</v>
      </c>
      <c r="U106" s="0" t="s">
        <v>277</v>
      </c>
    </row>
    <row r="107" customFormat="false" ht="15" hidden="false" customHeight="false" outlineLevel="0" collapsed="false">
      <c r="A107" s="0" t="n">
        <v>9</v>
      </c>
      <c r="B107" s="0" t="s">
        <v>42</v>
      </c>
      <c r="C107" s="0" t="s">
        <v>266</v>
      </c>
      <c r="D107" s="0" t="s">
        <v>712</v>
      </c>
      <c r="E107" s="0" t="n">
        <v>2025</v>
      </c>
      <c r="H107" s="0" t="n">
        <v>2</v>
      </c>
      <c r="I107" s="0" t="n">
        <v>206</v>
      </c>
      <c r="J107" s="0" t="s">
        <v>268</v>
      </c>
      <c r="K107" s="0" t="s">
        <v>558</v>
      </c>
      <c r="L107" s="0" t="s">
        <v>293</v>
      </c>
      <c r="M107" s="0" t="s">
        <v>713</v>
      </c>
      <c r="N107" s="0" t="s">
        <v>713</v>
      </c>
      <c r="O107" s="0" t="s">
        <v>714</v>
      </c>
      <c r="P107" s="0" t="s">
        <v>715</v>
      </c>
      <c r="R107" s="0" t="s">
        <v>275</v>
      </c>
      <c r="S107" s="0" t="s">
        <v>290</v>
      </c>
      <c r="T107" s="0" t="s">
        <v>276</v>
      </c>
      <c r="U107" s="0" t="s">
        <v>277</v>
      </c>
    </row>
    <row r="108" customFormat="false" ht="15" hidden="false" customHeight="false" outlineLevel="0" collapsed="false">
      <c r="A108" s="0" t="n">
        <v>9</v>
      </c>
      <c r="B108" s="0" t="s">
        <v>42</v>
      </c>
      <c r="C108" s="0" t="s">
        <v>266</v>
      </c>
      <c r="D108" s="0" t="s">
        <v>716</v>
      </c>
      <c r="E108" s="0" t="n">
        <v>2025</v>
      </c>
      <c r="H108" s="0" t="n">
        <v>2</v>
      </c>
      <c r="I108" s="0" t="n">
        <v>254</v>
      </c>
      <c r="J108" s="0" t="s">
        <v>268</v>
      </c>
      <c r="K108" s="0" t="s">
        <v>558</v>
      </c>
      <c r="L108" s="0" t="s">
        <v>293</v>
      </c>
      <c r="M108" s="0" t="s">
        <v>717</v>
      </c>
      <c r="N108" s="0" t="s">
        <v>717</v>
      </c>
      <c r="O108" s="0" t="s">
        <v>718</v>
      </c>
      <c r="P108" s="0" t="s">
        <v>719</v>
      </c>
      <c r="R108" s="0" t="s">
        <v>275</v>
      </c>
      <c r="S108" s="0" t="s">
        <v>290</v>
      </c>
      <c r="T108" s="0" t="s">
        <v>276</v>
      </c>
      <c r="U108" s="0" t="s">
        <v>277</v>
      </c>
    </row>
    <row r="109" customFormat="false" ht="15" hidden="false" customHeight="false" outlineLevel="0" collapsed="false">
      <c r="A109" s="0" t="n">
        <v>9</v>
      </c>
      <c r="B109" s="0" t="s">
        <v>42</v>
      </c>
      <c r="C109" s="0" t="s">
        <v>266</v>
      </c>
      <c r="D109" s="0" t="s">
        <v>720</v>
      </c>
      <c r="E109" s="0" t="n">
        <v>2025</v>
      </c>
      <c r="H109" s="0" t="n">
        <v>2</v>
      </c>
      <c r="I109" s="0" t="n">
        <v>374</v>
      </c>
      <c r="J109" s="0" t="s">
        <v>268</v>
      </c>
      <c r="K109" s="0" t="s">
        <v>558</v>
      </c>
      <c r="L109" s="0" t="s">
        <v>293</v>
      </c>
      <c r="M109" s="0" t="s">
        <v>721</v>
      </c>
      <c r="N109" s="0" t="s">
        <v>721</v>
      </c>
      <c r="O109" s="0" t="s">
        <v>722</v>
      </c>
      <c r="P109" s="0" t="s">
        <v>723</v>
      </c>
      <c r="R109" s="0" t="s">
        <v>275</v>
      </c>
      <c r="S109" s="0" t="s">
        <v>290</v>
      </c>
      <c r="T109" s="0" t="s">
        <v>276</v>
      </c>
      <c r="U109" s="0" t="s">
        <v>277</v>
      </c>
    </row>
    <row r="110" customFormat="false" ht="15" hidden="false" customHeight="false" outlineLevel="0" collapsed="false">
      <c r="A110" s="0" t="n">
        <v>9</v>
      </c>
      <c r="B110" s="0" t="s">
        <v>42</v>
      </c>
      <c r="C110" s="0" t="s">
        <v>266</v>
      </c>
      <c r="D110" s="0" t="s">
        <v>724</v>
      </c>
      <c r="E110" s="0" t="n">
        <v>2025</v>
      </c>
      <c r="H110" s="0" t="n">
        <v>2</v>
      </c>
      <c r="I110" s="0" t="n">
        <v>361</v>
      </c>
      <c r="J110" s="0" t="s">
        <v>268</v>
      </c>
      <c r="K110" s="0" t="s">
        <v>558</v>
      </c>
      <c r="L110" s="0" t="s">
        <v>293</v>
      </c>
      <c r="M110" s="0" t="s">
        <v>725</v>
      </c>
      <c r="N110" s="0" t="s">
        <v>725</v>
      </c>
      <c r="O110" s="0" t="s">
        <v>726</v>
      </c>
      <c r="P110" s="0" t="s">
        <v>727</v>
      </c>
      <c r="R110" s="0" t="s">
        <v>275</v>
      </c>
      <c r="S110" s="0" t="s">
        <v>290</v>
      </c>
      <c r="T110" s="0" t="s">
        <v>276</v>
      </c>
      <c r="U110" s="0" t="s">
        <v>277</v>
      </c>
    </row>
    <row r="111" customFormat="false" ht="15" hidden="false" customHeight="false" outlineLevel="0" collapsed="false">
      <c r="A111" s="0" t="n">
        <v>9</v>
      </c>
      <c r="B111" s="0" t="s">
        <v>42</v>
      </c>
      <c r="C111" s="0" t="s">
        <v>266</v>
      </c>
      <c r="D111" s="0" t="s">
        <v>728</v>
      </c>
      <c r="E111" s="0" t="n">
        <v>2025</v>
      </c>
      <c r="H111" s="0" t="n">
        <v>2</v>
      </c>
      <c r="I111" s="0" t="n">
        <v>216</v>
      </c>
      <c r="J111" s="0" t="s">
        <v>268</v>
      </c>
      <c r="K111" s="0" t="s">
        <v>558</v>
      </c>
      <c r="L111" s="0" t="s">
        <v>293</v>
      </c>
      <c r="M111" s="0" t="s">
        <v>729</v>
      </c>
      <c r="N111" s="0" t="s">
        <v>729</v>
      </c>
      <c r="O111" s="0" t="s">
        <v>730</v>
      </c>
      <c r="P111" s="0" t="s">
        <v>731</v>
      </c>
      <c r="R111" s="0" t="s">
        <v>275</v>
      </c>
      <c r="S111" s="0" t="s">
        <v>290</v>
      </c>
      <c r="T111" s="0" t="s">
        <v>276</v>
      </c>
      <c r="U111" s="0" t="s">
        <v>277</v>
      </c>
    </row>
    <row r="112" customFormat="false" ht="15" hidden="false" customHeight="false" outlineLevel="0" collapsed="false">
      <c r="A112" s="0" t="n">
        <v>9</v>
      </c>
      <c r="B112" s="0" t="s">
        <v>42</v>
      </c>
      <c r="C112" s="0" t="s">
        <v>266</v>
      </c>
      <c r="D112" s="0" t="s">
        <v>732</v>
      </c>
      <c r="E112" s="0" t="n">
        <v>2025</v>
      </c>
      <c r="H112" s="0" t="n">
        <v>2</v>
      </c>
      <c r="I112" s="0" t="n">
        <v>204</v>
      </c>
      <c r="J112" s="0" t="s">
        <v>268</v>
      </c>
      <c r="K112" s="0" t="s">
        <v>558</v>
      </c>
      <c r="L112" s="0" t="s">
        <v>293</v>
      </c>
      <c r="M112" s="0" t="s">
        <v>733</v>
      </c>
      <c r="N112" s="0" t="s">
        <v>733</v>
      </c>
      <c r="O112" s="0" t="s">
        <v>734</v>
      </c>
      <c r="P112" s="0" t="s">
        <v>735</v>
      </c>
      <c r="R112" s="0" t="s">
        <v>275</v>
      </c>
      <c r="S112" s="0" t="s">
        <v>290</v>
      </c>
      <c r="T112" s="0" t="s">
        <v>276</v>
      </c>
      <c r="U112" s="0" t="s">
        <v>277</v>
      </c>
    </row>
    <row r="113" customFormat="false" ht="15" hidden="false" customHeight="false" outlineLevel="0" collapsed="false">
      <c r="A113" s="0" t="n">
        <v>9</v>
      </c>
      <c r="B113" s="0" t="s">
        <v>42</v>
      </c>
      <c r="C113" s="0" t="s">
        <v>266</v>
      </c>
      <c r="D113" s="0" t="s">
        <v>736</v>
      </c>
      <c r="E113" s="0" t="n">
        <v>2024</v>
      </c>
      <c r="H113" s="0" t="n">
        <v>2</v>
      </c>
      <c r="I113" s="0" t="n">
        <v>243</v>
      </c>
      <c r="J113" s="0" t="s">
        <v>268</v>
      </c>
      <c r="K113" s="0" t="s">
        <v>558</v>
      </c>
      <c r="L113" s="0" t="s">
        <v>293</v>
      </c>
      <c r="M113" s="0" t="s">
        <v>737</v>
      </c>
      <c r="N113" s="0" t="s">
        <v>737</v>
      </c>
      <c r="O113" s="0" t="s">
        <v>738</v>
      </c>
      <c r="P113" s="0" t="s">
        <v>739</v>
      </c>
      <c r="R113" s="0" t="s">
        <v>284</v>
      </c>
      <c r="S113" s="0" t="s">
        <v>290</v>
      </c>
      <c r="T113" s="0" t="s">
        <v>276</v>
      </c>
      <c r="U113" s="0" t="s">
        <v>277</v>
      </c>
    </row>
    <row r="114" customFormat="false" ht="15" hidden="false" customHeight="false" outlineLevel="0" collapsed="false">
      <c r="A114" s="0" t="n">
        <v>9</v>
      </c>
      <c r="B114" s="0" t="s">
        <v>42</v>
      </c>
      <c r="C114" s="0" t="s">
        <v>266</v>
      </c>
      <c r="D114" s="0" t="s">
        <v>740</v>
      </c>
      <c r="E114" s="0" t="n">
        <v>2024</v>
      </c>
      <c r="H114" s="0" t="n">
        <v>2</v>
      </c>
      <c r="I114" s="0" t="n">
        <v>300</v>
      </c>
      <c r="J114" s="0" t="s">
        <v>268</v>
      </c>
      <c r="K114" s="0" t="s">
        <v>558</v>
      </c>
      <c r="L114" s="0" t="s">
        <v>293</v>
      </c>
      <c r="M114" s="0" t="s">
        <v>741</v>
      </c>
      <c r="N114" s="0" t="s">
        <v>741</v>
      </c>
      <c r="O114" s="0" t="s">
        <v>742</v>
      </c>
      <c r="P114" s="0" t="s">
        <v>743</v>
      </c>
      <c r="R114" s="0" t="s">
        <v>284</v>
      </c>
      <c r="S114" s="0" t="s">
        <v>290</v>
      </c>
      <c r="T114" s="0" t="s">
        <v>276</v>
      </c>
      <c r="U114" s="0" t="s">
        <v>277</v>
      </c>
    </row>
    <row r="115" customFormat="false" ht="15" hidden="false" customHeight="false" outlineLevel="0" collapsed="false">
      <c r="A115" s="0" t="n">
        <v>9</v>
      </c>
      <c r="B115" s="0" t="s">
        <v>42</v>
      </c>
      <c r="C115" s="0" t="s">
        <v>266</v>
      </c>
      <c r="D115" s="0" t="s">
        <v>744</v>
      </c>
      <c r="E115" s="0" t="n">
        <v>2024</v>
      </c>
      <c r="H115" s="0" t="n">
        <v>2</v>
      </c>
      <c r="I115" s="0" t="n">
        <v>521</v>
      </c>
      <c r="J115" s="0" t="s">
        <v>268</v>
      </c>
      <c r="K115" s="0" t="s">
        <v>558</v>
      </c>
      <c r="L115" s="0" t="s">
        <v>293</v>
      </c>
      <c r="M115" s="0" t="s">
        <v>745</v>
      </c>
      <c r="N115" s="0" t="s">
        <v>745</v>
      </c>
      <c r="O115" s="0" t="s">
        <v>746</v>
      </c>
      <c r="P115" s="0" t="s">
        <v>747</v>
      </c>
      <c r="R115" s="0" t="s">
        <v>284</v>
      </c>
      <c r="S115" s="0" t="s">
        <v>290</v>
      </c>
      <c r="T115" s="0" t="s">
        <v>276</v>
      </c>
      <c r="U115" s="0" t="s">
        <v>277</v>
      </c>
    </row>
    <row r="116" customFormat="false" ht="15" hidden="false" customHeight="false" outlineLevel="0" collapsed="false">
      <c r="A116" s="0" t="n">
        <v>9</v>
      </c>
      <c r="B116" s="0" t="s">
        <v>42</v>
      </c>
      <c r="C116" s="0" t="s">
        <v>266</v>
      </c>
      <c r="D116" s="0" t="s">
        <v>748</v>
      </c>
      <c r="E116" s="0" t="n">
        <v>2024</v>
      </c>
      <c r="H116" s="0" t="n">
        <v>2</v>
      </c>
      <c r="I116" s="0" t="n">
        <v>266</v>
      </c>
      <c r="J116" s="0" t="s">
        <v>268</v>
      </c>
      <c r="K116" s="0" t="s">
        <v>558</v>
      </c>
      <c r="L116" s="0" t="s">
        <v>293</v>
      </c>
      <c r="M116" s="0" t="s">
        <v>749</v>
      </c>
      <c r="N116" s="0" t="s">
        <v>749</v>
      </c>
      <c r="O116" s="0" t="s">
        <v>750</v>
      </c>
      <c r="P116" s="0" t="s">
        <v>751</v>
      </c>
      <c r="R116" s="0" t="s">
        <v>284</v>
      </c>
      <c r="S116" s="0" t="s">
        <v>290</v>
      </c>
      <c r="T116" s="0" t="s">
        <v>276</v>
      </c>
      <c r="U116" s="0" t="s">
        <v>277</v>
      </c>
    </row>
    <row r="117" customFormat="false" ht="15" hidden="false" customHeight="false" outlineLevel="0" collapsed="false">
      <c r="A117" s="0" t="n">
        <v>9</v>
      </c>
      <c r="B117" s="0" t="s">
        <v>42</v>
      </c>
      <c r="C117" s="0" t="s">
        <v>266</v>
      </c>
      <c r="D117" s="0" t="s">
        <v>752</v>
      </c>
      <c r="E117" s="0" t="n">
        <v>2024</v>
      </c>
      <c r="H117" s="0" t="n">
        <v>18</v>
      </c>
      <c r="I117" s="0" t="n">
        <v>4756</v>
      </c>
      <c r="J117" s="0" t="s">
        <v>268</v>
      </c>
      <c r="K117" s="0" t="s">
        <v>558</v>
      </c>
      <c r="L117" s="0" t="s">
        <v>293</v>
      </c>
      <c r="M117" s="0" t="s">
        <v>753</v>
      </c>
      <c r="N117" s="0" t="s">
        <v>753</v>
      </c>
      <c r="O117" s="0" t="s">
        <v>754</v>
      </c>
      <c r="P117" s="0" t="s">
        <v>755</v>
      </c>
      <c r="R117" s="0" t="s">
        <v>284</v>
      </c>
      <c r="S117" s="0" t="s">
        <v>290</v>
      </c>
      <c r="T117" s="0" t="s">
        <v>276</v>
      </c>
      <c r="U117" s="0" t="s">
        <v>277</v>
      </c>
    </row>
    <row r="118" customFormat="false" ht="15" hidden="false" customHeight="false" outlineLevel="0" collapsed="false">
      <c r="A118" s="0" t="n">
        <v>9</v>
      </c>
      <c r="B118" s="0" t="s">
        <v>42</v>
      </c>
      <c r="C118" s="0" t="s">
        <v>266</v>
      </c>
      <c r="D118" s="0" t="s">
        <v>756</v>
      </c>
      <c r="E118" s="0" t="n">
        <v>2024</v>
      </c>
      <c r="H118" s="0" t="n">
        <v>2</v>
      </c>
      <c r="I118" s="0" t="n">
        <v>266</v>
      </c>
      <c r="J118" s="0" t="s">
        <v>268</v>
      </c>
      <c r="K118" s="0" t="s">
        <v>558</v>
      </c>
      <c r="L118" s="0" t="s">
        <v>293</v>
      </c>
      <c r="M118" s="0" t="s">
        <v>757</v>
      </c>
      <c r="N118" s="0" t="s">
        <v>757</v>
      </c>
      <c r="O118" s="0" t="s">
        <v>758</v>
      </c>
      <c r="P118" s="0" t="s">
        <v>759</v>
      </c>
      <c r="R118" s="0" t="s">
        <v>284</v>
      </c>
      <c r="S118" s="0" t="s">
        <v>290</v>
      </c>
      <c r="T118" s="0" t="s">
        <v>276</v>
      </c>
      <c r="U118" s="0" t="s">
        <v>277</v>
      </c>
    </row>
    <row r="119" customFormat="false" ht="15" hidden="false" customHeight="false" outlineLevel="0" collapsed="false">
      <c r="A119" s="0" t="n">
        <v>9</v>
      </c>
      <c r="B119" s="0" t="s">
        <v>42</v>
      </c>
      <c r="C119" s="0" t="s">
        <v>266</v>
      </c>
      <c r="D119" s="0" t="s">
        <v>760</v>
      </c>
      <c r="E119" s="0" t="n">
        <v>2024</v>
      </c>
      <c r="H119" s="0" t="n">
        <v>1</v>
      </c>
      <c r="I119" s="0" t="n">
        <v>497</v>
      </c>
      <c r="J119" s="0" t="s">
        <v>268</v>
      </c>
      <c r="K119" s="0" t="s">
        <v>558</v>
      </c>
      <c r="L119" s="0" t="s">
        <v>293</v>
      </c>
      <c r="M119" s="0" t="s">
        <v>761</v>
      </c>
      <c r="N119" s="0" t="s">
        <v>761</v>
      </c>
      <c r="O119" s="0" t="s">
        <v>762</v>
      </c>
      <c r="P119" s="0" t="s">
        <v>763</v>
      </c>
      <c r="R119" s="0" t="s">
        <v>284</v>
      </c>
      <c r="S119" s="0" t="s">
        <v>290</v>
      </c>
      <c r="T119" s="0" t="s">
        <v>276</v>
      </c>
      <c r="U119" s="0" t="s">
        <v>277</v>
      </c>
    </row>
    <row r="120" customFormat="false" ht="15" hidden="false" customHeight="false" outlineLevel="0" collapsed="false">
      <c r="A120" s="0" t="n">
        <v>9</v>
      </c>
      <c r="B120" s="0" t="s">
        <v>42</v>
      </c>
      <c r="C120" s="0" t="s">
        <v>266</v>
      </c>
      <c r="D120" s="0" t="s">
        <v>764</v>
      </c>
      <c r="E120" s="0" t="n">
        <v>2024</v>
      </c>
      <c r="H120" s="0" t="n">
        <v>2</v>
      </c>
      <c r="I120" s="0" t="n">
        <v>159</v>
      </c>
      <c r="J120" s="0" t="s">
        <v>268</v>
      </c>
      <c r="K120" s="0" t="s">
        <v>558</v>
      </c>
      <c r="L120" s="0" t="s">
        <v>293</v>
      </c>
      <c r="M120" s="0" t="s">
        <v>765</v>
      </c>
      <c r="N120" s="0" t="s">
        <v>765</v>
      </c>
      <c r="O120" s="0" t="s">
        <v>766</v>
      </c>
      <c r="P120" s="0" t="s">
        <v>767</v>
      </c>
      <c r="R120" s="0" t="s">
        <v>284</v>
      </c>
      <c r="S120" s="0" t="s">
        <v>290</v>
      </c>
      <c r="T120" s="0" t="s">
        <v>276</v>
      </c>
      <c r="U120" s="0" t="s">
        <v>277</v>
      </c>
    </row>
    <row r="121" customFormat="false" ht="15" hidden="false" customHeight="false" outlineLevel="0" collapsed="false">
      <c r="A121" s="0" t="n">
        <v>9</v>
      </c>
      <c r="B121" s="0" t="s">
        <v>42</v>
      </c>
      <c r="C121" s="0" t="s">
        <v>266</v>
      </c>
      <c r="D121" s="0" t="s">
        <v>768</v>
      </c>
      <c r="E121" s="0" t="n">
        <v>2023</v>
      </c>
      <c r="H121" s="0" t="n">
        <v>7</v>
      </c>
      <c r="I121" s="0" t="n">
        <v>315</v>
      </c>
      <c r="J121" s="0" t="s">
        <v>268</v>
      </c>
      <c r="K121" s="0" t="s">
        <v>558</v>
      </c>
      <c r="L121" s="0" t="s">
        <v>293</v>
      </c>
      <c r="M121" s="0" t="s">
        <v>769</v>
      </c>
      <c r="N121" s="0" t="s">
        <v>769</v>
      </c>
      <c r="O121" s="0" t="s">
        <v>770</v>
      </c>
      <c r="P121" s="0" t="s">
        <v>771</v>
      </c>
      <c r="R121" s="0" t="s">
        <v>284</v>
      </c>
      <c r="S121" s="0" t="s">
        <v>290</v>
      </c>
      <c r="T121" s="0" t="s">
        <v>276</v>
      </c>
      <c r="U121" s="0" t="s">
        <v>277</v>
      </c>
    </row>
    <row r="122" customFormat="false" ht="15" hidden="false" customHeight="false" outlineLevel="0" collapsed="false">
      <c r="A122" s="0" t="n">
        <v>9</v>
      </c>
      <c r="B122" s="0" t="s">
        <v>42</v>
      </c>
      <c r="C122" s="0" t="s">
        <v>266</v>
      </c>
      <c r="D122" s="0" t="s">
        <v>772</v>
      </c>
      <c r="E122" s="0" t="n">
        <v>2023</v>
      </c>
      <c r="H122" s="0" t="n">
        <v>2</v>
      </c>
      <c r="I122" s="0" t="n">
        <v>297</v>
      </c>
      <c r="J122" s="0" t="s">
        <v>268</v>
      </c>
      <c r="K122" s="0" t="s">
        <v>558</v>
      </c>
      <c r="L122" s="0" t="s">
        <v>293</v>
      </c>
      <c r="M122" s="0" t="s">
        <v>773</v>
      </c>
      <c r="N122" s="0" t="s">
        <v>773</v>
      </c>
      <c r="O122" s="0" t="s">
        <v>774</v>
      </c>
      <c r="P122" s="0" t="s">
        <v>775</v>
      </c>
      <c r="R122" s="0" t="s">
        <v>284</v>
      </c>
      <c r="S122" s="0" t="s">
        <v>290</v>
      </c>
      <c r="T122" s="0" t="s">
        <v>276</v>
      </c>
      <c r="U122" s="0" t="s">
        <v>277</v>
      </c>
    </row>
    <row r="123" customFormat="false" ht="15" hidden="false" customHeight="false" outlineLevel="0" collapsed="false">
      <c r="A123" s="0" t="n">
        <v>9</v>
      </c>
      <c r="B123" s="0" t="s">
        <v>42</v>
      </c>
      <c r="C123" s="0" t="s">
        <v>266</v>
      </c>
      <c r="D123" s="0" t="s">
        <v>776</v>
      </c>
      <c r="E123" s="0" t="n">
        <v>2023</v>
      </c>
      <c r="H123" s="0" t="n">
        <v>1</v>
      </c>
      <c r="I123" s="0" t="n">
        <v>668</v>
      </c>
      <c r="J123" s="0" t="s">
        <v>268</v>
      </c>
      <c r="K123" s="0" t="s">
        <v>558</v>
      </c>
      <c r="L123" s="0" t="s">
        <v>293</v>
      </c>
      <c r="M123" s="0" t="s">
        <v>777</v>
      </c>
      <c r="N123" s="0" t="s">
        <v>777</v>
      </c>
      <c r="O123" s="0" t="s">
        <v>778</v>
      </c>
      <c r="P123" s="0" t="s">
        <v>779</v>
      </c>
      <c r="R123" s="0" t="s">
        <v>284</v>
      </c>
      <c r="S123" s="0" t="s">
        <v>290</v>
      </c>
      <c r="T123" s="0" t="s">
        <v>276</v>
      </c>
      <c r="U123" s="0" t="s">
        <v>277</v>
      </c>
    </row>
    <row r="124" customFormat="false" ht="15" hidden="false" customHeight="false" outlineLevel="0" collapsed="false">
      <c r="A124" s="0" t="n">
        <v>9</v>
      </c>
      <c r="B124" s="0" t="s">
        <v>42</v>
      </c>
      <c r="C124" s="0" t="s">
        <v>266</v>
      </c>
      <c r="D124" s="0" t="s">
        <v>780</v>
      </c>
      <c r="E124" s="0" t="n">
        <v>2023</v>
      </c>
      <c r="H124" s="0" t="n">
        <v>26</v>
      </c>
      <c r="I124" s="0" t="n">
        <v>9116</v>
      </c>
      <c r="J124" s="0" t="s">
        <v>268</v>
      </c>
      <c r="K124" s="0" t="s">
        <v>558</v>
      </c>
      <c r="L124" s="0" t="s">
        <v>293</v>
      </c>
      <c r="M124" s="0" t="s">
        <v>781</v>
      </c>
      <c r="N124" s="0" t="s">
        <v>781</v>
      </c>
      <c r="O124" s="0" t="s">
        <v>782</v>
      </c>
      <c r="P124" s="0" t="s">
        <v>783</v>
      </c>
      <c r="R124" s="0" t="s">
        <v>284</v>
      </c>
      <c r="S124" s="0" t="s">
        <v>290</v>
      </c>
      <c r="T124" s="0" t="s">
        <v>276</v>
      </c>
      <c r="U124" s="0" t="s">
        <v>277</v>
      </c>
    </row>
    <row r="125" customFormat="false" ht="15" hidden="false" customHeight="false" outlineLevel="0" collapsed="false">
      <c r="A125" s="0" t="n">
        <v>9</v>
      </c>
      <c r="B125" s="0" t="s">
        <v>42</v>
      </c>
      <c r="C125" s="0" t="s">
        <v>266</v>
      </c>
      <c r="D125" s="0" t="s">
        <v>784</v>
      </c>
      <c r="E125" s="0" t="n">
        <v>2020</v>
      </c>
      <c r="H125" s="0" t="n">
        <v>6</v>
      </c>
      <c r="I125" s="0" t="n">
        <v>315</v>
      </c>
      <c r="J125" s="0" t="s">
        <v>268</v>
      </c>
      <c r="K125" s="0" t="s">
        <v>558</v>
      </c>
      <c r="L125" s="0" t="s">
        <v>293</v>
      </c>
      <c r="M125" s="0" t="s">
        <v>785</v>
      </c>
      <c r="N125" s="0" t="s">
        <v>785</v>
      </c>
      <c r="O125" s="0" t="s">
        <v>786</v>
      </c>
      <c r="P125" s="0" t="s">
        <v>787</v>
      </c>
      <c r="R125" s="0" t="s">
        <v>284</v>
      </c>
      <c r="S125" s="0" t="s">
        <v>290</v>
      </c>
      <c r="T125" s="0" t="s">
        <v>276</v>
      </c>
      <c r="U125" s="0" t="s">
        <v>277</v>
      </c>
    </row>
    <row r="126" customFormat="false" ht="15" hidden="false" customHeight="false" outlineLevel="0" collapsed="false">
      <c r="A126" s="0" t="n">
        <v>9</v>
      </c>
      <c r="B126" s="0" t="s">
        <v>42</v>
      </c>
      <c r="C126" s="0" t="s">
        <v>324</v>
      </c>
      <c r="D126" s="0" t="s">
        <v>788</v>
      </c>
      <c r="E126" s="0" t="n">
        <v>2025</v>
      </c>
      <c r="H126" s="0" t="n">
        <v>15</v>
      </c>
      <c r="I126" s="0" t="n">
        <v>2310</v>
      </c>
      <c r="J126" s="0" t="s">
        <v>268</v>
      </c>
      <c r="K126" s="0" t="s">
        <v>558</v>
      </c>
      <c r="L126" s="0" t="s">
        <v>293</v>
      </c>
      <c r="M126" s="0" t="s">
        <v>789</v>
      </c>
      <c r="N126" s="0" t="s">
        <v>789</v>
      </c>
      <c r="O126" s="0" t="s">
        <v>790</v>
      </c>
      <c r="P126" s="0" t="s">
        <v>791</v>
      </c>
      <c r="R126" s="0" t="s">
        <v>275</v>
      </c>
      <c r="S126" s="0" t="s">
        <v>268</v>
      </c>
      <c r="T126" s="0" t="s">
        <v>276</v>
      </c>
      <c r="U126" s="0" t="s">
        <v>277</v>
      </c>
    </row>
    <row r="127" customFormat="false" ht="15" hidden="false" customHeight="false" outlineLevel="0" collapsed="false">
      <c r="A127" s="0" t="n">
        <v>9</v>
      </c>
      <c r="B127" s="0" t="s">
        <v>42</v>
      </c>
      <c r="C127" s="0" t="s">
        <v>324</v>
      </c>
      <c r="D127" s="0" t="s">
        <v>792</v>
      </c>
      <c r="E127" s="0" t="n">
        <v>2025</v>
      </c>
      <c r="H127" s="0" t="n">
        <v>7</v>
      </c>
      <c r="I127" s="0" t="n">
        <v>598</v>
      </c>
      <c r="J127" s="0" t="s">
        <v>268</v>
      </c>
      <c r="K127" s="0" t="s">
        <v>558</v>
      </c>
      <c r="L127" s="0" t="s">
        <v>293</v>
      </c>
      <c r="M127" s="0" t="s">
        <v>793</v>
      </c>
      <c r="N127" s="0" t="s">
        <v>793</v>
      </c>
      <c r="O127" s="0" t="s">
        <v>794</v>
      </c>
      <c r="P127" s="0" t="s">
        <v>795</v>
      </c>
      <c r="R127" s="0" t="s">
        <v>275</v>
      </c>
      <c r="S127" s="0" t="s">
        <v>290</v>
      </c>
      <c r="T127" s="0" t="s">
        <v>276</v>
      </c>
      <c r="U127" s="0" t="s">
        <v>277</v>
      </c>
    </row>
    <row r="128" customFormat="false" ht="15" hidden="false" customHeight="false" outlineLevel="0" collapsed="false">
      <c r="A128" s="0" t="n">
        <v>9</v>
      </c>
      <c r="B128" s="0" t="s">
        <v>42</v>
      </c>
      <c r="C128" s="0" t="s">
        <v>324</v>
      </c>
      <c r="D128" s="0" t="s">
        <v>796</v>
      </c>
      <c r="E128" s="0" t="n">
        <v>2024</v>
      </c>
      <c r="H128" s="0" t="n">
        <v>11</v>
      </c>
      <c r="I128" s="0" t="n">
        <v>3038</v>
      </c>
      <c r="J128" s="0" t="s">
        <v>268</v>
      </c>
      <c r="K128" s="0" t="s">
        <v>558</v>
      </c>
      <c r="L128" s="0" t="s">
        <v>293</v>
      </c>
      <c r="M128" s="0" t="s">
        <v>797</v>
      </c>
      <c r="N128" s="0" t="s">
        <v>797</v>
      </c>
      <c r="O128" s="0" t="s">
        <v>798</v>
      </c>
      <c r="P128" s="0" t="s">
        <v>799</v>
      </c>
      <c r="R128" s="0" t="s">
        <v>284</v>
      </c>
      <c r="S128" s="0" t="s">
        <v>290</v>
      </c>
      <c r="T128" s="0" t="s">
        <v>276</v>
      </c>
      <c r="U128" s="0" t="s">
        <v>277</v>
      </c>
    </row>
    <row r="129" customFormat="false" ht="15" hidden="false" customHeight="false" outlineLevel="0" collapsed="false">
      <c r="A129" s="0" t="n">
        <v>9</v>
      </c>
      <c r="B129" s="0" t="s">
        <v>42</v>
      </c>
      <c r="C129" s="0" t="s">
        <v>324</v>
      </c>
      <c r="D129" s="0" t="s">
        <v>800</v>
      </c>
      <c r="E129" s="0" t="n">
        <v>2024</v>
      </c>
      <c r="H129" s="0" t="n">
        <v>2</v>
      </c>
      <c r="I129" s="0" t="n">
        <v>1316</v>
      </c>
      <c r="J129" s="0" t="s">
        <v>268</v>
      </c>
      <c r="K129" s="0" t="s">
        <v>558</v>
      </c>
      <c r="L129" s="0" t="s">
        <v>293</v>
      </c>
      <c r="M129" s="0" t="s">
        <v>801</v>
      </c>
      <c r="N129" s="0" t="s">
        <v>801</v>
      </c>
      <c r="O129" s="0" t="s">
        <v>802</v>
      </c>
      <c r="P129" s="0" t="s">
        <v>803</v>
      </c>
      <c r="R129" s="0" t="s">
        <v>284</v>
      </c>
      <c r="S129" s="0" t="s">
        <v>290</v>
      </c>
      <c r="T129" s="0" t="s">
        <v>276</v>
      </c>
      <c r="U129" s="0" t="s">
        <v>277</v>
      </c>
    </row>
    <row r="130" customFormat="false" ht="15" hidden="false" customHeight="false" outlineLevel="0" collapsed="false">
      <c r="A130" s="0" t="n">
        <v>9</v>
      </c>
      <c r="B130" s="0" t="s">
        <v>42</v>
      </c>
      <c r="C130" s="0" t="s">
        <v>324</v>
      </c>
      <c r="D130" s="0" t="s">
        <v>804</v>
      </c>
      <c r="E130" s="0" t="n">
        <v>2023</v>
      </c>
      <c r="H130" s="0" t="n">
        <v>1</v>
      </c>
      <c r="I130" s="0" t="n">
        <v>892</v>
      </c>
      <c r="J130" s="0" t="s">
        <v>268</v>
      </c>
      <c r="K130" s="0" t="s">
        <v>558</v>
      </c>
      <c r="L130" s="0" t="s">
        <v>293</v>
      </c>
      <c r="M130" s="0" t="s">
        <v>805</v>
      </c>
      <c r="N130" s="0" t="s">
        <v>805</v>
      </c>
      <c r="O130" s="0" t="s">
        <v>806</v>
      </c>
      <c r="P130" s="0" t="s">
        <v>807</v>
      </c>
      <c r="R130" s="0" t="s">
        <v>284</v>
      </c>
      <c r="S130" s="0" t="s">
        <v>290</v>
      </c>
      <c r="T130" s="0" t="s">
        <v>276</v>
      </c>
      <c r="U130" s="0" t="s">
        <v>277</v>
      </c>
    </row>
    <row r="131" customFormat="false" ht="15" hidden="false" customHeight="false" outlineLevel="0" collapsed="false">
      <c r="A131" s="0" t="n">
        <v>9</v>
      </c>
      <c r="B131" s="0" t="s">
        <v>42</v>
      </c>
      <c r="C131" s="0" t="s">
        <v>324</v>
      </c>
      <c r="D131" s="0" t="s">
        <v>808</v>
      </c>
      <c r="E131" s="0" t="n">
        <v>2023</v>
      </c>
      <c r="H131" s="0" t="n">
        <v>3</v>
      </c>
      <c r="I131" s="0" t="n">
        <v>7647</v>
      </c>
      <c r="J131" s="0" t="s">
        <v>268</v>
      </c>
      <c r="K131" s="0" t="s">
        <v>558</v>
      </c>
      <c r="L131" s="0" t="s">
        <v>293</v>
      </c>
      <c r="M131" s="0" t="s">
        <v>809</v>
      </c>
      <c r="N131" s="0" t="s">
        <v>809</v>
      </c>
      <c r="O131" s="0" t="s">
        <v>810</v>
      </c>
      <c r="P131" s="0" t="s">
        <v>811</v>
      </c>
      <c r="R131" s="0" t="s">
        <v>284</v>
      </c>
      <c r="S131" s="0" t="s">
        <v>290</v>
      </c>
      <c r="T131" s="0" t="s">
        <v>276</v>
      </c>
      <c r="U131" s="0" t="s">
        <v>277</v>
      </c>
    </row>
    <row r="132" customFormat="false" ht="15" hidden="false" customHeight="false" outlineLevel="0" collapsed="false">
      <c r="A132" s="0" t="n">
        <v>9</v>
      </c>
      <c r="B132" s="0" t="s">
        <v>42</v>
      </c>
      <c r="C132" s="0" t="s">
        <v>324</v>
      </c>
      <c r="D132" s="0" t="s">
        <v>812</v>
      </c>
      <c r="E132" s="0" t="n">
        <v>2011</v>
      </c>
      <c r="H132" s="0" t="n">
        <v>25</v>
      </c>
      <c r="I132" s="0" t="n">
        <v>1613</v>
      </c>
      <c r="J132" s="0" t="s">
        <v>268</v>
      </c>
      <c r="K132" s="0" t="s">
        <v>558</v>
      </c>
      <c r="L132" s="0" t="s">
        <v>293</v>
      </c>
      <c r="M132" s="0" t="s">
        <v>813</v>
      </c>
      <c r="N132" s="0" t="s">
        <v>813</v>
      </c>
      <c r="O132" s="0" t="s">
        <v>814</v>
      </c>
      <c r="P132" s="0" t="s">
        <v>815</v>
      </c>
      <c r="R132" s="0" t="s">
        <v>284</v>
      </c>
      <c r="S132" s="0" t="s">
        <v>290</v>
      </c>
      <c r="T132" s="0" t="s">
        <v>276</v>
      </c>
      <c r="U132" s="0" t="s">
        <v>277</v>
      </c>
    </row>
    <row r="133" customFormat="false" ht="15" hidden="false" customHeight="false" outlineLevel="0" collapsed="false">
      <c r="A133" s="0" t="n">
        <v>9</v>
      </c>
      <c r="B133" s="0" t="s">
        <v>42</v>
      </c>
      <c r="C133" s="0" t="s">
        <v>335</v>
      </c>
      <c r="D133" s="0" t="s">
        <v>816</v>
      </c>
      <c r="E133" s="0" t="n">
        <v>2025</v>
      </c>
      <c r="H133" s="0" t="n">
        <v>3</v>
      </c>
      <c r="I133" s="0" t="n">
        <v>418</v>
      </c>
      <c r="J133" s="0" t="s">
        <v>268</v>
      </c>
      <c r="K133" s="0" t="s">
        <v>558</v>
      </c>
      <c r="L133" s="0" t="s">
        <v>293</v>
      </c>
      <c r="M133" s="0" t="s">
        <v>817</v>
      </c>
      <c r="N133" s="0" t="s">
        <v>817</v>
      </c>
      <c r="O133" s="0" t="s">
        <v>818</v>
      </c>
      <c r="P133" s="0" t="s">
        <v>819</v>
      </c>
      <c r="R133" s="0" t="s">
        <v>275</v>
      </c>
      <c r="S133" s="0" t="s">
        <v>268</v>
      </c>
      <c r="T133" s="0" t="s">
        <v>276</v>
      </c>
      <c r="U133" s="0" t="s">
        <v>277</v>
      </c>
    </row>
    <row r="134" customFormat="false" ht="15" hidden="false" customHeight="false" outlineLevel="0" collapsed="false">
      <c r="A134" s="0" t="n">
        <v>9</v>
      </c>
      <c r="B134" s="0" t="s">
        <v>42</v>
      </c>
      <c r="C134" s="0" t="s">
        <v>335</v>
      </c>
      <c r="D134" s="0" t="s">
        <v>820</v>
      </c>
      <c r="E134" s="0" t="n">
        <v>2025</v>
      </c>
      <c r="H134" s="0" t="n">
        <v>3</v>
      </c>
      <c r="I134" s="0" t="n">
        <v>458</v>
      </c>
      <c r="J134" s="0" t="s">
        <v>268</v>
      </c>
      <c r="K134" s="0" t="s">
        <v>558</v>
      </c>
      <c r="L134" s="0" t="s">
        <v>293</v>
      </c>
      <c r="M134" s="0" t="s">
        <v>821</v>
      </c>
      <c r="N134" s="0" t="s">
        <v>822</v>
      </c>
      <c r="O134" s="0" t="s">
        <v>823</v>
      </c>
      <c r="P134" s="0" t="s">
        <v>824</v>
      </c>
      <c r="R134" s="0" t="s">
        <v>275</v>
      </c>
      <c r="S134" s="0" t="s">
        <v>290</v>
      </c>
      <c r="T134" s="0" t="s">
        <v>276</v>
      </c>
      <c r="U134" s="0" t="s">
        <v>277</v>
      </c>
    </row>
    <row r="135" customFormat="false" ht="15" hidden="false" customHeight="false" outlineLevel="0" collapsed="false">
      <c r="A135" s="0" t="n">
        <v>9</v>
      </c>
      <c r="B135" s="0" t="s">
        <v>42</v>
      </c>
      <c r="C135" s="0" t="s">
        <v>335</v>
      </c>
      <c r="D135" s="0" t="s">
        <v>825</v>
      </c>
      <c r="E135" s="0" t="n">
        <v>2024</v>
      </c>
      <c r="H135" s="0" t="n">
        <v>1</v>
      </c>
      <c r="I135" s="0" t="n">
        <v>522</v>
      </c>
      <c r="J135" s="0" t="s">
        <v>268</v>
      </c>
      <c r="K135" s="0" t="s">
        <v>558</v>
      </c>
      <c r="L135" s="0" t="s">
        <v>293</v>
      </c>
      <c r="M135" s="0" t="s">
        <v>826</v>
      </c>
      <c r="N135" s="0" t="s">
        <v>826</v>
      </c>
      <c r="O135" s="0" t="s">
        <v>827</v>
      </c>
      <c r="P135" s="0" t="s">
        <v>828</v>
      </c>
      <c r="R135" s="0" t="s">
        <v>284</v>
      </c>
      <c r="S135" s="0" t="s">
        <v>290</v>
      </c>
      <c r="T135" s="0" t="s">
        <v>276</v>
      </c>
      <c r="U135" s="0" t="s">
        <v>277</v>
      </c>
    </row>
    <row r="136" customFormat="false" ht="15" hidden="false" customHeight="false" outlineLevel="0" collapsed="false">
      <c r="A136" s="0" t="n">
        <v>9</v>
      </c>
      <c r="B136" s="0" t="s">
        <v>42</v>
      </c>
      <c r="C136" s="0" t="s">
        <v>829</v>
      </c>
      <c r="D136" s="0" t="s">
        <v>830</v>
      </c>
      <c r="E136" s="0" t="n">
        <v>2025</v>
      </c>
      <c r="H136" s="0" t="n">
        <v>1</v>
      </c>
      <c r="I136" s="0" t="n">
        <v>1421</v>
      </c>
      <c r="J136" s="0" t="s">
        <v>268</v>
      </c>
      <c r="K136" s="0" t="s">
        <v>558</v>
      </c>
      <c r="L136" s="0" t="s">
        <v>293</v>
      </c>
      <c r="M136" s="0" t="s">
        <v>831</v>
      </c>
      <c r="N136" s="0" t="s">
        <v>831</v>
      </c>
      <c r="O136" s="0" t="s">
        <v>832</v>
      </c>
      <c r="P136" s="0" t="s">
        <v>833</v>
      </c>
      <c r="R136" s="0" t="s">
        <v>275</v>
      </c>
      <c r="S136" s="0" t="s">
        <v>268</v>
      </c>
      <c r="T136" s="0" t="s">
        <v>276</v>
      </c>
      <c r="U136" s="0" t="s">
        <v>277</v>
      </c>
    </row>
    <row r="137" customFormat="false" ht="15" hidden="false" customHeight="false" outlineLevel="0" collapsed="false">
      <c r="A137" s="0" t="n">
        <v>9</v>
      </c>
      <c r="B137" s="0" t="s">
        <v>42</v>
      </c>
      <c r="C137" s="0" t="s">
        <v>829</v>
      </c>
      <c r="D137" s="0" t="s">
        <v>834</v>
      </c>
      <c r="E137" s="0" t="n">
        <v>2024</v>
      </c>
      <c r="H137" s="0" t="n">
        <v>2</v>
      </c>
      <c r="I137" s="0" t="n">
        <v>216</v>
      </c>
      <c r="J137" s="0" t="s">
        <v>268</v>
      </c>
      <c r="K137" s="0" t="s">
        <v>558</v>
      </c>
      <c r="L137" s="0" t="s">
        <v>293</v>
      </c>
      <c r="M137" s="0" t="s">
        <v>835</v>
      </c>
      <c r="N137" s="0" t="s">
        <v>835</v>
      </c>
      <c r="O137" s="0" t="s">
        <v>836</v>
      </c>
      <c r="P137" s="0" t="s">
        <v>837</v>
      </c>
      <c r="R137" s="0" t="s">
        <v>284</v>
      </c>
      <c r="S137" s="0" t="s">
        <v>290</v>
      </c>
      <c r="T137" s="0" t="s">
        <v>276</v>
      </c>
      <c r="U137" s="0" t="s">
        <v>277</v>
      </c>
    </row>
    <row r="138" customFormat="false" ht="15" hidden="false" customHeight="false" outlineLevel="0" collapsed="false">
      <c r="A138" s="0" t="n">
        <v>9</v>
      </c>
      <c r="B138" s="0" t="s">
        <v>42</v>
      </c>
      <c r="C138" s="0" t="s">
        <v>829</v>
      </c>
      <c r="D138" s="0" t="s">
        <v>838</v>
      </c>
      <c r="E138" s="0" t="n">
        <v>2024</v>
      </c>
      <c r="H138" s="0" t="n">
        <v>1</v>
      </c>
      <c r="I138" s="0" t="n">
        <v>1487</v>
      </c>
      <c r="J138" s="0" t="s">
        <v>268</v>
      </c>
      <c r="K138" s="0" t="s">
        <v>558</v>
      </c>
      <c r="L138" s="0" t="s">
        <v>293</v>
      </c>
      <c r="M138" s="0" t="s">
        <v>839</v>
      </c>
      <c r="N138" s="0" t="s">
        <v>839</v>
      </c>
      <c r="O138" s="0" t="s">
        <v>840</v>
      </c>
      <c r="P138" s="0" t="s">
        <v>841</v>
      </c>
      <c r="R138" s="0" t="s">
        <v>284</v>
      </c>
      <c r="S138" s="0" t="s">
        <v>290</v>
      </c>
      <c r="T138" s="0" t="s">
        <v>276</v>
      </c>
      <c r="U138" s="0" t="s">
        <v>277</v>
      </c>
    </row>
    <row r="139" customFormat="false" ht="15" hidden="false" customHeight="false" outlineLevel="0" collapsed="false">
      <c r="A139" s="0" t="n">
        <v>9</v>
      </c>
      <c r="B139" s="0" t="s">
        <v>42</v>
      </c>
      <c r="C139" s="0" t="s">
        <v>829</v>
      </c>
      <c r="D139" s="0" t="s">
        <v>842</v>
      </c>
      <c r="E139" s="0" t="n">
        <v>2023</v>
      </c>
      <c r="H139" s="0" t="n">
        <v>1</v>
      </c>
      <c r="I139" s="0" t="n">
        <v>1393</v>
      </c>
      <c r="J139" s="0" t="s">
        <v>268</v>
      </c>
      <c r="K139" s="0" t="s">
        <v>558</v>
      </c>
      <c r="L139" s="0" t="s">
        <v>293</v>
      </c>
      <c r="M139" s="0" t="s">
        <v>843</v>
      </c>
      <c r="N139" s="0" t="s">
        <v>843</v>
      </c>
      <c r="O139" s="0" t="s">
        <v>844</v>
      </c>
      <c r="P139" s="0" t="s">
        <v>845</v>
      </c>
      <c r="R139" s="0" t="s">
        <v>284</v>
      </c>
      <c r="S139" s="0" t="s">
        <v>290</v>
      </c>
      <c r="T139" s="0" t="s">
        <v>276</v>
      </c>
      <c r="U139" s="0" t="s">
        <v>277</v>
      </c>
    </row>
    <row r="140" customFormat="false" ht="15" hidden="false" customHeight="false" outlineLevel="0" collapsed="false">
      <c r="A140" s="0" t="n">
        <v>9</v>
      </c>
      <c r="B140" s="0" t="s">
        <v>42</v>
      </c>
      <c r="C140" s="0" t="s">
        <v>530</v>
      </c>
      <c r="D140" s="0" t="s">
        <v>846</v>
      </c>
      <c r="E140" s="0" t="n">
        <v>2026</v>
      </c>
      <c r="H140" s="0" t="n">
        <v>6</v>
      </c>
      <c r="I140" s="0" t="n">
        <v>2247</v>
      </c>
      <c r="J140" s="0" t="s">
        <v>268</v>
      </c>
      <c r="K140" s="0" t="s">
        <v>558</v>
      </c>
      <c r="L140" s="0" t="s">
        <v>293</v>
      </c>
      <c r="M140" s="0" t="s">
        <v>847</v>
      </c>
      <c r="N140" s="0" t="s">
        <v>847</v>
      </c>
      <c r="O140" s="0" t="s">
        <v>848</v>
      </c>
      <c r="P140" s="0" t="s">
        <v>849</v>
      </c>
      <c r="R140" s="0" t="s">
        <v>275</v>
      </c>
      <c r="S140" s="0" t="s">
        <v>268</v>
      </c>
      <c r="T140" s="0" t="s">
        <v>276</v>
      </c>
      <c r="U140" s="0" t="s">
        <v>277</v>
      </c>
    </row>
    <row r="141" customFormat="false" ht="15" hidden="false" customHeight="false" outlineLevel="0" collapsed="false">
      <c r="A141" s="0" t="n">
        <v>9</v>
      </c>
      <c r="B141" s="0" t="s">
        <v>42</v>
      </c>
      <c r="C141" s="0" t="s">
        <v>530</v>
      </c>
      <c r="D141" s="0" t="s">
        <v>850</v>
      </c>
      <c r="E141" s="0" t="n">
        <v>2025</v>
      </c>
      <c r="H141" s="0" t="n">
        <v>2</v>
      </c>
      <c r="I141" s="0" t="n">
        <v>6294</v>
      </c>
      <c r="J141" s="0" t="s">
        <v>290</v>
      </c>
      <c r="K141" s="0" t="s">
        <v>558</v>
      </c>
      <c r="L141" s="0" t="s">
        <v>293</v>
      </c>
      <c r="M141" s="0" t="s">
        <v>851</v>
      </c>
      <c r="N141" s="0" t="s">
        <v>851</v>
      </c>
      <c r="O141" s="0" t="s">
        <v>852</v>
      </c>
      <c r="P141" s="0" t="s">
        <v>853</v>
      </c>
      <c r="R141" s="0" t="s">
        <v>275</v>
      </c>
      <c r="S141" s="0" t="s">
        <v>290</v>
      </c>
      <c r="T141" s="0" t="s">
        <v>276</v>
      </c>
      <c r="U141" s="0" t="s">
        <v>277</v>
      </c>
    </row>
    <row r="142" customFormat="false" ht="15" hidden="false" customHeight="false" outlineLevel="0" collapsed="false">
      <c r="A142" s="0" t="n">
        <v>9</v>
      </c>
      <c r="B142" s="0" t="s">
        <v>42</v>
      </c>
      <c r="C142" s="0" t="s">
        <v>530</v>
      </c>
      <c r="D142" s="0" t="s">
        <v>854</v>
      </c>
      <c r="E142" s="0" t="n">
        <v>2025</v>
      </c>
      <c r="H142" s="0" t="n">
        <v>2</v>
      </c>
      <c r="I142" s="0" t="n">
        <v>6410</v>
      </c>
      <c r="J142" s="0" t="s">
        <v>290</v>
      </c>
      <c r="K142" s="0" t="s">
        <v>558</v>
      </c>
      <c r="L142" s="0" t="s">
        <v>293</v>
      </c>
      <c r="M142" s="0" t="s">
        <v>855</v>
      </c>
      <c r="N142" s="0" t="s">
        <v>855</v>
      </c>
      <c r="O142" s="0" t="s">
        <v>856</v>
      </c>
      <c r="P142" s="0" t="s">
        <v>857</v>
      </c>
      <c r="R142" s="0" t="s">
        <v>275</v>
      </c>
      <c r="S142" s="0" t="s">
        <v>290</v>
      </c>
      <c r="T142" s="0" t="s">
        <v>276</v>
      </c>
      <c r="U142" s="0" t="s">
        <v>277</v>
      </c>
    </row>
    <row r="143" customFormat="false" ht="15" hidden="false" customHeight="false" outlineLevel="0" collapsed="false">
      <c r="A143" s="0" t="n">
        <v>9</v>
      </c>
      <c r="B143" s="0" t="s">
        <v>42</v>
      </c>
      <c r="C143" s="0" t="s">
        <v>530</v>
      </c>
      <c r="D143" s="0" t="s">
        <v>858</v>
      </c>
      <c r="E143" s="0" t="n">
        <v>2022</v>
      </c>
      <c r="H143" s="0" t="n">
        <v>3</v>
      </c>
      <c r="I143" s="0" t="n">
        <v>708</v>
      </c>
      <c r="J143" s="0" t="s">
        <v>268</v>
      </c>
      <c r="K143" s="0" t="s">
        <v>298</v>
      </c>
      <c r="L143" s="0" t="s">
        <v>270</v>
      </c>
      <c r="M143" s="0" t="s">
        <v>859</v>
      </c>
      <c r="N143" s="0" t="s">
        <v>859</v>
      </c>
      <c r="O143" s="0" t="s">
        <v>860</v>
      </c>
      <c r="P143" s="0" t="s">
        <v>861</v>
      </c>
      <c r="R143" s="0" t="s">
        <v>284</v>
      </c>
      <c r="S143" s="0" t="s">
        <v>290</v>
      </c>
      <c r="T143" s="0" t="s">
        <v>276</v>
      </c>
      <c r="U143" s="0" t="s">
        <v>277</v>
      </c>
    </row>
    <row r="144" customFormat="false" ht="15" hidden="false" customHeight="false" outlineLevel="0" collapsed="false">
      <c r="A144" s="0" t="n">
        <v>9</v>
      </c>
      <c r="B144" s="0" t="s">
        <v>42</v>
      </c>
      <c r="C144" s="0" t="s">
        <v>480</v>
      </c>
      <c r="D144" s="0" t="s">
        <v>862</v>
      </c>
      <c r="E144" s="0" t="n">
        <v>2025</v>
      </c>
      <c r="H144" s="0" t="n">
        <v>2</v>
      </c>
      <c r="I144" s="0" t="n">
        <v>96</v>
      </c>
      <c r="J144" s="0" t="s">
        <v>268</v>
      </c>
      <c r="K144" s="0" t="s">
        <v>558</v>
      </c>
      <c r="L144" s="0" t="s">
        <v>293</v>
      </c>
      <c r="M144" s="0" t="s">
        <v>863</v>
      </c>
      <c r="N144" s="0" t="s">
        <v>864</v>
      </c>
      <c r="O144" s="0" t="s">
        <v>865</v>
      </c>
      <c r="P144" s="0" t="s">
        <v>866</v>
      </c>
      <c r="R144" s="0" t="s">
        <v>275</v>
      </c>
      <c r="S144" s="0" t="s">
        <v>290</v>
      </c>
      <c r="T144" s="0" t="s">
        <v>276</v>
      </c>
      <c r="U144" s="0" t="s">
        <v>277</v>
      </c>
    </row>
    <row r="145" customFormat="false" ht="15" hidden="false" customHeight="false" outlineLevel="0" collapsed="false">
      <c r="A145" s="0" t="n">
        <v>9</v>
      </c>
      <c r="B145" s="0" t="s">
        <v>42</v>
      </c>
      <c r="C145" s="0" t="s">
        <v>480</v>
      </c>
      <c r="D145" s="0" t="s">
        <v>867</v>
      </c>
      <c r="E145" s="0" t="n">
        <v>2025</v>
      </c>
      <c r="H145" s="0" t="n">
        <v>4</v>
      </c>
      <c r="I145" s="0" t="n">
        <v>619</v>
      </c>
      <c r="J145" s="0" t="s">
        <v>268</v>
      </c>
      <c r="K145" s="0" t="s">
        <v>558</v>
      </c>
      <c r="L145" s="0" t="s">
        <v>293</v>
      </c>
      <c r="M145" s="0" t="s">
        <v>868</v>
      </c>
      <c r="N145" s="0" t="s">
        <v>868</v>
      </c>
      <c r="O145" s="0" t="s">
        <v>869</v>
      </c>
      <c r="P145" s="0" t="s">
        <v>870</v>
      </c>
      <c r="R145" s="0" t="s">
        <v>275</v>
      </c>
      <c r="S145" s="0" t="s">
        <v>268</v>
      </c>
      <c r="T145" s="0" t="s">
        <v>276</v>
      </c>
      <c r="U145" s="0" t="s">
        <v>277</v>
      </c>
    </row>
    <row r="146" customFormat="false" ht="15" hidden="false" customHeight="false" outlineLevel="0" collapsed="false">
      <c r="A146" s="0" t="n">
        <v>9</v>
      </c>
      <c r="B146" s="0" t="s">
        <v>42</v>
      </c>
      <c r="C146" s="0" t="s">
        <v>480</v>
      </c>
      <c r="D146" s="0" t="s">
        <v>871</v>
      </c>
      <c r="E146" s="0" t="n">
        <v>2024</v>
      </c>
      <c r="H146" s="0" t="n">
        <v>4</v>
      </c>
      <c r="I146" s="0" t="n">
        <v>235</v>
      </c>
      <c r="J146" s="0" t="s">
        <v>268</v>
      </c>
      <c r="K146" s="0" t="s">
        <v>558</v>
      </c>
      <c r="L146" s="0" t="s">
        <v>293</v>
      </c>
      <c r="M146" s="0" t="s">
        <v>872</v>
      </c>
      <c r="N146" s="0" t="s">
        <v>872</v>
      </c>
      <c r="O146" s="0" t="s">
        <v>873</v>
      </c>
      <c r="P146" s="0" t="s">
        <v>874</v>
      </c>
      <c r="R146" s="0" t="s">
        <v>284</v>
      </c>
      <c r="S146" s="0" t="s">
        <v>290</v>
      </c>
      <c r="T146" s="0" t="s">
        <v>276</v>
      </c>
      <c r="U146" s="0" t="s">
        <v>277</v>
      </c>
    </row>
    <row r="147" customFormat="false" ht="15" hidden="false" customHeight="false" outlineLevel="0" collapsed="false">
      <c r="A147" s="0" t="n">
        <v>9</v>
      </c>
      <c r="B147" s="0" t="s">
        <v>42</v>
      </c>
      <c r="C147" s="0" t="s">
        <v>480</v>
      </c>
      <c r="D147" s="0" t="s">
        <v>875</v>
      </c>
      <c r="E147" s="0" t="n">
        <v>2023</v>
      </c>
      <c r="H147" s="0" t="n">
        <v>6</v>
      </c>
      <c r="I147" s="0" t="n">
        <v>940</v>
      </c>
      <c r="J147" s="0" t="s">
        <v>268</v>
      </c>
      <c r="K147" s="0" t="s">
        <v>558</v>
      </c>
      <c r="L147" s="0" t="s">
        <v>293</v>
      </c>
      <c r="M147" s="0" t="s">
        <v>876</v>
      </c>
      <c r="N147" s="0" t="s">
        <v>876</v>
      </c>
      <c r="O147" s="0" t="s">
        <v>877</v>
      </c>
      <c r="P147" s="0" t="s">
        <v>878</v>
      </c>
      <c r="R147" s="0" t="s">
        <v>284</v>
      </c>
      <c r="S147" s="0" t="s">
        <v>290</v>
      </c>
      <c r="T147" s="0" t="s">
        <v>276</v>
      </c>
      <c r="U147" s="0" t="s">
        <v>277</v>
      </c>
    </row>
    <row r="148" customFormat="false" ht="15" hidden="false" customHeight="false" outlineLevel="0" collapsed="false">
      <c r="A148" s="0" t="n">
        <v>9</v>
      </c>
      <c r="B148" s="0" t="s">
        <v>42</v>
      </c>
      <c r="C148" s="0" t="s">
        <v>278</v>
      </c>
      <c r="D148" s="0" t="s">
        <v>879</v>
      </c>
      <c r="E148" s="0" t="n">
        <v>2026</v>
      </c>
      <c r="H148" s="0" t="n">
        <v>1</v>
      </c>
      <c r="I148" s="0" t="n">
        <v>2599</v>
      </c>
      <c r="J148" s="0" t="s">
        <v>268</v>
      </c>
      <c r="K148" s="0" t="s">
        <v>558</v>
      </c>
      <c r="L148" s="0" t="s">
        <v>293</v>
      </c>
      <c r="M148" s="0" t="s">
        <v>880</v>
      </c>
      <c r="N148" s="0" t="s">
        <v>880</v>
      </c>
      <c r="O148" s="0" t="s">
        <v>881</v>
      </c>
      <c r="P148" s="0" t="s">
        <v>882</v>
      </c>
      <c r="R148" s="0" t="s">
        <v>275</v>
      </c>
      <c r="S148" s="0" t="s">
        <v>290</v>
      </c>
      <c r="T148" s="0" t="s">
        <v>276</v>
      </c>
      <c r="U148" s="0" t="s">
        <v>277</v>
      </c>
    </row>
    <row r="149" customFormat="false" ht="15" hidden="false" customHeight="false" outlineLevel="0" collapsed="false">
      <c r="A149" s="0" t="n">
        <v>9</v>
      </c>
      <c r="B149" s="0" t="s">
        <v>42</v>
      </c>
      <c r="C149" s="0" t="s">
        <v>278</v>
      </c>
      <c r="D149" s="0" t="s">
        <v>883</v>
      </c>
      <c r="E149" s="0" t="n">
        <v>2026</v>
      </c>
      <c r="H149" s="0" t="n">
        <v>4</v>
      </c>
      <c r="I149" s="0" t="n">
        <v>2560</v>
      </c>
      <c r="J149" s="0" t="s">
        <v>268</v>
      </c>
      <c r="K149" s="0" t="s">
        <v>558</v>
      </c>
      <c r="L149" s="0" t="s">
        <v>293</v>
      </c>
      <c r="M149" s="0" t="s">
        <v>884</v>
      </c>
      <c r="N149" s="0" t="s">
        <v>884</v>
      </c>
      <c r="O149" s="0" t="s">
        <v>885</v>
      </c>
      <c r="P149" s="0" t="s">
        <v>886</v>
      </c>
      <c r="R149" s="0" t="s">
        <v>275</v>
      </c>
      <c r="S149" s="0" t="s">
        <v>268</v>
      </c>
      <c r="T149" s="0" t="s">
        <v>276</v>
      </c>
      <c r="U149" s="0" t="s">
        <v>277</v>
      </c>
    </row>
    <row r="150" customFormat="false" ht="15" hidden="false" customHeight="false" outlineLevel="0" collapsed="false">
      <c r="A150" s="0" t="n">
        <v>9</v>
      </c>
      <c r="B150" s="0" t="s">
        <v>42</v>
      </c>
      <c r="C150" s="0" t="s">
        <v>887</v>
      </c>
      <c r="D150" s="0" t="s">
        <v>888</v>
      </c>
      <c r="E150" s="0" t="n">
        <v>2024</v>
      </c>
      <c r="H150" s="0" t="n">
        <v>1</v>
      </c>
      <c r="I150" s="0" t="n">
        <v>162</v>
      </c>
      <c r="J150" s="0" t="s">
        <v>268</v>
      </c>
      <c r="K150" s="0" t="s">
        <v>558</v>
      </c>
      <c r="L150" s="0" t="s">
        <v>293</v>
      </c>
      <c r="M150" s="0" t="s">
        <v>889</v>
      </c>
      <c r="N150" s="0" t="s">
        <v>889</v>
      </c>
      <c r="O150" s="0" t="s">
        <v>890</v>
      </c>
      <c r="P150" s="0" t="s">
        <v>891</v>
      </c>
      <c r="R150" s="0" t="s">
        <v>284</v>
      </c>
      <c r="S150" s="0" t="s">
        <v>268</v>
      </c>
      <c r="T150" s="0" t="s">
        <v>276</v>
      </c>
      <c r="U150" s="0" t="s">
        <v>277</v>
      </c>
    </row>
    <row r="151" customFormat="false" ht="15" hidden="false" customHeight="false" outlineLevel="0" collapsed="false">
      <c r="A151" s="0" t="n">
        <v>9</v>
      </c>
      <c r="B151" s="0" t="s">
        <v>42</v>
      </c>
      <c r="C151" s="0" t="s">
        <v>887</v>
      </c>
      <c r="D151" s="0" t="s">
        <v>892</v>
      </c>
      <c r="E151" s="0" t="n">
        <v>2024</v>
      </c>
      <c r="H151" s="0" t="n">
        <v>1</v>
      </c>
      <c r="I151" s="0" t="n">
        <v>585</v>
      </c>
      <c r="J151" s="0" t="s">
        <v>268</v>
      </c>
      <c r="K151" s="0" t="s">
        <v>558</v>
      </c>
      <c r="L151" s="0" t="s">
        <v>293</v>
      </c>
      <c r="M151" s="0" t="s">
        <v>893</v>
      </c>
      <c r="N151" s="0" t="s">
        <v>893</v>
      </c>
      <c r="O151" s="0" t="s">
        <v>894</v>
      </c>
      <c r="P151" s="0" t="s">
        <v>895</v>
      </c>
      <c r="R151" s="0" t="s">
        <v>284</v>
      </c>
      <c r="S151" s="0" t="s">
        <v>290</v>
      </c>
      <c r="T151" s="0" t="s">
        <v>276</v>
      </c>
      <c r="U151" s="0" t="s">
        <v>277</v>
      </c>
    </row>
    <row r="152" customFormat="false" ht="15" hidden="false" customHeight="false" outlineLevel="0" collapsed="false">
      <c r="A152" s="0" t="n">
        <v>9</v>
      </c>
      <c r="B152" s="0" t="s">
        <v>42</v>
      </c>
      <c r="C152" s="0" t="s">
        <v>887</v>
      </c>
      <c r="D152" s="0" t="s">
        <v>896</v>
      </c>
      <c r="E152" s="0" t="n">
        <v>2023</v>
      </c>
      <c r="H152" s="0" t="n">
        <v>6</v>
      </c>
      <c r="I152" s="0" t="n">
        <v>2879</v>
      </c>
      <c r="J152" s="0" t="s">
        <v>268</v>
      </c>
      <c r="K152" s="0" t="s">
        <v>558</v>
      </c>
      <c r="L152" s="0" t="s">
        <v>293</v>
      </c>
      <c r="M152" s="0" t="s">
        <v>897</v>
      </c>
      <c r="N152" s="0" t="s">
        <v>897</v>
      </c>
      <c r="O152" s="0" t="s">
        <v>898</v>
      </c>
      <c r="P152" s="0" t="s">
        <v>899</v>
      </c>
      <c r="R152" s="0" t="s">
        <v>284</v>
      </c>
      <c r="S152" s="0" t="s">
        <v>290</v>
      </c>
      <c r="T152" s="0" t="s">
        <v>276</v>
      </c>
      <c r="U152" s="0" t="s">
        <v>277</v>
      </c>
    </row>
    <row r="153" customFormat="false" ht="15" hidden="false" customHeight="false" outlineLevel="0" collapsed="false">
      <c r="A153" s="0" t="n">
        <v>9</v>
      </c>
      <c r="B153" s="0" t="s">
        <v>42</v>
      </c>
      <c r="C153" s="0" t="s">
        <v>489</v>
      </c>
      <c r="D153" s="0" t="s">
        <v>900</v>
      </c>
      <c r="E153" s="0" t="n">
        <v>2026</v>
      </c>
      <c r="H153" s="0" t="n">
        <v>1</v>
      </c>
      <c r="I153" s="0" t="n">
        <v>363</v>
      </c>
      <c r="J153" s="0" t="s">
        <v>268</v>
      </c>
      <c r="K153" s="0" t="s">
        <v>558</v>
      </c>
      <c r="L153" s="0" t="s">
        <v>293</v>
      </c>
      <c r="M153" s="0" t="s">
        <v>901</v>
      </c>
      <c r="N153" s="0" t="s">
        <v>901</v>
      </c>
      <c r="O153" s="0" t="s">
        <v>902</v>
      </c>
      <c r="P153" s="0" t="s">
        <v>903</v>
      </c>
      <c r="R153" s="0" t="s">
        <v>275</v>
      </c>
      <c r="S153" s="0" t="s">
        <v>268</v>
      </c>
      <c r="T153" s="0" t="s">
        <v>276</v>
      </c>
      <c r="U153" s="0" t="s">
        <v>277</v>
      </c>
    </row>
    <row r="154" customFormat="false" ht="15" hidden="false" customHeight="false" outlineLevel="0" collapsed="false">
      <c r="A154" s="0" t="n">
        <v>9</v>
      </c>
      <c r="B154" s="0" t="s">
        <v>42</v>
      </c>
      <c r="C154" s="0" t="s">
        <v>489</v>
      </c>
      <c r="D154" s="0" t="s">
        <v>904</v>
      </c>
      <c r="E154" s="0" t="n">
        <v>2026</v>
      </c>
      <c r="H154" s="0" t="n">
        <v>1</v>
      </c>
      <c r="I154" s="0" t="n">
        <v>463</v>
      </c>
      <c r="J154" s="0" t="s">
        <v>268</v>
      </c>
      <c r="K154" s="0" t="s">
        <v>558</v>
      </c>
      <c r="L154" s="0" t="s">
        <v>293</v>
      </c>
      <c r="M154" s="0" t="s">
        <v>905</v>
      </c>
      <c r="N154" s="0" t="s">
        <v>905</v>
      </c>
      <c r="O154" s="0" t="s">
        <v>906</v>
      </c>
      <c r="P154" s="0" t="s">
        <v>907</v>
      </c>
      <c r="R154" s="0" t="s">
        <v>275</v>
      </c>
      <c r="S154" s="0" t="s">
        <v>290</v>
      </c>
      <c r="T154" s="0" t="s">
        <v>276</v>
      </c>
      <c r="U154" s="0" t="s">
        <v>277</v>
      </c>
    </row>
    <row r="155" customFormat="false" ht="15" hidden="false" customHeight="false" outlineLevel="0" collapsed="false">
      <c r="A155" s="0" t="n">
        <v>9</v>
      </c>
      <c r="B155" s="0" t="s">
        <v>42</v>
      </c>
      <c r="C155" s="0" t="s">
        <v>489</v>
      </c>
      <c r="D155" s="0" t="s">
        <v>908</v>
      </c>
      <c r="E155" s="0" t="n">
        <v>2026</v>
      </c>
      <c r="H155" s="0" t="n">
        <v>1</v>
      </c>
      <c r="I155" s="0" t="n">
        <v>543</v>
      </c>
      <c r="J155" s="0" t="s">
        <v>268</v>
      </c>
      <c r="K155" s="0" t="s">
        <v>558</v>
      </c>
      <c r="L155" s="0" t="s">
        <v>293</v>
      </c>
      <c r="M155" s="0" t="s">
        <v>909</v>
      </c>
      <c r="N155" s="0" t="s">
        <v>909</v>
      </c>
      <c r="O155" s="0" t="s">
        <v>910</v>
      </c>
      <c r="P155" s="0" t="s">
        <v>911</v>
      </c>
      <c r="R155" s="0" t="s">
        <v>275</v>
      </c>
      <c r="S155" s="0" t="s">
        <v>290</v>
      </c>
      <c r="T155" s="0" t="s">
        <v>276</v>
      </c>
      <c r="U155" s="0" t="s">
        <v>277</v>
      </c>
    </row>
    <row r="156" customFormat="false" ht="15" hidden="false" customHeight="false" outlineLevel="0" collapsed="false">
      <c r="A156" s="0" t="n">
        <v>9</v>
      </c>
      <c r="B156" s="0" t="s">
        <v>42</v>
      </c>
      <c r="C156" s="0" t="s">
        <v>489</v>
      </c>
      <c r="D156" s="0" t="s">
        <v>912</v>
      </c>
      <c r="E156" s="0" t="n">
        <v>2026</v>
      </c>
      <c r="H156" s="0" t="n">
        <v>1</v>
      </c>
      <c r="I156" s="0" t="n">
        <v>463</v>
      </c>
      <c r="J156" s="0" t="s">
        <v>268</v>
      </c>
      <c r="K156" s="0" t="s">
        <v>558</v>
      </c>
      <c r="L156" s="0" t="s">
        <v>293</v>
      </c>
      <c r="M156" s="0" t="s">
        <v>913</v>
      </c>
      <c r="N156" s="0" t="s">
        <v>913</v>
      </c>
      <c r="O156" s="0" t="s">
        <v>914</v>
      </c>
      <c r="P156" s="0" t="s">
        <v>915</v>
      </c>
      <c r="R156" s="0" t="s">
        <v>275</v>
      </c>
      <c r="S156" s="0" t="s">
        <v>290</v>
      </c>
      <c r="T156" s="0" t="s">
        <v>276</v>
      </c>
      <c r="U156" s="0" t="s">
        <v>277</v>
      </c>
    </row>
    <row r="157" customFormat="false" ht="15" hidden="false" customHeight="false" outlineLevel="0" collapsed="false">
      <c r="A157" s="0" t="n">
        <v>9</v>
      </c>
      <c r="B157" s="0" t="s">
        <v>42</v>
      </c>
      <c r="C157" s="0" t="s">
        <v>489</v>
      </c>
      <c r="D157" s="0" t="s">
        <v>916</v>
      </c>
      <c r="E157" s="0" t="n">
        <v>2026</v>
      </c>
      <c r="H157" s="0" t="n">
        <v>1</v>
      </c>
      <c r="I157" s="0" t="n">
        <v>1877</v>
      </c>
      <c r="J157" s="0" t="s">
        <v>268</v>
      </c>
      <c r="K157" s="0" t="s">
        <v>558</v>
      </c>
      <c r="L157" s="0" t="s">
        <v>293</v>
      </c>
      <c r="M157" s="0" t="s">
        <v>917</v>
      </c>
      <c r="N157" s="0" t="s">
        <v>917</v>
      </c>
      <c r="O157" s="0" t="s">
        <v>918</v>
      </c>
      <c r="P157" s="0" t="s">
        <v>919</v>
      </c>
      <c r="R157" s="0" t="s">
        <v>275</v>
      </c>
      <c r="S157" s="0" t="s">
        <v>290</v>
      </c>
      <c r="T157" s="0" t="s">
        <v>276</v>
      </c>
      <c r="U157" s="0" t="s">
        <v>277</v>
      </c>
    </row>
    <row r="158" customFormat="false" ht="15" hidden="false" customHeight="false" outlineLevel="0" collapsed="false">
      <c r="A158" s="0" t="n">
        <v>9</v>
      </c>
      <c r="B158" s="0" t="s">
        <v>42</v>
      </c>
      <c r="C158" s="0" t="s">
        <v>489</v>
      </c>
      <c r="D158" s="0" t="s">
        <v>920</v>
      </c>
      <c r="E158" s="0" t="n">
        <v>2024</v>
      </c>
      <c r="H158" s="0" t="n">
        <v>2</v>
      </c>
      <c r="I158" s="0" t="n">
        <v>444</v>
      </c>
      <c r="J158" s="0" t="s">
        <v>268</v>
      </c>
      <c r="K158" s="0" t="s">
        <v>558</v>
      </c>
      <c r="L158" s="0" t="s">
        <v>293</v>
      </c>
      <c r="M158" s="0" t="s">
        <v>921</v>
      </c>
      <c r="N158" s="0" t="s">
        <v>921</v>
      </c>
      <c r="O158" s="0" t="s">
        <v>922</v>
      </c>
      <c r="P158" s="0" t="s">
        <v>923</v>
      </c>
      <c r="R158" s="0" t="s">
        <v>284</v>
      </c>
      <c r="S158" s="0" t="s">
        <v>290</v>
      </c>
      <c r="T158" s="0" t="s">
        <v>276</v>
      </c>
      <c r="U158" s="0" t="s">
        <v>277</v>
      </c>
    </row>
    <row r="159" customFormat="false" ht="15" hidden="false" customHeight="false" outlineLevel="0" collapsed="false">
      <c r="A159" s="0" t="n">
        <v>9</v>
      </c>
      <c r="B159" s="0" t="s">
        <v>42</v>
      </c>
      <c r="C159" s="0" t="s">
        <v>489</v>
      </c>
      <c r="D159" s="0" t="s">
        <v>924</v>
      </c>
      <c r="E159" s="0" t="n">
        <v>2024</v>
      </c>
      <c r="H159" s="0" t="n">
        <v>5</v>
      </c>
      <c r="I159" s="0" t="n">
        <v>1956</v>
      </c>
      <c r="J159" s="0" t="s">
        <v>290</v>
      </c>
      <c r="K159" s="0" t="s">
        <v>558</v>
      </c>
      <c r="L159" s="0" t="s">
        <v>293</v>
      </c>
      <c r="M159" s="0" t="s">
        <v>925</v>
      </c>
      <c r="N159" s="0" t="s">
        <v>925</v>
      </c>
      <c r="O159" s="0" t="s">
        <v>926</v>
      </c>
      <c r="P159" s="0" t="s">
        <v>927</v>
      </c>
      <c r="R159" s="0" t="s">
        <v>284</v>
      </c>
      <c r="S159" s="0" t="s">
        <v>290</v>
      </c>
      <c r="T159" s="0" t="s">
        <v>276</v>
      </c>
      <c r="U159" s="0" t="s">
        <v>277</v>
      </c>
    </row>
    <row r="160" customFormat="false" ht="15" hidden="false" customHeight="false" outlineLevel="0" collapsed="false">
      <c r="A160" s="0" t="n">
        <v>9</v>
      </c>
      <c r="B160" s="0" t="s">
        <v>42</v>
      </c>
      <c r="C160" s="0" t="s">
        <v>489</v>
      </c>
      <c r="D160" s="0" t="s">
        <v>928</v>
      </c>
      <c r="E160" s="0" t="n">
        <v>2024</v>
      </c>
      <c r="H160" s="0" t="n">
        <v>28</v>
      </c>
      <c r="I160" s="0" t="n">
        <v>7819</v>
      </c>
      <c r="J160" s="0" t="s">
        <v>268</v>
      </c>
      <c r="K160" s="0" t="s">
        <v>286</v>
      </c>
      <c r="L160" s="0" t="s">
        <v>270</v>
      </c>
      <c r="M160" s="0" t="s">
        <v>929</v>
      </c>
      <c r="N160" s="0" t="s">
        <v>929</v>
      </c>
      <c r="O160" s="0" t="s">
        <v>930</v>
      </c>
      <c r="P160" s="0" t="s">
        <v>931</v>
      </c>
      <c r="R160" s="0" t="s">
        <v>284</v>
      </c>
      <c r="S160" s="0" t="s">
        <v>290</v>
      </c>
      <c r="T160" s="0" t="s">
        <v>276</v>
      </c>
      <c r="U160" s="0" t="s">
        <v>277</v>
      </c>
    </row>
    <row r="161" customFormat="false" ht="15" hidden="false" customHeight="false" outlineLevel="0" collapsed="false">
      <c r="A161" s="0" t="n">
        <v>9</v>
      </c>
      <c r="B161" s="0" t="s">
        <v>42</v>
      </c>
      <c r="C161" s="0" t="s">
        <v>500</v>
      </c>
      <c r="D161" s="0" t="s">
        <v>932</v>
      </c>
      <c r="E161" s="0" t="n">
        <v>2025</v>
      </c>
      <c r="H161" s="0" t="n">
        <v>2</v>
      </c>
      <c r="I161" s="0" t="n">
        <v>6080</v>
      </c>
      <c r="J161" s="0" t="s">
        <v>290</v>
      </c>
      <c r="K161" s="0" t="s">
        <v>558</v>
      </c>
      <c r="L161" s="0" t="s">
        <v>293</v>
      </c>
      <c r="M161" s="0" t="s">
        <v>933</v>
      </c>
      <c r="N161" s="0" t="s">
        <v>933</v>
      </c>
      <c r="O161" s="0" t="s">
        <v>934</v>
      </c>
      <c r="P161" s="0" t="s">
        <v>935</v>
      </c>
      <c r="R161" s="0" t="s">
        <v>275</v>
      </c>
      <c r="S161" s="0" t="s">
        <v>268</v>
      </c>
      <c r="T161" s="0" t="s">
        <v>276</v>
      </c>
      <c r="U161" s="0" t="s">
        <v>277</v>
      </c>
    </row>
    <row r="162" customFormat="false" ht="15" hidden="false" customHeight="false" outlineLevel="0" collapsed="false">
      <c r="A162" s="0" t="n">
        <v>10</v>
      </c>
      <c r="B162" s="0" t="s">
        <v>43</v>
      </c>
      <c r="C162" s="0" t="s">
        <v>56</v>
      </c>
      <c r="D162" s="0" t="s">
        <v>936</v>
      </c>
      <c r="E162" s="0" t="n">
        <v>2023</v>
      </c>
      <c r="H162" s="0" t="n">
        <v>2</v>
      </c>
      <c r="I162" s="0" t="n">
        <v>190</v>
      </c>
      <c r="J162" s="0" t="s">
        <v>268</v>
      </c>
      <c r="K162" s="0" t="s">
        <v>937</v>
      </c>
      <c r="L162" s="0" t="s">
        <v>293</v>
      </c>
      <c r="M162" s="0" t="s">
        <v>938</v>
      </c>
      <c r="N162" s="0" t="s">
        <v>938</v>
      </c>
      <c r="O162" s="0" t="s">
        <v>939</v>
      </c>
      <c r="P162" s="0" t="s">
        <v>940</v>
      </c>
      <c r="R162" s="0" t="s">
        <v>284</v>
      </c>
      <c r="S162" s="0" t="s">
        <v>290</v>
      </c>
      <c r="T162" s="0" t="s">
        <v>276</v>
      </c>
      <c r="U162" s="0" t="s">
        <v>277</v>
      </c>
    </row>
    <row r="163" customFormat="false" ht="15" hidden="false" customHeight="false" outlineLevel="0" collapsed="false">
      <c r="A163" s="0" t="n">
        <v>10</v>
      </c>
      <c r="B163" s="0" t="s">
        <v>43</v>
      </c>
      <c r="C163" s="0" t="s">
        <v>56</v>
      </c>
      <c r="D163" s="0" t="s">
        <v>941</v>
      </c>
      <c r="E163" s="0" t="n">
        <v>2023</v>
      </c>
      <c r="H163" s="0" t="n">
        <v>4</v>
      </c>
      <c r="I163" s="0" t="n">
        <v>181</v>
      </c>
      <c r="J163" s="0" t="s">
        <v>268</v>
      </c>
      <c r="K163" s="0" t="s">
        <v>937</v>
      </c>
      <c r="L163" s="0" t="s">
        <v>293</v>
      </c>
      <c r="M163" s="0" t="s">
        <v>942</v>
      </c>
      <c r="N163" s="0" t="s">
        <v>942</v>
      </c>
      <c r="O163" s="0" t="s">
        <v>943</v>
      </c>
      <c r="P163" s="0" t="s">
        <v>944</v>
      </c>
      <c r="R163" s="0" t="s">
        <v>284</v>
      </c>
      <c r="S163" s="0" t="s">
        <v>268</v>
      </c>
      <c r="T163" s="0" t="s">
        <v>276</v>
      </c>
      <c r="U163" s="0" t="s">
        <v>277</v>
      </c>
    </row>
    <row r="164" customFormat="false" ht="15" hidden="false" customHeight="false" outlineLevel="0" collapsed="false">
      <c r="A164" s="0" t="n">
        <v>10</v>
      </c>
      <c r="B164" s="0" t="s">
        <v>43</v>
      </c>
      <c r="C164" s="0" t="s">
        <v>56</v>
      </c>
      <c r="D164" s="0" t="s">
        <v>945</v>
      </c>
      <c r="E164" s="0" t="n">
        <v>2023</v>
      </c>
      <c r="H164" s="0" t="n">
        <v>3</v>
      </c>
      <c r="I164" s="0" t="n">
        <v>137</v>
      </c>
      <c r="J164" s="0" t="s">
        <v>268</v>
      </c>
      <c r="K164" s="0" t="s">
        <v>937</v>
      </c>
      <c r="L164" s="0" t="s">
        <v>293</v>
      </c>
      <c r="M164" s="0" t="s">
        <v>946</v>
      </c>
      <c r="N164" s="0" t="s">
        <v>946</v>
      </c>
      <c r="O164" s="0" t="s">
        <v>947</v>
      </c>
      <c r="P164" s="0" t="s">
        <v>948</v>
      </c>
      <c r="R164" s="0" t="s">
        <v>284</v>
      </c>
      <c r="S164" s="0" t="s">
        <v>290</v>
      </c>
      <c r="T164" s="0" t="s">
        <v>276</v>
      </c>
      <c r="U164" s="0" t="s">
        <v>277</v>
      </c>
    </row>
    <row r="165" customFormat="false" ht="15" hidden="false" customHeight="false" outlineLevel="0" collapsed="false">
      <c r="A165" s="0" t="n">
        <v>10</v>
      </c>
      <c r="B165" s="0" t="s">
        <v>43</v>
      </c>
      <c r="C165" s="0" t="s">
        <v>56</v>
      </c>
      <c r="D165" s="0" t="s">
        <v>949</v>
      </c>
      <c r="E165" s="0" t="n">
        <v>2023</v>
      </c>
      <c r="H165" s="0" t="n">
        <v>2</v>
      </c>
      <c r="I165" s="0" t="n">
        <v>225</v>
      </c>
      <c r="J165" s="0" t="s">
        <v>268</v>
      </c>
      <c r="K165" s="0" t="s">
        <v>937</v>
      </c>
      <c r="L165" s="0" t="s">
        <v>293</v>
      </c>
      <c r="M165" s="0" t="s">
        <v>950</v>
      </c>
      <c r="N165" s="0" t="s">
        <v>950</v>
      </c>
      <c r="O165" s="0" t="s">
        <v>951</v>
      </c>
      <c r="P165" s="0" t="s">
        <v>952</v>
      </c>
      <c r="R165" s="0" t="s">
        <v>284</v>
      </c>
      <c r="S165" s="0" t="s">
        <v>290</v>
      </c>
      <c r="T165" s="0" t="s">
        <v>276</v>
      </c>
      <c r="U165" s="0" t="s">
        <v>277</v>
      </c>
    </row>
    <row r="166" customFormat="false" ht="15" hidden="false" customHeight="false" outlineLevel="0" collapsed="false">
      <c r="A166" s="0" t="n">
        <v>10</v>
      </c>
      <c r="B166" s="0" t="s">
        <v>43</v>
      </c>
      <c r="C166" s="0" t="s">
        <v>91</v>
      </c>
      <c r="D166" s="0" t="s">
        <v>953</v>
      </c>
      <c r="E166" s="0" t="n">
        <v>2023</v>
      </c>
      <c r="H166" s="0" t="n">
        <v>2</v>
      </c>
      <c r="I166" s="0" t="n">
        <v>88</v>
      </c>
      <c r="J166" s="0" t="s">
        <v>268</v>
      </c>
      <c r="K166" s="0" t="s">
        <v>937</v>
      </c>
      <c r="L166" s="0" t="s">
        <v>293</v>
      </c>
      <c r="M166" s="0" t="s">
        <v>954</v>
      </c>
      <c r="N166" s="0" t="s">
        <v>954</v>
      </c>
      <c r="O166" s="0" t="s">
        <v>955</v>
      </c>
      <c r="P166" s="0" t="s">
        <v>956</v>
      </c>
      <c r="R166" s="0" t="s">
        <v>284</v>
      </c>
      <c r="S166" s="0" t="s">
        <v>268</v>
      </c>
      <c r="T166" s="0" t="s">
        <v>276</v>
      </c>
      <c r="U166" s="0" t="s">
        <v>277</v>
      </c>
    </row>
    <row r="167" customFormat="false" ht="15" hidden="false" customHeight="false" outlineLevel="0" collapsed="false">
      <c r="A167" s="0" t="n">
        <v>10</v>
      </c>
      <c r="B167" s="0" t="s">
        <v>43</v>
      </c>
      <c r="C167" s="0" t="s">
        <v>309</v>
      </c>
      <c r="D167" s="0" t="s">
        <v>957</v>
      </c>
      <c r="E167" s="0" t="n">
        <v>2023</v>
      </c>
      <c r="H167" s="0" t="n">
        <v>1</v>
      </c>
      <c r="I167" s="0" t="n">
        <v>105</v>
      </c>
      <c r="J167" s="0" t="s">
        <v>268</v>
      </c>
      <c r="K167" s="0" t="s">
        <v>937</v>
      </c>
      <c r="L167" s="0" t="s">
        <v>293</v>
      </c>
      <c r="M167" s="0" t="s">
        <v>958</v>
      </c>
      <c r="N167" s="0" t="s">
        <v>958</v>
      </c>
      <c r="O167" s="0" t="s">
        <v>959</v>
      </c>
      <c r="P167" s="0" t="s">
        <v>960</v>
      </c>
      <c r="R167" s="0" t="s">
        <v>284</v>
      </c>
      <c r="S167" s="0" t="s">
        <v>268</v>
      </c>
      <c r="T167" s="0" t="s">
        <v>276</v>
      </c>
      <c r="U167" s="0" t="s">
        <v>277</v>
      </c>
    </row>
    <row r="168" customFormat="false" ht="15" hidden="false" customHeight="false" outlineLevel="0" collapsed="false">
      <c r="A168" s="0" t="n">
        <v>10</v>
      </c>
      <c r="B168" s="0" t="s">
        <v>43</v>
      </c>
      <c r="C168" s="0" t="s">
        <v>309</v>
      </c>
      <c r="D168" s="0" t="s">
        <v>961</v>
      </c>
      <c r="E168" s="0" t="n">
        <v>2018</v>
      </c>
      <c r="H168" s="0" t="n">
        <v>1</v>
      </c>
      <c r="I168" s="0" t="n">
        <v>22398</v>
      </c>
      <c r="J168" s="0" t="s">
        <v>268</v>
      </c>
      <c r="K168" s="0" t="s">
        <v>937</v>
      </c>
      <c r="L168" s="0" t="s">
        <v>293</v>
      </c>
      <c r="M168" s="0" t="s">
        <v>962</v>
      </c>
      <c r="N168" s="0" t="s">
        <v>962</v>
      </c>
      <c r="O168" s="0" t="s">
        <v>963</v>
      </c>
      <c r="P168" s="0" t="s">
        <v>964</v>
      </c>
      <c r="R168" s="0" t="s">
        <v>284</v>
      </c>
      <c r="S168" s="0" t="s">
        <v>290</v>
      </c>
      <c r="T168" s="0" t="s">
        <v>276</v>
      </c>
      <c r="U168" s="0" t="s">
        <v>277</v>
      </c>
    </row>
    <row r="169" customFormat="false" ht="15" hidden="false" customHeight="false" outlineLevel="0" collapsed="false">
      <c r="A169" s="0" t="n">
        <v>10</v>
      </c>
      <c r="B169" s="0" t="s">
        <v>43</v>
      </c>
      <c r="C169" s="0" t="s">
        <v>586</v>
      </c>
      <c r="D169" s="0" t="s">
        <v>965</v>
      </c>
      <c r="E169" s="0" t="n">
        <v>2023</v>
      </c>
      <c r="H169" s="0" t="n">
        <v>12</v>
      </c>
      <c r="I169" s="0" t="n">
        <v>586</v>
      </c>
      <c r="J169" s="0" t="s">
        <v>268</v>
      </c>
      <c r="K169" s="0" t="s">
        <v>937</v>
      </c>
      <c r="L169" s="0" t="s">
        <v>293</v>
      </c>
      <c r="M169" s="0" t="s">
        <v>966</v>
      </c>
      <c r="N169" s="0" t="s">
        <v>967</v>
      </c>
      <c r="O169" s="0" t="s">
        <v>968</v>
      </c>
      <c r="P169" s="0" t="s">
        <v>969</v>
      </c>
      <c r="R169" s="0" t="s">
        <v>284</v>
      </c>
      <c r="S169" s="0" t="s">
        <v>268</v>
      </c>
      <c r="T169" s="0" t="s">
        <v>276</v>
      </c>
      <c r="U169" s="0" t="s">
        <v>277</v>
      </c>
    </row>
    <row r="170" customFormat="false" ht="15" hidden="false" customHeight="false" outlineLevel="0" collapsed="false">
      <c r="A170" s="0" t="n">
        <v>10</v>
      </c>
      <c r="B170" s="0" t="s">
        <v>43</v>
      </c>
      <c r="C170" s="0" t="s">
        <v>266</v>
      </c>
      <c r="D170" s="0" t="s">
        <v>970</v>
      </c>
      <c r="E170" s="0" t="n">
        <v>2023</v>
      </c>
      <c r="H170" s="0" t="n">
        <v>1</v>
      </c>
      <c r="I170" s="0" t="n">
        <v>688</v>
      </c>
      <c r="J170" s="0" t="s">
        <v>268</v>
      </c>
      <c r="K170" s="0" t="s">
        <v>937</v>
      </c>
      <c r="L170" s="0" t="s">
        <v>293</v>
      </c>
      <c r="M170" s="0" t="s">
        <v>971</v>
      </c>
      <c r="N170" s="0" t="s">
        <v>971</v>
      </c>
      <c r="O170" s="0" t="s">
        <v>972</v>
      </c>
      <c r="P170" s="0" t="s">
        <v>973</v>
      </c>
      <c r="R170" s="0" t="s">
        <v>284</v>
      </c>
      <c r="S170" s="0" t="s">
        <v>290</v>
      </c>
      <c r="T170" s="0" t="s">
        <v>276</v>
      </c>
      <c r="U170" s="0" t="s">
        <v>277</v>
      </c>
    </row>
    <row r="171" customFormat="false" ht="15" hidden="false" customHeight="false" outlineLevel="0" collapsed="false">
      <c r="A171" s="0" t="n">
        <v>10</v>
      </c>
      <c r="B171" s="0" t="s">
        <v>43</v>
      </c>
      <c r="C171" s="0" t="s">
        <v>266</v>
      </c>
      <c r="D171" s="0" t="s">
        <v>974</v>
      </c>
      <c r="E171" s="0" t="n">
        <v>2023</v>
      </c>
      <c r="H171" s="0" t="n">
        <v>1</v>
      </c>
      <c r="I171" s="0" t="n">
        <v>689</v>
      </c>
      <c r="J171" s="0" t="s">
        <v>268</v>
      </c>
      <c r="K171" s="0" t="s">
        <v>937</v>
      </c>
      <c r="L171" s="0" t="s">
        <v>293</v>
      </c>
      <c r="M171" s="0" t="s">
        <v>975</v>
      </c>
      <c r="N171" s="0" t="s">
        <v>975</v>
      </c>
      <c r="O171" s="0" t="s">
        <v>976</v>
      </c>
      <c r="P171" s="0" t="s">
        <v>977</v>
      </c>
      <c r="R171" s="0" t="s">
        <v>284</v>
      </c>
      <c r="S171" s="0" t="s">
        <v>290</v>
      </c>
      <c r="T171" s="0" t="s">
        <v>276</v>
      </c>
      <c r="U171" s="0" t="s">
        <v>277</v>
      </c>
    </row>
    <row r="172" customFormat="false" ht="15" hidden="false" customHeight="false" outlineLevel="0" collapsed="false">
      <c r="A172" s="0" t="n">
        <v>10</v>
      </c>
      <c r="B172" s="0" t="s">
        <v>43</v>
      </c>
      <c r="C172" s="0" t="s">
        <v>266</v>
      </c>
      <c r="D172" s="0" t="s">
        <v>978</v>
      </c>
      <c r="E172" s="0" t="n">
        <v>2023</v>
      </c>
      <c r="H172" s="0" t="n">
        <v>1</v>
      </c>
      <c r="I172" s="0" t="n">
        <v>594</v>
      </c>
      <c r="J172" s="0" t="s">
        <v>268</v>
      </c>
      <c r="K172" s="0" t="s">
        <v>937</v>
      </c>
      <c r="L172" s="0" t="s">
        <v>293</v>
      </c>
      <c r="M172" s="0" t="s">
        <v>979</v>
      </c>
      <c r="N172" s="0" t="s">
        <v>979</v>
      </c>
      <c r="O172" s="0" t="s">
        <v>980</v>
      </c>
      <c r="P172" s="0" t="s">
        <v>981</v>
      </c>
      <c r="R172" s="0" t="s">
        <v>284</v>
      </c>
      <c r="S172" s="0" t="s">
        <v>290</v>
      </c>
      <c r="T172" s="0" t="s">
        <v>276</v>
      </c>
      <c r="U172" s="0" t="s">
        <v>277</v>
      </c>
    </row>
    <row r="173" customFormat="false" ht="15" hidden="false" customHeight="false" outlineLevel="0" collapsed="false">
      <c r="A173" s="0" t="n">
        <v>10</v>
      </c>
      <c r="B173" s="0" t="s">
        <v>43</v>
      </c>
      <c r="C173" s="0" t="s">
        <v>266</v>
      </c>
      <c r="D173" s="0" t="s">
        <v>982</v>
      </c>
      <c r="E173" s="0" t="n">
        <v>2023</v>
      </c>
      <c r="H173" s="0" t="n">
        <v>1</v>
      </c>
      <c r="I173" s="0" t="n">
        <v>171</v>
      </c>
      <c r="J173" s="0" t="s">
        <v>268</v>
      </c>
      <c r="K173" s="0" t="s">
        <v>937</v>
      </c>
      <c r="L173" s="0" t="s">
        <v>293</v>
      </c>
      <c r="M173" s="0" t="s">
        <v>983</v>
      </c>
      <c r="N173" s="0" t="s">
        <v>983</v>
      </c>
      <c r="O173" s="0" t="s">
        <v>984</v>
      </c>
      <c r="P173" s="0" t="s">
        <v>985</v>
      </c>
      <c r="R173" s="0" t="s">
        <v>284</v>
      </c>
      <c r="S173" s="0" t="s">
        <v>290</v>
      </c>
      <c r="T173" s="0" t="s">
        <v>276</v>
      </c>
      <c r="U173" s="0" t="s">
        <v>277</v>
      </c>
    </row>
    <row r="174" customFormat="false" ht="15" hidden="false" customHeight="false" outlineLevel="0" collapsed="false">
      <c r="A174" s="0" t="n">
        <v>10</v>
      </c>
      <c r="B174" s="0" t="s">
        <v>43</v>
      </c>
      <c r="C174" s="0" t="s">
        <v>266</v>
      </c>
      <c r="D174" s="0" t="s">
        <v>986</v>
      </c>
      <c r="E174" s="0" t="n">
        <v>2023</v>
      </c>
      <c r="H174" s="0" t="n">
        <v>13</v>
      </c>
      <c r="I174" s="0" t="n">
        <v>1722</v>
      </c>
      <c r="J174" s="0" t="s">
        <v>268</v>
      </c>
      <c r="K174" s="0" t="s">
        <v>937</v>
      </c>
      <c r="L174" s="0" t="s">
        <v>293</v>
      </c>
      <c r="M174" s="0" t="s">
        <v>987</v>
      </c>
      <c r="N174" s="0" t="s">
        <v>988</v>
      </c>
      <c r="O174" s="0" t="s">
        <v>989</v>
      </c>
      <c r="P174" s="0" t="s">
        <v>990</v>
      </c>
      <c r="R174" s="0" t="s">
        <v>284</v>
      </c>
      <c r="S174" s="0" t="s">
        <v>290</v>
      </c>
      <c r="T174" s="0" t="s">
        <v>276</v>
      </c>
      <c r="U174" s="0" t="s">
        <v>277</v>
      </c>
    </row>
    <row r="175" customFormat="false" ht="15" hidden="false" customHeight="false" outlineLevel="0" collapsed="false">
      <c r="A175" s="0" t="n">
        <v>10</v>
      </c>
      <c r="B175" s="0" t="s">
        <v>43</v>
      </c>
      <c r="C175" s="0" t="s">
        <v>266</v>
      </c>
      <c r="D175" s="0" t="s">
        <v>991</v>
      </c>
      <c r="E175" s="0" t="n">
        <v>2023</v>
      </c>
      <c r="H175" s="0" t="n">
        <v>14</v>
      </c>
      <c r="I175" s="0" t="n">
        <v>2021</v>
      </c>
      <c r="J175" s="0" t="s">
        <v>268</v>
      </c>
      <c r="K175" s="0" t="s">
        <v>937</v>
      </c>
      <c r="L175" s="0" t="s">
        <v>293</v>
      </c>
      <c r="M175" s="0" t="s">
        <v>992</v>
      </c>
      <c r="N175" s="0" t="s">
        <v>993</v>
      </c>
      <c r="O175" s="0" t="s">
        <v>994</v>
      </c>
      <c r="P175" s="0" t="s">
        <v>995</v>
      </c>
      <c r="R175" s="0" t="s">
        <v>284</v>
      </c>
      <c r="S175" s="0" t="s">
        <v>268</v>
      </c>
      <c r="T175" s="0" t="s">
        <v>276</v>
      </c>
      <c r="U175" s="0" t="s">
        <v>277</v>
      </c>
    </row>
    <row r="176" customFormat="false" ht="15" hidden="false" customHeight="false" outlineLevel="0" collapsed="false">
      <c r="A176" s="0" t="n">
        <v>10</v>
      </c>
      <c r="B176" s="0" t="s">
        <v>43</v>
      </c>
      <c r="C176" s="0" t="s">
        <v>266</v>
      </c>
      <c r="D176" s="0" t="s">
        <v>996</v>
      </c>
      <c r="E176" s="0" t="n">
        <v>2023</v>
      </c>
      <c r="H176" s="0" t="n">
        <v>9</v>
      </c>
      <c r="I176" s="0" t="n">
        <v>3318</v>
      </c>
      <c r="J176" s="0" t="s">
        <v>290</v>
      </c>
      <c r="K176" s="0" t="s">
        <v>937</v>
      </c>
      <c r="L176" s="0" t="s">
        <v>293</v>
      </c>
      <c r="M176" s="0" t="s">
        <v>997</v>
      </c>
      <c r="N176" s="0" t="s">
        <v>998</v>
      </c>
      <c r="O176" s="0" t="s">
        <v>999</v>
      </c>
      <c r="P176" s="0" t="s">
        <v>1000</v>
      </c>
      <c r="R176" s="0" t="s">
        <v>284</v>
      </c>
      <c r="S176" s="0" t="s">
        <v>290</v>
      </c>
      <c r="T176" s="0" t="s">
        <v>276</v>
      </c>
      <c r="U176" s="0" t="s">
        <v>277</v>
      </c>
    </row>
    <row r="177" customFormat="false" ht="15" hidden="false" customHeight="false" outlineLevel="0" collapsed="false">
      <c r="A177" s="0" t="n">
        <v>10</v>
      </c>
      <c r="B177" s="0" t="s">
        <v>43</v>
      </c>
      <c r="C177" s="0" t="s">
        <v>266</v>
      </c>
      <c r="D177" s="0" t="s">
        <v>1001</v>
      </c>
      <c r="E177" s="0" t="n">
        <v>2023</v>
      </c>
      <c r="H177" s="0" t="n">
        <v>6</v>
      </c>
      <c r="I177" s="0" t="n">
        <v>1128</v>
      </c>
      <c r="J177" s="0" t="s">
        <v>268</v>
      </c>
      <c r="K177" s="0" t="s">
        <v>937</v>
      </c>
      <c r="L177" s="0" t="s">
        <v>293</v>
      </c>
      <c r="M177" s="0" t="s">
        <v>1002</v>
      </c>
      <c r="N177" s="0" t="s">
        <v>1003</v>
      </c>
      <c r="O177" s="0" t="s">
        <v>1004</v>
      </c>
      <c r="P177" s="0" t="s">
        <v>1005</v>
      </c>
      <c r="R177" s="0" t="s">
        <v>284</v>
      </c>
      <c r="S177" s="0" t="s">
        <v>290</v>
      </c>
      <c r="T177" s="0" t="s">
        <v>276</v>
      </c>
      <c r="U177" s="0" t="s">
        <v>277</v>
      </c>
    </row>
    <row r="178" customFormat="false" ht="15" hidden="false" customHeight="false" outlineLevel="0" collapsed="false">
      <c r="A178" s="0" t="n">
        <v>10</v>
      </c>
      <c r="B178" s="0" t="s">
        <v>43</v>
      </c>
      <c r="C178" s="0" t="s">
        <v>324</v>
      </c>
      <c r="D178" s="0" t="s">
        <v>1006</v>
      </c>
      <c r="E178" s="0" t="n">
        <v>2023</v>
      </c>
      <c r="H178" s="0" t="n">
        <v>2</v>
      </c>
      <c r="I178" s="0" t="n">
        <v>53</v>
      </c>
      <c r="J178" s="0" t="s">
        <v>268</v>
      </c>
      <c r="K178" s="0" t="s">
        <v>937</v>
      </c>
      <c r="L178" s="0" t="s">
        <v>293</v>
      </c>
      <c r="M178" s="0" t="s">
        <v>1007</v>
      </c>
      <c r="N178" s="0" t="s">
        <v>1007</v>
      </c>
      <c r="O178" s="0" t="s">
        <v>1008</v>
      </c>
      <c r="P178" s="0" t="s">
        <v>1009</v>
      </c>
      <c r="R178" s="0" t="s">
        <v>284</v>
      </c>
      <c r="S178" s="0" t="s">
        <v>268</v>
      </c>
      <c r="T178" s="0" t="s">
        <v>276</v>
      </c>
      <c r="U178" s="0" t="s">
        <v>277</v>
      </c>
    </row>
    <row r="179" customFormat="false" ht="15" hidden="false" customHeight="false" outlineLevel="0" collapsed="false">
      <c r="A179" s="0" t="n">
        <v>10</v>
      </c>
      <c r="B179" s="0" t="s">
        <v>43</v>
      </c>
      <c r="C179" s="0" t="s">
        <v>335</v>
      </c>
      <c r="D179" s="0" t="s">
        <v>1010</v>
      </c>
      <c r="E179" s="0" t="n">
        <v>2023</v>
      </c>
      <c r="H179" s="0" t="n">
        <v>1</v>
      </c>
      <c r="I179" s="0" t="n">
        <v>143</v>
      </c>
      <c r="J179" s="0" t="s">
        <v>268</v>
      </c>
      <c r="K179" s="0" t="s">
        <v>937</v>
      </c>
      <c r="L179" s="0" t="s">
        <v>293</v>
      </c>
      <c r="M179" s="0" t="s">
        <v>1011</v>
      </c>
      <c r="N179" s="0" t="s">
        <v>1012</v>
      </c>
      <c r="O179" s="0" t="s">
        <v>1013</v>
      </c>
      <c r="P179" s="0" t="s">
        <v>1014</v>
      </c>
      <c r="R179" s="0" t="s">
        <v>284</v>
      </c>
      <c r="S179" s="0" t="s">
        <v>290</v>
      </c>
      <c r="T179" s="0" t="s">
        <v>276</v>
      </c>
      <c r="U179" s="0" t="s">
        <v>277</v>
      </c>
    </row>
    <row r="180" customFormat="false" ht="15" hidden="false" customHeight="false" outlineLevel="0" collapsed="false">
      <c r="A180" s="0" t="n">
        <v>10</v>
      </c>
      <c r="B180" s="0" t="s">
        <v>43</v>
      </c>
      <c r="C180" s="0" t="s">
        <v>335</v>
      </c>
      <c r="D180" s="0" t="s">
        <v>1015</v>
      </c>
      <c r="E180" s="0" t="n">
        <v>2023</v>
      </c>
      <c r="H180" s="0" t="n">
        <v>3</v>
      </c>
      <c r="I180" s="0" t="n">
        <v>202</v>
      </c>
      <c r="J180" s="0" t="s">
        <v>268</v>
      </c>
      <c r="K180" s="0" t="s">
        <v>937</v>
      </c>
      <c r="L180" s="0" t="s">
        <v>293</v>
      </c>
      <c r="M180" s="0" t="s">
        <v>1016</v>
      </c>
      <c r="N180" s="0" t="s">
        <v>1017</v>
      </c>
      <c r="O180" s="0" t="s">
        <v>1018</v>
      </c>
      <c r="P180" s="0" t="s">
        <v>1019</v>
      </c>
      <c r="R180" s="0" t="s">
        <v>284</v>
      </c>
      <c r="S180" s="0" t="s">
        <v>268</v>
      </c>
      <c r="T180" s="0" t="s">
        <v>276</v>
      </c>
      <c r="U180" s="0" t="s">
        <v>277</v>
      </c>
    </row>
    <row r="181" customFormat="false" ht="15" hidden="false" customHeight="false" outlineLevel="0" collapsed="false">
      <c r="A181" s="0" t="n">
        <v>10</v>
      </c>
      <c r="B181" s="0" t="s">
        <v>43</v>
      </c>
      <c r="C181" s="0" t="s">
        <v>480</v>
      </c>
      <c r="D181" s="0" t="s">
        <v>1020</v>
      </c>
      <c r="E181" s="0" t="n">
        <v>2023</v>
      </c>
      <c r="H181" s="0" t="n">
        <v>1</v>
      </c>
      <c r="I181" s="0" t="n">
        <v>126</v>
      </c>
      <c r="J181" s="0" t="s">
        <v>268</v>
      </c>
      <c r="K181" s="0" t="s">
        <v>937</v>
      </c>
      <c r="L181" s="0" t="s">
        <v>293</v>
      </c>
      <c r="M181" s="0" t="s">
        <v>1021</v>
      </c>
      <c r="N181" s="0" t="s">
        <v>1022</v>
      </c>
      <c r="O181" s="0" t="s">
        <v>1023</v>
      </c>
      <c r="P181" s="0" t="s">
        <v>1024</v>
      </c>
      <c r="R181" s="0" t="s">
        <v>284</v>
      </c>
      <c r="S181" s="0" t="s">
        <v>268</v>
      </c>
      <c r="T181" s="0" t="s">
        <v>276</v>
      </c>
      <c r="U181" s="0" t="s">
        <v>277</v>
      </c>
    </row>
    <row r="182" customFormat="false" ht="15" hidden="false" customHeight="false" outlineLevel="0" collapsed="false">
      <c r="A182" s="0" t="n">
        <v>10</v>
      </c>
      <c r="B182" s="0" t="s">
        <v>43</v>
      </c>
      <c r="C182" s="0" t="s">
        <v>480</v>
      </c>
      <c r="D182" s="0" t="s">
        <v>1025</v>
      </c>
      <c r="E182" s="0" t="n">
        <v>2023</v>
      </c>
      <c r="H182" s="0" t="n">
        <v>1</v>
      </c>
      <c r="I182" s="0" t="n">
        <v>120</v>
      </c>
      <c r="J182" s="0" t="s">
        <v>268</v>
      </c>
      <c r="K182" s="0" t="s">
        <v>937</v>
      </c>
      <c r="L182" s="0" t="s">
        <v>293</v>
      </c>
      <c r="M182" s="0" t="s">
        <v>1026</v>
      </c>
      <c r="N182" s="0" t="s">
        <v>1027</v>
      </c>
      <c r="O182" s="0" t="s">
        <v>1028</v>
      </c>
      <c r="P182" s="0" t="s">
        <v>1029</v>
      </c>
      <c r="R182" s="0" t="s">
        <v>284</v>
      </c>
      <c r="S182" s="0" t="s">
        <v>290</v>
      </c>
      <c r="T182" s="0" t="s">
        <v>276</v>
      </c>
      <c r="U182" s="0" t="s">
        <v>277</v>
      </c>
    </row>
    <row r="183" customFormat="false" ht="15" hidden="false" customHeight="false" outlineLevel="0" collapsed="false">
      <c r="A183" s="0" t="n">
        <v>11</v>
      </c>
      <c r="B183" s="0" t="s">
        <v>44</v>
      </c>
      <c r="C183" s="0" t="s">
        <v>56</v>
      </c>
      <c r="D183" s="0" t="s">
        <v>1030</v>
      </c>
      <c r="E183" s="0" t="n">
        <v>2018</v>
      </c>
      <c r="H183" s="0" t="n">
        <v>2</v>
      </c>
      <c r="I183" s="0" t="n">
        <v>65</v>
      </c>
      <c r="J183" s="0" t="s">
        <v>268</v>
      </c>
      <c r="K183" s="0" t="s">
        <v>1031</v>
      </c>
      <c r="L183" s="0" t="s">
        <v>293</v>
      </c>
      <c r="M183" s="0" t="s">
        <v>1032</v>
      </c>
      <c r="N183" s="0" t="s">
        <v>1033</v>
      </c>
      <c r="O183" s="0" t="s">
        <v>1034</v>
      </c>
      <c r="P183" s="0" t="s">
        <v>1035</v>
      </c>
      <c r="R183" s="0" t="s">
        <v>284</v>
      </c>
      <c r="S183" s="0" t="s">
        <v>268</v>
      </c>
      <c r="T183" s="0" t="s">
        <v>276</v>
      </c>
      <c r="U183" s="0" t="s">
        <v>277</v>
      </c>
    </row>
    <row r="184" customFormat="false" ht="15" hidden="false" customHeight="false" outlineLevel="0" collapsed="false">
      <c r="A184" s="0" t="n">
        <v>11</v>
      </c>
      <c r="B184" s="0" t="s">
        <v>44</v>
      </c>
      <c r="C184" s="0" t="s">
        <v>91</v>
      </c>
      <c r="D184" s="0" t="s">
        <v>1036</v>
      </c>
      <c r="E184" s="0" t="n">
        <v>2018</v>
      </c>
      <c r="H184" s="0" t="n">
        <v>2</v>
      </c>
      <c r="I184" s="0" t="n">
        <v>114</v>
      </c>
      <c r="J184" s="0" t="s">
        <v>268</v>
      </c>
      <c r="K184" s="0" t="s">
        <v>1031</v>
      </c>
      <c r="L184" s="0" t="s">
        <v>293</v>
      </c>
      <c r="M184" s="0" t="s">
        <v>1037</v>
      </c>
      <c r="N184" s="0" t="s">
        <v>1038</v>
      </c>
      <c r="O184" s="0" t="s">
        <v>1039</v>
      </c>
      <c r="P184" s="0" t="s">
        <v>1040</v>
      </c>
      <c r="R184" s="0" t="s">
        <v>284</v>
      </c>
      <c r="S184" s="0" t="s">
        <v>268</v>
      </c>
      <c r="T184" s="0" t="s">
        <v>276</v>
      </c>
      <c r="U184" s="0" t="s">
        <v>277</v>
      </c>
    </row>
    <row r="185" customFormat="false" ht="15" hidden="false" customHeight="false" outlineLevel="0" collapsed="false">
      <c r="A185" s="0" t="n">
        <v>11</v>
      </c>
      <c r="B185" s="0" t="s">
        <v>44</v>
      </c>
      <c r="C185" s="0" t="s">
        <v>91</v>
      </c>
      <c r="D185" s="0" t="s">
        <v>1041</v>
      </c>
      <c r="E185" s="0" t="n">
        <v>2018</v>
      </c>
      <c r="H185" s="0" t="n">
        <v>2</v>
      </c>
      <c r="I185" s="0" t="n">
        <v>336</v>
      </c>
      <c r="J185" s="0" t="s">
        <v>268</v>
      </c>
      <c r="K185" s="0" t="s">
        <v>1031</v>
      </c>
      <c r="L185" s="0" t="s">
        <v>293</v>
      </c>
      <c r="M185" s="0" t="s">
        <v>1042</v>
      </c>
      <c r="N185" s="0" t="s">
        <v>1043</v>
      </c>
      <c r="O185" s="0" t="s">
        <v>1044</v>
      </c>
      <c r="P185" s="0" t="s">
        <v>1045</v>
      </c>
      <c r="R185" s="0" t="s">
        <v>284</v>
      </c>
      <c r="S185" s="0" t="s">
        <v>290</v>
      </c>
      <c r="T185" s="0" t="s">
        <v>276</v>
      </c>
      <c r="U185" s="0" t="s">
        <v>277</v>
      </c>
    </row>
    <row r="186" customFormat="false" ht="15" hidden="false" customHeight="false" outlineLevel="0" collapsed="false">
      <c r="A186" s="0" t="n">
        <v>11</v>
      </c>
      <c r="B186" s="0" t="s">
        <v>44</v>
      </c>
      <c r="C186" s="0" t="s">
        <v>1046</v>
      </c>
      <c r="D186" s="0" t="s">
        <v>1047</v>
      </c>
      <c r="E186" s="0" t="n">
        <v>2018</v>
      </c>
      <c r="H186" s="0" t="n">
        <v>9</v>
      </c>
      <c r="I186" s="0" t="n">
        <v>1035</v>
      </c>
      <c r="J186" s="0" t="s">
        <v>268</v>
      </c>
      <c r="K186" s="0" t="s">
        <v>1031</v>
      </c>
      <c r="L186" s="0" t="s">
        <v>293</v>
      </c>
      <c r="M186" s="0" t="s">
        <v>1048</v>
      </c>
      <c r="N186" s="0" t="s">
        <v>1049</v>
      </c>
      <c r="O186" s="0" t="s">
        <v>1050</v>
      </c>
      <c r="P186" s="0" t="s">
        <v>1051</v>
      </c>
      <c r="R186" s="0" t="s">
        <v>284</v>
      </c>
      <c r="S186" s="0" t="s">
        <v>268</v>
      </c>
      <c r="T186" s="0" t="s">
        <v>276</v>
      </c>
      <c r="U186" s="0" t="s">
        <v>277</v>
      </c>
    </row>
    <row r="187" customFormat="false" ht="15" hidden="false" customHeight="false" outlineLevel="0" collapsed="false">
      <c r="A187" s="0" t="n">
        <v>11</v>
      </c>
      <c r="B187" s="0" t="s">
        <v>44</v>
      </c>
      <c r="C187" s="0" t="s">
        <v>586</v>
      </c>
      <c r="D187" s="0" t="s">
        <v>1052</v>
      </c>
      <c r="E187" s="0" t="n">
        <v>2018</v>
      </c>
      <c r="H187" s="0" t="n">
        <v>14</v>
      </c>
      <c r="I187" s="0" t="n">
        <v>664</v>
      </c>
      <c r="J187" s="0" t="s">
        <v>268</v>
      </c>
      <c r="K187" s="0" t="s">
        <v>1031</v>
      </c>
      <c r="L187" s="0" t="s">
        <v>293</v>
      </c>
      <c r="M187" s="0" t="s">
        <v>1053</v>
      </c>
      <c r="N187" s="0" t="s">
        <v>1054</v>
      </c>
      <c r="O187" s="0" t="s">
        <v>1055</v>
      </c>
      <c r="P187" s="0" t="s">
        <v>1056</v>
      </c>
      <c r="R187" s="0" t="s">
        <v>284</v>
      </c>
      <c r="S187" s="0" t="s">
        <v>268</v>
      </c>
      <c r="T187" s="0" t="s">
        <v>276</v>
      </c>
      <c r="U187" s="0" t="s">
        <v>277</v>
      </c>
    </row>
    <row r="188" customFormat="false" ht="15" hidden="false" customHeight="false" outlineLevel="0" collapsed="false">
      <c r="A188" s="0" t="n">
        <v>11</v>
      </c>
      <c r="B188" s="0" t="s">
        <v>44</v>
      </c>
      <c r="C188" s="0" t="s">
        <v>586</v>
      </c>
      <c r="D188" s="0" t="s">
        <v>1057</v>
      </c>
      <c r="E188" s="0" t="n">
        <v>2018</v>
      </c>
      <c r="H188" s="0" t="n">
        <v>14</v>
      </c>
      <c r="I188" s="0" t="n">
        <v>560</v>
      </c>
      <c r="J188" s="0" t="s">
        <v>268</v>
      </c>
      <c r="K188" s="0" t="s">
        <v>1031</v>
      </c>
      <c r="L188" s="0" t="s">
        <v>293</v>
      </c>
      <c r="M188" s="0" t="s">
        <v>1058</v>
      </c>
      <c r="N188" s="0" t="s">
        <v>1059</v>
      </c>
      <c r="O188" s="0" t="s">
        <v>1060</v>
      </c>
      <c r="P188" s="0" t="s">
        <v>1061</v>
      </c>
      <c r="R188" s="0" t="s">
        <v>284</v>
      </c>
      <c r="S188" s="0" t="s">
        <v>290</v>
      </c>
      <c r="T188" s="0" t="s">
        <v>276</v>
      </c>
      <c r="U188" s="0" t="s">
        <v>277</v>
      </c>
    </row>
    <row r="189" customFormat="false" ht="15" hidden="false" customHeight="false" outlineLevel="0" collapsed="false">
      <c r="A189" s="0" t="n">
        <v>11</v>
      </c>
      <c r="B189" s="0" t="s">
        <v>44</v>
      </c>
      <c r="C189" s="0" t="s">
        <v>266</v>
      </c>
      <c r="D189" s="0" t="s">
        <v>1062</v>
      </c>
      <c r="E189" s="0" t="n">
        <v>2025</v>
      </c>
      <c r="H189" s="0" t="n">
        <v>6</v>
      </c>
      <c r="I189" s="0" t="n">
        <v>10541</v>
      </c>
      <c r="J189" s="0" t="s">
        <v>268</v>
      </c>
      <c r="K189" s="0" t="s">
        <v>1031</v>
      </c>
      <c r="L189" s="0" t="s">
        <v>293</v>
      </c>
      <c r="M189" s="0" t="s">
        <v>1063</v>
      </c>
      <c r="N189" s="0" t="s">
        <v>1064</v>
      </c>
      <c r="O189" s="0" t="s">
        <v>1065</v>
      </c>
      <c r="P189" s="0" t="s">
        <v>1066</v>
      </c>
      <c r="R189" s="0" t="s">
        <v>275</v>
      </c>
      <c r="S189" s="0" t="s">
        <v>290</v>
      </c>
      <c r="T189" s="0" t="s">
        <v>276</v>
      </c>
      <c r="U189" s="0" t="s">
        <v>277</v>
      </c>
    </row>
    <row r="190" customFormat="false" ht="15" hidden="false" customHeight="false" outlineLevel="0" collapsed="false">
      <c r="A190" s="0" t="n">
        <v>11</v>
      </c>
      <c r="B190" s="0" t="s">
        <v>44</v>
      </c>
      <c r="C190" s="0" t="s">
        <v>266</v>
      </c>
      <c r="D190" s="0" t="s">
        <v>1067</v>
      </c>
      <c r="E190" s="0" t="n">
        <v>2025</v>
      </c>
      <c r="H190" s="0" t="n">
        <v>6</v>
      </c>
      <c r="I190" s="0" t="n">
        <v>5821</v>
      </c>
      <c r="J190" s="0" t="s">
        <v>268</v>
      </c>
      <c r="K190" s="0" t="s">
        <v>1031</v>
      </c>
      <c r="L190" s="0" t="s">
        <v>293</v>
      </c>
      <c r="M190" s="0" t="s">
        <v>1068</v>
      </c>
      <c r="N190" s="0" t="s">
        <v>1069</v>
      </c>
      <c r="O190" s="0" t="s">
        <v>1070</v>
      </c>
      <c r="P190" s="0" t="s">
        <v>1071</v>
      </c>
      <c r="R190" s="0" t="s">
        <v>275</v>
      </c>
      <c r="S190" s="0" t="s">
        <v>290</v>
      </c>
      <c r="T190" s="0" t="s">
        <v>276</v>
      </c>
      <c r="U190" s="0" t="s">
        <v>277</v>
      </c>
    </row>
    <row r="191" customFormat="false" ht="15" hidden="false" customHeight="false" outlineLevel="0" collapsed="false">
      <c r="A191" s="0" t="n">
        <v>11</v>
      </c>
      <c r="B191" s="0" t="s">
        <v>44</v>
      </c>
      <c r="C191" s="0" t="s">
        <v>266</v>
      </c>
      <c r="D191" s="0" t="s">
        <v>1072</v>
      </c>
      <c r="E191" s="0" t="n">
        <v>2025</v>
      </c>
      <c r="H191" s="0" t="n">
        <v>8</v>
      </c>
      <c r="I191" s="0" t="n">
        <v>10180</v>
      </c>
      <c r="J191" s="0" t="s">
        <v>268</v>
      </c>
      <c r="K191" s="0" t="s">
        <v>1031</v>
      </c>
      <c r="L191" s="0" t="s">
        <v>293</v>
      </c>
      <c r="M191" s="0" t="s">
        <v>1073</v>
      </c>
      <c r="N191" s="0" t="s">
        <v>1074</v>
      </c>
      <c r="O191" s="0" t="s">
        <v>1075</v>
      </c>
      <c r="P191" s="0" t="s">
        <v>1076</v>
      </c>
      <c r="R191" s="0" t="s">
        <v>275</v>
      </c>
      <c r="S191" s="0" t="s">
        <v>290</v>
      </c>
      <c r="T191" s="0" t="s">
        <v>276</v>
      </c>
      <c r="U191" s="0" t="s">
        <v>277</v>
      </c>
    </row>
    <row r="192" customFormat="false" ht="15" hidden="false" customHeight="false" outlineLevel="0" collapsed="false">
      <c r="A192" s="0" t="n">
        <v>11</v>
      </c>
      <c r="B192" s="0" t="s">
        <v>44</v>
      </c>
      <c r="C192" s="0" t="s">
        <v>266</v>
      </c>
      <c r="D192" s="0" t="s">
        <v>1077</v>
      </c>
      <c r="E192" s="0" t="n">
        <v>2025</v>
      </c>
      <c r="H192" s="0" t="n">
        <v>9</v>
      </c>
      <c r="I192" s="0" t="n">
        <v>19147</v>
      </c>
      <c r="J192" s="0" t="s">
        <v>268</v>
      </c>
      <c r="K192" s="0" t="s">
        <v>1031</v>
      </c>
      <c r="L192" s="0" t="s">
        <v>293</v>
      </c>
      <c r="M192" s="0" t="s">
        <v>1078</v>
      </c>
      <c r="N192" s="0" t="s">
        <v>1079</v>
      </c>
      <c r="O192" s="0" t="s">
        <v>1080</v>
      </c>
      <c r="P192" s="0" t="s">
        <v>1081</v>
      </c>
      <c r="R192" s="0" t="s">
        <v>275</v>
      </c>
      <c r="S192" s="0" t="s">
        <v>268</v>
      </c>
      <c r="T192" s="0" t="s">
        <v>276</v>
      </c>
      <c r="U192" s="0" t="s">
        <v>277</v>
      </c>
    </row>
    <row r="193" customFormat="false" ht="15" hidden="false" customHeight="false" outlineLevel="0" collapsed="false">
      <c r="A193" s="0" t="n">
        <v>11</v>
      </c>
      <c r="B193" s="0" t="s">
        <v>44</v>
      </c>
      <c r="C193" s="0" t="s">
        <v>266</v>
      </c>
      <c r="D193" s="0" t="s">
        <v>1082</v>
      </c>
      <c r="E193" s="0" t="n">
        <v>2018</v>
      </c>
      <c r="H193" s="0" t="n">
        <v>12</v>
      </c>
      <c r="I193" s="0" t="n">
        <v>2622</v>
      </c>
      <c r="J193" s="0" t="s">
        <v>268</v>
      </c>
      <c r="K193" s="0" t="s">
        <v>1031</v>
      </c>
      <c r="L193" s="0" t="s">
        <v>293</v>
      </c>
      <c r="M193" s="0" t="s">
        <v>1083</v>
      </c>
      <c r="N193" s="0" t="s">
        <v>1084</v>
      </c>
      <c r="O193" s="0" t="s">
        <v>1085</v>
      </c>
      <c r="P193" s="0" t="s">
        <v>1086</v>
      </c>
      <c r="R193" s="0" t="s">
        <v>284</v>
      </c>
      <c r="S193" s="0" t="s">
        <v>290</v>
      </c>
      <c r="T193" s="0" t="s">
        <v>276</v>
      </c>
      <c r="U193" s="0" t="s">
        <v>277</v>
      </c>
    </row>
    <row r="194" customFormat="false" ht="15" hidden="false" customHeight="false" outlineLevel="0" collapsed="false">
      <c r="A194" s="0" t="n">
        <v>11</v>
      </c>
      <c r="B194" s="0" t="s">
        <v>44</v>
      </c>
      <c r="C194" s="0" t="s">
        <v>266</v>
      </c>
      <c r="D194" s="0" t="s">
        <v>1087</v>
      </c>
      <c r="E194" s="0" t="n">
        <v>2018</v>
      </c>
      <c r="H194" s="0" t="n">
        <v>8</v>
      </c>
      <c r="I194" s="0" t="n">
        <v>4285</v>
      </c>
      <c r="J194" s="0" t="s">
        <v>268</v>
      </c>
      <c r="K194" s="0" t="s">
        <v>1031</v>
      </c>
      <c r="L194" s="0" t="s">
        <v>293</v>
      </c>
      <c r="M194" s="0" t="s">
        <v>1088</v>
      </c>
      <c r="N194" s="0" t="s">
        <v>1089</v>
      </c>
      <c r="O194" s="0" t="s">
        <v>1090</v>
      </c>
      <c r="P194" s="0" t="s">
        <v>1091</v>
      </c>
      <c r="R194" s="0" t="s">
        <v>284</v>
      </c>
      <c r="S194" s="0" t="s">
        <v>290</v>
      </c>
      <c r="T194" s="0" t="s">
        <v>276</v>
      </c>
      <c r="U194" s="0" t="s">
        <v>277</v>
      </c>
    </row>
    <row r="195" customFormat="false" ht="15" hidden="false" customHeight="false" outlineLevel="0" collapsed="false">
      <c r="A195" s="0" t="n">
        <v>11</v>
      </c>
      <c r="B195" s="0" t="s">
        <v>44</v>
      </c>
      <c r="C195" s="0" t="s">
        <v>266</v>
      </c>
      <c r="D195" s="0" t="s">
        <v>1092</v>
      </c>
      <c r="E195" s="0" t="n">
        <v>2018</v>
      </c>
      <c r="H195" s="0" t="n">
        <v>8</v>
      </c>
      <c r="I195" s="0" t="n">
        <v>3484</v>
      </c>
      <c r="J195" s="0" t="s">
        <v>268</v>
      </c>
      <c r="K195" s="0" t="s">
        <v>1031</v>
      </c>
      <c r="L195" s="0" t="s">
        <v>293</v>
      </c>
      <c r="M195" s="0" t="s">
        <v>1093</v>
      </c>
      <c r="N195" s="0" t="s">
        <v>1094</v>
      </c>
      <c r="O195" s="0" t="s">
        <v>1095</v>
      </c>
      <c r="P195" s="0" t="s">
        <v>1096</v>
      </c>
      <c r="R195" s="0" t="s">
        <v>284</v>
      </c>
      <c r="S195" s="0" t="s">
        <v>290</v>
      </c>
      <c r="T195" s="0" t="s">
        <v>276</v>
      </c>
      <c r="U195" s="0" t="s">
        <v>277</v>
      </c>
    </row>
    <row r="196" customFormat="false" ht="15" hidden="false" customHeight="false" outlineLevel="0" collapsed="false">
      <c r="A196" s="0" t="n">
        <v>11</v>
      </c>
      <c r="B196" s="0" t="s">
        <v>44</v>
      </c>
      <c r="C196" s="0" t="s">
        <v>266</v>
      </c>
      <c r="D196" s="0" t="s">
        <v>1097</v>
      </c>
      <c r="E196" s="0" t="n">
        <v>2012</v>
      </c>
      <c r="H196" s="0" t="n">
        <v>6</v>
      </c>
      <c r="I196" s="0" t="n">
        <v>449</v>
      </c>
      <c r="J196" s="0" t="s">
        <v>268</v>
      </c>
      <c r="K196" s="0" t="s">
        <v>1031</v>
      </c>
      <c r="L196" s="0" t="s">
        <v>293</v>
      </c>
      <c r="M196" s="0" t="s">
        <v>1098</v>
      </c>
      <c r="N196" s="0" t="s">
        <v>1099</v>
      </c>
      <c r="O196" s="0" t="s">
        <v>1100</v>
      </c>
      <c r="P196" s="0" t="s">
        <v>1101</v>
      </c>
      <c r="R196" s="0" t="s">
        <v>284</v>
      </c>
      <c r="S196" s="0" t="s">
        <v>290</v>
      </c>
      <c r="T196" s="0" t="s">
        <v>276</v>
      </c>
      <c r="U196" s="0" t="s">
        <v>277</v>
      </c>
    </row>
    <row r="197" customFormat="false" ht="15" hidden="false" customHeight="false" outlineLevel="0" collapsed="false">
      <c r="A197" s="0" t="n">
        <v>11</v>
      </c>
      <c r="B197" s="0" t="s">
        <v>44</v>
      </c>
      <c r="C197" s="0" t="s">
        <v>324</v>
      </c>
      <c r="D197" s="0" t="s">
        <v>1102</v>
      </c>
      <c r="E197" s="0" t="n">
        <v>2018</v>
      </c>
      <c r="H197" s="0" t="n">
        <v>6</v>
      </c>
      <c r="I197" s="0" t="n">
        <v>5503</v>
      </c>
      <c r="J197" s="0" t="s">
        <v>268</v>
      </c>
      <c r="K197" s="0" t="s">
        <v>1031</v>
      </c>
      <c r="L197" s="0" t="s">
        <v>293</v>
      </c>
      <c r="M197" s="0" t="s">
        <v>1103</v>
      </c>
      <c r="N197" s="0" t="s">
        <v>1104</v>
      </c>
      <c r="O197" s="0" t="s">
        <v>1105</v>
      </c>
      <c r="P197" s="0" t="s">
        <v>1106</v>
      </c>
      <c r="R197" s="0" t="s">
        <v>284</v>
      </c>
      <c r="S197" s="0" t="s">
        <v>290</v>
      </c>
      <c r="T197" s="0" t="s">
        <v>276</v>
      </c>
      <c r="U197" s="0" t="s">
        <v>277</v>
      </c>
    </row>
    <row r="198" customFormat="false" ht="15" hidden="false" customHeight="false" outlineLevel="0" collapsed="false">
      <c r="A198" s="0" t="n">
        <v>11</v>
      </c>
      <c r="B198" s="0" t="s">
        <v>44</v>
      </c>
      <c r="C198" s="0" t="s">
        <v>324</v>
      </c>
      <c r="D198" s="0" t="s">
        <v>1107</v>
      </c>
      <c r="E198" s="0" t="n">
        <v>2018</v>
      </c>
      <c r="H198" s="0" t="n">
        <v>7</v>
      </c>
      <c r="I198" s="0" t="n">
        <v>4193</v>
      </c>
      <c r="J198" s="0" t="s">
        <v>268</v>
      </c>
      <c r="K198" s="0" t="s">
        <v>1031</v>
      </c>
      <c r="L198" s="0" t="s">
        <v>293</v>
      </c>
      <c r="M198" s="0" t="s">
        <v>1108</v>
      </c>
      <c r="N198" s="0" t="s">
        <v>1109</v>
      </c>
      <c r="O198" s="0" t="s">
        <v>1110</v>
      </c>
      <c r="P198" s="0" t="s">
        <v>1111</v>
      </c>
      <c r="R198" s="0" t="s">
        <v>284</v>
      </c>
      <c r="S198" s="0" t="s">
        <v>268</v>
      </c>
      <c r="T198" s="0" t="s">
        <v>276</v>
      </c>
      <c r="U198" s="0" t="s">
        <v>277</v>
      </c>
    </row>
    <row r="199" customFormat="false" ht="15" hidden="false" customHeight="false" outlineLevel="0" collapsed="false">
      <c r="A199" s="0" t="n">
        <v>11</v>
      </c>
      <c r="B199" s="0" t="s">
        <v>44</v>
      </c>
      <c r="C199" s="0" t="s">
        <v>324</v>
      </c>
      <c r="D199" s="0" t="s">
        <v>1112</v>
      </c>
      <c r="E199" s="0" t="n">
        <v>2018</v>
      </c>
      <c r="H199" s="0" t="n">
        <v>2</v>
      </c>
      <c r="I199" s="0" t="n">
        <v>746</v>
      </c>
      <c r="J199" s="0" t="s">
        <v>268</v>
      </c>
      <c r="K199" s="0" t="s">
        <v>1031</v>
      </c>
      <c r="L199" s="0" t="s">
        <v>293</v>
      </c>
      <c r="M199" s="0" t="s">
        <v>1113</v>
      </c>
      <c r="N199" s="0" t="s">
        <v>1114</v>
      </c>
      <c r="O199" s="0" t="s">
        <v>1115</v>
      </c>
      <c r="P199" s="0" t="s">
        <v>1116</v>
      </c>
      <c r="R199" s="0" t="s">
        <v>284</v>
      </c>
      <c r="S199" s="0" t="s">
        <v>290</v>
      </c>
      <c r="T199" s="0" t="s">
        <v>276</v>
      </c>
      <c r="U199" s="0" t="s">
        <v>277</v>
      </c>
    </row>
    <row r="200" customFormat="false" ht="15" hidden="false" customHeight="false" outlineLevel="0" collapsed="false">
      <c r="A200" s="0" t="n">
        <v>11</v>
      </c>
      <c r="B200" s="0" t="s">
        <v>44</v>
      </c>
      <c r="C200" s="0" t="s">
        <v>324</v>
      </c>
      <c r="D200" s="0" t="s">
        <v>1117</v>
      </c>
      <c r="E200" s="0" t="n">
        <v>2015</v>
      </c>
      <c r="H200" s="0" t="n">
        <v>3</v>
      </c>
      <c r="I200" s="0" t="n">
        <v>1882</v>
      </c>
      <c r="J200" s="0" t="s">
        <v>268</v>
      </c>
      <c r="K200" s="0" t="s">
        <v>1031</v>
      </c>
      <c r="L200" s="0" t="s">
        <v>293</v>
      </c>
      <c r="M200" s="0" t="s">
        <v>1118</v>
      </c>
      <c r="N200" s="0" t="s">
        <v>1119</v>
      </c>
      <c r="O200" s="0" t="s">
        <v>1120</v>
      </c>
      <c r="P200" s="0" t="s">
        <v>1121</v>
      </c>
      <c r="R200" s="0" t="s">
        <v>284</v>
      </c>
      <c r="S200" s="0" t="s">
        <v>290</v>
      </c>
      <c r="T200" s="0" t="s">
        <v>276</v>
      </c>
      <c r="U200" s="0" t="s">
        <v>277</v>
      </c>
    </row>
    <row r="201" customFormat="false" ht="15" hidden="false" customHeight="false" outlineLevel="0" collapsed="false">
      <c r="A201" s="0" t="n">
        <v>11</v>
      </c>
      <c r="B201" s="0" t="s">
        <v>44</v>
      </c>
      <c r="C201" s="0" t="s">
        <v>324</v>
      </c>
      <c r="D201" s="0" t="s">
        <v>1122</v>
      </c>
      <c r="E201" s="0" t="n">
        <v>2014</v>
      </c>
      <c r="H201" s="0" t="n">
        <v>1</v>
      </c>
      <c r="I201" s="0" t="n">
        <v>86</v>
      </c>
      <c r="J201" s="0" t="s">
        <v>268</v>
      </c>
      <c r="K201" s="0" t="s">
        <v>1031</v>
      </c>
      <c r="L201" s="0" t="s">
        <v>293</v>
      </c>
      <c r="M201" s="0" t="s">
        <v>1123</v>
      </c>
      <c r="N201" s="0" t="s">
        <v>1124</v>
      </c>
      <c r="O201" s="0" t="s">
        <v>1125</v>
      </c>
      <c r="P201" s="0" t="s">
        <v>1126</v>
      </c>
      <c r="R201" s="0" t="s">
        <v>284</v>
      </c>
      <c r="S201" s="0" t="s">
        <v>290</v>
      </c>
      <c r="T201" s="0" t="s">
        <v>276</v>
      </c>
      <c r="U201" s="0" t="s">
        <v>277</v>
      </c>
    </row>
    <row r="202" customFormat="false" ht="15" hidden="false" customHeight="false" outlineLevel="0" collapsed="false">
      <c r="A202" s="0" t="n">
        <v>11</v>
      </c>
      <c r="B202" s="0" t="s">
        <v>44</v>
      </c>
      <c r="C202" s="0" t="s">
        <v>335</v>
      </c>
      <c r="D202" s="0" t="s">
        <v>1127</v>
      </c>
      <c r="E202" s="0" t="n">
        <v>2018</v>
      </c>
      <c r="H202" s="0" t="n">
        <v>2</v>
      </c>
      <c r="I202" s="0" t="n">
        <v>768</v>
      </c>
      <c r="J202" s="0" t="s">
        <v>268</v>
      </c>
      <c r="K202" s="0" t="s">
        <v>1031</v>
      </c>
      <c r="L202" s="0" t="s">
        <v>293</v>
      </c>
      <c r="M202" s="0" t="s">
        <v>1128</v>
      </c>
      <c r="N202" s="0" t="s">
        <v>1129</v>
      </c>
      <c r="O202" s="0" t="s">
        <v>1130</v>
      </c>
      <c r="P202" s="0" t="s">
        <v>1131</v>
      </c>
      <c r="R202" s="0" t="s">
        <v>284</v>
      </c>
      <c r="S202" s="0" t="s">
        <v>268</v>
      </c>
      <c r="T202" s="0" t="s">
        <v>276</v>
      </c>
      <c r="U202" s="0" t="s">
        <v>277</v>
      </c>
    </row>
    <row r="203" customFormat="false" ht="15" hidden="false" customHeight="false" outlineLevel="0" collapsed="false">
      <c r="A203" s="0" t="n">
        <v>11</v>
      </c>
      <c r="B203" s="0" t="s">
        <v>44</v>
      </c>
      <c r="C203" s="0" t="s">
        <v>480</v>
      </c>
      <c r="D203" s="0" t="s">
        <v>1132</v>
      </c>
      <c r="E203" s="0" t="n">
        <v>2018</v>
      </c>
      <c r="H203" s="0" t="n">
        <v>1</v>
      </c>
      <c r="I203" s="0" t="n">
        <v>145</v>
      </c>
      <c r="J203" s="0" t="s">
        <v>268</v>
      </c>
      <c r="K203" s="0" t="s">
        <v>1031</v>
      </c>
      <c r="L203" s="0" t="s">
        <v>293</v>
      </c>
      <c r="M203" s="0" t="s">
        <v>1133</v>
      </c>
      <c r="N203" s="0" t="s">
        <v>1134</v>
      </c>
      <c r="O203" s="0" t="s">
        <v>1135</v>
      </c>
      <c r="P203" s="0" t="s">
        <v>1136</v>
      </c>
      <c r="R203" s="0" t="s">
        <v>284</v>
      </c>
      <c r="S203" s="0" t="s">
        <v>268</v>
      </c>
      <c r="T203" s="0" t="s">
        <v>276</v>
      </c>
      <c r="U203" s="0" t="s">
        <v>277</v>
      </c>
    </row>
    <row r="204" customFormat="false" ht="15" hidden="false" customHeight="false" outlineLevel="0" collapsed="false">
      <c r="A204" s="0" t="n">
        <v>11</v>
      </c>
      <c r="B204" s="0" t="s">
        <v>44</v>
      </c>
      <c r="C204" s="0" t="s">
        <v>500</v>
      </c>
      <c r="D204" s="0" t="s">
        <v>1137</v>
      </c>
      <c r="E204" s="0" t="n">
        <v>2025</v>
      </c>
      <c r="H204" s="0" t="n">
        <v>1</v>
      </c>
      <c r="I204" s="0" t="n">
        <v>18</v>
      </c>
      <c r="J204" s="0" t="s">
        <v>268</v>
      </c>
      <c r="K204" s="0" t="s">
        <v>1031</v>
      </c>
      <c r="L204" s="0" t="s">
        <v>293</v>
      </c>
      <c r="M204" s="0" t="s">
        <v>1138</v>
      </c>
      <c r="N204" s="0" t="s">
        <v>1139</v>
      </c>
      <c r="O204" s="0" t="s">
        <v>1140</v>
      </c>
      <c r="P204" s="0" t="s">
        <v>1141</v>
      </c>
      <c r="R204" s="0" t="s">
        <v>275</v>
      </c>
      <c r="S204" s="0" t="s">
        <v>268</v>
      </c>
      <c r="T204" s="0" t="s">
        <v>276</v>
      </c>
      <c r="U204" s="0" t="s">
        <v>277</v>
      </c>
    </row>
    <row r="205" customFormat="false" ht="15" hidden="false" customHeight="false" outlineLevel="0" collapsed="false">
      <c r="A205" s="0" t="n">
        <v>11</v>
      </c>
      <c r="B205" s="0" t="s">
        <v>44</v>
      </c>
      <c r="C205" s="0" t="s">
        <v>500</v>
      </c>
      <c r="D205" s="0" t="s">
        <v>1142</v>
      </c>
      <c r="E205" s="0" t="n">
        <v>2018</v>
      </c>
      <c r="H205" s="0" t="n">
        <v>1</v>
      </c>
      <c r="I205" s="0" t="n">
        <v>907</v>
      </c>
      <c r="J205" s="0" t="s">
        <v>268</v>
      </c>
      <c r="K205" s="0" t="s">
        <v>1031</v>
      </c>
      <c r="L205" s="0" t="s">
        <v>293</v>
      </c>
      <c r="M205" s="0" t="s">
        <v>1143</v>
      </c>
      <c r="N205" s="0" t="s">
        <v>1143</v>
      </c>
      <c r="O205" s="0" t="s">
        <v>1144</v>
      </c>
      <c r="P205" s="0" t="s">
        <v>1145</v>
      </c>
      <c r="R205" s="0" t="s">
        <v>284</v>
      </c>
      <c r="S205" s="0" t="s">
        <v>290</v>
      </c>
      <c r="T205" s="0" t="s">
        <v>276</v>
      </c>
      <c r="U205" s="0" t="s">
        <v>277</v>
      </c>
    </row>
    <row r="206" customFormat="false" ht="15" hidden="false" customHeight="false" outlineLevel="0" collapsed="false">
      <c r="A206" s="0" t="n">
        <v>11</v>
      </c>
      <c r="B206" s="0" t="s">
        <v>44</v>
      </c>
      <c r="C206" s="0" t="s">
        <v>500</v>
      </c>
      <c r="D206" s="0" t="s">
        <v>1146</v>
      </c>
      <c r="E206" s="0" t="n">
        <v>2015</v>
      </c>
      <c r="H206" s="0" t="n">
        <v>1</v>
      </c>
      <c r="I206" s="0" t="n">
        <v>916</v>
      </c>
      <c r="J206" s="0" t="s">
        <v>290</v>
      </c>
      <c r="K206" s="0" t="s">
        <v>1031</v>
      </c>
      <c r="L206" s="0" t="s">
        <v>293</v>
      </c>
      <c r="M206" s="0" t="s">
        <v>1147</v>
      </c>
      <c r="N206" s="0" t="s">
        <v>1147</v>
      </c>
      <c r="O206" s="0" t="s">
        <v>1148</v>
      </c>
      <c r="P206" s="0" t="s">
        <v>1149</v>
      </c>
      <c r="R206" s="0" t="s">
        <v>284</v>
      </c>
      <c r="S206" s="0" t="s">
        <v>290</v>
      </c>
      <c r="T206" s="0" t="s">
        <v>276</v>
      </c>
      <c r="U206" s="0" t="s">
        <v>277</v>
      </c>
    </row>
    <row r="207" customFormat="false" ht="15" hidden="false" customHeight="false" outlineLevel="0" collapsed="false">
      <c r="A207" s="0" t="n">
        <v>11</v>
      </c>
      <c r="B207" s="0" t="s">
        <v>44</v>
      </c>
      <c r="C207" s="0" t="s">
        <v>500</v>
      </c>
      <c r="D207" s="0" t="s">
        <v>1150</v>
      </c>
      <c r="E207" s="0" t="n">
        <v>2014</v>
      </c>
      <c r="H207" s="0" t="n">
        <v>1</v>
      </c>
      <c r="I207" s="0" t="n">
        <v>771</v>
      </c>
      <c r="J207" s="0" t="s">
        <v>290</v>
      </c>
      <c r="K207" s="0" t="s">
        <v>1031</v>
      </c>
      <c r="L207" s="0" t="s">
        <v>293</v>
      </c>
      <c r="M207" s="0" t="s">
        <v>1151</v>
      </c>
      <c r="N207" s="0" t="s">
        <v>1151</v>
      </c>
      <c r="O207" s="0" t="s">
        <v>1152</v>
      </c>
      <c r="P207" s="0" t="s">
        <v>1153</v>
      </c>
      <c r="R207" s="0" t="s">
        <v>284</v>
      </c>
      <c r="S207" s="0" t="s">
        <v>290</v>
      </c>
      <c r="T207" s="0" t="s">
        <v>276</v>
      </c>
      <c r="U207" s="0" t="s">
        <v>277</v>
      </c>
    </row>
    <row r="208" customFormat="false" ht="15" hidden="false" customHeight="false" outlineLevel="0" collapsed="false">
      <c r="A208" s="0" t="n">
        <v>11</v>
      </c>
      <c r="B208" s="0" t="s">
        <v>44</v>
      </c>
      <c r="C208" s="0" t="s">
        <v>500</v>
      </c>
      <c r="D208" s="0" t="s">
        <v>1154</v>
      </c>
      <c r="E208" s="0" t="n">
        <v>2014</v>
      </c>
      <c r="H208" s="0" t="n">
        <v>1</v>
      </c>
      <c r="I208" s="0" t="n">
        <v>614</v>
      </c>
      <c r="J208" s="0" t="s">
        <v>268</v>
      </c>
      <c r="K208" s="0" t="s">
        <v>1031</v>
      </c>
      <c r="L208" s="0" t="s">
        <v>293</v>
      </c>
      <c r="M208" s="0" t="s">
        <v>1155</v>
      </c>
      <c r="N208" s="0" t="s">
        <v>1155</v>
      </c>
      <c r="O208" s="0" t="s">
        <v>1156</v>
      </c>
      <c r="P208" s="0" t="s">
        <v>1157</v>
      </c>
      <c r="R208" s="0" t="s">
        <v>284</v>
      </c>
      <c r="S208" s="0" t="s">
        <v>290</v>
      </c>
      <c r="T208" s="0" t="s">
        <v>276</v>
      </c>
      <c r="U208" s="0" t="s">
        <v>277</v>
      </c>
    </row>
    <row r="209" customFormat="false" ht="15" hidden="false" customHeight="false" outlineLevel="0" collapsed="false">
      <c r="A209" s="0" t="n">
        <v>11</v>
      </c>
      <c r="B209" s="0" t="s">
        <v>44</v>
      </c>
      <c r="C209" s="0" t="s">
        <v>500</v>
      </c>
      <c r="D209" s="0" t="s">
        <v>1158</v>
      </c>
      <c r="E209" s="0" t="n">
        <v>2013</v>
      </c>
      <c r="H209" s="0" t="n">
        <v>1</v>
      </c>
      <c r="I209" s="0" t="n">
        <v>911</v>
      </c>
      <c r="J209" s="0" t="s">
        <v>268</v>
      </c>
      <c r="K209" s="0" t="s">
        <v>1031</v>
      </c>
      <c r="L209" s="0" t="s">
        <v>293</v>
      </c>
      <c r="M209" s="0" t="s">
        <v>1159</v>
      </c>
      <c r="N209" s="0" t="s">
        <v>1159</v>
      </c>
      <c r="O209" s="0" t="s">
        <v>1160</v>
      </c>
      <c r="P209" s="0" t="s">
        <v>1161</v>
      </c>
      <c r="R209" s="0" t="s">
        <v>284</v>
      </c>
      <c r="S209" s="0" t="s">
        <v>290</v>
      </c>
      <c r="T209" s="0" t="s">
        <v>276</v>
      </c>
      <c r="U209" s="0" t="s">
        <v>277</v>
      </c>
    </row>
    <row r="210" customFormat="false" ht="15" hidden="false" customHeight="false" outlineLevel="0" collapsed="false">
      <c r="A210" s="0" t="n">
        <v>12</v>
      </c>
      <c r="B210" s="0" t="s">
        <v>45</v>
      </c>
      <c r="C210" s="0" t="s">
        <v>91</v>
      </c>
      <c r="D210" s="0" t="s">
        <v>1162</v>
      </c>
      <c r="E210" s="0" t="n">
        <v>2025</v>
      </c>
      <c r="H210" s="0" t="n">
        <v>1</v>
      </c>
      <c r="I210" s="0" t="n">
        <v>2210</v>
      </c>
      <c r="J210" s="0" t="s">
        <v>268</v>
      </c>
      <c r="K210" s="0" t="s">
        <v>1163</v>
      </c>
      <c r="L210" s="0" t="s">
        <v>293</v>
      </c>
      <c r="M210" s="0" t="s">
        <v>1164</v>
      </c>
      <c r="N210" s="0" t="s">
        <v>1165</v>
      </c>
      <c r="O210" s="0" t="s">
        <v>1166</v>
      </c>
      <c r="P210" s="0" t="s">
        <v>1167</v>
      </c>
      <c r="R210" s="0" t="s">
        <v>275</v>
      </c>
      <c r="S210" s="0" t="s">
        <v>268</v>
      </c>
      <c r="T210" s="0" t="s">
        <v>276</v>
      </c>
      <c r="U210" s="0" t="s">
        <v>277</v>
      </c>
    </row>
    <row r="211" customFormat="false" ht="15" hidden="false" customHeight="false" outlineLevel="0" collapsed="false">
      <c r="A211" s="0" t="n">
        <v>12</v>
      </c>
      <c r="B211" s="0" t="s">
        <v>45</v>
      </c>
      <c r="C211" s="0" t="s">
        <v>309</v>
      </c>
      <c r="D211" s="0" t="s">
        <v>1168</v>
      </c>
      <c r="E211" s="0" t="n">
        <v>2025</v>
      </c>
      <c r="H211" s="0" t="n">
        <v>1</v>
      </c>
      <c r="I211" s="0" t="n">
        <v>14524</v>
      </c>
      <c r="J211" s="0" t="s">
        <v>268</v>
      </c>
      <c r="K211" s="0" t="s">
        <v>1163</v>
      </c>
      <c r="L211" s="0" t="s">
        <v>293</v>
      </c>
      <c r="M211" s="0" t="s">
        <v>1169</v>
      </c>
      <c r="N211" s="0" t="s">
        <v>1170</v>
      </c>
      <c r="O211" s="0" t="s">
        <v>1171</v>
      </c>
      <c r="P211" s="0" t="s">
        <v>1172</v>
      </c>
      <c r="R211" s="0" t="s">
        <v>275</v>
      </c>
      <c r="S211" s="0" t="s">
        <v>268</v>
      </c>
      <c r="T211" s="0" t="s">
        <v>276</v>
      </c>
      <c r="U211" s="0" t="s">
        <v>277</v>
      </c>
    </row>
    <row r="212" customFormat="false" ht="15" hidden="false" customHeight="false" outlineLevel="0" collapsed="false">
      <c r="A212" s="0" t="n">
        <v>12</v>
      </c>
      <c r="B212" s="0" t="s">
        <v>45</v>
      </c>
      <c r="C212" s="0" t="s">
        <v>1046</v>
      </c>
      <c r="D212" s="0" t="s">
        <v>1173</v>
      </c>
      <c r="E212" s="0" t="n">
        <v>2022</v>
      </c>
      <c r="H212" s="0" t="n">
        <v>6</v>
      </c>
      <c r="I212" s="0" t="n">
        <v>597</v>
      </c>
      <c r="J212" s="0" t="s">
        <v>268</v>
      </c>
      <c r="K212" s="0" t="s">
        <v>1163</v>
      </c>
      <c r="L212" s="0" t="s">
        <v>293</v>
      </c>
      <c r="M212" s="0" t="s">
        <v>1174</v>
      </c>
      <c r="N212" s="0" t="s">
        <v>1174</v>
      </c>
      <c r="O212" s="0" t="s">
        <v>1175</v>
      </c>
      <c r="P212" s="0" t="s">
        <v>1176</v>
      </c>
      <c r="R212" s="0" t="s">
        <v>284</v>
      </c>
      <c r="S212" s="0" t="s">
        <v>268</v>
      </c>
      <c r="T212" s="0" t="s">
        <v>276</v>
      </c>
      <c r="U212" s="0" t="s">
        <v>277</v>
      </c>
    </row>
    <row r="213" customFormat="false" ht="15" hidden="false" customHeight="false" outlineLevel="0" collapsed="false">
      <c r="A213" s="0" t="n">
        <v>12</v>
      </c>
      <c r="B213" s="0" t="s">
        <v>45</v>
      </c>
      <c r="C213" s="0" t="s">
        <v>586</v>
      </c>
      <c r="D213" s="0" t="s">
        <v>1177</v>
      </c>
      <c r="E213" s="0" t="n">
        <v>2024</v>
      </c>
      <c r="H213" s="0" t="n">
        <v>9</v>
      </c>
      <c r="I213" s="0" t="n">
        <v>11682</v>
      </c>
      <c r="J213" s="0" t="s">
        <v>268</v>
      </c>
      <c r="K213" s="0" t="s">
        <v>1163</v>
      </c>
      <c r="L213" s="0" t="s">
        <v>293</v>
      </c>
      <c r="M213" s="0" t="s">
        <v>1178</v>
      </c>
      <c r="N213" s="0" t="s">
        <v>1179</v>
      </c>
      <c r="O213" s="0" t="s">
        <v>1180</v>
      </c>
      <c r="P213" s="0" t="s">
        <v>1181</v>
      </c>
      <c r="R213" s="0" t="s">
        <v>284</v>
      </c>
      <c r="S213" s="0" t="s">
        <v>268</v>
      </c>
      <c r="T213" s="0" t="s">
        <v>276</v>
      </c>
      <c r="U213" s="0" t="s">
        <v>277</v>
      </c>
    </row>
    <row r="214" customFormat="false" ht="15" hidden="false" customHeight="false" outlineLevel="0" collapsed="false">
      <c r="A214" s="0" t="n">
        <v>12</v>
      </c>
      <c r="B214" s="0" t="s">
        <v>45</v>
      </c>
      <c r="C214" s="0" t="s">
        <v>266</v>
      </c>
      <c r="D214" s="0" t="s">
        <v>1182</v>
      </c>
      <c r="E214" s="0" t="n">
        <v>2025</v>
      </c>
      <c r="H214" s="0" t="n">
        <v>4</v>
      </c>
      <c r="I214" s="0" t="n">
        <v>8265</v>
      </c>
      <c r="J214" s="0" t="s">
        <v>268</v>
      </c>
      <c r="K214" s="0" t="s">
        <v>1163</v>
      </c>
      <c r="L214" s="0" t="s">
        <v>293</v>
      </c>
      <c r="M214" s="0" t="s">
        <v>1183</v>
      </c>
      <c r="N214" s="0" t="s">
        <v>1184</v>
      </c>
      <c r="O214" s="0" t="s">
        <v>1185</v>
      </c>
      <c r="P214" s="0" t="s">
        <v>1186</v>
      </c>
      <c r="R214" s="0" t="s">
        <v>275</v>
      </c>
      <c r="S214" s="0" t="s">
        <v>290</v>
      </c>
      <c r="T214" s="0" t="s">
        <v>276</v>
      </c>
      <c r="U214" s="0" t="s">
        <v>277</v>
      </c>
    </row>
    <row r="215" customFormat="false" ht="15" hidden="false" customHeight="false" outlineLevel="0" collapsed="false">
      <c r="A215" s="0" t="n">
        <v>12</v>
      </c>
      <c r="B215" s="0" t="s">
        <v>45</v>
      </c>
      <c r="C215" s="0" t="s">
        <v>266</v>
      </c>
      <c r="D215" s="0" t="s">
        <v>1187</v>
      </c>
      <c r="E215" s="0" t="n">
        <v>2025</v>
      </c>
      <c r="H215" s="0" t="n">
        <v>4</v>
      </c>
      <c r="I215" s="0" t="n">
        <v>5419</v>
      </c>
      <c r="J215" s="0" t="s">
        <v>268</v>
      </c>
      <c r="K215" s="0" t="s">
        <v>1163</v>
      </c>
      <c r="L215" s="0" t="s">
        <v>293</v>
      </c>
      <c r="M215" s="0" t="s">
        <v>1188</v>
      </c>
      <c r="N215" s="0" t="s">
        <v>1189</v>
      </c>
      <c r="O215" s="0" t="s">
        <v>1190</v>
      </c>
      <c r="P215" s="0" t="s">
        <v>1191</v>
      </c>
      <c r="R215" s="0" t="s">
        <v>275</v>
      </c>
      <c r="S215" s="0" t="s">
        <v>290</v>
      </c>
      <c r="T215" s="0" t="s">
        <v>276</v>
      </c>
      <c r="U215" s="0" t="s">
        <v>277</v>
      </c>
    </row>
    <row r="216" customFormat="false" ht="15" hidden="false" customHeight="false" outlineLevel="0" collapsed="false">
      <c r="A216" s="0" t="n">
        <v>12</v>
      </c>
      <c r="B216" s="0" t="s">
        <v>45</v>
      </c>
      <c r="C216" s="0" t="s">
        <v>266</v>
      </c>
      <c r="D216" s="0" t="s">
        <v>1192</v>
      </c>
      <c r="E216" s="0" t="n">
        <v>2025</v>
      </c>
      <c r="H216" s="0" t="n">
        <v>6</v>
      </c>
      <c r="I216" s="0" t="n">
        <v>6919</v>
      </c>
      <c r="J216" s="0" t="s">
        <v>268</v>
      </c>
      <c r="K216" s="0" t="s">
        <v>1163</v>
      </c>
      <c r="L216" s="0" t="s">
        <v>293</v>
      </c>
      <c r="M216" s="0" t="s">
        <v>1193</v>
      </c>
      <c r="N216" s="0" t="s">
        <v>1194</v>
      </c>
      <c r="O216" s="0" t="s">
        <v>1195</v>
      </c>
      <c r="P216" s="0" t="s">
        <v>1196</v>
      </c>
      <c r="R216" s="0" t="s">
        <v>275</v>
      </c>
      <c r="S216" s="0" t="s">
        <v>290</v>
      </c>
      <c r="T216" s="0" t="s">
        <v>276</v>
      </c>
      <c r="U216" s="0" t="s">
        <v>277</v>
      </c>
    </row>
    <row r="217" customFormat="false" ht="15" hidden="false" customHeight="false" outlineLevel="0" collapsed="false">
      <c r="A217" s="0" t="n">
        <v>12</v>
      </c>
      <c r="B217" s="0" t="s">
        <v>45</v>
      </c>
      <c r="C217" s="0" t="s">
        <v>266</v>
      </c>
      <c r="D217" s="0" t="s">
        <v>1197</v>
      </c>
      <c r="E217" s="0" t="n">
        <v>2025</v>
      </c>
      <c r="H217" s="0" t="n">
        <v>7</v>
      </c>
      <c r="I217" s="0" t="n">
        <v>11994</v>
      </c>
      <c r="J217" s="0" t="s">
        <v>268</v>
      </c>
      <c r="K217" s="0" t="s">
        <v>1163</v>
      </c>
      <c r="L217" s="0" t="s">
        <v>293</v>
      </c>
      <c r="M217" s="0" t="s">
        <v>1198</v>
      </c>
      <c r="N217" s="0" t="s">
        <v>1199</v>
      </c>
      <c r="O217" s="0" t="s">
        <v>1200</v>
      </c>
      <c r="P217" s="0" t="s">
        <v>1201</v>
      </c>
      <c r="R217" s="0" t="s">
        <v>275</v>
      </c>
      <c r="S217" s="0" t="s">
        <v>268</v>
      </c>
      <c r="T217" s="0" t="s">
        <v>276</v>
      </c>
      <c r="U217" s="0" t="s">
        <v>277</v>
      </c>
    </row>
    <row r="218" customFormat="false" ht="15" hidden="false" customHeight="false" outlineLevel="0" collapsed="false">
      <c r="A218" s="0" t="n">
        <v>12</v>
      </c>
      <c r="B218" s="0" t="s">
        <v>45</v>
      </c>
      <c r="C218" s="0" t="s">
        <v>266</v>
      </c>
      <c r="D218" s="0" t="s">
        <v>1202</v>
      </c>
      <c r="E218" s="0" t="n">
        <v>2023</v>
      </c>
      <c r="H218" s="0" t="n">
        <v>5</v>
      </c>
      <c r="I218" s="0" t="n">
        <v>331</v>
      </c>
      <c r="J218" s="0" t="s">
        <v>268</v>
      </c>
      <c r="K218" s="0" t="s">
        <v>1163</v>
      </c>
      <c r="L218" s="0" t="s">
        <v>293</v>
      </c>
      <c r="M218" s="0" t="s">
        <v>1203</v>
      </c>
      <c r="N218" s="0" t="s">
        <v>1203</v>
      </c>
      <c r="O218" s="0" t="s">
        <v>1204</v>
      </c>
      <c r="P218" s="0" t="s">
        <v>1205</v>
      </c>
      <c r="R218" s="0" t="s">
        <v>284</v>
      </c>
      <c r="S218" s="0" t="s">
        <v>290</v>
      </c>
      <c r="T218" s="0" t="s">
        <v>276</v>
      </c>
      <c r="U218" s="0" t="s">
        <v>277</v>
      </c>
    </row>
    <row r="219" customFormat="false" ht="15" hidden="false" customHeight="false" outlineLevel="0" collapsed="false">
      <c r="A219" s="0" t="n">
        <v>12</v>
      </c>
      <c r="B219" s="0" t="s">
        <v>45</v>
      </c>
      <c r="C219" s="0" t="s">
        <v>266</v>
      </c>
      <c r="D219" s="0" t="s">
        <v>1206</v>
      </c>
      <c r="E219" s="0" t="n">
        <v>2023</v>
      </c>
      <c r="H219" s="0" t="n">
        <v>10</v>
      </c>
      <c r="I219" s="0" t="n">
        <v>5733</v>
      </c>
      <c r="J219" s="0" t="s">
        <v>268</v>
      </c>
      <c r="K219" s="0" t="s">
        <v>1163</v>
      </c>
      <c r="L219" s="0" t="s">
        <v>293</v>
      </c>
      <c r="M219" s="0" t="s">
        <v>1207</v>
      </c>
      <c r="N219" s="0" t="s">
        <v>1208</v>
      </c>
      <c r="O219" s="0" t="s">
        <v>1209</v>
      </c>
      <c r="P219" s="0" t="s">
        <v>1210</v>
      </c>
      <c r="R219" s="0" t="s">
        <v>284</v>
      </c>
      <c r="S219" s="0" t="s">
        <v>290</v>
      </c>
      <c r="T219" s="0" t="s">
        <v>276</v>
      </c>
      <c r="U219" s="0" t="s">
        <v>277</v>
      </c>
    </row>
    <row r="220" customFormat="false" ht="15" hidden="false" customHeight="false" outlineLevel="0" collapsed="false">
      <c r="A220" s="0" t="n">
        <v>12</v>
      </c>
      <c r="B220" s="0" t="s">
        <v>45</v>
      </c>
      <c r="C220" s="0" t="s">
        <v>266</v>
      </c>
      <c r="D220" s="0" t="s">
        <v>1211</v>
      </c>
      <c r="E220" s="0" t="n">
        <v>2018</v>
      </c>
      <c r="H220" s="0" t="n">
        <v>1</v>
      </c>
      <c r="I220" s="0" t="n">
        <v>127</v>
      </c>
      <c r="J220" s="0" t="s">
        <v>268</v>
      </c>
      <c r="K220" s="0" t="s">
        <v>1163</v>
      </c>
      <c r="L220" s="0" t="s">
        <v>293</v>
      </c>
      <c r="M220" s="0" t="s">
        <v>1212</v>
      </c>
      <c r="N220" s="0" t="s">
        <v>1213</v>
      </c>
      <c r="O220" s="0" t="s">
        <v>1214</v>
      </c>
      <c r="P220" s="0" t="s">
        <v>1215</v>
      </c>
      <c r="R220" s="0" t="s">
        <v>284</v>
      </c>
      <c r="S220" s="0" t="s">
        <v>290</v>
      </c>
      <c r="T220" s="0" t="s">
        <v>276</v>
      </c>
      <c r="U220" s="0" t="s">
        <v>277</v>
      </c>
    </row>
    <row r="221" customFormat="false" ht="15" hidden="false" customHeight="false" outlineLevel="0" collapsed="false">
      <c r="A221" s="0" t="n">
        <v>12</v>
      </c>
      <c r="B221" s="0" t="s">
        <v>45</v>
      </c>
      <c r="C221" s="0" t="s">
        <v>324</v>
      </c>
      <c r="D221" s="0" t="s">
        <v>1216</v>
      </c>
      <c r="E221" s="0" t="n">
        <v>2025</v>
      </c>
      <c r="H221" s="0" t="n">
        <v>2</v>
      </c>
      <c r="I221" s="0" t="n">
        <v>133</v>
      </c>
      <c r="J221" s="0" t="s">
        <v>268</v>
      </c>
      <c r="K221" s="0" t="s">
        <v>1163</v>
      </c>
      <c r="L221" s="0" t="s">
        <v>293</v>
      </c>
      <c r="M221" s="0" t="s">
        <v>1217</v>
      </c>
      <c r="N221" s="0" t="s">
        <v>1218</v>
      </c>
      <c r="O221" s="0" t="s">
        <v>1219</v>
      </c>
      <c r="P221" s="0" t="s">
        <v>1220</v>
      </c>
      <c r="R221" s="0" t="s">
        <v>275</v>
      </c>
      <c r="S221" s="0" t="s">
        <v>268</v>
      </c>
      <c r="T221" s="0" t="s">
        <v>276</v>
      </c>
      <c r="U221" s="0" t="s">
        <v>277</v>
      </c>
    </row>
    <row r="222" customFormat="false" ht="15" hidden="false" customHeight="false" outlineLevel="0" collapsed="false">
      <c r="A222" s="0" t="n">
        <v>12</v>
      </c>
      <c r="B222" s="0" t="s">
        <v>45</v>
      </c>
      <c r="C222" s="0" t="s">
        <v>324</v>
      </c>
      <c r="D222" s="0" t="s">
        <v>1221</v>
      </c>
      <c r="E222" s="0" t="n">
        <v>2024</v>
      </c>
      <c r="H222" s="0" t="n">
        <v>1</v>
      </c>
      <c r="I222" s="0" t="n">
        <v>1308</v>
      </c>
      <c r="J222" s="0" t="s">
        <v>268</v>
      </c>
      <c r="K222" s="0" t="s">
        <v>1163</v>
      </c>
      <c r="L222" s="0" t="s">
        <v>293</v>
      </c>
      <c r="M222" s="0" t="s">
        <v>1222</v>
      </c>
      <c r="N222" s="0" t="s">
        <v>1223</v>
      </c>
      <c r="O222" s="0" t="s">
        <v>1224</v>
      </c>
      <c r="P222" s="0" t="s">
        <v>1225</v>
      </c>
      <c r="R222" s="0" t="s">
        <v>284</v>
      </c>
      <c r="S222" s="0" t="s">
        <v>290</v>
      </c>
      <c r="T222" s="0" t="s">
        <v>276</v>
      </c>
      <c r="U222" s="0" t="s">
        <v>277</v>
      </c>
    </row>
    <row r="223" customFormat="false" ht="15" hidden="false" customHeight="false" outlineLevel="0" collapsed="false">
      <c r="A223" s="0" t="n">
        <v>12</v>
      </c>
      <c r="B223" s="0" t="s">
        <v>45</v>
      </c>
      <c r="C223" s="0" t="s">
        <v>324</v>
      </c>
      <c r="D223" s="0" t="s">
        <v>1226</v>
      </c>
      <c r="E223" s="0" t="n">
        <v>2018</v>
      </c>
      <c r="H223" s="0" t="n">
        <v>9</v>
      </c>
      <c r="I223" s="0" t="n">
        <v>590</v>
      </c>
      <c r="J223" s="0" t="s">
        <v>268</v>
      </c>
      <c r="K223" s="0" t="s">
        <v>1163</v>
      </c>
      <c r="L223" s="0" t="s">
        <v>293</v>
      </c>
      <c r="M223" s="0" t="s">
        <v>1227</v>
      </c>
      <c r="N223" s="0" t="s">
        <v>1228</v>
      </c>
      <c r="O223" s="0" t="s">
        <v>1229</v>
      </c>
      <c r="P223" s="0" t="s">
        <v>1230</v>
      </c>
      <c r="R223" s="0" t="s">
        <v>284</v>
      </c>
      <c r="S223" s="0" t="s">
        <v>290</v>
      </c>
      <c r="T223" s="0" t="s">
        <v>276</v>
      </c>
      <c r="U223" s="0" t="s">
        <v>277</v>
      </c>
    </row>
    <row r="224" customFormat="false" ht="15" hidden="false" customHeight="false" outlineLevel="0" collapsed="false">
      <c r="A224" s="0" t="n">
        <v>12</v>
      </c>
      <c r="B224" s="0" t="s">
        <v>45</v>
      </c>
      <c r="C224" s="0" t="s">
        <v>530</v>
      </c>
      <c r="D224" s="0" t="s">
        <v>1231</v>
      </c>
      <c r="E224" s="0" t="n">
        <v>2018</v>
      </c>
      <c r="H224" s="0" t="n">
        <v>24</v>
      </c>
      <c r="I224" s="0" t="n">
        <v>442</v>
      </c>
      <c r="J224" s="0" t="s">
        <v>268</v>
      </c>
      <c r="K224" s="0" t="s">
        <v>1163</v>
      </c>
      <c r="L224" s="0" t="s">
        <v>293</v>
      </c>
      <c r="M224" s="0" t="s">
        <v>1232</v>
      </c>
      <c r="N224" s="0" t="s">
        <v>1233</v>
      </c>
      <c r="O224" s="0" t="s">
        <v>1234</v>
      </c>
      <c r="P224" s="0" t="s">
        <v>1235</v>
      </c>
      <c r="R224" s="0" t="s">
        <v>284</v>
      </c>
      <c r="S224" s="0" t="s">
        <v>268</v>
      </c>
      <c r="T224" s="0" t="s">
        <v>276</v>
      </c>
      <c r="U224" s="0" t="s">
        <v>277</v>
      </c>
    </row>
    <row r="225" customFormat="false" ht="15" hidden="false" customHeight="false" outlineLevel="0" collapsed="false">
      <c r="A225" s="0" t="n">
        <v>12</v>
      </c>
      <c r="B225" s="0" t="s">
        <v>45</v>
      </c>
      <c r="C225" s="0" t="s">
        <v>480</v>
      </c>
      <c r="D225" s="0" t="s">
        <v>1236</v>
      </c>
      <c r="E225" s="0" t="n">
        <v>2024</v>
      </c>
      <c r="H225" s="0" t="n">
        <v>1</v>
      </c>
      <c r="I225" s="0" t="n">
        <v>2176</v>
      </c>
      <c r="J225" s="0" t="s">
        <v>268</v>
      </c>
      <c r="K225" s="0" t="s">
        <v>1163</v>
      </c>
      <c r="L225" s="0" t="s">
        <v>293</v>
      </c>
      <c r="M225" s="0" t="s">
        <v>1237</v>
      </c>
      <c r="N225" s="0" t="s">
        <v>1238</v>
      </c>
      <c r="O225" s="0" t="s">
        <v>1239</v>
      </c>
      <c r="P225" s="0" t="s">
        <v>1240</v>
      </c>
      <c r="R225" s="0" t="s">
        <v>284</v>
      </c>
      <c r="S225" s="0" t="s">
        <v>268</v>
      </c>
      <c r="T225" s="0" t="s">
        <v>276</v>
      </c>
      <c r="U225" s="0" t="s">
        <v>277</v>
      </c>
    </row>
    <row r="226" customFormat="false" ht="15" hidden="false" customHeight="false" outlineLevel="0" collapsed="false">
      <c r="A226" s="0" t="n">
        <v>12</v>
      </c>
      <c r="B226" s="0" t="s">
        <v>45</v>
      </c>
      <c r="C226" s="0" t="s">
        <v>278</v>
      </c>
      <c r="D226" s="0" t="s">
        <v>1241</v>
      </c>
      <c r="E226" s="0" t="n">
        <v>2025</v>
      </c>
      <c r="H226" s="0" t="n">
        <v>1</v>
      </c>
      <c r="I226" s="0" t="n">
        <v>1851</v>
      </c>
      <c r="J226" s="0" t="s">
        <v>268</v>
      </c>
      <c r="K226" s="0" t="s">
        <v>1163</v>
      </c>
      <c r="L226" s="0" t="s">
        <v>293</v>
      </c>
      <c r="M226" s="0" t="s">
        <v>1242</v>
      </c>
      <c r="N226" s="0" t="s">
        <v>1243</v>
      </c>
      <c r="O226" s="0" t="s">
        <v>1244</v>
      </c>
      <c r="P226" s="0" t="s">
        <v>1245</v>
      </c>
      <c r="R226" s="0" t="s">
        <v>275</v>
      </c>
      <c r="S226" s="0" t="s">
        <v>268</v>
      </c>
      <c r="T226" s="0" t="s">
        <v>276</v>
      </c>
      <c r="U226" s="0" t="s">
        <v>277</v>
      </c>
    </row>
    <row r="227" customFormat="false" ht="15" hidden="false" customHeight="false" outlineLevel="0" collapsed="false">
      <c r="A227" s="0" t="n">
        <v>12</v>
      </c>
      <c r="B227" s="0" t="s">
        <v>45</v>
      </c>
      <c r="C227" s="0" t="s">
        <v>494</v>
      </c>
      <c r="D227" s="0" t="s">
        <v>1246</v>
      </c>
      <c r="E227" s="0" t="n">
        <v>2025</v>
      </c>
      <c r="H227" s="0" t="n">
        <v>1</v>
      </c>
      <c r="I227" s="0" t="n">
        <v>4920</v>
      </c>
      <c r="J227" s="0" t="s">
        <v>290</v>
      </c>
      <c r="K227" s="0" t="s">
        <v>1163</v>
      </c>
      <c r="L227" s="0" t="s">
        <v>293</v>
      </c>
      <c r="M227" s="0" t="s">
        <v>1247</v>
      </c>
      <c r="N227" s="0" t="s">
        <v>1248</v>
      </c>
      <c r="O227" s="0" t="s">
        <v>1249</v>
      </c>
      <c r="P227" s="0" t="s">
        <v>1250</v>
      </c>
      <c r="R227" s="0" t="s">
        <v>275</v>
      </c>
      <c r="S227" s="0" t="s">
        <v>268</v>
      </c>
      <c r="T227" s="0" t="s">
        <v>276</v>
      </c>
      <c r="U227" s="0" t="s">
        <v>277</v>
      </c>
    </row>
    <row r="228" customFormat="false" ht="15" hidden="false" customHeight="false" outlineLevel="0" collapsed="false">
      <c r="A228" s="0" t="n">
        <v>12</v>
      </c>
      <c r="B228" s="0" t="s">
        <v>45</v>
      </c>
      <c r="C228" s="0" t="s">
        <v>500</v>
      </c>
      <c r="D228" s="0" t="s">
        <v>1251</v>
      </c>
      <c r="E228" s="0" t="n">
        <v>2018</v>
      </c>
      <c r="H228" s="0" t="n">
        <v>1</v>
      </c>
      <c r="I228" s="0" t="n">
        <v>290</v>
      </c>
      <c r="J228" s="0" t="s">
        <v>290</v>
      </c>
      <c r="K228" s="0" t="s">
        <v>1163</v>
      </c>
      <c r="L228" s="0" t="s">
        <v>293</v>
      </c>
      <c r="M228" s="0" t="s">
        <v>1252</v>
      </c>
      <c r="N228" s="0" t="s">
        <v>1252</v>
      </c>
      <c r="O228" s="0" t="s">
        <v>1253</v>
      </c>
      <c r="P228" s="0" t="s">
        <v>1254</v>
      </c>
      <c r="R228" s="0" t="s">
        <v>284</v>
      </c>
      <c r="S228" s="0" t="s">
        <v>268</v>
      </c>
      <c r="T228" s="0" t="s">
        <v>276</v>
      </c>
      <c r="U228" s="0" t="s">
        <v>277</v>
      </c>
    </row>
    <row r="229" customFormat="false" ht="15" hidden="false" customHeight="false" outlineLevel="0" collapsed="false">
      <c r="A229" s="0" t="n">
        <v>13</v>
      </c>
      <c r="B229" s="0" t="s">
        <v>47</v>
      </c>
      <c r="C229" s="0" t="s">
        <v>35</v>
      </c>
      <c r="D229" s="0" t="s">
        <v>1255</v>
      </c>
      <c r="E229" s="0" t="n">
        <v>2026</v>
      </c>
      <c r="H229" s="0" t="n">
        <v>15</v>
      </c>
      <c r="I229" s="0" t="n">
        <v>1339</v>
      </c>
      <c r="J229" s="0" t="s">
        <v>268</v>
      </c>
      <c r="K229" s="0" t="s">
        <v>1256</v>
      </c>
      <c r="L229" s="0" t="s">
        <v>293</v>
      </c>
      <c r="M229" s="0" t="s">
        <v>1257</v>
      </c>
      <c r="N229" s="0" t="s">
        <v>1257</v>
      </c>
      <c r="O229" s="0" t="s">
        <v>1258</v>
      </c>
      <c r="P229" s="0" t="s">
        <v>1259</v>
      </c>
      <c r="R229" s="0" t="s">
        <v>275</v>
      </c>
      <c r="S229" s="0" t="s">
        <v>268</v>
      </c>
      <c r="T229" s="0" t="s">
        <v>314</v>
      </c>
      <c r="U229" s="0" t="s">
        <v>277</v>
      </c>
      <c r="V229" s="0" t="s">
        <v>1260</v>
      </c>
    </row>
    <row r="230" customFormat="false" ht="15" hidden="false" customHeight="false" outlineLevel="0" collapsed="false">
      <c r="A230" s="0" t="n">
        <v>13</v>
      </c>
      <c r="B230" s="0" t="s">
        <v>47</v>
      </c>
      <c r="C230" s="0" t="s">
        <v>35</v>
      </c>
      <c r="D230" s="0" t="s">
        <v>1261</v>
      </c>
      <c r="E230" s="0" t="n">
        <v>2025</v>
      </c>
      <c r="H230" s="0" t="n">
        <v>10</v>
      </c>
      <c r="I230" s="0" t="n">
        <v>7191</v>
      </c>
      <c r="J230" s="0" t="s">
        <v>268</v>
      </c>
      <c r="K230" s="0" t="s">
        <v>1256</v>
      </c>
      <c r="L230" s="0" t="s">
        <v>293</v>
      </c>
      <c r="M230" s="0" t="s">
        <v>1262</v>
      </c>
      <c r="N230" s="0" t="s">
        <v>1262</v>
      </c>
      <c r="O230" s="0" t="s">
        <v>1263</v>
      </c>
      <c r="P230" s="0" t="s">
        <v>1264</v>
      </c>
      <c r="R230" s="0" t="s">
        <v>275</v>
      </c>
      <c r="S230" s="0" t="s">
        <v>290</v>
      </c>
      <c r="T230" s="0" t="s">
        <v>314</v>
      </c>
      <c r="U230" s="0" t="s">
        <v>277</v>
      </c>
      <c r="V230" s="0" t="s">
        <v>1260</v>
      </c>
    </row>
    <row r="231" customFormat="false" ht="15" hidden="false" customHeight="false" outlineLevel="0" collapsed="false">
      <c r="A231" s="0" t="n">
        <v>13</v>
      </c>
      <c r="B231" s="0" t="s">
        <v>47</v>
      </c>
      <c r="C231" s="0" t="s">
        <v>35</v>
      </c>
      <c r="D231" s="0" t="s">
        <v>1265</v>
      </c>
      <c r="E231" s="0" t="n">
        <v>2024</v>
      </c>
      <c r="H231" s="0" t="n">
        <v>45</v>
      </c>
      <c r="I231" s="0" t="n">
        <v>8966</v>
      </c>
      <c r="J231" s="0" t="s">
        <v>268</v>
      </c>
      <c r="K231" s="0" t="s">
        <v>1256</v>
      </c>
      <c r="L231" s="0" t="s">
        <v>293</v>
      </c>
      <c r="M231" s="0" t="s">
        <v>1266</v>
      </c>
      <c r="N231" s="0" t="s">
        <v>1266</v>
      </c>
      <c r="O231" s="0" t="s">
        <v>1267</v>
      </c>
      <c r="P231" s="0" t="s">
        <v>1268</v>
      </c>
      <c r="R231" s="0" t="s">
        <v>284</v>
      </c>
      <c r="S231" s="0" t="s">
        <v>290</v>
      </c>
      <c r="T231" s="0" t="s">
        <v>314</v>
      </c>
      <c r="U231" s="0" t="s">
        <v>277</v>
      </c>
      <c r="V231" s="0" t="s">
        <v>1260</v>
      </c>
    </row>
    <row r="232" customFormat="false" ht="15" hidden="false" customHeight="false" outlineLevel="0" collapsed="false">
      <c r="A232" s="0" t="n">
        <v>13</v>
      </c>
      <c r="B232" s="0" t="s">
        <v>47</v>
      </c>
      <c r="C232" s="0" t="s">
        <v>586</v>
      </c>
      <c r="D232" s="0" t="s">
        <v>1269</v>
      </c>
      <c r="E232" s="0" t="n">
        <v>2021</v>
      </c>
      <c r="H232" s="0" t="n">
        <v>18</v>
      </c>
      <c r="I232" s="0" t="n">
        <v>6884</v>
      </c>
      <c r="J232" s="0" t="s">
        <v>268</v>
      </c>
      <c r="K232" s="0" t="s">
        <v>1256</v>
      </c>
      <c r="L232" s="0" t="s">
        <v>293</v>
      </c>
      <c r="M232" s="0" t="s">
        <v>1270</v>
      </c>
      <c r="N232" s="0" t="s">
        <v>1270</v>
      </c>
      <c r="O232" s="0" t="s">
        <v>1271</v>
      </c>
      <c r="P232" s="0" t="s">
        <v>1272</v>
      </c>
      <c r="R232" s="0" t="s">
        <v>284</v>
      </c>
      <c r="S232" s="0" t="s">
        <v>268</v>
      </c>
      <c r="T232" s="0" t="s">
        <v>276</v>
      </c>
      <c r="U232" s="0" t="s">
        <v>277</v>
      </c>
    </row>
    <row r="233" customFormat="false" ht="15" hidden="false" customHeight="false" outlineLevel="0" collapsed="false">
      <c r="A233" s="0" t="n">
        <v>13</v>
      </c>
      <c r="B233" s="0" t="s">
        <v>47</v>
      </c>
      <c r="C233" s="0" t="s">
        <v>586</v>
      </c>
      <c r="D233" s="0" t="s">
        <v>1273</v>
      </c>
      <c r="E233" s="0" t="n">
        <v>2018</v>
      </c>
      <c r="H233" s="0" t="n">
        <v>13</v>
      </c>
      <c r="I233" s="0" t="n">
        <v>6647</v>
      </c>
      <c r="J233" s="0" t="s">
        <v>268</v>
      </c>
      <c r="K233" s="0" t="s">
        <v>1256</v>
      </c>
      <c r="L233" s="0" t="s">
        <v>293</v>
      </c>
      <c r="M233" s="0" t="s">
        <v>1274</v>
      </c>
      <c r="N233" s="0" t="s">
        <v>1274</v>
      </c>
      <c r="O233" s="0" t="s">
        <v>1275</v>
      </c>
      <c r="P233" s="0" t="s">
        <v>1276</v>
      </c>
      <c r="R233" s="0" t="s">
        <v>284</v>
      </c>
      <c r="S233" s="0" t="s">
        <v>290</v>
      </c>
      <c r="T233" s="0" t="s">
        <v>276</v>
      </c>
      <c r="U233" s="0" t="s">
        <v>277</v>
      </c>
    </row>
    <row r="234" customFormat="false" ht="15" hidden="false" customHeight="false" outlineLevel="0" collapsed="false">
      <c r="A234" s="0" t="n">
        <v>13</v>
      </c>
      <c r="B234" s="0" t="s">
        <v>47</v>
      </c>
      <c r="C234" s="0" t="s">
        <v>586</v>
      </c>
      <c r="D234" s="0" t="s">
        <v>1277</v>
      </c>
      <c r="E234" s="0" t="n">
        <v>2017</v>
      </c>
      <c r="H234" s="0" t="n">
        <v>17</v>
      </c>
      <c r="I234" s="0" t="n">
        <v>3747</v>
      </c>
      <c r="J234" s="0" t="s">
        <v>268</v>
      </c>
      <c r="K234" s="0" t="s">
        <v>1256</v>
      </c>
      <c r="L234" s="0" t="s">
        <v>293</v>
      </c>
      <c r="M234" s="0" t="s">
        <v>1278</v>
      </c>
      <c r="N234" s="0" t="s">
        <v>1278</v>
      </c>
      <c r="O234" s="0" t="s">
        <v>1279</v>
      </c>
      <c r="P234" s="0" t="s">
        <v>1280</v>
      </c>
      <c r="R234" s="0" t="s">
        <v>284</v>
      </c>
      <c r="S234" s="0" t="s">
        <v>290</v>
      </c>
      <c r="T234" s="0" t="s">
        <v>314</v>
      </c>
      <c r="U234" s="0" t="s">
        <v>277</v>
      </c>
      <c r="V234" s="0" t="s">
        <v>1260</v>
      </c>
    </row>
    <row r="235" customFormat="false" ht="15" hidden="false" customHeight="false" outlineLevel="0" collapsed="false">
      <c r="A235" s="0" t="n">
        <v>13</v>
      </c>
      <c r="B235" s="0" t="s">
        <v>47</v>
      </c>
      <c r="C235" s="0" t="s">
        <v>266</v>
      </c>
      <c r="D235" s="0" t="s">
        <v>1281</v>
      </c>
      <c r="E235" s="0" t="n">
        <v>2018</v>
      </c>
      <c r="H235" s="0" t="n">
        <v>3</v>
      </c>
      <c r="I235" s="0" t="n">
        <v>1419</v>
      </c>
      <c r="J235" s="0" t="s">
        <v>268</v>
      </c>
      <c r="K235" s="0" t="s">
        <v>1256</v>
      </c>
      <c r="L235" s="0" t="s">
        <v>293</v>
      </c>
      <c r="M235" s="0" t="s">
        <v>1282</v>
      </c>
      <c r="N235" s="0" t="s">
        <v>1282</v>
      </c>
      <c r="O235" s="0" t="s">
        <v>1283</v>
      </c>
      <c r="P235" s="0" t="s">
        <v>1284</v>
      </c>
      <c r="R235" s="0" t="s">
        <v>284</v>
      </c>
      <c r="S235" s="0" t="s">
        <v>268</v>
      </c>
      <c r="T235" s="0" t="s">
        <v>314</v>
      </c>
      <c r="U235" s="0" t="s">
        <v>277</v>
      </c>
      <c r="V235" s="0" t="s">
        <v>1260</v>
      </c>
    </row>
    <row r="236" customFormat="false" ht="15" hidden="false" customHeight="false" outlineLevel="0" collapsed="false">
      <c r="A236" s="0" t="n">
        <v>13</v>
      </c>
      <c r="B236" s="0" t="s">
        <v>47</v>
      </c>
      <c r="C236" s="0" t="s">
        <v>266</v>
      </c>
      <c r="D236" s="0" t="s">
        <v>1285</v>
      </c>
      <c r="E236" s="0" t="n">
        <v>2017</v>
      </c>
      <c r="H236" s="0" t="n">
        <v>3</v>
      </c>
      <c r="I236" s="0" t="n">
        <v>254</v>
      </c>
      <c r="J236" s="0" t="s">
        <v>268</v>
      </c>
      <c r="K236" s="0" t="s">
        <v>1256</v>
      </c>
      <c r="L236" s="0" t="s">
        <v>293</v>
      </c>
      <c r="M236" s="0" t="s">
        <v>1286</v>
      </c>
      <c r="N236" s="0" t="s">
        <v>1287</v>
      </c>
      <c r="O236" s="0" t="s">
        <v>1288</v>
      </c>
      <c r="P236" s="0" t="s">
        <v>1289</v>
      </c>
      <c r="R236" s="0" t="s">
        <v>284</v>
      </c>
      <c r="S236" s="0" t="s">
        <v>290</v>
      </c>
      <c r="T236" s="0" t="s">
        <v>314</v>
      </c>
      <c r="U236" s="0" t="s">
        <v>277</v>
      </c>
      <c r="V236" s="0" t="s">
        <v>1260</v>
      </c>
    </row>
    <row r="237" customFormat="false" ht="15" hidden="false" customHeight="false" outlineLevel="0" collapsed="false">
      <c r="A237" s="0" t="n">
        <v>13</v>
      </c>
      <c r="B237" s="0" t="s">
        <v>47</v>
      </c>
      <c r="C237" s="0" t="s">
        <v>530</v>
      </c>
      <c r="D237" s="0" t="s">
        <v>1290</v>
      </c>
      <c r="E237" s="0" t="n">
        <v>2020</v>
      </c>
      <c r="H237" s="0" t="n">
        <v>13</v>
      </c>
      <c r="I237" s="0" t="n">
        <v>6949</v>
      </c>
      <c r="J237" s="0" t="s">
        <v>268</v>
      </c>
      <c r="K237" s="0" t="s">
        <v>1256</v>
      </c>
      <c r="L237" s="0" t="s">
        <v>293</v>
      </c>
      <c r="M237" s="0" t="s">
        <v>1291</v>
      </c>
      <c r="N237" s="0" t="s">
        <v>1291</v>
      </c>
      <c r="O237" s="0" t="s">
        <v>1292</v>
      </c>
      <c r="P237" s="0" t="s">
        <v>1293</v>
      </c>
      <c r="R237" s="0" t="s">
        <v>284</v>
      </c>
      <c r="S237" s="0" t="s">
        <v>268</v>
      </c>
      <c r="T237" s="0" t="s">
        <v>314</v>
      </c>
      <c r="U237" s="0" t="s">
        <v>277</v>
      </c>
      <c r="V237" s="0" t="s">
        <v>1260</v>
      </c>
    </row>
    <row r="238" customFormat="false" ht="15" hidden="false" customHeight="false" outlineLevel="0" collapsed="false">
      <c r="A238" s="0" t="n">
        <v>13</v>
      </c>
      <c r="B238" s="0" t="s">
        <v>47</v>
      </c>
      <c r="C238" s="0" t="s">
        <v>530</v>
      </c>
      <c r="D238" s="0" t="s">
        <v>1294</v>
      </c>
      <c r="E238" s="0" t="n">
        <v>2015</v>
      </c>
      <c r="H238" s="0" t="n">
        <v>2</v>
      </c>
      <c r="I238" s="0" t="n">
        <v>1004</v>
      </c>
      <c r="J238" s="0" t="s">
        <v>268</v>
      </c>
      <c r="K238" s="0" t="s">
        <v>1256</v>
      </c>
      <c r="L238" s="0" t="s">
        <v>293</v>
      </c>
      <c r="M238" s="0" t="s">
        <v>1295</v>
      </c>
      <c r="N238" s="0" t="s">
        <v>1296</v>
      </c>
      <c r="O238" s="0" t="s">
        <v>1297</v>
      </c>
      <c r="P238" s="0" t="s">
        <v>1298</v>
      </c>
      <c r="R238" s="0" t="s">
        <v>284</v>
      </c>
      <c r="S238" s="0" t="s">
        <v>290</v>
      </c>
      <c r="T238" s="0" t="s">
        <v>314</v>
      </c>
      <c r="U238" s="0" t="s">
        <v>277</v>
      </c>
      <c r="V238" s="0" t="s">
        <v>1260</v>
      </c>
    </row>
    <row r="239" customFormat="false" ht="15" hidden="false" customHeight="false" outlineLevel="0" collapsed="false">
      <c r="A239" s="0" t="n">
        <v>13</v>
      </c>
      <c r="B239" s="0" t="s">
        <v>47</v>
      </c>
      <c r="C239" s="0" t="s">
        <v>278</v>
      </c>
      <c r="D239" s="0" t="s">
        <v>1299</v>
      </c>
      <c r="E239" s="0" t="n">
        <v>2019</v>
      </c>
      <c r="H239" s="0" t="n">
        <v>5</v>
      </c>
      <c r="I239" s="0" t="n">
        <v>2175</v>
      </c>
      <c r="J239" s="0" t="s">
        <v>290</v>
      </c>
      <c r="K239" s="0" t="s">
        <v>1256</v>
      </c>
      <c r="L239" s="0" t="s">
        <v>293</v>
      </c>
      <c r="M239" s="0" t="s">
        <v>1300</v>
      </c>
      <c r="N239" s="0" t="s">
        <v>1300</v>
      </c>
      <c r="O239" s="0" t="s">
        <v>1301</v>
      </c>
      <c r="P239" s="0" t="s">
        <v>1302</v>
      </c>
      <c r="R239" s="0" t="s">
        <v>284</v>
      </c>
      <c r="S239" s="0" t="s">
        <v>268</v>
      </c>
      <c r="T239" s="0" t="s">
        <v>314</v>
      </c>
      <c r="U239" s="0" t="s">
        <v>277</v>
      </c>
      <c r="V239" s="0" t="s">
        <v>1260</v>
      </c>
    </row>
    <row r="240" customFormat="false" ht="15" hidden="false" customHeight="false" outlineLevel="0" collapsed="false">
      <c r="A240" s="0" t="n">
        <v>13</v>
      </c>
      <c r="B240" s="0" t="s">
        <v>47</v>
      </c>
      <c r="C240" s="0" t="s">
        <v>500</v>
      </c>
      <c r="D240" s="0" t="s">
        <v>1303</v>
      </c>
      <c r="E240" s="0" t="n">
        <v>2021</v>
      </c>
      <c r="H240" s="0" t="n">
        <v>3</v>
      </c>
      <c r="I240" s="0" t="n">
        <v>657</v>
      </c>
      <c r="J240" s="0" t="s">
        <v>290</v>
      </c>
      <c r="K240" s="0" t="s">
        <v>1256</v>
      </c>
      <c r="L240" s="0" t="s">
        <v>293</v>
      </c>
      <c r="M240" s="0" t="s">
        <v>1304</v>
      </c>
      <c r="N240" s="0" t="s">
        <v>1304</v>
      </c>
      <c r="O240" s="0" t="s">
        <v>1305</v>
      </c>
      <c r="P240" s="0" t="s">
        <v>1306</v>
      </c>
      <c r="R240" s="0" t="s">
        <v>284</v>
      </c>
      <c r="S240" s="0" t="s">
        <v>268</v>
      </c>
      <c r="T240" s="0" t="s">
        <v>314</v>
      </c>
      <c r="U240" s="0" t="s">
        <v>277</v>
      </c>
      <c r="V240" s="0" t="s">
        <v>1260</v>
      </c>
    </row>
    <row r="241" customFormat="false" ht="15" hidden="false" customHeight="false" outlineLevel="0" collapsed="false">
      <c r="A241" s="0" t="n">
        <v>13</v>
      </c>
      <c r="B241" s="0" t="s">
        <v>47</v>
      </c>
      <c r="C241" s="0" t="s">
        <v>500</v>
      </c>
      <c r="D241" s="0" t="s">
        <v>1307</v>
      </c>
      <c r="E241" s="0" t="n">
        <v>2020</v>
      </c>
      <c r="H241" s="0" t="n">
        <v>13</v>
      </c>
      <c r="I241" s="0" t="n">
        <v>6447</v>
      </c>
      <c r="J241" s="0" t="s">
        <v>268</v>
      </c>
      <c r="K241" s="0" t="s">
        <v>1256</v>
      </c>
      <c r="L241" s="0" t="s">
        <v>293</v>
      </c>
      <c r="M241" s="0" t="s">
        <v>1308</v>
      </c>
      <c r="N241" s="0" t="s">
        <v>1308</v>
      </c>
      <c r="O241" s="0" t="s">
        <v>1309</v>
      </c>
      <c r="P241" s="0" t="s">
        <v>1310</v>
      </c>
      <c r="R241" s="0" t="s">
        <v>284</v>
      </c>
      <c r="S241" s="0" t="s">
        <v>290</v>
      </c>
      <c r="T241" s="0" t="s">
        <v>314</v>
      </c>
      <c r="U241" s="0" t="s">
        <v>277</v>
      </c>
      <c r="V241" s="0" t="s">
        <v>1260</v>
      </c>
    </row>
    <row r="242" customFormat="false" ht="15" hidden="false" customHeight="false" outlineLevel="0" collapsed="false">
      <c r="A242" s="0" t="n">
        <v>13</v>
      </c>
      <c r="B242" s="0" t="s">
        <v>47</v>
      </c>
      <c r="C242" s="0" t="s">
        <v>500</v>
      </c>
      <c r="D242" s="0" t="s">
        <v>1311</v>
      </c>
      <c r="E242" s="0" t="n">
        <v>2020</v>
      </c>
      <c r="H242" s="0" t="n">
        <v>13</v>
      </c>
      <c r="I242" s="0" t="n">
        <v>7126</v>
      </c>
      <c r="J242" s="0" t="s">
        <v>268</v>
      </c>
      <c r="K242" s="0" t="s">
        <v>1256</v>
      </c>
      <c r="L242" s="0" t="s">
        <v>293</v>
      </c>
      <c r="M242" s="0" t="s">
        <v>1312</v>
      </c>
      <c r="N242" s="0" t="s">
        <v>1312</v>
      </c>
      <c r="O242" s="0" t="s">
        <v>1313</v>
      </c>
      <c r="P242" s="0" t="s">
        <v>1314</v>
      </c>
      <c r="R242" s="0" t="s">
        <v>284</v>
      </c>
      <c r="S242" s="0" t="s">
        <v>290</v>
      </c>
      <c r="T242" s="0" t="s">
        <v>314</v>
      </c>
      <c r="U242" s="0" t="s">
        <v>277</v>
      </c>
      <c r="V242" s="0" t="s">
        <v>1260</v>
      </c>
    </row>
    <row r="243" customFormat="false" ht="15" hidden="false" customHeight="false" outlineLevel="0" collapsed="false">
      <c r="A243" s="0" t="n">
        <v>13</v>
      </c>
      <c r="B243" s="0" t="s">
        <v>47</v>
      </c>
      <c r="C243" s="0" t="s">
        <v>500</v>
      </c>
      <c r="D243" s="0" t="s">
        <v>1315</v>
      </c>
      <c r="E243" s="0" t="n">
        <v>2019</v>
      </c>
      <c r="H243" s="0" t="n">
        <v>13</v>
      </c>
      <c r="I243" s="0" t="n">
        <v>6137</v>
      </c>
      <c r="J243" s="0" t="s">
        <v>268</v>
      </c>
      <c r="K243" s="0" t="s">
        <v>1256</v>
      </c>
      <c r="L243" s="0" t="s">
        <v>293</v>
      </c>
      <c r="M243" s="0" t="s">
        <v>1316</v>
      </c>
      <c r="N243" s="0" t="s">
        <v>1316</v>
      </c>
      <c r="O243" s="0" t="s">
        <v>1317</v>
      </c>
      <c r="P243" s="0" t="s">
        <v>1318</v>
      </c>
      <c r="R243" s="0" t="s">
        <v>284</v>
      </c>
      <c r="S243" s="0" t="s">
        <v>290</v>
      </c>
      <c r="T243" s="0" t="s">
        <v>276</v>
      </c>
      <c r="U243" s="0" t="s">
        <v>277</v>
      </c>
    </row>
    <row r="244" customFormat="false" ht="15" hidden="false" customHeight="false" outlineLevel="0" collapsed="false">
      <c r="A244" s="0" t="n">
        <v>13</v>
      </c>
      <c r="B244" s="0" t="s">
        <v>47</v>
      </c>
      <c r="C244" s="0" t="s">
        <v>500</v>
      </c>
      <c r="D244" s="0" t="s">
        <v>1319</v>
      </c>
      <c r="E244" s="0" t="n">
        <v>2019</v>
      </c>
      <c r="H244" s="0" t="n">
        <v>2</v>
      </c>
      <c r="I244" s="0" t="n">
        <v>1744</v>
      </c>
      <c r="J244" s="0" t="s">
        <v>268</v>
      </c>
      <c r="K244" s="0" t="s">
        <v>1256</v>
      </c>
      <c r="L244" s="0" t="s">
        <v>293</v>
      </c>
      <c r="M244" s="0" t="s">
        <v>1320</v>
      </c>
      <c r="N244" s="0" t="s">
        <v>1320</v>
      </c>
      <c r="O244" s="0" t="s">
        <v>1321</v>
      </c>
      <c r="P244" s="0" t="s">
        <v>1322</v>
      </c>
      <c r="R244" s="0" t="s">
        <v>284</v>
      </c>
      <c r="S244" s="0" t="s">
        <v>290</v>
      </c>
      <c r="T244" s="0" t="s">
        <v>314</v>
      </c>
      <c r="U244" s="0" t="s">
        <v>277</v>
      </c>
      <c r="V244" s="0" t="s">
        <v>1260</v>
      </c>
    </row>
    <row r="245" customFormat="false" ht="15" hidden="false" customHeight="false" outlineLevel="0" collapsed="false">
      <c r="A245" s="0" t="n">
        <v>13</v>
      </c>
      <c r="B245" s="0" t="s">
        <v>47</v>
      </c>
      <c r="C245" s="0" t="s">
        <v>500</v>
      </c>
      <c r="D245" s="0" t="s">
        <v>1323</v>
      </c>
      <c r="E245" s="0" t="n">
        <v>2019</v>
      </c>
      <c r="H245" s="0" t="n">
        <v>3</v>
      </c>
      <c r="I245" s="0" t="n">
        <v>2545</v>
      </c>
      <c r="J245" s="0" t="s">
        <v>268</v>
      </c>
      <c r="K245" s="0" t="s">
        <v>1256</v>
      </c>
      <c r="L245" s="0" t="s">
        <v>293</v>
      </c>
      <c r="M245" s="0" t="s">
        <v>1324</v>
      </c>
      <c r="N245" s="0" t="s">
        <v>1324</v>
      </c>
      <c r="O245" s="0" t="s">
        <v>1325</v>
      </c>
      <c r="P245" s="0" t="s">
        <v>1326</v>
      </c>
      <c r="R245" s="0" t="s">
        <v>284</v>
      </c>
      <c r="S245" s="0" t="s">
        <v>290</v>
      </c>
      <c r="T245" s="0" t="s">
        <v>314</v>
      </c>
      <c r="U245" s="0" t="s">
        <v>277</v>
      </c>
      <c r="V245" s="0" t="s">
        <v>1260</v>
      </c>
    </row>
    <row r="246" customFormat="false" ht="15" hidden="false" customHeight="false" outlineLevel="0" collapsed="false">
      <c r="A246" s="0" t="n">
        <v>13</v>
      </c>
      <c r="B246" s="0" t="s">
        <v>47</v>
      </c>
      <c r="C246" s="0" t="s">
        <v>500</v>
      </c>
      <c r="D246" s="0" t="s">
        <v>1327</v>
      </c>
      <c r="E246" s="0" t="n">
        <v>2018</v>
      </c>
      <c r="H246" s="0" t="n">
        <v>1</v>
      </c>
      <c r="I246" s="0" t="n">
        <v>579</v>
      </c>
      <c r="J246" s="0" t="s">
        <v>290</v>
      </c>
      <c r="K246" s="0" t="s">
        <v>1256</v>
      </c>
      <c r="L246" s="0" t="s">
        <v>293</v>
      </c>
      <c r="M246" s="0" t="s">
        <v>1328</v>
      </c>
      <c r="N246" s="0" t="s">
        <v>1328</v>
      </c>
      <c r="O246" s="0" t="s">
        <v>1329</v>
      </c>
      <c r="P246" s="0" t="s">
        <v>1330</v>
      </c>
      <c r="R246" s="0" t="s">
        <v>284</v>
      </c>
      <c r="S246" s="0" t="s">
        <v>290</v>
      </c>
      <c r="T246" s="0" t="s">
        <v>314</v>
      </c>
      <c r="U246" s="0" t="s">
        <v>277</v>
      </c>
      <c r="V246" s="0" t="s">
        <v>1260</v>
      </c>
    </row>
    <row r="247" customFormat="false" ht="15" hidden="false" customHeight="false" outlineLevel="0" collapsed="false">
      <c r="A247" s="0" t="n">
        <v>13</v>
      </c>
      <c r="B247" s="0" t="s">
        <v>47</v>
      </c>
      <c r="C247" s="0" t="s">
        <v>500</v>
      </c>
      <c r="D247" s="0" t="s">
        <v>1331</v>
      </c>
      <c r="E247" s="0" t="n">
        <v>2018</v>
      </c>
      <c r="H247" s="0" t="n">
        <v>2</v>
      </c>
      <c r="I247" s="0" t="n">
        <v>4211</v>
      </c>
      <c r="J247" s="0" t="s">
        <v>290</v>
      </c>
      <c r="K247" s="0" t="s">
        <v>1256</v>
      </c>
      <c r="L247" s="0" t="s">
        <v>293</v>
      </c>
      <c r="M247" s="0" t="s">
        <v>1332</v>
      </c>
      <c r="N247" s="0" t="s">
        <v>1333</v>
      </c>
      <c r="O247" s="0" t="s">
        <v>1334</v>
      </c>
      <c r="P247" s="0" t="s">
        <v>1335</v>
      </c>
      <c r="R247" s="0" t="s">
        <v>284</v>
      </c>
      <c r="S247" s="0" t="s">
        <v>290</v>
      </c>
      <c r="T247" s="0" t="s">
        <v>314</v>
      </c>
      <c r="U247" s="0" t="s">
        <v>277</v>
      </c>
      <c r="V247" s="0" t="s">
        <v>1260</v>
      </c>
    </row>
    <row r="248" customFormat="false" ht="15" hidden="false" customHeight="false" outlineLevel="0" collapsed="false">
      <c r="A248" s="0" t="n">
        <v>13</v>
      </c>
      <c r="B248" s="0" t="s">
        <v>47</v>
      </c>
      <c r="C248" s="0" t="s">
        <v>500</v>
      </c>
      <c r="D248" s="0" t="s">
        <v>1336</v>
      </c>
      <c r="E248" s="0" t="n">
        <v>2018</v>
      </c>
      <c r="H248" s="0" t="n">
        <v>3</v>
      </c>
      <c r="I248" s="0" t="n">
        <v>3471</v>
      </c>
      <c r="J248" s="0" t="s">
        <v>290</v>
      </c>
      <c r="K248" s="0" t="s">
        <v>1256</v>
      </c>
      <c r="L248" s="0" t="s">
        <v>293</v>
      </c>
      <c r="M248" s="0" t="s">
        <v>1337</v>
      </c>
      <c r="N248" s="0" t="s">
        <v>1338</v>
      </c>
      <c r="O248" s="0" t="s">
        <v>1339</v>
      </c>
      <c r="P248" s="0" t="s">
        <v>1340</v>
      </c>
      <c r="R248" s="0" t="s">
        <v>284</v>
      </c>
      <c r="S248" s="0" t="s">
        <v>290</v>
      </c>
      <c r="T248" s="0" t="s">
        <v>314</v>
      </c>
      <c r="U248" s="0" t="s">
        <v>277</v>
      </c>
      <c r="V248" s="0" t="s">
        <v>1260</v>
      </c>
    </row>
    <row r="249" customFormat="false" ht="15" hidden="false" customHeight="false" outlineLevel="0" collapsed="false">
      <c r="A249" s="0" t="n">
        <v>13</v>
      </c>
      <c r="B249" s="0" t="s">
        <v>47</v>
      </c>
      <c r="C249" s="0" t="s">
        <v>500</v>
      </c>
      <c r="D249" s="0" t="s">
        <v>1341</v>
      </c>
      <c r="E249" s="0" t="n">
        <v>2017</v>
      </c>
      <c r="H249" s="0" t="n">
        <v>2</v>
      </c>
      <c r="I249" s="0" t="n">
        <v>878</v>
      </c>
      <c r="J249" s="0" t="s">
        <v>290</v>
      </c>
      <c r="K249" s="0" t="s">
        <v>1256</v>
      </c>
      <c r="L249" s="0" t="s">
        <v>293</v>
      </c>
      <c r="M249" s="0" t="s">
        <v>1342</v>
      </c>
      <c r="N249" s="0" t="s">
        <v>1342</v>
      </c>
      <c r="O249" s="0" t="s">
        <v>1343</v>
      </c>
      <c r="P249" s="0" t="s">
        <v>1344</v>
      </c>
      <c r="R249" s="0" t="s">
        <v>284</v>
      </c>
      <c r="S249" s="0" t="s">
        <v>290</v>
      </c>
      <c r="T249" s="0" t="s">
        <v>314</v>
      </c>
      <c r="U249" s="0" t="s">
        <v>277</v>
      </c>
      <c r="V249" s="0" t="s">
        <v>1260</v>
      </c>
    </row>
    <row r="250" customFormat="false" ht="15" hidden="false" customHeight="false" outlineLevel="0" collapsed="false">
      <c r="A250" s="0" t="n">
        <v>13</v>
      </c>
      <c r="B250" s="0" t="s">
        <v>47</v>
      </c>
      <c r="C250" s="0" t="s">
        <v>500</v>
      </c>
      <c r="D250" s="0" t="s">
        <v>1345</v>
      </c>
      <c r="E250" s="0" t="n">
        <v>2017</v>
      </c>
      <c r="H250" s="0" t="n">
        <v>4</v>
      </c>
      <c r="I250" s="0" t="n">
        <v>5939</v>
      </c>
      <c r="J250" s="0" t="s">
        <v>290</v>
      </c>
      <c r="K250" s="0" t="s">
        <v>1256</v>
      </c>
      <c r="L250" s="0" t="s">
        <v>293</v>
      </c>
      <c r="M250" s="0" t="s">
        <v>1346</v>
      </c>
      <c r="N250" s="0" t="s">
        <v>1346</v>
      </c>
      <c r="O250" s="0" t="s">
        <v>1347</v>
      </c>
      <c r="P250" s="0" t="s">
        <v>1348</v>
      </c>
      <c r="R250" s="0" t="s">
        <v>284</v>
      </c>
      <c r="S250" s="0" t="s">
        <v>290</v>
      </c>
      <c r="T250" s="0" t="s">
        <v>314</v>
      </c>
      <c r="U250" s="0" t="s">
        <v>277</v>
      </c>
      <c r="V250" s="0" t="s">
        <v>1260</v>
      </c>
    </row>
    <row r="251" customFormat="false" ht="15" hidden="false" customHeight="false" outlineLevel="0" collapsed="false">
      <c r="A251" s="0" t="n">
        <v>13</v>
      </c>
      <c r="B251" s="0" t="s">
        <v>47</v>
      </c>
      <c r="C251" s="0" t="s">
        <v>500</v>
      </c>
      <c r="D251" s="0" t="s">
        <v>1349</v>
      </c>
      <c r="E251" s="0" t="n">
        <v>2017</v>
      </c>
      <c r="H251" s="0" t="n">
        <v>4</v>
      </c>
      <c r="I251" s="0" t="n">
        <v>2266</v>
      </c>
      <c r="J251" s="0" t="s">
        <v>290</v>
      </c>
      <c r="K251" s="0" t="s">
        <v>1256</v>
      </c>
      <c r="L251" s="0" t="s">
        <v>293</v>
      </c>
      <c r="M251" s="0" t="s">
        <v>1350</v>
      </c>
      <c r="N251" s="0" t="s">
        <v>1350</v>
      </c>
      <c r="O251" s="0" t="s">
        <v>1351</v>
      </c>
      <c r="P251" s="0" t="s">
        <v>1352</v>
      </c>
      <c r="R251" s="0" t="s">
        <v>284</v>
      </c>
      <c r="S251" s="0" t="s">
        <v>290</v>
      </c>
      <c r="T251" s="0" t="s">
        <v>314</v>
      </c>
      <c r="U251" s="0" t="s">
        <v>277</v>
      </c>
      <c r="V251" s="0" t="s">
        <v>1260</v>
      </c>
    </row>
    <row r="252" customFormat="false" ht="15" hidden="false" customHeight="false" outlineLevel="0" collapsed="false">
      <c r="A252" s="0" t="n">
        <v>13</v>
      </c>
      <c r="B252" s="0" t="s">
        <v>47</v>
      </c>
      <c r="C252" s="0" t="s">
        <v>500</v>
      </c>
      <c r="D252" s="0" t="s">
        <v>1353</v>
      </c>
      <c r="E252" s="0" t="n">
        <v>2017</v>
      </c>
      <c r="H252" s="0" t="n">
        <v>4</v>
      </c>
      <c r="I252" s="0" t="n">
        <v>6413</v>
      </c>
      <c r="J252" s="0" t="s">
        <v>290</v>
      </c>
      <c r="K252" s="0" t="s">
        <v>1256</v>
      </c>
      <c r="L252" s="0" t="s">
        <v>293</v>
      </c>
      <c r="M252" s="0" t="s">
        <v>1354</v>
      </c>
      <c r="N252" s="0" t="s">
        <v>1354</v>
      </c>
      <c r="O252" s="0" t="s">
        <v>1355</v>
      </c>
      <c r="P252" s="0" t="s">
        <v>1356</v>
      </c>
      <c r="R252" s="0" t="s">
        <v>284</v>
      </c>
      <c r="S252" s="0" t="s">
        <v>290</v>
      </c>
      <c r="T252" s="0" t="s">
        <v>314</v>
      </c>
      <c r="U252" s="0" t="s">
        <v>277</v>
      </c>
      <c r="V252" s="0" t="s">
        <v>1260</v>
      </c>
    </row>
    <row r="253" customFormat="false" ht="15" hidden="false" customHeight="false" outlineLevel="0" collapsed="false">
      <c r="A253" s="0" t="n">
        <v>13</v>
      </c>
      <c r="B253" s="0" t="s">
        <v>47</v>
      </c>
      <c r="C253" s="0" t="s">
        <v>500</v>
      </c>
      <c r="D253" s="0" t="s">
        <v>1357</v>
      </c>
      <c r="E253" s="0" t="n">
        <v>2016</v>
      </c>
      <c r="H253" s="0" t="n">
        <v>4</v>
      </c>
      <c r="I253" s="0" t="n">
        <v>3447</v>
      </c>
      <c r="J253" s="0" t="s">
        <v>290</v>
      </c>
      <c r="K253" s="0" t="s">
        <v>1256</v>
      </c>
      <c r="L253" s="0" t="s">
        <v>293</v>
      </c>
      <c r="M253" s="0" t="s">
        <v>1358</v>
      </c>
      <c r="N253" s="0" t="s">
        <v>1359</v>
      </c>
      <c r="O253" s="0" t="s">
        <v>1360</v>
      </c>
      <c r="P253" s="0" t="s">
        <v>1361</v>
      </c>
      <c r="R253" s="0" t="s">
        <v>284</v>
      </c>
      <c r="S253" s="0" t="s">
        <v>290</v>
      </c>
      <c r="T253" s="0" t="s">
        <v>314</v>
      </c>
      <c r="U253" s="0" t="s">
        <v>277</v>
      </c>
      <c r="V253" s="0" t="s">
        <v>1260</v>
      </c>
    </row>
    <row r="254" customFormat="false" ht="15" hidden="false" customHeight="false" outlineLevel="0" collapsed="false">
      <c r="A254" s="0" t="n">
        <v>13</v>
      </c>
      <c r="B254" s="0" t="s">
        <v>47</v>
      </c>
      <c r="C254" s="0" t="s">
        <v>500</v>
      </c>
      <c r="D254" s="0" t="s">
        <v>1362</v>
      </c>
      <c r="E254" s="0" t="n">
        <v>2016</v>
      </c>
      <c r="H254" s="0" t="n">
        <v>4</v>
      </c>
      <c r="I254" s="0" t="n">
        <v>1602</v>
      </c>
      <c r="J254" s="0" t="s">
        <v>290</v>
      </c>
      <c r="K254" s="0" t="s">
        <v>1256</v>
      </c>
      <c r="L254" s="0" t="s">
        <v>293</v>
      </c>
      <c r="M254" s="0" t="s">
        <v>1363</v>
      </c>
      <c r="N254" s="0" t="s">
        <v>1364</v>
      </c>
      <c r="O254" s="0" t="s">
        <v>1365</v>
      </c>
      <c r="P254" s="0" t="s">
        <v>1366</v>
      </c>
      <c r="R254" s="0" t="s">
        <v>284</v>
      </c>
      <c r="S254" s="0" t="s">
        <v>290</v>
      </c>
      <c r="T254" s="0" t="s">
        <v>314</v>
      </c>
      <c r="U254" s="0" t="s">
        <v>277</v>
      </c>
      <c r="V254" s="0" t="s">
        <v>1260</v>
      </c>
    </row>
    <row r="255" customFormat="false" ht="15" hidden="false" customHeight="false" outlineLevel="0" collapsed="false">
      <c r="A255" s="0" t="n">
        <v>13</v>
      </c>
      <c r="B255" s="0" t="s">
        <v>47</v>
      </c>
      <c r="C255" s="0" t="s">
        <v>500</v>
      </c>
      <c r="D255" s="0" t="s">
        <v>1367</v>
      </c>
      <c r="E255" s="0" t="n">
        <v>2016</v>
      </c>
      <c r="H255" s="0" t="n">
        <v>2</v>
      </c>
      <c r="I255" s="0" t="n">
        <v>1002</v>
      </c>
      <c r="J255" s="0" t="s">
        <v>268</v>
      </c>
      <c r="K255" s="0" t="s">
        <v>1256</v>
      </c>
      <c r="L255" s="0" t="s">
        <v>293</v>
      </c>
      <c r="M255" s="0" t="s">
        <v>1368</v>
      </c>
      <c r="N255" s="0" t="s">
        <v>1369</v>
      </c>
      <c r="O255" s="0" t="s">
        <v>1370</v>
      </c>
      <c r="P255" s="0" t="s">
        <v>1371</v>
      </c>
      <c r="R255" s="0" t="s">
        <v>284</v>
      </c>
      <c r="S255" s="0" t="s">
        <v>290</v>
      </c>
      <c r="T255" s="0" t="s">
        <v>314</v>
      </c>
      <c r="U255" s="0" t="s">
        <v>277</v>
      </c>
      <c r="V255" s="0" t="s">
        <v>1260</v>
      </c>
    </row>
    <row r="256" customFormat="false" ht="15" hidden="false" customHeight="false" outlineLevel="0" collapsed="false">
      <c r="A256" s="0" t="n">
        <v>13</v>
      </c>
      <c r="B256" s="0" t="s">
        <v>47</v>
      </c>
      <c r="C256" s="0" t="s">
        <v>500</v>
      </c>
      <c r="D256" s="0" t="s">
        <v>1372</v>
      </c>
      <c r="E256" s="0" t="n">
        <v>2016</v>
      </c>
      <c r="H256" s="0" t="n">
        <v>2</v>
      </c>
      <c r="I256" s="0" t="n">
        <v>3449</v>
      </c>
      <c r="J256" s="0" t="s">
        <v>290</v>
      </c>
      <c r="K256" s="0" t="s">
        <v>1256</v>
      </c>
      <c r="L256" s="0" t="s">
        <v>293</v>
      </c>
      <c r="M256" s="0" t="s">
        <v>1373</v>
      </c>
      <c r="N256" s="0" t="s">
        <v>1373</v>
      </c>
      <c r="O256" s="0" t="s">
        <v>1374</v>
      </c>
      <c r="P256" s="0" t="s">
        <v>1375</v>
      </c>
      <c r="R256" s="0" t="s">
        <v>284</v>
      </c>
      <c r="S256" s="0" t="s">
        <v>290</v>
      </c>
      <c r="T256" s="0" t="s">
        <v>314</v>
      </c>
      <c r="U256" s="0" t="s">
        <v>277</v>
      </c>
      <c r="V256" s="0" t="s">
        <v>1260</v>
      </c>
    </row>
    <row r="257" customFormat="false" ht="15" hidden="false" customHeight="false" outlineLevel="0" collapsed="false">
      <c r="A257" s="0" t="n">
        <v>13</v>
      </c>
      <c r="B257" s="0" t="s">
        <v>47</v>
      </c>
      <c r="C257" s="0" t="s">
        <v>500</v>
      </c>
      <c r="D257" s="0" t="s">
        <v>1376</v>
      </c>
      <c r="E257" s="0" t="n">
        <v>2016</v>
      </c>
      <c r="H257" s="0" t="n">
        <v>6</v>
      </c>
      <c r="I257" s="0" t="n">
        <v>1873</v>
      </c>
      <c r="J257" s="0" t="s">
        <v>290</v>
      </c>
      <c r="K257" s="0" t="s">
        <v>1256</v>
      </c>
      <c r="L257" s="0" t="s">
        <v>293</v>
      </c>
      <c r="M257" s="0" t="s">
        <v>1377</v>
      </c>
      <c r="N257" s="0" t="s">
        <v>1378</v>
      </c>
      <c r="O257" s="0" t="s">
        <v>1379</v>
      </c>
      <c r="P257" s="0" t="s">
        <v>1380</v>
      </c>
      <c r="R257" s="0" t="s">
        <v>284</v>
      </c>
      <c r="S257" s="0" t="s">
        <v>290</v>
      </c>
      <c r="T257" s="0" t="s">
        <v>314</v>
      </c>
      <c r="U257" s="0" t="s">
        <v>277</v>
      </c>
      <c r="V257" s="0" t="s">
        <v>1260</v>
      </c>
    </row>
    <row r="258" customFormat="false" ht="15" hidden="false" customHeight="false" outlineLevel="0" collapsed="false">
      <c r="A258" s="0" t="n">
        <v>13</v>
      </c>
      <c r="B258" s="0" t="s">
        <v>47</v>
      </c>
      <c r="C258" s="0" t="s">
        <v>500</v>
      </c>
      <c r="D258" s="0" t="s">
        <v>1381</v>
      </c>
      <c r="E258" s="0" t="n">
        <v>2015</v>
      </c>
      <c r="H258" s="0" t="n">
        <v>2</v>
      </c>
      <c r="I258" s="0" t="n">
        <v>678</v>
      </c>
      <c r="J258" s="0" t="s">
        <v>268</v>
      </c>
      <c r="K258" s="0" t="s">
        <v>1256</v>
      </c>
      <c r="L258" s="0" t="s">
        <v>293</v>
      </c>
      <c r="M258" s="0" t="s">
        <v>1382</v>
      </c>
      <c r="N258" s="0" t="s">
        <v>1382</v>
      </c>
      <c r="O258" s="0" t="s">
        <v>1383</v>
      </c>
      <c r="P258" s="0" t="s">
        <v>1384</v>
      </c>
      <c r="R258" s="0" t="s">
        <v>284</v>
      </c>
      <c r="S258" s="0" t="s">
        <v>290</v>
      </c>
      <c r="T258" s="0" t="s">
        <v>314</v>
      </c>
      <c r="U258" s="0" t="s">
        <v>277</v>
      </c>
      <c r="V258" s="0" t="s">
        <v>1260</v>
      </c>
    </row>
    <row r="259" customFormat="false" ht="15" hidden="false" customHeight="false" outlineLevel="0" collapsed="false">
      <c r="A259" s="0" t="n">
        <v>13</v>
      </c>
      <c r="B259" s="0" t="s">
        <v>47</v>
      </c>
      <c r="C259" s="0" t="s">
        <v>500</v>
      </c>
      <c r="D259" s="0" t="s">
        <v>1385</v>
      </c>
      <c r="E259" s="0" t="n">
        <v>2015</v>
      </c>
      <c r="H259" s="0" t="n">
        <v>13</v>
      </c>
      <c r="I259" s="0" t="n">
        <v>1869</v>
      </c>
      <c r="J259" s="0" t="s">
        <v>268</v>
      </c>
      <c r="K259" s="0" t="s">
        <v>1256</v>
      </c>
      <c r="L259" s="0" t="s">
        <v>293</v>
      </c>
      <c r="M259" s="0" t="s">
        <v>1386</v>
      </c>
      <c r="N259" s="0" t="s">
        <v>1387</v>
      </c>
      <c r="O259" s="0" t="s">
        <v>1388</v>
      </c>
      <c r="P259" s="0" t="s">
        <v>1389</v>
      </c>
      <c r="R259" s="0" t="s">
        <v>284</v>
      </c>
      <c r="S259" s="0" t="s">
        <v>290</v>
      </c>
      <c r="T259" s="0" t="s">
        <v>314</v>
      </c>
      <c r="U259" s="0" t="s">
        <v>277</v>
      </c>
      <c r="V259" s="0" t="s">
        <v>1260</v>
      </c>
    </row>
    <row r="260" customFormat="false" ht="15" hidden="false" customHeight="false" outlineLevel="0" collapsed="false">
      <c r="A260" s="0" t="n">
        <v>13</v>
      </c>
      <c r="B260" s="0" t="s">
        <v>47</v>
      </c>
      <c r="C260" s="0" t="s">
        <v>500</v>
      </c>
      <c r="D260" s="0" t="s">
        <v>1390</v>
      </c>
      <c r="E260" s="0" t="n">
        <v>2014</v>
      </c>
      <c r="H260" s="0" t="n">
        <v>3</v>
      </c>
      <c r="I260" s="0" t="n">
        <v>2124</v>
      </c>
      <c r="J260" s="0" t="s">
        <v>268</v>
      </c>
      <c r="K260" s="0" t="s">
        <v>1256</v>
      </c>
      <c r="L260" s="0" t="s">
        <v>293</v>
      </c>
      <c r="M260" s="0" t="s">
        <v>1391</v>
      </c>
      <c r="N260" s="0" t="s">
        <v>1391</v>
      </c>
      <c r="O260" s="0" t="s">
        <v>1392</v>
      </c>
      <c r="P260" s="0" t="s">
        <v>1393</v>
      </c>
      <c r="R260" s="0" t="s">
        <v>284</v>
      </c>
      <c r="S260" s="0" t="s">
        <v>290</v>
      </c>
      <c r="T260" s="0" t="s">
        <v>314</v>
      </c>
      <c r="U260" s="0" t="s">
        <v>277</v>
      </c>
      <c r="V260" s="0" t="s">
        <v>1260</v>
      </c>
    </row>
    <row r="261" customFormat="false" ht="15" hidden="false" customHeight="false" outlineLevel="0" collapsed="false">
      <c r="A261" s="0" t="n">
        <v>13</v>
      </c>
      <c r="B261" s="0" t="s">
        <v>47</v>
      </c>
      <c r="C261" s="0" t="s">
        <v>500</v>
      </c>
      <c r="D261" s="0" t="s">
        <v>1394</v>
      </c>
      <c r="E261" s="0" t="n">
        <v>2014</v>
      </c>
      <c r="H261" s="0" t="n">
        <v>2</v>
      </c>
      <c r="I261" s="0" t="n">
        <v>1314</v>
      </c>
      <c r="J261" s="0" t="s">
        <v>290</v>
      </c>
      <c r="K261" s="0" t="s">
        <v>1256</v>
      </c>
      <c r="L261" s="0" t="s">
        <v>293</v>
      </c>
      <c r="M261" s="0" t="s">
        <v>1395</v>
      </c>
      <c r="N261" s="0" t="s">
        <v>1395</v>
      </c>
      <c r="O261" s="0" t="s">
        <v>1396</v>
      </c>
      <c r="P261" s="0" t="s">
        <v>1397</v>
      </c>
      <c r="R261" s="0" t="s">
        <v>284</v>
      </c>
      <c r="S261" s="0" t="s">
        <v>290</v>
      </c>
      <c r="T261" s="0" t="s">
        <v>314</v>
      </c>
      <c r="U261" s="0" t="s">
        <v>277</v>
      </c>
      <c r="V261" s="0" t="s">
        <v>1260</v>
      </c>
    </row>
    <row r="262" customFormat="false" ht="15" hidden="false" customHeight="false" outlineLevel="0" collapsed="false">
      <c r="A262" s="0" t="n">
        <v>15</v>
      </c>
      <c r="B262" s="0" t="s">
        <v>50</v>
      </c>
      <c r="C262" s="0" t="s">
        <v>56</v>
      </c>
      <c r="D262" s="0" t="s">
        <v>1398</v>
      </c>
      <c r="E262" s="0" t="n">
        <v>2022</v>
      </c>
      <c r="H262" s="0" t="n">
        <v>3</v>
      </c>
      <c r="I262" s="0" t="n">
        <v>310</v>
      </c>
      <c r="J262" s="0" t="s">
        <v>268</v>
      </c>
      <c r="K262" s="0" t="s">
        <v>298</v>
      </c>
      <c r="L262" s="0" t="s">
        <v>270</v>
      </c>
      <c r="M262" s="0" t="s">
        <v>1399</v>
      </c>
      <c r="N262" s="0" t="s">
        <v>1399</v>
      </c>
      <c r="O262" s="0" t="s">
        <v>1400</v>
      </c>
      <c r="P262" s="0" t="s">
        <v>1401</v>
      </c>
      <c r="R262" s="0" t="s">
        <v>284</v>
      </c>
      <c r="S262" s="0" t="s">
        <v>268</v>
      </c>
      <c r="T262" s="0" t="s">
        <v>276</v>
      </c>
      <c r="U262" s="0" t="s">
        <v>277</v>
      </c>
    </row>
    <row r="263" customFormat="false" ht="15" hidden="false" customHeight="false" outlineLevel="0" collapsed="false">
      <c r="A263" s="0" t="n">
        <v>15</v>
      </c>
      <c r="B263" s="0" t="s">
        <v>50</v>
      </c>
      <c r="C263" s="0" t="s">
        <v>309</v>
      </c>
      <c r="D263" s="0" t="s">
        <v>1402</v>
      </c>
      <c r="E263" s="0" t="n">
        <v>2022</v>
      </c>
      <c r="H263" s="0" t="n">
        <v>1</v>
      </c>
      <c r="I263" s="0" t="n">
        <v>1704</v>
      </c>
      <c r="J263" s="0" t="s">
        <v>290</v>
      </c>
      <c r="K263" s="0" t="s">
        <v>298</v>
      </c>
      <c r="L263" s="0" t="s">
        <v>270</v>
      </c>
      <c r="M263" s="0" t="s">
        <v>1403</v>
      </c>
      <c r="N263" s="0" t="s">
        <v>1403</v>
      </c>
      <c r="O263" s="0" t="s">
        <v>1404</v>
      </c>
      <c r="P263" s="0" t="s">
        <v>1405</v>
      </c>
      <c r="R263" s="0" t="s">
        <v>284</v>
      </c>
      <c r="S263" s="0" t="s">
        <v>268</v>
      </c>
      <c r="T263" s="0" t="s">
        <v>276</v>
      </c>
      <c r="U263" s="0" t="s">
        <v>277</v>
      </c>
    </row>
    <row r="264" customFormat="false" ht="15" hidden="false" customHeight="false" outlineLevel="0" collapsed="false">
      <c r="A264" s="0" t="n">
        <v>16</v>
      </c>
      <c r="B264" s="0" t="s">
        <v>51</v>
      </c>
      <c r="C264" s="0" t="s">
        <v>309</v>
      </c>
      <c r="D264" s="0" t="s">
        <v>1406</v>
      </c>
      <c r="E264" s="0" t="n">
        <v>2024</v>
      </c>
      <c r="H264" s="0" t="n">
        <v>1</v>
      </c>
      <c r="I264" s="0" t="n">
        <v>2776</v>
      </c>
      <c r="J264" s="0" t="s">
        <v>268</v>
      </c>
      <c r="K264" s="0" t="s">
        <v>298</v>
      </c>
      <c r="L264" s="0" t="s">
        <v>270</v>
      </c>
      <c r="M264" s="0" t="s">
        <v>1407</v>
      </c>
      <c r="N264" s="0" t="s">
        <v>1407</v>
      </c>
      <c r="O264" s="0" t="s">
        <v>1408</v>
      </c>
      <c r="P264" s="0" t="s">
        <v>1409</v>
      </c>
      <c r="R264" s="0" t="s">
        <v>284</v>
      </c>
      <c r="S264" s="0" t="s">
        <v>268</v>
      </c>
      <c r="T264" s="0" t="s">
        <v>314</v>
      </c>
      <c r="U264" s="0" t="s">
        <v>277</v>
      </c>
      <c r="V264" s="0" t="s">
        <v>1410</v>
      </c>
    </row>
    <row r="265" customFormat="false" ht="15" hidden="false" customHeight="false" outlineLevel="0" collapsed="false">
      <c r="A265" s="0" t="n">
        <v>16</v>
      </c>
      <c r="B265" s="0" t="s">
        <v>51</v>
      </c>
      <c r="C265" s="0" t="s">
        <v>489</v>
      </c>
      <c r="D265" s="0" t="s">
        <v>1411</v>
      </c>
      <c r="E265" s="0" t="n">
        <v>2024</v>
      </c>
      <c r="H265" s="0" t="n">
        <v>20</v>
      </c>
      <c r="I265" s="0" t="n">
        <v>5095</v>
      </c>
      <c r="J265" s="0" t="s">
        <v>268</v>
      </c>
      <c r="K265" s="0" t="s">
        <v>298</v>
      </c>
      <c r="L265" s="0" t="s">
        <v>270</v>
      </c>
      <c r="M265" s="0" t="s">
        <v>1412</v>
      </c>
      <c r="N265" s="0" t="s">
        <v>1412</v>
      </c>
      <c r="O265" s="0" t="s">
        <v>1413</v>
      </c>
      <c r="P265" s="0" t="s">
        <v>1414</v>
      </c>
      <c r="R265" s="0" t="s">
        <v>284</v>
      </c>
      <c r="S265" s="0" t="s">
        <v>268</v>
      </c>
      <c r="T265" s="0" t="s">
        <v>276</v>
      </c>
      <c r="U265" s="0" t="s">
        <v>277</v>
      </c>
    </row>
    <row r="266" customFormat="false" ht="15" hidden="false" customHeight="false" outlineLevel="0" collapsed="false">
      <c r="A266" s="0" t="n">
        <v>18</v>
      </c>
      <c r="B266" s="0" t="s">
        <v>54</v>
      </c>
      <c r="C266" s="0" t="s">
        <v>56</v>
      </c>
      <c r="D266" s="0" t="s">
        <v>1415</v>
      </c>
      <c r="E266" s="0" t="n">
        <v>2023</v>
      </c>
      <c r="H266" s="0" t="n">
        <v>9</v>
      </c>
      <c r="I266" s="0" t="n">
        <v>2920</v>
      </c>
      <c r="J266" s="0" t="s">
        <v>268</v>
      </c>
      <c r="K266" s="0" t="s">
        <v>298</v>
      </c>
      <c r="L266" s="0" t="s">
        <v>270</v>
      </c>
      <c r="M266" s="0" t="s">
        <v>1416</v>
      </c>
      <c r="N266" s="0" t="s">
        <v>1416</v>
      </c>
      <c r="O266" s="0" t="s">
        <v>1417</v>
      </c>
      <c r="P266" s="0" t="s">
        <v>1418</v>
      </c>
      <c r="R266" s="0" t="s">
        <v>284</v>
      </c>
      <c r="S266" s="0" t="s">
        <v>268</v>
      </c>
      <c r="T266" s="0" t="s">
        <v>276</v>
      </c>
      <c r="U266" s="0" t="s">
        <v>277</v>
      </c>
    </row>
    <row r="267" customFormat="false" ht="15" hidden="false" customHeight="false" outlineLevel="0" collapsed="false">
      <c r="A267" s="0" t="n">
        <v>18</v>
      </c>
      <c r="B267" s="0" t="s">
        <v>54</v>
      </c>
      <c r="C267" s="0" t="s">
        <v>309</v>
      </c>
      <c r="D267" s="0" t="s">
        <v>1419</v>
      </c>
      <c r="E267" s="0" t="n">
        <v>2025</v>
      </c>
      <c r="H267" s="0" t="n">
        <v>1</v>
      </c>
      <c r="I267" s="0" t="n">
        <v>456</v>
      </c>
      <c r="J267" s="0" t="s">
        <v>290</v>
      </c>
      <c r="K267" s="0" t="s">
        <v>298</v>
      </c>
      <c r="L267" s="0" t="s">
        <v>270</v>
      </c>
      <c r="M267" s="0" t="s">
        <v>1420</v>
      </c>
      <c r="N267" s="0" t="s">
        <v>1420</v>
      </c>
      <c r="O267" s="0" t="s">
        <v>1421</v>
      </c>
      <c r="P267" s="0" t="s">
        <v>1422</v>
      </c>
      <c r="R267" s="0" t="s">
        <v>275</v>
      </c>
      <c r="S267" s="0" t="s">
        <v>268</v>
      </c>
      <c r="T267" s="0" t="s">
        <v>276</v>
      </c>
      <c r="U267" s="0" t="s">
        <v>277</v>
      </c>
    </row>
    <row r="268" customFormat="false" ht="15" hidden="false" customHeight="false" outlineLevel="0" collapsed="false">
      <c r="A268" s="0" t="n">
        <v>19</v>
      </c>
      <c r="B268" s="0" t="s">
        <v>55</v>
      </c>
      <c r="C268" s="0" t="s">
        <v>91</v>
      </c>
      <c r="D268" s="0" t="s">
        <v>1423</v>
      </c>
      <c r="E268" s="0" t="n">
        <v>2026</v>
      </c>
      <c r="H268" s="0" t="n">
        <v>4</v>
      </c>
      <c r="I268" s="0" t="n">
        <v>14175</v>
      </c>
      <c r="J268" s="0" t="s">
        <v>268</v>
      </c>
      <c r="K268" s="0" t="s">
        <v>1424</v>
      </c>
      <c r="L268" s="0" t="s">
        <v>293</v>
      </c>
      <c r="M268" s="0" t="s">
        <v>1425</v>
      </c>
      <c r="N268" s="0" t="s">
        <v>1425</v>
      </c>
      <c r="O268" s="0" t="s">
        <v>1426</v>
      </c>
      <c r="P268" s="0" t="s">
        <v>1427</v>
      </c>
      <c r="R268" s="0" t="s">
        <v>275</v>
      </c>
      <c r="S268" s="0" t="s">
        <v>268</v>
      </c>
      <c r="T268" s="0" t="s">
        <v>314</v>
      </c>
      <c r="U268" s="0" t="s">
        <v>277</v>
      </c>
      <c r="V268" s="0" t="s">
        <v>1428</v>
      </c>
    </row>
    <row r="269" customFormat="false" ht="15" hidden="false" customHeight="false" outlineLevel="0" collapsed="false">
      <c r="A269" s="0" t="n">
        <v>19</v>
      </c>
      <c r="B269" s="0" t="s">
        <v>55</v>
      </c>
      <c r="C269" s="0" t="s">
        <v>35</v>
      </c>
      <c r="D269" s="0" t="s">
        <v>1429</v>
      </c>
      <c r="E269" s="0" t="n">
        <v>2024</v>
      </c>
      <c r="H269" s="0" t="n">
        <v>6</v>
      </c>
      <c r="I269" s="0" t="n">
        <v>6361</v>
      </c>
      <c r="J269" s="0" t="s">
        <v>268</v>
      </c>
      <c r="K269" s="0" t="s">
        <v>1424</v>
      </c>
      <c r="L269" s="0" t="s">
        <v>293</v>
      </c>
      <c r="M269" s="0" t="s">
        <v>1430</v>
      </c>
      <c r="N269" s="0" t="s">
        <v>1430</v>
      </c>
      <c r="O269" s="0" t="s">
        <v>1431</v>
      </c>
      <c r="P269" s="0" t="s">
        <v>1432</v>
      </c>
      <c r="R269" s="0" t="s">
        <v>284</v>
      </c>
      <c r="S269" s="0" t="s">
        <v>268</v>
      </c>
      <c r="T269" s="0" t="s">
        <v>276</v>
      </c>
      <c r="U269" s="0" t="s">
        <v>277</v>
      </c>
    </row>
    <row r="270" customFormat="false" ht="15" hidden="false" customHeight="false" outlineLevel="0" collapsed="false">
      <c r="A270" s="0" t="n">
        <v>19</v>
      </c>
      <c r="B270" s="0" t="s">
        <v>55</v>
      </c>
      <c r="C270" s="0" t="s">
        <v>586</v>
      </c>
      <c r="D270" s="0" t="s">
        <v>1433</v>
      </c>
      <c r="E270" s="0" t="n">
        <v>2023</v>
      </c>
      <c r="H270" s="0" t="n">
        <v>21</v>
      </c>
      <c r="I270" s="0" t="n">
        <v>2886</v>
      </c>
      <c r="J270" s="0" t="s">
        <v>290</v>
      </c>
      <c r="K270" s="0" t="s">
        <v>1424</v>
      </c>
      <c r="L270" s="0" t="s">
        <v>293</v>
      </c>
      <c r="M270" s="0" t="s">
        <v>1434</v>
      </c>
      <c r="N270" s="0" t="s">
        <v>1434</v>
      </c>
      <c r="O270" s="0" t="s">
        <v>1435</v>
      </c>
      <c r="P270" s="0" t="s">
        <v>1436</v>
      </c>
      <c r="R270" s="0" t="s">
        <v>284</v>
      </c>
      <c r="S270" s="0" t="s">
        <v>268</v>
      </c>
      <c r="T270" s="0" t="s">
        <v>314</v>
      </c>
      <c r="U270" s="0" t="s">
        <v>277</v>
      </c>
      <c r="V270" s="0" t="s">
        <v>1428</v>
      </c>
    </row>
    <row r="271" customFormat="false" ht="15" hidden="false" customHeight="false" outlineLevel="0" collapsed="false">
      <c r="A271" s="0" t="n">
        <v>19</v>
      </c>
      <c r="B271" s="0" t="s">
        <v>55</v>
      </c>
      <c r="C271" s="0" t="s">
        <v>586</v>
      </c>
      <c r="D271" s="0" t="s">
        <v>1437</v>
      </c>
      <c r="E271" s="0" t="n">
        <v>2022</v>
      </c>
      <c r="H271" s="0" t="n">
        <v>22</v>
      </c>
      <c r="I271" s="0" t="n">
        <v>2947</v>
      </c>
      <c r="J271" s="0" t="s">
        <v>290</v>
      </c>
      <c r="K271" s="0" t="s">
        <v>1424</v>
      </c>
      <c r="L271" s="0" t="s">
        <v>293</v>
      </c>
      <c r="M271" s="0" t="s">
        <v>1438</v>
      </c>
      <c r="N271" s="0" t="s">
        <v>1438</v>
      </c>
      <c r="O271" s="0" t="s">
        <v>1439</v>
      </c>
      <c r="P271" s="0" t="s">
        <v>1440</v>
      </c>
      <c r="R271" s="0" t="s">
        <v>284</v>
      </c>
      <c r="S271" s="0" t="s">
        <v>290</v>
      </c>
      <c r="T271" s="0" t="s">
        <v>314</v>
      </c>
      <c r="U271" s="0" t="s">
        <v>277</v>
      </c>
      <c r="V271" s="0" t="s">
        <v>1428</v>
      </c>
    </row>
    <row r="272" customFormat="false" ht="15" hidden="false" customHeight="false" outlineLevel="0" collapsed="false">
      <c r="A272" s="0" t="n">
        <v>19</v>
      </c>
      <c r="B272" s="0" t="s">
        <v>55</v>
      </c>
      <c r="C272" s="0" t="s">
        <v>266</v>
      </c>
      <c r="D272" s="0" t="s">
        <v>1441</v>
      </c>
      <c r="E272" s="0" t="n">
        <v>2025</v>
      </c>
      <c r="H272" s="0" t="n">
        <v>7</v>
      </c>
      <c r="I272" s="0" t="n">
        <v>806</v>
      </c>
      <c r="J272" s="0" t="s">
        <v>290</v>
      </c>
      <c r="K272" s="0" t="s">
        <v>1424</v>
      </c>
      <c r="L272" s="0" t="s">
        <v>293</v>
      </c>
      <c r="M272" s="0" t="s">
        <v>1442</v>
      </c>
      <c r="N272" s="0" t="s">
        <v>1442</v>
      </c>
      <c r="O272" s="0" t="s">
        <v>1443</v>
      </c>
      <c r="P272" s="0" t="s">
        <v>1444</v>
      </c>
      <c r="R272" s="0" t="s">
        <v>275</v>
      </c>
      <c r="S272" s="0" t="s">
        <v>290</v>
      </c>
      <c r="T272" s="0" t="s">
        <v>314</v>
      </c>
      <c r="U272" s="0" t="s">
        <v>277</v>
      </c>
      <c r="V272" s="0" t="s">
        <v>1428</v>
      </c>
    </row>
    <row r="273" customFormat="false" ht="15" hidden="false" customHeight="false" outlineLevel="0" collapsed="false">
      <c r="A273" s="0" t="n">
        <v>19</v>
      </c>
      <c r="B273" s="0" t="s">
        <v>55</v>
      </c>
      <c r="C273" s="0" t="s">
        <v>266</v>
      </c>
      <c r="D273" s="0" t="s">
        <v>1445</v>
      </c>
      <c r="E273" s="0" t="n">
        <v>2025</v>
      </c>
      <c r="H273" s="0" t="n">
        <v>1</v>
      </c>
      <c r="I273" s="0" t="n">
        <v>85</v>
      </c>
      <c r="J273" s="0" t="s">
        <v>290</v>
      </c>
      <c r="K273" s="0" t="s">
        <v>1424</v>
      </c>
      <c r="L273" s="0" t="s">
        <v>293</v>
      </c>
      <c r="M273" s="0" t="s">
        <v>1446</v>
      </c>
      <c r="N273" s="0" t="s">
        <v>1446</v>
      </c>
      <c r="O273" s="0" t="s">
        <v>1447</v>
      </c>
      <c r="P273" s="0" t="s">
        <v>1448</v>
      </c>
      <c r="R273" s="0" t="s">
        <v>275</v>
      </c>
      <c r="S273" s="0" t="s">
        <v>290</v>
      </c>
      <c r="T273" s="0" t="s">
        <v>314</v>
      </c>
      <c r="U273" s="0" t="s">
        <v>277</v>
      </c>
      <c r="V273" s="0" t="s">
        <v>1428</v>
      </c>
    </row>
    <row r="274" customFormat="false" ht="15" hidden="false" customHeight="false" outlineLevel="0" collapsed="false">
      <c r="A274" s="0" t="n">
        <v>19</v>
      </c>
      <c r="B274" s="0" t="s">
        <v>55</v>
      </c>
      <c r="C274" s="0" t="s">
        <v>266</v>
      </c>
      <c r="D274" s="0" t="s">
        <v>1449</v>
      </c>
      <c r="E274" s="0" t="n">
        <v>2025</v>
      </c>
      <c r="H274" s="0" t="n">
        <v>2</v>
      </c>
      <c r="I274" s="0" t="n">
        <v>133</v>
      </c>
      <c r="J274" s="0" t="s">
        <v>290</v>
      </c>
      <c r="K274" s="0" t="s">
        <v>1424</v>
      </c>
      <c r="L274" s="0" t="s">
        <v>293</v>
      </c>
      <c r="M274" s="0" t="s">
        <v>1450</v>
      </c>
      <c r="N274" s="0" t="s">
        <v>1450</v>
      </c>
      <c r="O274" s="0" t="s">
        <v>1451</v>
      </c>
      <c r="P274" s="0" t="s">
        <v>1452</v>
      </c>
      <c r="R274" s="0" t="s">
        <v>275</v>
      </c>
      <c r="S274" s="0" t="s">
        <v>290</v>
      </c>
      <c r="T274" s="0" t="s">
        <v>314</v>
      </c>
      <c r="U274" s="0" t="s">
        <v>277</v>
      </c>
      <c r="V274" s="0" t="s">
        <v>1428</v>
      </c>
    </row>
    <row r="275" customFormat="false" ht="15" hidden="false" customHeight="false" outlineLevel="0" collapsed="false">
      <c r="A275" s="0" t="n">
        <v>19</v>
      </c>
      <c r="B275" s="0" t="s">
        <v>55</v>
      </c>
      <c r="C275" s="0" t="s">
        <v>266</v>
      </c>
      <c r="D275" s="0" t="s">
        <v>1453</v>
      </c>
      <c r="E275" s="0" t="n">
        <v>2025</v>
      </c>
      <c r="H275" s="0" t="n">
        <v>6</v>
      </c>
      <c r="I275" s="0" t="n">
        <v>610</v>
      </c>
      <c r="J275" s="0" t="s">
        <v>290</v>
      </c>
      <c r="K275" s="0" t="s">
        <v>1424</v>
      </c>
      <c r="L275" s="0" t="s">
        <v>293</v>
      </c>
      <c r="M275" s="0" t="s">
        <v>1454</v>
      </c>
      <c r="N275" s="0" t="s">
        <v>1454</v>
      </c>
      <c r="O275" s="0" t="s">
        <v>1455</v>
      </c>
      <c r="P275" s="0" t="s">
        <v>1456</v>
      </c>
      <c r="R275" s="0" t="s">
        <v>275</v>
      </c>
      <c r="S275" s="0" t="s">
        <v>290</v>
      </c>
      <c r="T275" s="0" t="s">
        <v>314</v>
      </c>
      <c r="U275" s="0" t="s">
        <v>277</v>
      </c>
      <c r="V275" s="0" t="s">
        <v>1428</v>
      </c>
    </row>
    <row r="276" customFormat="false" ht="15" hidden="false" customHeight="false" outlineLevel="0" collapsed="false">
      <c r="A276" s="0" t="n">
        <v>19</v>
      </c>
      <c r="B276" s="0" t="s">
        <v>55</v>
      </c>
      <c r="C276" s="0" t="s">
        <v>266</v>
      </c>
      <c r="D276" s="0" t="s">
        <v>1457</v>
      </c>
      <c r="E276" s="0" t="n">
        <v>2025</v>
      </c>
      <c r="H276" s="0" t="n">
        <v>6</v>
      </c>
      <c r="I276" s="0" t="n">
        <v>782</v>
      </c>
      <c r="J276" s="0" t="s">
        <v>290</v>
      </c>
      <c r="K276" s="0" t="s">
        <v>1424</v>
      </c>
      <c r="L276" s="0" t="s">
        <v>293</v>
      </c>
      <c r="M276" s="0" t="s">
        <v>1458</v>
      </c>
      <c r="N276" s="0" t="s">
        <v>1458</v>
      </c>
      <c r="O276" s="0" t="s">
        <v>1459</v>
      </c>
      <c r="P276" s="0" t="s">
        <v>1460</v>
      </c>
      <c r="R276" s="0" t="s">
        <v>275</v>
      </c>
      <c r="S276" s="0" t="s">
        <v>290</v>
      </c>
      <c r="T276" s="0" t="s">
        <v>314</v>
      </c>
      <c r="U276" s="0" t="s">
        <v>277</v>
      </c>
      <c r="V276" s="0" t="s">
        <v>1428</v>
      </c>
    </row>
    <row r="277" customFormat="false" ht="15" hidden="false" customHeight="false" outlineLevel="0" collapsed="false">
      <c r="A277" s="0" t="n">
        <v>19</v>
      </c>
      <c r="B277" s="0" t="s">
        <v>55</v>
      </c>
      <c r="C277" s="0" t="s">
        <v>266</v>
      </c>
      <c r="D277" s="0" t="s">
        <v>1461</v>
      </c>
      <c r="E277" s="0" t="n">
        <v>2025</v>
      </c>
      <c r="H277" s="0" t="n">
        <v>1</v>
      </c>
      <c r="I277" s="0" t="n">
        <v>80</v>
      </c>
      <c r="J277" s="0" t="s">
        <v>268</v>
      </c>
      <c r="K277" s="0" t="s">
        <v>1424</v>
      </c>
      <c r="L277" s="0" t="s">
        <v>293</v>
      </c>
      <c r="M277" s="0" t="s">
        <v>1462</v>
      </c>
      <c r="N277" s="0" t="s">
        <v>1462</v>
      </c>
      <c r="O277" s="0" t="s">
        <v>1463</v>
      </c>
      <c r="P277" s="0" t="s">
        <v>1464</v>
      </c>
      <c r="R277" s="0" t="s">
        <v>275</v>
      </c>
      <c r="S277" s="0" t="s">
        <v>290</v>
      </c>
      <c r="T277" s="0" t="s">
        <v>314</v>
      </c>
      <c r="U277" s="0" t="s">
        <v>277</v>
      </c>
      <c r="V277" s="0" t="s">
        <v>1428</v>
      </c>
    </row>
    <row r="278" customFormat="false" ht="15" hidden="false" customHeight="false" outlineLevel="0" collapsed="false">
      <c r="A278" s="0" t="n">
        <v>19</v>
      </c>
      <c r="B278" s="0" t="s">
        <v>55</v>
      </c>
      <c r="C278" s="0" t="s">
        <v>266</v>
      </c>
      <c r="D278" s="0" t="s">
        <v>1465</v>
      </c>
      <c r="E278" s="0" t="n">
        <v>2025</v>
      </c>
      <c r="H278" s="0" t="n">
        <v>9</v>
      </c>
      <c r="I278" s="0" t="n">
        <v>498</v>
      </c>
      <c r="J278" s="0" t="s">
        <v>290</v>
      </c>
      <c r="K278" s="0" t="s">
        <v>1424</v>
      </c>
      <c r="L278" s="0" t="s">
        <v>293</v>
      </c>
      <c r="M278" s="0" t="s">
        <v>1466</v>
      </c>
      <c r="N278" s="0" t="s">
        <v>1466</v>
      </c>
      <c r="O278" s="0" t="s">
        <v>1467</v>
      </c>
      <c r="P278" s="0" t="s">
        <v>1468</v>
      </c>
      <c r="R278" s="0" t="s">
        <v>275</v>
      </c>
      <c r="S278" s="0" t="s">
        <v>268</v>
      </c>
      <c r="T278" s="0" t="s">
        <v>314</v>
      </c>
      <c r="U278" s="0" t="s">
        <v>277</v>
      </c>
      <c r="V278" s="0" t="s">
        <v>1428</v>
      </c>
    </row>
    <row r="279" customFormat="false" ht="15" hidden="false" customHeight="false" outlineLevel="0" collapsed="false">
      <c r="A279" s="0" t="n">
        <v>19</v>
      </c>
      <c r="B279" s="0" t="s">
        <v>55</v>
      </c>
      <c r="C279" s="0" t="s">
        <v>266</v>
      </c>
      <c r="D279" s="0" t="s">
        <v>1469</v>
      </c>
      <c r="E279" s="0" t="n">
        <v>2025</v>
      </c>
      <c r="H279" s="0" t="n">
        <v>4</v>
      </c>
      <c r="I279" s="0" t="n">
        <v>384</v>
      </c>
      <c r="J279" s="0" t="s">
        <v>290</v>
      </c>
      <c r="K279" s="0" t="s">
        <v>1424</v>
      </c>
      <c r="L279" s="0" t="s">
        <v>293</v>
      </c>
      <c r="M279" s="0" t="s">
        <v>1470</v>
      </c>
      <c r="N279" s="0" t="s">
        <v>1470</v>
      </c>
      <c r="O279" s="0" t="s">
        <v>1471</v>
      </c>
      <c r="P279" s="0" t="s">
        <v>1472</v>
      </c>
      <c r="R279" s="0" t="s">
        <v>275</v>
      </c>
      <c r="S279" s="0" t="s">
        <v>290</v>
      </c>
      <c r="T279" s="0" t="s">
        <v>314</v>
      </c>
      <c r="U279" s="0" t="s">
        <v>277</v>
      </c>
      <c r="V279" s="0" t="s">
        <v>1428</v>
      </c>
    </row>
    <row r="280" customFormat="false" ht="15" hidden="false" customHeight="false" outlineLevel="0" collapsed="false">
      <c r="A280" s="0" t="n">
        <v>19</v>
      </c>
      <c r="B280" s="0" t="s">
        <v>55</v>
      </c>
      <c r="C280" s="0" t="s">
        <v>324</v>
      </c>
      <c r="D280" s="0" t="s">
        <v>1473</v>
      </c>
      <c r="E280" s="0" t="n">
        <v>2026</v>
      </c>
      <c r="H280" s="0" t="n">
        <v>4</v>
      </c>
      <c r="I280" s="0" t="n">
        <v>437</v>
      </c>
      <c r="J280" s="0" t="s">
        <v>268</v>
      </c>
      <c r="K280" s="0" t="s">
        <v>1424</v>
      </c>
      <c r="L280" s="0" t="s">
        <v>293</v>
      </c>
      <c r="M280" s="0" t="s">
        <v>1474</v>
      </c>
      <c r="N280" s="0" t="s">
        <v>1474</v>
      </c>
      <c r="O280" s="0" t="s">
        <v>1475</v>
      </c>
      <c r="P280" s="0" t="s">
        <v>1476</v>
      </c>
      <c r="R280" s="0" t="s">
        <v>275</v>
      </c>
      <c r="S280" s="0" t="s">
        <v>268</v>
      </c>
      <c r="T280" s="0" t="s">
        <v>314</v>
      </c>
      <c r="U280" s="0" t="s">
        <v>277</v>
      </c>
      <c r="V280" s="0" t="s">
        <v>1428</v>
      </c>
    </row>
    <row r="281" customFormat="false" ht="15" hidden="false" customHeight="false" outlineLevel="0" collapsed="false">
      <c r="A281" s="0" t="n">
        <v>19</v>
      </c>
      <c r="B281" s="0" t="s">
        <v>55</v>
      </c>
      <c r="C281" s="0" t="s">
        <v>324</v>
      </c>
      <c r="D281" s="0" t="s">
        <v>1477</v>
      </c>
      <c r="E281" s="0" t="n">
        <v>2026</v>
      </c>
      <c r="H281" s="0" t="n">
        <v>2</v>
      </c>
      <c r="I281" s="0" t="n">
        <v>203</v>
      </c>
      <c r="J281" s="0" t="s">
        <v>268</v>
      </c>
      <c r="K281" s="0" t="s">
        <v>1424</v>
      </c>
      <c r="L281" s="0" t="s">
        <v>293</v>
      </c>
      <c r="M281" s="0" t="s">
        <v>1478</v>
      </c>
      <c r="N281" s="0" t="s">
        <v>1478</v>
      </c>
      <c r="O281" s="0" t="s">
        <v>1479</v>
      </c>
      <c r="P281" s="0" t="s">
        <v>1480</v>
      </c>
      <c r="R281" s="0" t="s">
        <v>275</v>
      </c>
      <c r="S281" s="0" t="s">
        <v>290</v>
      </c>
      <c r="T281" s="0" t="s">
        <v>314</v>
      </c>
      <c r="U281" s="0" t="s">
        <v>277</v>
      </c>
      <c r="V281" s="0" t="s">
        <v>1428</v>
      </c>
    </row>
    <row r="282" customFormat="false" ht="15" hidden="false" customHeight="false" outlineLevel="0" collapsed="false">
      <c r="A282" s="0" t="n">
        <v>19</v>
      </c>
      <c r="B282" s="0" t="s">
        <v>55</v>
      </c>
      <c r="C282" s="0" t="s">
        <v>324</v>
      </c>
      <c r="D282" s="0" t="s">
        <v>1481</v>
      </c>
      <c r="E282" s="0" t="n">
        <v>2026</v>
      </c>
      <c r="H282" s="0" t="n">
        <v>3</v>
      </c>
      <c r="I282" s="0" t="n">
        <v>363</v>
      </c>
      <c r="J282" s="0" t="s">
        <v>268</v>
      </c>
      <c r="K282" s="0" t="s">
        <v>1424</v>
      </c>
      <c r="L282" s="0" t="s">
        <v>293</v>
      </c>
      <c r="M282" s="0" t="s">
        <v>1482</v>
      </c>
      <c r="N282" s="0" t="s">
        <v>1482</v>
      </c>
      <c r="O282" s="0" t="s">
        <v>1483</v>
      </c>
      <c r="P282" s="0" t="s">
        <v>1484</v>
      </c>
      <c r="R282" s="0" t="s">
        <v>275</v>
      </c>
      <c r="S282" s="0" t="s">
        <v>290</v>
      </c>
      <c r="T282" s="0" t="s">
        <v>314</v>
      </c>
      <c r="U282" s="0" t="s">
        <v>277</v>
      </c>
      <c r="V282" s="0" t="s">
        <v>1428</v>
      </c>
    </row>
    <row r="283" customFormat="false" ht="15" hidden="false" customHeight="false" outlineLevel="0" collapsed="false">
      <c r="A283" s="0" t="n">
        <v>19</v>
      </c>
      <c r="B283" s="0" t="s">
        <v>55</v>
      </c>
      <c r="C283" s="0" t="s">
        <v>335</v>
      </c>
      <c r="D283" s="0" t="s">
        <v>1485</v>
      </c>
      <c r="E283" s="0" t="n">
        <v>2021</v>
      </c>
      <c r="H283" s="0" t="n">
        <v>1</v>
      </c>
      <c r="I283" s="0" t="n">
        <v>5080</v>
      </c>
      <c r="J283" s="0" t="s">
        <v>268</v>
      </c>
      <c r="K283" s="0" t="s">
        <v>1424</v>
      </c>
      <c r="L283" s="0" t="s">
        <v>293</v>
      </c>
      <c r="M283" s="0" t="s">
        <v>1486</v>
      </c>
      <c r="N283" s="0" t="s">
        <v>1486</v>
      </c>
      <c r="O283" s="0" t="s">
        <v>1487</v>
      </c>
      <c r="P283" s="0" t="s">
        <v>1488</v>
      </c>
      <c r="R283" s="0" t="s">
        <v>284</v>
      </c>
      <c r="S283" s="0" t="s">
        <v>268</v>
      </c>
      <c r="T283" s="0" t="s">
        <v>276</v>
      </c>
      <c r="U283" s="0" t="s">
        <v>277</v>
      </c>
    </row>
    <row r="284" customFormat="false" ht="15" hidden="false" customHeight="false" outlineLevel="0" collapsed="false">
      <c r="A284" s="0" t="n">
        <v>19</v>
      </c>
      <c r="B284" s="0" t="s">
        <v>55</v>
      </c>
      <c r="C284" s="0" t="s">
        <v>829</v>
      </c>
      <c r="D284" s="0" t="s">
        <v>1489</v>
      </c>
      <c r="E284" s="0" t="n">
        <v>2021</v>
      </c>
      <c r="H284" s="0" t="n">
        <v>1</v>
      </c>
      <c r="I284" s="0" t="n">
        <v>10474</v>
      </c>
      <c r="J284" s="0" t="s">
        <v>268</v>
      </c>
      <c r="K284" s="0" t="s">
        <v>1424</v>
      </c>
      <c r="L284" s="0" t="s">
        <v>293</v>
      </c>
      <c r="M284" s="0" t="s">
        <v>1490</v>
      </c>
      <c r="N284" s="0" t="s">
        <v>1490</v>
      </c>
      <c r="O284" s="0" t="s">
        <v>1491</v>
      </c>
      <c r="P284" s="0" t="s">
        <v>1492</v>
      </c>
      <c r="R284" s="0" t="s">
        <v>284</v>
      </c>
      <c r="S284" s="0" t="s">
        <v>268</v>
      </c>
      <c r="T284" s="0" t="s">
        <v>276</v>
      </c>
      <c r="U284" s="0" t="s">
        <v>277</v>
      </c>
    </row>
    <row r="285" customFormat="false" ht="15" hidden="false" customHeight="false" outlineLevel="0" collapsed="false">
      <c r="A285" s="0" t="n">
        <v>19</v>
      </c>
      <c r="B285" s="0" t="s">
        <v>55</v>
      </c>
      <c r="C285" s="0" t="s">
        <v>530</v>
      </c>
      <c r="D285" s="0" t="s">
        <v>1493</v>
      </c>
      <c r="E285" s="0" t="n">
        <v>2025</v>
      </c>
      <c r="H285" s="0" t="n">
        <v>6</v>
      </c>
      <c r="I285" s="0" t="n">
        <v>591</v>
      </c>
      <c r="J285" s="0" t="s">
        <v>268</v>
      </c>
      <c r="K285" s="0" t="s">
        <v>1424</v>
      </c>
      <c r="L285" s="0" t="s">
        <v>293</v>
      </c>
      <c r="M285" s="0" t="s">
        <v>1494</v>
      </c>
      <c r="N285" s="0" t="s">
        <v>1494</v>
      </c>
      <c r="O285" s="0" t="s">
        <v>1495</v>
      </c>
      <c r="P285" s="0" t="s">
        <v>1496</v>
      </c>
      <c r="R285" s="0" t="s">
        <v>275</v>
      </c>
      <c r="S285" s="0" t="s">
        <v>268</v>
      </c>
      <c r="T285" s="0" t="s">
        <v>276</v>
      </c>
      <c r="U285" s="0" t="s">
        <v>277</v>
      </c>
    </row>
    <row r="286" customFormat="false" ht="15" hidden="false" customHeight="false" outlineLevel="0" collapsed="false">
      <c r="A286" s="0" t="n">
        <v>19</v>
      </c>
      <c r="B286" s="0" t="s">
        <v>55</v>
      </c>
      <c r="C286" s="0" t="s">
        <v>489</v>
      </c>
      <c r="D286" s="0" t="s">
        <v>1497</v>
      </c>
      <c r="E286" s="0" t="n">
        <v>2020</v>
      </c>
      <c r="H286" s="0" t="n">
        <v>17</v>
      </c>
      <c r="I286" s="0" t="n">
        <v>11992</v>
      </c>
      <c r="J286" s="0" t="s">
        <v>268</v>
      </c>
      <c r="K286" s="0" t="s">
        <v>1424</v>
      </c>
      <c r="L286" s="0" t="s">
        <v>293</v>
      </c>
      <c r="M286" s="0" t="s">
        <v>1498</v>
      </c>
      <c r="N286" s="0" t="s">
        <v>1498</v>
      </c>
      <c r="O286" s="0" t="s">
        <v>1499</v>
      </c>
      <c r="P286" s="0" t="s">
        <v>1500</v>
      </c>
      <c r="R286" s="0" t="s">
        <v>284</v>
      </c>
      <c r="S286" s="0" t="s">
        <v>268</v>
      </c>
      <c r="T286" s="0" t="s">
        <v>276</v>
      </c>
      <c r="U286" s="0" t="s">
        <v>277</v>
      </c>
    </row>
    <row r="287" customFormat="false" ht="15" hidden="false" customHeight="false" outlineLevel="0" collapsed="false">
      <c r="A287" s="0" t="n">
        <v>20</v>
      </c>
      <c r="B287" s="0" t="s">
        <v>57</v>
      </c>
      <c r="C287" s="0" t="s">
        <v>91</v>
      </c>
      <c r="D287" s="0" t="s">
        <v>1501</v>
      </c>
      <c r="E287" s="0" t="n">
        <v>2022</v>
      </c>
      <c r="H287" s="0" t="n">
        <v>4</v>
      </c>
      <c r="I287" s="0" t="n">
        <v>13999</v>
      </c>
      <c r="J287" s="0" t="s">
        <v>268</v>
      </c>
      <c r="K287" s="0" t="s">
        <v>1424</v>
      </c>
      <c r="L287" s="0" t="s">
        <v>293</v>
      </c>
      <c r="M287" s="0" t="s">
        <v>1502</v>
      </c>
      <c r="N287" s="0" t="s">
        <v>1502</v>
      </c>
      <c r="O287" s="0" t="s">
        <v>1503</v>
      </c>
      <c r="P287" s="0" t="s">
        <v>1504</v>
      </c>
      <c r="R287" s="0" t="s">
        <v>284</v>
      </c>
      <c r="S287" s="0" t="s">
        <v>268</v>
      </c>
      <c r="T287" s="0" t="s">
        <v>314</v>
      </c>
      <c r="U287" s="0" t="s">
        <v>277</v>
      </c>
      <c r="V287" s="0" t="s">
        <v>1505</v>
      </c>
    </row>
    <row r="288" customFormat="false" ht="15" hidden="false" customHeight="false" outlineLevel="0" collapsed="false">
      <c r="A288" s="0" t="n">
        <v>20</v>
      </c>
      <c r="B288" s="0" t="s">
        <v>57</v>
      </c>
      <c r="C288" s="0" t="s">
        <v>586</v>
      </c>
      <c r="D288" s="0" t="s">
        <v>1506</v>
      </c>
      <c r="E288" s="0" t="n">
        <v>2025</v>
      </c>
      <c r="H288" s="0" t="n">
        <v>20</v>
      </c>
      <c r="I288" s="0" t="n">
        <v>555</v>
      </c>
      <c r="J288" s="0" t="s">
        <v>268</v>
      </c>
      <c r="K288" s="0" t="s">
        <v>1424</v>
      </c>
      <c r="L288" s="0" t="s">
        <v>293</v>
      </c>
      <c r="M288" s="0" t="s">
        <v>1507</v>
      </c>
      <c r="N288" s="0" t="s">
        <v>1507</v>
      </c>
      <c r="O288" s="0" t="s">
        <v>1508</v>
      </c>
      <c r="P288" s="0" t="s">
        <v>1509</v>
      </c>
      <c r="R288" s="0" t="s">
        <v>275</v>
      </c>
      <c r="S288" s="0" t="s">
        <v>268</v>
      </c>
      <c r="T288" s="0" t="s">
        <v>276</v>
      </c>
      <c r="U288" s="0" t="s">
        <v>277</v>
      </c>
    </row>
    <row r="289" customFormat="false" ht="15" hidden="false" customHeight="false" outlineLevel="0" collapsed="false">
      <c r="A289" s="0" t="n">
        <v>20</v>
      </c>
      <c r="B289" s="0" t="s">
        <v>57</v>
      </c>
      <c r="C289" s="0" t="s">
        <v>586</v>
      </c>
      <c r="D289" s="0" t="s">
        <v>1510</v>
      </c>
      <c r="E289" s="0" t="n">
        <v>2023</v>
      </c>
      <c r="H289" s="0" t="n">
        <v>20</v>
      </c>
      <c r="I289" s="0" t="n">
        <v>369</v>
      </c>
      <c r="J289" s="0" t="s">
        <v>268</v>
      </c>
      <c r="K289" s="0" t="s">
        <v>1424</v>
      </c>
      <c r="L289" s="0" t="s">
        <v>293</v>
      </c>
      <c r="M289" s="0" t="s">
        <v>1511</v>
      </c>
      <c r="N289" s="0" t="s">
        <v>1511</v>
      </c>
      <c r="O289" s="0" t="s">
        <v>1512</v>
      </c>
      <c r="P289" s="0" t="s">
        <v>1513</v>
      </c>
      <c r="R289" s="0" t="s">
        <v>284</v>
      </c>
      <c r="S289" s="0" t="s">
        <v>290</v>
      </c>
      <c r="T289" s="0" t="s">
        <v>276</v>
      </c>
      <c r="U289" s="0" t="s">
        <v>277</v>
      </c>
    </row>
    <row r="290" customFormat="false" ht="15" hidden="false" customHeight="false" outlineLevel="0" collapsed="false">
      <c r="A290" s="0" t="n">
        <v>20</v>
      </c>
      <c r="B290" s="0" t="s">
        <v>57</v>
      </c>
      <c r="C290" s="0" t="s">
        <v>586</v>
      </c>
      <c r="D290" s="0" t="s">
        <v>1514</v>
      </c>
      <c r="E290" s="0" t="n">
        <v>2022</v>
      </c>
      <c r="H290" s="0" t="n">
        <v>20</v>
      </c>
      <c r="I290" s="0" t="n">
        <v>2959</v>
      </c>
      <c r="J290" s="0" t="s">
        <v>290</v>
      </c>
      <c r="K290" s="0" t="s">
        <v>1424</v>
      </c>
      <c r="L290" s="0" t="s">
        <v>293</v>
      </c>
      <c r="M290" s="0" t="s">
        <v>1515</v>
      </c>
      <c r="N290" s="0" t="s">
        <v>1516</v>
      </c>
      <c r="O290" s="0" t="s">
        <v>1517</v>
      </c>
      <c r="P290" s="0" t="s">
        <v>1518</v>
      </c>
      <c r="R290" s="0" t="s">
        <v>284</v>
      </c>
      <c r="S290" s="0" t="s">
        <v>290</v>
      </c>
      <c r="T290" s="0" t="s">
        <v>314</v>
      </c>
      <c r="U290" s="0" t="s">
        <v>277</v>
      </c>
      <c r="V290" s="0" t="s">
        <v>1505</v>
      </c>
    </row>
    <row r="291" customFormat="false" ht="15" hidden="false" customHeight="false" outlineLevel="0" collapsed="false">
      <c r="A291" s="0" t="n">
        <v>20</v>
      </c>
      <c r="B291" s="0" t="s">
        <v>57</v>
      </c>
      <c r="C291" s="0" t="s">
        <v>266</v>
      </c>
      <c r="D291" s="0" t="s">
        <v>1519</v>
      </c>
      <c r="E291" s="0" t="n">
        <v>2026</v>
      </c>
      <c r="H291" s="0" t="n">
        <v>7</v>
      </c>
      <c r="I291" s="0" t="n">
        <v>215</v>
      </c>
      <c r="J291" s="0" t="s">
        <v>268</v>
      </c>
      <c r="K291" s="0" t="s">
        <v>1424</v>
      </c>
      <c r="L291" s="0" t="s">
        <v>293</v>
      </c>
      <c r="M291" s="0" t="s">
        <v>1520</v>
      </c>
      <c r="N291" s="0" t="s">
        <v>1520</v>
      </c>
      <c r="O291" s="0" t="s">
        <v>1521</v>
      </c>
      <c r="P291" s="0" t="s">
        <v>1522</v>
      </c>
      <c r="R291" s="0" t="s">
        <v>275</v>
      </c>
      <c r="S291" s="0" t="s">
        <v>290</v>
      </c>
      <c r="T291" s="0" t="s">
        <v>314</v>
      </c>
      <c r="U291" s="0" t="s">
        <v>277</v>
      </c>
      <c r="V291" s="0" t="s">
        <v>1505</v>
      </c>
    </row>
    <row r="292" customFormat="false" ht="15" hidden="false" customHeight="false" outlineLevel="0" collapsed="false">
      <c r="A292" s="0" t="n">
        <v>20</v>
      </c>
      <c r="B292" s="0" t="s">
        <v>57</v>
      </c>
      <c r="C292" s="0" t="s">
        <v>266</v>
      </c>
      <c r="D292" s="0" t="s">
        <v>1523</v>
      </c>
      <c r="E292" s="0" t="n">
        <v>2026</v>
      </c>
      <c r="H292" s="0" t="n">
        <v>8</v>
      </c>
      <c r="I292" s="0" t="n">
        <v>1034</v>
      </c>
      <c r="J292" s="0" t="s">
        <v>268</v>
      </c>
      <c r="K292" s="0" t="s">
        <v>1424</v>
      </c>
      <c r="L292" s="0" t="s">
        <v>293</v>
      </c>
      <c r="M292" s="0" t="s">
        <v>1524</v>
      </c>
      <c r="N292" s="0" t="s">
        <v>1524</v>
      </c>
      <c r="O292" s="0" t="s">
        <v>1525</v>
      </c>
      <c r="P292" s="0" t="s">
        <v>1526</v>
      </c>
      <c r="R292" s="0" t="s">
        <v>275</v>
      </c>
      <c r="S292" s="0" t="s">
        <v>290</v>
      </c>
      <c r="T292" s="0" t="s">
        <v>314</v>
      </c>
      <c r="U292" s="0" t="s">
        <v>277</v>
      </c>
      <c r="V292" s="0" t="s">
        <v>1505</v>
      </c>
    </row>
    <row r="293" customFormat="false" ht="15" hidden="false" customHeight="false" outlineLevel="0" collapsed="false">
      <c r="A293" s="0" t="n">
        <v>20</v>
      </c>
      <c r="B293" s="0" t="s">
        <v>57</v>
      </c>
      <c r="C293" s="0" t="s">
        <v>266</v>
      </c>
      <c r="D293" s="0" t="s">
        <v>1527</v>
      </c>
      <c r="E293" s="0" t="n">
        <v>2026</v>
      </c>
      <c r="H293" s="0" t="n">
        <v>10</v>
      </c>
      <c r="I293" s="0" t="n">
        <v>253</v>
      </c>
      <c r="J293" s="0" t="s">
        <v>268</v>
      </c>
      <c r="K293" s="0" t="s">
        <v>1424</v>
      </c>
      <c r="L293" s="0" t="s">
        <v>293</v>
      </c>
      <c r="M293" s="0" t="s">
        <v>1528</v>
      </c>
      <c r="N293" s="0" t="s">
        <v>1528</v>
      </c>
      <c r="O293" s="0" t="s">
        <v>1529</v>
      </c>
      <c r="P293" s="0" t="s">
        <v>1530</v>
      </c>
      <c r="R293" s="0" t="s">
        <v>275</v>
      </c>
      <c r="S293" s="0" t="s">
        <v>268</v>
      </c>
      <c r="T293" s="0" t="s">
        <v>276</v>
      </c>
      <c r="U293" s="0" t="s">
        <v>277</v>
      </c>
    </row>
    <row r="294" customFormat="false" ht="15" hidden="false" customHeight="false" outlineLevel="0" collapsed="false">
      <c r="A294" s="0" t="n">
        <v>20</v>
      </c>
      <c r="B294" s="0" t="s">
        <v>57</v>
      </c>
      <c r="C294" s="0" t="s">
        <v>266</v>
      </c>
      <c r="D294" s="0" t="s">
        <v>1531</v>
      </c>
      <c r="E294" s="0" t="n">
        <v>2025</v>
      </c>
      <c r="H294" s="0" t="n">
        <v>2</v>
      </c>
      <c r="I294" s="0" t="n">
        <v>184</v>
      </c>
      <c r="J294" s="0" t="s">
        <v>268</v>
      </c>
      <c r="K294" s="0" t="s">
        <v>1424</v>
      </c>
      <c r="L294" s="0" t="s">
        <v>293</v>
      </c>
      <c r="M294" s="0" t="s">
        <v>1532</v>
      </c>
      <c r="N294" s="0" t="s">
        <v>1532</v>
      </c>
      <c r="O294" s="0" t="s">
        <v>1533</v>
      </c>
      <c r="P294" s="0" t="s">
        <v>1534</v>
      </c>
      <c r="R294" s="0" t="s">
        <v>275</v>
      </c>
      <c r="S294" s="0" t="s">
        <v>290</v>
      </c>
      <c r="T294" s="0" t="s">
        <v>314</v>
      </c>
      <c r="U294" s="0" t="s">
        <v>277</v>
      </c>
      <c r="V294" s="0" t="s">
        <v>1505</v>
      </c>
    </row>
    <row r="295" customFormat="false" ht="15" hidden="false" customHeight="false" outlineLevel="0" collapsed="false">
      <c r="A295" s="0" t="n">
        <v>20</v>
      </c>
      <c r="B295" s="0" t="s">
        <v>57</v>
      </c>
      <c r="C295" s="0" t="s">
        <v>266</v>
      </c>
      <c r="D295" s="0" t="s">
        <v>1535</v>
      </c>
      <c r="E295" s="0" t="n">
        <v>2021</v>
      </c>
      <c r="H295" s="0" t="n">
        <v>3</v>
      </c>
      <c r="I295" s="0" t="n">
        <v>2782</v>
      </c>
      <c r="J295" s="0" t="s">
        <v>290</v>
      </c>
      <c r="K295" s="0" t="s">
        <v>1424</v>
      </c>
      <c r="L295" s="0" t="s">
        <v>293</v>
      </c>
      <c r="M295" s="0" t="s">
        <v>1536</v>
      </c>
      <c r="N295" s="0" t="s">
        <v>1536</v>
      </c>
      <c r="O295" s="0" t="s">
        <v>1537</v>
      </c>
      <c r="P295" s="0" t="s">
        <v>1538</v>
      </c>
      <c r="R295" s="0" t="s">
        <v>284</v>
      </c>
      <c r="S295" s="0" t="s">
        <v>290</v>
      </c>
      <c r="T295" s="0" t="s">
        <v>314</v>
      </c>
      <c r="U295" s="0" t="s">
        <v>277</v>
      </c>
      <c r="V295" s="0" t="s">
        <v>1505</v>
      </c>
    </row>
    <row r="296" customFormat="false" ht="15" hidden="false" customHeight="false" outlineLevel="0" collapsed="false">
      <c r="A296" s="0" t="n">
        <v>20</v>
      </c>
      <c r="B296" s="0" t="s">
        <v>57</v>
      </c>
      <c r="C296" s="0" t="s">
        <v>335</v>
      </c>
      <c r="D296" s="0" t="s">
        <v>1539</v>
      </c>
      <c r="E296" s="0" t="n">
        <v>2025</v>
      </c>
      <c r="H296" s="0" t="n">
        <v>1</v>
      </c>
      <c r="I296" s="0" t="n">
        <v>672</v>
      </c>
      <c r="J296" s="0" t="s">
        <v>268</v>
      </c>
      <c r="K296" s="0" t="s">
        <v>1424</v>
      </c>
      <c r="L296" s="0" t="s">
        <v>293</v>
      </c>
      <c r="M296" s="0" t="s">
        <v>1540</v>
      </c>
      <c r="N296" s="0" t="s">
        <v>1540</v>
      </c>
      <c r="O296" s="0" t="s">
        <v>1541</v>
      </c>
      <c r="P296" s="0" t="s">
        <v>1542</v>
      </c>
      <c r="R296" s="0" t="s">
        <v>275</v>
      </c>
      <c r="S296" s="0" t="s">
        <v>268</v>
      </c>
      <c r="T296" s="0" t="s">
        <v>314</v>
      </c>
      <c r="U296" s="0" t="s">
        <v>277</v>
      </c>
      <c r="V296" s="0" t="s">
        <v>1505</v>
      </c>
    </row>
    <row r="297" customFormat="false" ht="15" hidden="false" customHeight="false" outlineLevel="0" collapsed="false">
      <c r="A297" s="0" t="n">
        <v>20</v>
      </c>
      <c r="B297" s="0" t="s">
        <v>57</v>
      </c>
      <c r="C297" s="0" t="s">
        <v>829</v>
      </c>
      <c r="D297" s="0" t="s">
        <v>1543</v>
      </c>
      <c r="E297" s="0" t="n">
        <v>2026</v>
      </c>
      <c r="H297" s="0" t="n">
        <v>1</v>
      </c>
      <c r="I297" s="0" t="n">
        <v>1969</v>
      </c>
      <c r="J297" s="0" t="s">
        <v>268</v>
      </c>
      <c r="K297" s="0" t="s">
        <v>1424</v>
      </c>
      <c r="L297" s="0" t="s">
        <v>293</v>
      </c>
      <c r="M297" s="0" t="s">
        <v>1544</v>
      </c>
      <c r="N297" s="0" t="s">
        <v>1544</v>
      </c>
      <c r="O297" s="0" t="s">
        <v>1545</v>
      </c>
      <c r="P297" s="0" t="s">
        <v>1546</v>
      </c>
      <c r="R297" s="0" t="s">
        <v>275</v>
      </c>
      <c r="S297" s="0" t="s">
        <v>268</v>
      </c>
      <c r="T297" s="0" t="s">
        <v>276</v>
      </c>
      <c r="U297" s="0" t="s">
        <v>277</v>
      </c>
    </row>
    <row r="298" customFormat="false" ht="15" hidden="false" customHeight="false" outlineLevel="0" collapsed="false">
      <c r="A298" s="0" t="n">
        <v>20</v>
      </c>
      <c r="B298" s="0" t="s">
        <v>57</v>
      </c>
      <c r="C298" s="0" t="s">
        <v>530</v>
      </c>
      <c r="D298" s="0" t="s">
        <v>1547</v>
      </c>
      <c r="E298" s="0" t="n">
        <v>2025</v>
      </c>
      <c r="H298" s="0" t="n">
        <v>7</v>
      </c>
      <c r="I298" s="0" t="n">
        <v>1976</v>
      </c>
      <c r="J298" s="0" t="s">
        <v>290</v>
      </c>
      <c r="K298" s="0" t="s">
        <v>1424</v>
      </c>
      <c r="L298" s="0" t="s">
        <v>293</v>
      </c>
      <c r="M298" s="0" t="s">
        <v>1548</v>
      </c>
      <c r="N298" s="0" t="s">
        <v>1548</v>
      </c>
      <c r="O298" s="0" t="s">
        <v>1549</v>
      </c>
      <c r="P298" s="0" t="s">
        <v>1550</v>
      </c>
      <c r="R298" s="0" t="s">
        <v>275</v>
      </c>
      <c r="S298" s="0" t="s">
        <v>268</v>
      </c>
      <c r="T298" s="0" t="s">
        <v>314</v>
      </c>
      <c r="U298" s="0" t="s">
        <v>277</v>
      </c>
      <c r="V298" s="0" t="s">
        <v>1505</v>
      </c>
    </row>
    <row r="299" customFormat="false" ht="15" hidden="false" customHeight="false" outlineLevel="0" collapsed="false">
      <c r="A299" s="0" t="n">
        <v>20</v>
      </c>
      <c r="B299" s="0" t="s">
        <v>57</v>
      </c>
      <c r="C299" s="0" t="s">
        <v>500</v>
      </c>
      <c r="D299" s="0" t="s">
        <v>1551</v>
      </c>
      <c r="E299" s="0" t="n">
        <v>2026</v>
      </c>
      <c r="H299" s="0" t="n">
        <v>9</v>
      </c>
      <c r="I299" s="0" t="n">
        <v>752</v>
      </c>
      <c r="J299" s="0" t="s">
        <v>268</v>
      </c>
      <c r="K299" s="0" t="s">
        <v>1424</v>
      </c>
      <c r="L299" s="0" t="s">
        <v>293</v>
      </c>
      <c r="M299" s="0" t="s">
        <v>1552</v>
      </c>
      <c r="N299" s="0" t="s">
        <v>1552</v>
      </c>
      <c r="O299" s="0" t="s">
        <v>1553</v>
      </c>
      <c r="P299" s="0" t="s">
        <v>1554</v>
      </c>
      <c r="R299" s="0" t="s">
        <v>275</v>
      </c>
      <c r="S299" s="0" t="s">
        <v>268</v>
      </c>
      <c r="T299" s="0" t="s">
        <v>314</v>
      </c>
      <c r="U299" s="0" t="s">
        <v>277</v>
      </c>
      <c r="V299" s="0" t="s">
        <v>1505</v>
      </c>
    </row>
    <row r="300" customFormat="false" ht="15" hidden="false" customHeight="false" outlineLevel="0" collapsed="false">
      <c r="A300" s="0" t="n">
        <v>21</v>
      </c>
      <c r="B300" s="0" t="s">
        <v>58</v>
      </c>
      <c r="C300" s="0" t="s">
        <v>56</v>
      </c>
      <c r="D300" s="0" t="s">
        <v>1555</v>
      </c>
      <c r="E300" s="0" t="n">
        <v>2025</v>
      </c>
      <c r="H300" s="0" t="n">
        <v>12</v>
      </c>
      <c r="I300" s="0" t="n">
        <v>14058</v>
      </c>
      <c r="J300" s="0" t="s">
        <v>268</v>
      </c>
      <c r="K300" s="0" t="s">
        <v>298</v>
      </c>
      <c r="L300" s="0" t="s">
        <v>270</v>
      </c>
      <c r="M300" s="0" t="s">
        <v>1556</v>
      </c>
      <c r="N300" s="0" t="s">
        <v>1556</v>
      </c>
      <c r="O300" s="0" t="s">
        <v>1557</v>
      </c>
      <c r="P300" s="0" t="s">
        <v>1558</v>
      </c>
      <c r="R300" s="0" t="s">
        <v>275</v>
      </c>
      <c r="S300" s="0" t="s">
        <v>268</v>
      </c>
      <c r="T300" s="0" t="s">
        <v>276</v>
      </c>
      <c r="U300" s="0" t="s">
        <v>277</v>
      </c>
    </row>
    <row r="301" customFormat="false" ht="15" hidden="false" customHeight="false" outlineLevel="0" collapsed="false">
      <c r="A301" s="0" t="n">
        <v>21</v>
      </c>
      <c r="B301" s="0" t="s">
        <v>58</v>
      </c>
      <c r="C301" s="0" t="s">
        <v>56</v>
      </c>
      <c r="D301" s="0" t="s">
        <v>1559</v>
      </c>
      <c r="E301" s="0" t="n">
        <v>2022</v>
      </c>
      <c r="H301" s="0" t="n">
        <v>9</v>
      </c>
      <c r="I301" s="0" t="n">
        <v>4084</v>
      </c>
      <c r="J301" s="0" t="s">
        <v>268</v>
      </c>
      <c r="K301" s="0" t="s">
        <v>298</v>
      </c>
      <c r="L301" s="0" t="s">
        <v>270</v>
      </c>
      <c r="M301" s="0" t="s">
        <v>1560</v>
      </c>
      <c r="N301" s="0" t="s">
        <v>1560</v>
      </c>
      <c r="O301" s="0" t="s">
        <v>1561</v>
      </c>
      <c r="P301" s="0" t="s">
        <v>1562</v>
      </c>
      <c r="R301" s="0" t="s">
        <v>284</v>
      </c>
      <c r="S301" s="0" t="s">
        <v>290</v>
      </c>
      <c r="T301" s="0" t="s">
        <v>276</v>
      </c>
      <c r="U301" s="0" t="s">
        <v>277</v>
      </c>
    </row>
    <row r="302" customFormat="false" ht="15" hidden="false" customHeight="false" outlineLevel="0" collapsed="false">
      <c r="A302" s="0" t="n">
        <v>21</v>
      </c>
      <c r="B302" s="0" t="s">
        <v>58</v>
      </c>
      <c r="C302" s="0" t="s">
        <v>586</v>
      </c>
      <c r="D302" s="0" t="s">
        <v>1563</v>
      </c>
      <c r="E302" s="0" t="n">
        <v>2025</v>
      </c>
      <c r="H302" s="0" t="n">
        <v>13</v>
      </c>
      <c r="I302" s="0" t="n">
        <v>1080</v>
      </c>
      <c r="J302" s="0" t="s">
        <v>268</v>
      </c>
      <c r="K302" s="0" t="s">
        <v>1564</v>
      </c>
      <c r="L302" s="0" t="s">
        <v>293</v>
      </c>
      <c r="M302" s="0" t="s">
        <v>1565</v>
      </c>
      <c r="N302" s="0" t="s">
        <v>1565</v>
      </c>
      <c r="O302" s="0" t="s">
        <v>1566</v>
      </c>
      <c r="P302" s="0" t="s">
        <v>1567</v>
      </c>
      <c r="R302" s="0" t="s">
        <v>275</v>
      </c>
      <c r="S302" s="0" t="s">
        <v>268</v>
      </c>
      <c r="T302" s="0" t="s">
        <v>276</v>
      </c>
      <c r="U302" s="0" t="s">
        <v>277</v>
      </c>
    </row>
    <row r="303" customFormat="false" ht="15" hidden="false" customHeight="false" outlineLevel="0" collapsed="false">
      <c r="A303" s="0" t="n">
        <v>21</v>
      </c>
      <c r="B303" s="0" t="s">
        <v>58</v>
      </c>
      <c r="C303" s="0" t="s">
        <v>266</v>
      </c>
      <c r="D303" s="0" t="s">
        <v>1568</v>
      </c>
      <c r="E303" s="0" t="n">
        <v>2025</v>
      </c>
      <c r="H303" s="0" t="n">
        <v>13</v>
      </c>
      <c r="I303" s="0" t="n">
        <v>87</v>
      </c>
      <c r="J303" s="0" t="s">
        <v>268</v>
      </c>
      <c r="K303" s="0" t="s">
        <v>1564</v>
      </c>
      <c r="L303" s="0" t="s">
        <v>293</v>
      </c>
      <c r="M303" s="0" t="s">
        <v>1569</v>
      </c>
      <c r="N303" s="0" t="s">
        <v>1569</v>
      </c>
      <c r="O303" s="0" t="s">
        <v>1570</v>
      </c>
      <c r="P303" s="0" t="s">
        <v>1571</v>
      </c>
      <c r="R303" s="0" t="s">
        <v>275</v>
      </c>
      <c r="S303" s="0" t="s">
        <v>268</v>
      </c>
      <c r="T303" s="0" t="s">
        <v>276</v>
      </c>
      <c r="U303" s="0" t="s">
        <v>277</v>
      </c>
    </row>
    <row r="304" customFormat="false" ht="15" hidden="false" customHeight="false" outlineLevel="0" collapsed="false">
      <c r="A304" s="0" t="n">
        <v>21</v>
      </c>
      <c r="B304" s="0" t="s">
        <v>58</v>
      </c>
      <c r="C304" s="0" t="s">
        <v>266</v>
      </c>
      <c r="D304" s="0" t="s">
        <v>1572</v>
      </c>
      <c r="E304" s="0" t="n">
        <v>2025</v>
      </c>
      <c r="H304" s="0" t="n">
        <v>2</v>
      </c>
      <c r="I304" s="0" t="n">
        <v>138</v>
      </c>
      <c r="J304" s="0" t="s">
        <v>268</v>
      </c>
      <c r="K304" s="0" t="s">
        <v>1564</v>
      </c>
      <c r="L304" s="0" t="s">
        <v>293</v>
      </c>
      <c r="M304" s="0" t="s">
        <v>1573</v>
      </c>
      <c r="N304" s="0" t="s">
        <v>1573</v>
      </c>
      <c r="O304" s="0" t="s">
        <v>1574</v>
      </c>
      <c r="P304" s="0" t="s">
        <v>1575</v>
      </c>
      <c r="R304" s="0" t="s">
        <v>275</v>
      </c>
      <c r="S304" s="0" t="s">
        <v>290</v>
      </c>
      <c r="T304" s="0" t="s">
        <v>276</v>
      </c>
      <c r="U304" s="0" t="s">
        <v>277</v>
      </c>
    </row>
    <row r="305" customFormat="false" ht="15" hidden="false" customHeight="false" outlineLevel="0" collapsed="false">
      <c r="A305" s="0" t="n">
        <v>21</v>
      </c>
      <c r="B305" s="0" t="s">
        <v>58</v>
      </c>
      <c r="C305" s="0" t="s">
        <v>266</v>
      </c>
      <c r="D305" s="0" t="s">
        <v>1576</v>
      </c>
      <c r="E305" s="0" t="n">
        <v>2025</v>
      </c>
      <c r="H305" s="0" t="n">
        <v>2</v>
      </c>
      <c r="I305" s="0" t="n">
        <v>132</v>
      </c>
      <c r="J305" s="0" t="s">
        <v>268</v>
      </c>
      <c r="K305" s="0" t="s">
        <v>1564</v>
      </c>
      <c r="L305" s="0" t="s">
        <v>293</v>
      </c>
      <c r="M305" s="0" t="s">
        <v>1577</v>
      </c>
      <c r="N305" s="0" t="s">
        <v>1577</v>
      </c>
      <c r="O305" s="0" t="s">
        <v>1578</v>
      </c>
      <c r="P305" s="0" t="s">
        <v>1579</v>
      </c>
      <c r="R305" s="0" t="s">
        <v>275</v>
      </c>
      <c r="S305" s="0" t="s">
        <v>290</v>
      </c>
      <c r="T305" s="0" t="s">
        <v>276</v>
      </c>
      <c r="U305" s="0" t="s">
        <v>277</v>
      </c>
    </row>
    <row r="306" customFormat="false" ht="15" hidden="false" customHeight="false" outlineLevel="0" collapsed="false">
      <c r="A306" s="0" t="n">
        <v>21</v>
      </c>
      <c r="B306" s="0" t="s">
        <v>58</v>
      </c>
      <c r="C306" s="0" t="s">
        <v>266</v>
      </c>
      <c r="D306" s="0" t="s">
        <v>1580</v>
      </c>
      <c r="E306" s="0" t="n">
        <v>2025</v>
      </c>
      <c r="H306" s="0" t="n">
        <v>2</v>
      </c>
      <c r="I306" s="0" t="n">
        <v>294</v>
      </c>
      <c r="J306" s="0" t="s">
        <v>268</v>
      </c>
      <c r="K306" s="0" t="s">
        <v>1564</v>
      </c>
      <c r="L306" s="0" t="s">
        <v>293</v>
      </c>
      <c r="M306" s="0" t="s">
        <v>1581</v>
      </c>
      <c r="N306" s="0" t="s">
        <v>1581</v>
      </c>
      <c r="O306" s="0" t="s">
        <v>1582</v>
      </c>
      <c r="P306" s="0" t="s">
        <v>1583</v>
      </c>
      <c r="R306" s="0" t="s">
        <v>275</v>
      </c>
      <c r="S306" s="0" t="s">
        <v>290</v>
      </c>
      <c r="T306" s="0" t="s">
        <v>276</v>
      </c>
      <c r="U306" s="0" t="s">
        <v>277</v>
      </c>
    </row>
    <row r="307" customFormat="false" ht="15" hidden="false" customHeight="false" outlineLevel="0" collapsed="false">
      <c r="A307" s="0" t="n">
        <v>21</v>
      </c>
      <c r="B307" s="0" t="s">
        <v>58</v>
      </c>
      <c r="C307" s="0" t="s">
        <v>266</v>
      </c>
      <c r="D307" s="0" t="s">
        <v>1584</v>
      </c>
      <c r="E307" s="0" t="n">
        <v>2017</v>
      </c>
      <c r="H307" s="0" t="n">
        <v>8</v>
      </c>
      <c r="I307" s="0" t="n">
        <v>69</v>
      </c>
      <c r="J307" s="0" t="s">
        <v>268</v>
      </c>
      <c r="K307" s="0" t="s">
        <v>1564</v>
      </c>
      <c r="L307" s="0" t="s">
        <v>293</v>
      </c>
      <c r="M307" s="0" t="s">
        <v>1585</v>
      </c>
      <c r="N307" s="0" t="s">
        <v>1585</v>
      </c>
      <c r="O307" s="0" t="s">
        <v>1586</v>
      </c>
      <c r="P307" s="0" t="s">
        <v>1587</v>
      </c>
      <c r="R307" s="0" t="s">
        <v>284</v>
      </c>
      <c r="S307" s="0" t="s">
        <v>290</v>
      </c>
      <c r="T307" s="0" t="s">
        <v>276</v>
      </c>
      <c r="U307" s="0" t="s">
        <v>277</v>
      </c>
    </row>
    <row r="308" customFormat="false" ht="15" hidden="false" customHeight="false" outlineLevel="0" collapsed="false">
      <c r="A308" s="0" t="n">
        <v>21</v>
      </c>
      <c r="B308" s="0" t="s">
        <v>58</v>
      </c>
      <c r="C308" s="0" t="s">
        <v>324</v>
      </c>
      <c r="D308" s="0" t="s">
        <v>1588</v>
      </c>
      <c r="E308" s="0" t="n">
        <v>2025</v>
      </c>
      <c r="H308" s="0" t="n">
        <v>1</v>
      </c>
      <c r="I308" s="0" t="n">
        <v>56</v>
      </c>
      <c r="J308" s="0" t="s">
        <v>268</v>
      </c>
      <c r="K308" s="0" t="s">
        <v>1564</v>
      </c>
      <c r="L308" s="0" t="s">
        <v>293</v>
      </c>
      <c r="M308" s="0" t="s">
        <v>1589</v>
      </c>
      <c r="N308" s="0" t="s">
        <v>1589</v>
      </c>
      <c r="O308" s="0" t="s">
        <v>1590</v>
      </c>
      <c r="P308" s="0" t="s">
        <v>1591</v>
      </c>
      <c r="R308" s="0" t="s">
        <v>275</v>
      </c>
      <c r="S308" s="0" t="s">
        <v>268</v>
      </c>
      <c r="T308" s="0" t="s">
        <v>276</v>
      </c>
      <c r="U308" s="0" t="s">
        <v>277</v>
      </c>
    </row>
    <row r="309" customFormat="false" ht="15" hidden="false" customHeight="false" outlineLevel="0" collapsed="false">
      <c r="A309" s="0" t="n">
        <v>21</v>
      </c>
      <c r="B309" s="0" t="s">
        <v>58</v>
      </c>
      <c r="C309" s="0" t="s">
        <v>324</v>
      </c>
      <c r="D309" s="0" t="s">
        <v>1592</v>
      </c>
      <c r="E309" s="0" t="n">
        <v>2024</v>
      </c>
      <c r="H309" s="0" t="n">
        <v>1</v>
      </c>
      <c r="I309" s="0" t="n">
        <v>96</v>
      </c>
      <c r="J309" s="0" t="s">
        <v>268</v>
      </c>
      <c r="K309" s="0" t="s">
        <v>1564</v>
      </c>
      <c r="L309" s="0" t="s">
        <v>293</v>
      </c>
      <c r="M309" s="0" t="s">
        <v>1593</v>
      </c>
      <c r="N309" s="0" t="s">
        <v>1593</v>
      </c>
      <c r="O309" s="0" t="s">
        <v>1594</v>
      </c>
      <c r="P309" s="0" t="s">
        <v>1595</v>
      </c>
      <c r="R309" s="0" t="s">
        <v>284</v>
      </c>
      <c r="S309" s="0" t="s">
        <v>290</v>
      </c>
      <c r="T309" s="0" t="s">
        <v>276</v>
      </c>
      <c r="U309" s="0" t="s">
        <v>277</v>
      </c>
    </row>
    <row r="310" customFormat="false" ht="15" hidden="false" customHeight="false" outlineLevel="0" collapsed="false">
      <c r="A310" s="0" t="n">
        <v>22</v>
      </c>
      <c r="B310" s="0" t="s">
        <v>59</v>
      </c>
      <c r="C310" s="0" t="s">
        <v>56</v>
      </c>
      <c r="D310" s="0" t="s">
        <v>1596</v>
      </c>
      <c r="E310" s="0" t="n">
        <v>2026</v>
      </c>
      <c r="H310" s="0" t="n">
        <v>10</v>
      </c>
      <c r="I310" s="0" t="n">
        <v>32053</v>
      </c>
      <c r="J310" s="0" t="s">
        <v>268</v>
      </c>
      <c r="K310" s="0" t="s">
        <v>298</v>
      </c>
      <c r="L310" s="0" t="s">
        <v>270</v>
      </c>
      <c r="M310" s="0" t="s">
        <v>1597</v>
      </c>
      <c r="N310" s="0" t="s">
        <v>1597</v>
      </c>
      <c r="O310" s="0" t="s">
        <v>1598</v>
      </c>
      <c r="P310" s="0" t="s">
        <v>1599</v>
      </c>
      <c r="R310" s="0" t="s">
        <v>275</v>
      </c>
      <c r="S310" s="0" t="s">
        <v>268</v>
      </c>
      <c r="T310" s="0" t="s">
        <v>276</v>
      </c>
      <c r="U310" s="0" t="s">
        <v>277</v>
      </c>
    </row>
    <row r="311" customFormat="false" ht="15" hidden="false" customHeight="false" outlineLevel="0" collapsed="false">
      <c r="A311" s="0" t="n">
        <v>22</v>
      </c>
      <c r="B311" s="0" t="s">
        <v>59</v>
      </c>
      <c r="C311" s="0" t="s">
        <v>494</v>
      </c>
      <c r="D311" s="0" t="s">
        <v>1600</v>
      </c>
      <c r="E311" s="0" t="n">
        <v>2025</v>
      </c>
      <c r="H311" s="0" t="n">
        <v>1</v>
      </c>
      <c r="I311" s="0" t="n">
        <v>7323</v>
      </c>
      <c r="J311" s="0" t="s">
        <v>268</v>
      </c>
      <c r="K311" s="0" t="s">
        <v>298</v>
      </c>
      <c r="L311" s="0" t="s">
        <v>270</v>
      </c>
      <c r="M311" s="0" t="s">
        <v>1601</v>
      </c>
      <c r="N311" s="0" t="s">
        <v>1601</v>
      </c>
      <c r="O311" s="0" t="s">
        <v>1602</v>
      </c>
      <c r="P311" s="0" t="s">
        <v>1603</v>
      </c>
      <c r="R311" s="0" t="s">
        <v>275</v>
      </c>
      <c r="S311" s="0" t="s">
        <v>268</v>
      </c>
      <c r="T311" s="0" t="s">
        <v>276</v>
      </c>
      <c r="U311" s="0" t="s">
        <v>277</v>
      </c>
    </row>
    <row r="312" customFormat="false" ht="15" hidden="false" customHeight="false" outlineLevel="0" collapsed="false">
      <c r="A312" s="0" t="n">
        <v>23</v>
      </c>
      <c r="B312" s="0" t="s">
        <v>61</v>
      </c>
      <c r="C312" s="0" t="s">
        <v>56</v>
      </c>
      <c r="D312" s="0" t="s">
        <v>1604</v>
      </c>
      <c r="E312" s="0" t="n">
        <v>2024</v>
      </c>
      <c r="H312" s="0" t="n">
        <v>6</v>
      </c>
      <c r="I312" s="0" t="n">
        <v>10580</v>
      </c>
      <c r="J312" s="0" t="s">
        <v>268</v>
      </c>
      <c r="K312" s="0" t="s">
        <v>298</v>
      </c>
      <c r="L312" s="0" t="s">
        <v>270</v>
      </c>
      <c r="M312" s="0" t="s">
        <v>1605</v>
      </c>
      <c r="N312" s="0" t="s">
        <v>1605</v>
      </c>
      <c r="O312" s="0" t="s">
        <v>1606</v>
      </c>
      <c r="P312" s="0" t="s">
        <v>1607</v>
      </c>
      <c r="R312" s="0" t="s">
        <v>284</v>
      </c>
      <c r="S312" s="0" t="s">
        <v>268</v>
      </c>
      <c r="T312" s="0" t="s">
        <v>276</v>
      </c>
      <c r="U312" s="0" t="s">
        <v>277</v>
      </c>
    </row>
    <row r="313" customFormat="false" ht="15" hidden="false" customHeight="false" outlineLevel="0" collapsed="false">
      <c r="A313" s="0" t="n">
        <v>23</v>
      </c>
      <c r="B313" s="0" t="s">
        <v>61</v>
      </c>
      <c r="C313" s="0" t="s">
        <v>309</v>
      </c>
      <c r="D313" s="0" t="s">
        <v>1608</v>
      </c>
      <c r="E313" s="0" t="n">
        <v>2024</v>
      </c>
      <c r="H313" s="0" t="n">
        <v>1</v>
      </c>
      <c r="I313" s="0" t="n">
        <v>630</v>
      </c>
      <c r="J313" s="0" t="s">
        <v>290</v>
      </c>
      <c r="K313" s="0" t="s">
        <v>298</v>
      </c>
      <c r="L313" s="0" t="s">
        <v>270</v>
      </c>
      <c r="M313" s="0" t="s">
        <v>1609</v>
      </c>
      <c r="N313" s="0" t="s">
        <v>1609</v>
      </c>
      <c r="O313" s="0" t="s">
        <v>1610</v>
      </c>
      <c r="P313" s="0" t="s">
        <v>1611</v>
      </c>
      <c r="R313" s="0" t="s">
        <v>284</v>
      </c>
      <c r="S313" s="0" t="s">
        <v>268</v>
      </c>
      <c r="T313" s="0" t="s">
        <v>276</v>
      </c>
      <c r="U313" s="0" t="s">
        <v>277</v>
      </c>
    </row>
    <row r="314" customFormat="false" ht="15" hidden="false" customHeight="false" outlineLevel="0" collapsed="false">
      <c r="A314" s="0" t="n">
        <v>23</v>
      </c>
      <c r="B314" s="0" t="s">
        <v>61</v>
      </c>
      <c r="C314" s="0" t="s">
        <v>887</v>
      </c>
      <c r="D314" s="0" t="s">
        <v>1612</v>
      </c>
      <c r="E314" s="0" t="n">
        <v>2026</v>
      </c>
      <c r="H314" s="0" t="n">
        <v>5</v>
      </c>
      <c r="I314" s="0" t="n">
        <v>4204</v>
      </c>
      <c r="J314" s="0" t="s">
        <v>268</v>
      </c>
      <c r="K314" s="0" t="s">
        <v>286</v>
      </c>
      <c r="L314" s="0" t="s">
        <v>270</v>
      </c>
      <c r="M314" s="0" t="s">
        <v>1613</v>
      </c>
      <c r="N314" s="0" t="s">
        <v>1613</v>
      </c>
      <c r="O314" s="0" t="s">
        <v>1614</v>
      </c>
      <c r="P314" s="0" t="s">
        <v>1615</v>
      </c>
      <c r="R314" s="0" t="s">
        <v>275</v>
      </c>
      <c r="S314" s="0" t="s">
        <v>268</v>
      </c>
      <c r="T314" s="0" t="s">
        <v>276</v>
      </c>
      <c r="U314" s="0" t="s">
        <v>277</v>
      </c>
    </row>
    <row r="315" customFormat="false" ht="15" hidden="false" customHeight="false" outlineLevel="0" collapsed="false">
      <c r="A315" s="0" t="n">
        <v>24</v>
      </c>
      <c r="B315" s="0" t="s">
        <v>62</v>
      </c>
      <c r="C315" s="0" t="s">
        <v>309</v>
      </c>
      <c r="D315" s="0" t="s">
        <v>1616</v>
      </c>
      <c r="E315" s="0" t="n">
        <v>2023</v>
      </c>
      <c r="H315" s="0" t="n">
        <v>1</v>
      </c>
      <c r="I315" s="0" t="n">
        <v>2078</v>
      </c>
      <c r="J315" s="0" t="s">
        <v>268</v>
      </c>
      <c r="K315" s="0" t="s">
        <v>1617</v>
      </c>
      <c r="L315" s="0" t="s">
        <v>293</v>
      </c>
      <c r="M315" s="0" t="s">
        <v>1618</v>
      </c>
      <c r="N315" s="0" t="s">
        <v>1618</v>
      </c>
      <c r="O315" s="0" t="s">
        <v>1619</v>
      </c>
      <c r="P315" s="0" t="s">
        <v>1620</v>
      </c>
      <c r="R315" s="0" t="s">
        <v>284</v>
      </c>
      <c r="S315" s="0" t="s">
        <v>268</v>
      </c>
      <c r="T315" s="0" t="s">
        <v>276</v>
      </c>
      <c r="U315" s="0" t="s">
        <v>277</v>
      </c>
    </row>
    <row r="316" customFormat="false" ht="15" hidden="false" customHeight="false" outlineLevel="0" collapsed="false">
      <c r="A316" s="0" t="n">
        <v>24</v>
      </c>
      <c r="B316" s="0" t="s">
        <v>62</v>
      </c>
      <c r="C316" s="0" t="s">
        <v>309</v>
      </c>
      <c r="D316" s="0" t="s">
        <v>1621</v>
      </c>
      <c r="E316" s="0" t="n">
        <v>2023</v>
      </c>
      <c r="H316" s="0" t="n">
        <v>1</v>
      </c>
      <c r="I316" s="0" t="n">
        <v>2068</v>
      </c>
      <c r="J316" s="0" t="s">
        <v>268</v>
      </c>
      <c r="K316" s="0" t="s">
        <v>1617</v>
      </c>
      <c r="L316" s="0" t="s">
        <v>293</v>
      </c>
      <c r="M316" s="0" t="s">
        <v>1622</v>
      </c>
      <c r="N316" s="0" t="s">
        <v>1622</v>
      </c>
      <c r="O316" s="0" t="s">
        <v>1623</v>
      </c>
      <c r="P316" s="0" t="s">
        <v>1624</v>
      </c>
      <c r="R316" s="0" t="s">
        <v>284</v>
      </c>
      <c r="S316" s="0" t="s">
        <v>290</v>
      </c>
      <c r="T316" s="0" t="s">
        <v>276</v>
      </c>
      <c r="U316" s="0" t="s">
        <v>277</v>
      </c>
    </row>
    <row r="317" customFormat="false" ht="15" hidden="false" customHeight="false" outlineLevel="0" collapsed="false">
      <c r="A317" s="0" t="n">
        <v>24</v>
      </c>
      <c r="B317" s="0" t="s">
        <v>62</v>
      </c>
      <c r="C317" s="0" t="s">
        <v>266</v>
      </c>
      <c r="D317" s="0" t="s">
        <v>1625</v>
      </c>
      <c r="E317" s="0" t="n">
        <v>2025</v>
      </c>
      <c r="H317" s="0" t="n">
        <v>1</v>
      </c>
      <c r="I317" s="0" t="n">
        <v>982</v>
      </c>
      <c r="J317" s="0" t="s">
        <v>268</v>
      </c>
      <c r="K317" s="0" t="s">
        <v>1617</v>
      </c>
      <c r="L317" s="0" t="s">
        <v>293</v>
      </c>
      <c r="M317" s="0" t="s">
        <v>1626</v>
      </c>
      <c r="N317" s="0" t="s">
        <v>1626</v>
      </c>
      <c r="O317" s="0" t="s">
        <v>1627</v>
      </c>
      <c r="P317" s="0" t="s">
        <v>1628</v>
      </c>
      <c r="R317" s="0" t="s">
        <v>275</v>
      </c>
      <c r="S317" s="0" t="s">
        <v>268</v>
      </c>
      <c r="T317" s="0" t="s">
        <v>276</v>
      </c>
      <c r="U317" s="0" t="s">
        <v>277</v>
      </c>
    </row>
    <row r="318" customFormat="false" ht="15" hidden="false" customHeight="false" outlineLevel="0" collapsed="false">
      <c r="A318" s="0" t="n">
        <v>24</v>
      </c>
      <c r="B318" s="0" t="s">
        <v>62</v>
      </c>
      <c r="C318" s="0" t="s">
        <v>887</v>
      </c>
      <c r="D318" s="0" t="s">
        <v>1629</v>
      </c>
      <c r="E318" s="0" t="n">
        <v>2024</v>
      </c>
      <c r="H318" s="0" t="n">
        <v>12</v>
      </c>
      <c r="I318" s="0" t="n">
        <v>9537</v>
      </c>
      <c r="J318" s="0" t="s">
        <v>268</v>
      </c>
      <c r="K318" s="0" t="s">
        <v>1617</v>
      </c>
      <c r="L318" s="0" t="s">
        <v>293</v>
      </c>
      <c r="M318" s="0" t="s">
        <v>1630</v>
      </c>
      <c r="N318" s="0" t="s">
        <v>1630</v>
      </c>
      <c r="O318" s="0" t="s">
        <v>1631</v>
      </c>
      <c r="P318" s="0" t="s">
        <v>1632</v>
      </c>
      <c r="R318" s="0" t="s">
        <v>284</v>
      </c>
      <c r="S318" s="0" t="s">
        <v>268</v>
      </c>
      <c r="T318" s="0" t="s">
        <v>276</v>
      </c>
      <c r="U318" s="0" t="s">
        <v>277</v>
      </c>
    </row>
    <row r="319" customFormat="false" ht="15" hidden="false" customHeight="false" outlineLevel="0" collapsed="false">
      <c r="A319" s="0" t="n">
        <v>24</v>
      </c>
      <c r="B319" s="0" t="s">
        <v>62</v>
      </c>
      <c r="C319" s="0" t="s">
        <v>887</v>
      </c>
      <c r="D319" s="0" t="s">
        <v>1633</v>
      </c>
      <c r="E319" s="0" t="n">
        <v>2023</v>
      </c>
      <c r="H319" s="0" t="n">
        <v>10</v>
      </c>
      <c r="I319" s="0" t="n">
        <v>3454</v>
      </c>
      <c r="J319" s="0" t="s">
        <v>268</v>
      </c>
      <c r="K319" s="0" t="s">
        <v>1617</v>
      </c>
      <c r="L319" s="0" t="s">
        <v>293</v>
      </c>
      <c r="M319" s="0" t="s">
        <v>1634</v>
      </c>
      <c r="N319" s="0" t="s">
        <v>1634</v>
      </c>
      <c r="O319" s="0" t="s">
        <v>1635</v>
      </c>
      <c r="P319" s="0" t="s">
        <v>1636</v>
      </c>
      <c r="R319" s="0" t="s">
        <v>284</v>
      </c>
      <c r="S319" s="0" t="s">
        <v>290</v>
      </c>
      <c r="T319" s="0" t="s">
        <v>276</v>
      </c>
      <c r="U319" s="0" t="s">
        <v>277</v>
      </c>
    </row>
    <row r="320" customFormat="false" ht="15" hidden="false" customHeight="false" outlineLevel="0" collapsed="false">
      <c r="A320" s="0" t="n">
        <v>25</v>
      </c>
      <c r="B320" s="0" t="s">
        <v>63</v>
      </c>
      <c r="C320" s="0" t="s">
        <v>56</v>
      </c>
      <c r="D320" s="0" t="s">
        <v>1637</v>
      </c>
      <c r="E320" s="0" t="n">
        <v>2026</v>
      </c>
      <c r="H320" s="0" t="n">
        <v>4</v>
      </c>
      <c r="I320" s="0" t="n">
        <v>6363</v>
      </c>
      <c r="J320" s="0" t="s">
        <v>268</v>
      </c>
      <c r="K320" s="0" t="s">
        <v>298</v>
      </c>
      <c r="L320" s="0" t="s">
        <v>270</v>
      </c>
      <c r="M320" s="0" t="s">
        <v>1638</v>
      </c>
      <c r="N320" s="0" t="s">
        <v>1638</v>
      </c>
      <c r="O320" s="0" t="s">
        <v>1639</v>
      </c>
      <c r="P320" s="0" t="s">
        <v>1640</v>
      </c>
      <c r="R320" s="0" t="s">
        <v>275</v>
      </c>
      <c r="S320" s="0" t="s">
        <v>268</v>
      </c>
      <c r="T320" s="0" t="s">
        <v>276</v>
      </c>
      <c r="U320" s="0" t="s">
        <v>277</v>
      </c>
    </row>
    <row r="321" customFormat="false" ht="15" hidden="false" customHeight="false" outlineLevel="0" collapsed="false">
      <c r="A321" s="0" t="n">
        <v>25</v>
      </c>
      <c r="B321" s="0" t="s">
        <v>63</v>
      </c>
      <c r="C321" s="0" t="s">
        <v>309</v>
      </c>
      <c r="D321" s="0" t="s">
        <v>1641</v>
      </c>
      <c r="E321" s="0" t="n">
        <v>2026</v>
      </c>
      <c r="H321" s="0" t="n">
        <v>1</v>
      </c>
      <c r="I321" s="0" t="n">
        <v>2490</v>
      </c>
      <c r="J321" s="0" t="s">
        <v>268</v>
      </c>
      <c r="K321" s="0" t="s">
        <v>298</v>
      </c>
      <c r="L321" s="0" t="s">
        <v>270</v>
      </c>
      <c r="M321" s="0" t="s">
        <v>1642</v>
      </c>
      <c r="N321" s="0" t="s">
        <v>1642</v>
      </c>
      <c r="O321" s="0" t="s">
        <v>1643</v>
      </c>
      <c r="P321" s="0" t="s">
        <v>1644</v>
      </c>
      <c r="R321" s="0" t="s">
        <v>275</v>
      </c>
      <c r="S321" s="0" t="s">
        <v>268</v>
      </c>
      <c r="T321" s="0" t="s">
        <v>276</v>
      </c>
      <c r="U321" s="0" t="s">
        <v>277</v>
      </c>
    </row>
    <row r="322" customFormat="false" ht="15" hidden="false" customHeight="false" outlineLevel="0" collapsed="false">
      <c r="A322" s="0" t="n">
        <v>25</v>
      </c>
      <c r="B322" s="0" t="s">
        <v>63</v>
      </c>
      <c r="C322" s="0" t="s">
        <v>887</v>
      </c>
      <c r="D322" s="0" t="s">
        <v>1645</v>
      </c>
      <c r="E322" s="0" t="n">
        <v>2026</v>
      </c>
      <c r="H322" s="0" t="n">
        <v>36</v>
      </c>
      <c r="I322" s="0" t="n">
        <v>23278</v>
      </c>
      <c r="J322" s="0" t="s">
        <v>268</v>
      </c>
      <c r="K322" s="0" t="s">
        <v>286</v>
      </c>
      <c r="L322" s="0" t="s">
        <v>270</v>
      </c>
      <c r="M322" s="0" t="s">
        <v>1646</v>
      </c>
      <c r="N322" s="0" t="s">
        <v>1646</v>
      </c>
      <c r="O322" s="0" t="s">
        <v>1647</v>
      </c>
      <c r="P322" s="0" t="s">
        <v>1648</v>
      </c>
      <c r="R322" s="0" t="s">
        <v>275</v>
      </c>
      <c r="S322" s="0" t="s">
        <v>268</v>
      </c>
      <c r="T322" s="0" t="s">
        <v>276</v>
      </c>
      <c r="U322" s="0" t="s">
        <v>277</v>
      </c>
    </row>
    <row r="323" customFormat="false" ht="15" hidden="false" customHeight="false" outlineLevel="0" collapsed="false">
      <c r="A323" s="0" t="n">
        <v>26</v>
      </c>
      <c r="B323" s="0" t="s">
        <v>65</v>
      </c>
      <c r="C323" s="0" t="s">
        <v>56</v>
      </c>
      <c r="D323" s="0" t="s">
        <v>1649</v>
      </c>
      <c r="E323" s="0" t="n">
        <v>2025</v>
      </c>
      <c r="H323" s="0" t="n">
        <v>3</v>
      </c>
      <c r="I323" s="0" t="n">
        <v>949</v>
      </c>
      <c r="J323" s="0" t="s">
        <v>268</v>
      </c>
      <c r="K323" s="0" t="s">
        <v>1650</v>
      </c>
      <c r="L323" s="0" t="s">
        <v>293</v>
      </c>
      <c r="M323" s="0" t="s">
        <v>1651</v>
      </c>
      <c r="N323" s="0" t="s">
        <v>1651</v>
      </c>
      <c r="O323" s="0" t="s">
        <v>1652</v>
      </c>
      <c r="P323" s="0" t="s">
        <v>1653</v>
      </c>
      <c r="R323" s="0" t="s">
        <v>275</v>
      </c>
      <c r="S323" s="0" t="s">
        <v>268</v>
      </c>
      <c r="T323" s="0" t="s">
        <v>276</v>
      </c>
      <c r="U323" s="0" t="s">
        <v>277</v>
      </c>
    </row>
    <row r="324" customFormat="false" ht="15" hidden="false" customHeight="false" outlineLevel="0" collapsed="false">
      <c r="A324" s="0" t="n">
        <v>26</v>
      </c>
      <c r="B324" s="0" t="s">
        <v>65</v>
      </c>
      <c r="C324" s="0" t="s">
        <v>56</v>
      </c>
      <c r="D324" s="0" t="s">
        <v>1654</v>
      </c>
      <c r="E324" s="0" t="n">
        <v>2019</v>
      </c>
      <c r="H324" s="0" t="n">
        <v>2</v>
      </c>
      <c r="I324" s="0" t="n">
        <v>2641</v>
      </c>
      <c r="J324" s="0" t="s">
        <v>268</v>
      </c>
      <c r="K324" s="0" t="s">
        <v>298</v>
      </c>
      <c r="L324" s="0" t="s">
        <v>270</v>
      </c>
      <c r="M324" s="0" t="s">
        <v>1655</v>
      </c>
      <c r="N324" s="0" t="s">
        <v>1655</v>
      </c>
      <c r="O324" s="0" t="s">
        <v>1656</v>
      </c>
      <c r="P324" s="0" t="s">
        <v>1657</v>
      </c>
      <c r="R324" s="0" t="s">
        <v>284</v>
      </c>
      <c r="S324" s="0" t="s">
        <v>290</v>
      </c>
      <c r="T324" s="0" t="s">
        <v>276</v>
      </c>
      <c r="U324" s="0" t="s">
        <v>277</v>
      </c>
    </row>
    <row r="325" customFormat="false" ht="15" hidden="false" customHeight="false" outlineLevel="0" collapsed="false">
      <c r="A325" s="0" t="n">
        <v>26</v>
      </c>
      <c r="B325" s="0" t="s">
        <v>65</v>
      </c>
      <c r="C325" s="0" t="s">
        <v>91</v>
      </c>
      <c r="D325" s="0" t="s">
        <v>1658</v>
      </c>
      <c r="E325" s="0" t="n">
        <v>2025</v>
      </c>
      <c r="H325" s="0" t="n">
        <v>12</v>
      </c>
      <c r="I325" s="0" t="n">
        <v>1450</v>
      </c>
      <c r="J325" s="0" t="s">
        <v>268</v>
      </c>
      <c r="K325" s="0" t="s">
        <v>1650</v>
      </c>
      <c r="L325" s="0" t="s">
        <v>293</v>
      </c>
      <c r="M325" s="0" t="s">
        <v>1659</v>
      </c>
      <c r="N325" s="0" t="s">
        <v>1660</v>
      </c>
      <c r="O325" s="0" t="s">
        <v>1661</v>
      </c>
      <c r="P325" s="0" t="s">
        <v>1662</v>
      </c>
      <c r="R325" s="0" t="s">
        <v>275</v>
      </c>
      <c r="S325" s="0" t="s">
        <v>268</v>
      </c>
      <c r="T325" s="0" t="s">
        <v>276</v>
      </c>
      <c r="U325" s="0" t="s">
        <v>277</v>
      </c>
    </row>
    <row r="326" customFormat="false" ht="15" hidden="false" customHeight="false" outlineLevel="0" collapsed="false">
      <c r="A326" s="0" t="n">
        <v>26</v>
      </c>
      <c r="B326" s="0" t="s">
        <v>65</v>
      </c>
      <c r="C326" s="0" t="s">
        <v>309</v>
      </c>
      <c r="D326" s="0" t="s">
        <v>1663</v>
      </c>
      <c r="E326" s="0" t="n">
        <v>2020</v>
      </c>
      <c r="H326" s="0" t="n">
        <v>1</v>
      </c>
      <c r="I326" s="0" t="n">
        <v>226</v>
      </c>
      <c r="J326" s="0" t="s">
        <v>290</v>
      </c>
      <c r="K326" s="0" t="s">
        <v>298</v>
      </c>
      <c r="L326" s="0" t="s">
        <v>270</v>
      </c>
      <c r="M326" s="0" t="s">
        <v>1664</v>
      </c>
      <c r="N326" s="0" t="s">
        <v>1664</v>
      </c>
      <c r="O326" s="0" t="s">
        <v>1665</v>
      </c>
      <c r="P326" s="0" t="s">
        <v>1666</v>
      </c>
      <c r="R326" s="0" t="s">
        <v>284</v>
      </c>
      <c r="S326" s="0" t="s">
        <v>268</v>
      </c>
      <c r="T326" s="0" t="s">
        <v>276</v>
      </c>
      <c r="U326" s="0" t="s">
        <v>277</v>
      </c>
    </row>
    <row r="327" customFormat="false" ht="15" hidden="false" customHeight="false" outlineLevel="0" collapsed="false">
      <c r="A327" s="0" t="n">
        <v>26</v>
      </c>
      <c r="B327" s="0" t="s">
        <v>65</v>
      </c>
      <c r="C327" s="0" t="s">
        <v>586</v>
      </c>
      <c r="D327" s="0" t="s">
        <v>1667</v>
      </c>
      <c r="E327" s="0" t="n">
        <v>2026</v>
      </c>
      <c r="H327" s="0" t="n">
        <v>36</v>
      </c>
      <c r="I327" s="0" t="n">
        <v>3456</v>
      </c>
      <c r="J327" s="0" t="s">
        <v>268</v>
      </c>
      <c r="K327" s="0" t="s">
        <v>1650</v>
      </c>
      <c r="L327" s="0" t="s">
        <v>293</v>
      </c>
      <c r="M327" s="0" t="s">
        <v>1668</v>
      </c>
      <c r="N327" s="0" t="s">
        <v>1668</v>
      </c>
      <c r="O327" s="0" t="s">
        <v>1669</v>
      </c>
      <c r="P327" s="0" t="s">
        <v>1670</v>
      </c>
      <c r="R327" s="0" t="s">
        <v>275</v>
      </c>
      <c r="S327" s="0" t="s">
        <v>268</v>
      </c>
      <c r="T327" s="0" t="s">
        <v>276</v>
      </c>
      <c r="U327" s="0" t="s">
        <v>277</v>
      </c>
    </row>
    <row r="328" customFormat="false" ht="15" hidden="false" customHeight="false" outlineLevel="0" collapsed="false">
      <c r="A328" s="0" t="n">
        <v>26</v>
      </c>
      <c r="B328" s="0" t="s">
        <v>65</v>
      </c>
      <c r="C328" s="0" t="s">
        <v>480</v>
      </c>
      <c r="D328" s="0" t="s">
        <v>1671</v>
      </c>
      <c r="E328" s="0" t="n">
        <v>2026</v>
      </c>
      <c r="H328" s="0" t="n">
        <v>4</v>
      </c>
      <c r="I328" s="0" t="n">
        <v>932</v>
      </c>
      <c r="J328" s="0" t="s">
        <v>268</v>
      </c>
      <c r="K328" s="0" t="s">
        <v>1650</v>
      </c>
      <c r="L328" s="0" t="s">
        <v>293</v>
      </c>
      <c r="M328" s="0" t="s">
        <v>1672</v>
      </c>
      <c r="N328" s="0" t="s">
        <v>1672</v>
      </c>
      <c r="O328" s="0" t="s">
        <v>1673</v>
      </c>
      <c r="P328" s="0" t="s">
        <v>1674</v>
      </c>
      <c r="R328" s="0" t="s">
        <v>275</v>
      </c>
      <c r="S328" s="0" t="s">
        <v>268</v>
      </c>
      <c r="T328" s="0" t="s">
        <v>314</v>
      </c>
      <c r="U328" s="0" t="s">
        <v>277</v>
      </c>
      <c r="V328" s="0" t="s">
        <v>1675</v>
      </c>
    </row>
    <row r="329" customFormat="false" ht="15" hidden="false" customHeight="false" outlineLevel="0" collapsed="false">
      <c r="A329" s="0" t="n">
        <v>27</v>
      </c>
      <c r="B329" s="0" t="s">
        <v>66</v>
      </c>
      <c r="C329" s="0" t="s">
        <v>56</v>
      </c>
      <c r="D329" s="0" t="s">
        <v>1676</v>
      </c>
      <c r="E329" s="0" t="n">
        <v>2022</v>
      </c>
      <c r="H329" s="0" t="n">
        <v>14</v>
      </c>
      <c r="I329" s="0" t="n">
        <v>24146</v>
      </c>
      <c r="J329" s="0" t="s">
        <v>290</v>
      </c>
      <c r="K329" s="0" t="s">
        <v>298</v>
      </c>
      <c r="L329" s="0" t="s">
        <v>270</v>
      </c>
      <c r="M329" s="0" t="s">
        <v>1677</v>
      </c>
      <c r="N329" s="0" t="s">
        <v>1677</v>
      </c>
      <c r="O329" s="0" t="s">
        <v>1678</v>
      </c>
      <c r="P329" s="0" t="s">
        <v>1679</v>
      </c>
      <c r="R329" s="0" t="s">
        <v>284</v>
      </c>
      <c r="S329" s="0" t="s">
        <v>268</v>
      </c>
      <c r="T329" s="0" t="s">
        <v>314</v>
      </c>
      <c r="U329" s="0" t="s">
        <v>277</v>
      </c>
      <c r="V329" s="0" t="s">
        <v>1680</v>
      </c>
    </row>
    <row r="330" customFormat="false" ht="15" hidden="false" customHeight="false" outlineLevel="0" collapsed="false">
      <c r="A330" s="0" t="n">
        <v>27</v>
      </c>
      <c r="B330" s="0" t="s">
        <v>66</v>
      </c>
      <c r="C330" s="0" t="s">
        <v>309</v>
      </c>
      <c r="D330" s="0" t="s">
        <v>1681</v>
      </c>
      <c r="E330" s="0" t="n">
        <v>2022</v>
      </c>
      <c r="H330" s="0" t="n">
        <v>1</v>
      </c>
      <c r="I330" s="0" t="n">
        <v>2743</v>
      </c>
      <c r="J330" s="0" t="s">
        <v>268</v>
      </c>
      <c r="K330" s="0" t="s">
        <v>298</v>
      </c>
      <c r="L330" s="0" t="s">
        <v>270</v>
      </c>
      <c r="M330" s="0" t="s">
        <v>1682</v>
      </c>
      <c r="N330" s="0" t="s">
        <v>1682</v>
      </c>
      <c r="O330" s="0" t="s">
        <v>1683</v>
      </c>
      <c r="P330" s="0" t="s">
        <v>1684</v>
      </c>
      <c r="R330" s="0" t="s">
        <v>284</v>
      </c>
      <c r="S330" s="0" t="s">
        <v>268</v>
      </c>
      <c r="T330" s="0" t="s">
        <v>276</v>
      </c>
      <c r="U330" s="0" t="s">
        <v>277</v>
      </c>
    </row>
    <row r="331" customFormat="false" ht="15" hidden="false" customHeight="false" outlineLevel="0" collapsed="false">
      <c r="A331" s="0" t="n">
        <v>27</v>
      </c>
      <c r="B331" s="0" t="s">
        <v>66</v>
      </c>
      <c r="C331" s="0" t="s">
        <v>887</v>
      </c>
      <c r="D331" s="0" t="s">
        <v>1685</v>
      </c>
      <c r="E331" s="0" t="n">
        <v>2026</v>
      </c>
      <c r="H331" s="0" t="n">
        <v>23</v>
      </c>
      <c r="I331" s="0" t="n">
        <v>2649</v>
      </c>
      <c r="J331" s="0" t="s">
        <v>268</v>
      </c>
      <c r="K331" s="0" t="s">
        <v>286</v>
      </c>
      <c r="L331" s="0" t="s">
        <v>270</v>
      </c>
      <c r="M331" s="0" t="s">
        <v>1686</v>
      </c>
      <c r="N331" s="0" t="s">
        <v>1686</v>
      </c>
      <c r="O331" s="0" t="s">
        <v>1687</v>
      </c>
      <c r="P331" s="0" t="s">
        <v>1688</v>
      </c>
      <c r="R331" s="0" t="s">
        <v>275</v>
      </c>
      <c r="S331" s="0" t="s">
        <v>268</v>
      </c>
      <c r="T331" s="0" t="s">
        <v>276</v>
      </c>
      <c r="U331" s="0" t="s">
        <v>277</v>
      </c>
    </row>
    <row r="332" customFormat="false" ht="15" hidden="false" customHeight="false" outlineLevel="0" collapsed="false">
      <c r="A332" s="0" t="n">
        <v>27</v>
      </c>
      <c r="B332" s="0" t="s">
        <v>66</v>
      </c>
      <c r="C332" s="0" t="s">
        <v>887</v>
      </c>
      <c r="D332" s="0" t="s">
        <v>1689</v>
      </c>
      <c r="E332" s="0" t="n">
        <v>2023</v>
      </c>
      <c r="H332" s="0" t="n">
        <v>14</v>
      </c>
      <c r="I332" s="0" t="n">
        <v>16553</v>
      </c>
      <c r="J332" s="0" t="s">
        <v>268</v>
      </c>
      <c r="K332" s="0" t="s">
        <v>286</v>
      </c>
      <c r="L332" s="0" t="s">
        <v>270</v>
      </c>
      <c r="M332" s="0" t="s">
        <v>1690</v>
      </c>
      <c r="N332" s="0" t="s">
        <v>1690</v>
      </c>
      <c r="O332" s="0" t="s">
        <v>1691</v>
      </c>
      <c r="P332" s="0" t="s">
        <v>1692</v>
      </c>
      <c r="R332" s="0" t="s">
        <v>284</v>
      </c>
      <c r="S332" s="0" t="s">
        <v>290</v>
      </c>
      <c r="T332" s="0" t="s">
        <v>276</v>
      </c>
      <c r="U332" s="0" t="s">
        <v>277</v>
      </c>
    </row>
    <row r="333" customFormat="false" ht="15" hidden="false" customHeight="false" outlineLevel="0" collapsed="false">
      <c r="A333" s="0" t="n">
        <v>28</v>
      </c>
      <c r="B333" s="0" t="s">
        <v>67</v>
      </c>
      <c r="C333" s="0" t="s">
        <v>56</v>
      </c>
      <c r="D333" s="0" t="s">
        <v>1693</v>
      </c>
      <c r="E333" s="0" t="n">
        <v>2025</v>
      </c>
      <c r="F333" s="0" t="s">
        <v>1694</v>
      </c>
      <c r="G333" s="0" t="s">
        <v>1695</v>
      </c>
      <c r="H333" s="0" t="n">
        <v>7</v>
      </c>
      <c r="I333" s="0" t="n">
        <v>1761</v>
      </c>
      <c r="J333" s="0" t="s">
        <v>268</v>
      </c>
      <c r="K333" s="0" t="s">
        <v>1696</v>
      </c>
      <c r="L333" s="0" t="s">
        <v>1697</v>
      </c>
      <c r="M333" s="0" t="s">
        <v>1698</v>
      </c>
      <c r="N333" s="0" t="s">
        <v>1698</v>
      </c>
      <c r="O333" s="0" t="s">
        <v>1699</v>
      </c>
      <c r="P333" s="0" t="s">
        <v>1700</v>
      </c>
      <c r="R333" s="0" t="s">
        <v>275</v>
      </c>
      <c r="S333" s="0" t="s">
        <v>268</v>
      </c>
      <c r="T333" s="0" t="s">
        <v>276</v>
      </c>
      <c r="U333" s="0" t="s">
        <v>277</v>
      </c>
    </row>
    <row r="334" customFormat="false" ht="15" hidden="false" customHeight="false" outlineLevel="0" collapsed="false">
      <c r="A334" s="0" t="n">
        <v>28</v>
      </c>
      <c r="B334" s="0" t="s">
        <v>67</v>
      </c>
      <c r="C334" s="0" t="s">
        <v>56</v>
      </c>
      <c r="D334" s="0" t="s">
        <v>1701</v>
      </c>
      <c r="E334" s="0" t="n">
        <v>2021</v>
      </c>
      <c r="F334" s="0" t="s">
        <v>1702</v>
      </c>
      <c r="G334" s="0" t="s">
        <v>1703</v>
      </c>
      <c r="H334" s="0" t="n">
        <v>7</v>
      </c>
      <c r="I334" s="0" t="n">
        <v>1180</v>
      </c>
      <c r="J334" s="0" t="s">
        <v>268</v>
      </c>
      <c r="K334" s="0" t="s">
        <v>1696</v>
      </c>
      <c r="L334" s="0" t="s">
        <v>1697</v>
      </c>
      <c r="M334" s="0" t="s">
        <v>1704</v>
      </c>
      <c r="N334" s="0" t="s">
        <v>1704</v>
      </c>
      <c r="O334" s="0" t="s">
        <v>1705</v>
      </c>
      <c r="P334" s="0" t="s">
        <v>1706</v>
      </c>
      <c r="R334" s="0" t="s">
        <v>284</v>
      </c>
      <c r="S334" s="0" t="s">
        <v>290</v>
      </c>
      <c r="T334" s="0" t="s">
        <v>276</v>
      </c>
      <c r="U334" s="0" t="s">
        <v>277</v>
      </c>
    </row>
    <row r="335" customFormat="false" ht="15" hidden="false" customHeight="false" outlineLevel="0" collapsed="false">
      <c r="A335" s="0" t="n">
        <v>28</v>
      </c>
      <c r="B335" s="0" t="s">
        <v>67</v>
      </c>
      <c r="C335" s="0" t="s">
        <v>56</v>
      </c>
      <c r="D335" s="0" t="s">
        <v>1707</v>
      </c>
      <c r="E335" s="0" t="n">
        <v>2019</v>
      </c>
      <c r="F335" s="0" t="s">
        <v>1708</v>
      </c>
      <c r="G335" s="0" t="s">
        <v>1709</v>
      </c>
      <c r="H335" s="0" t="n">
        <v>7</v>
      </c>
      <c r="I335" s="0" t="n">
        <v>1744</v>
      </c>
      <c r="J335" s="0" t="s">
        <v>268</v>
      </c>
      <c r="K335" s="0" t="s">
        <v>1696</v>
      </c>
      <c r="L335" s="0" t="s">
        <v>1697</v>
      </c>
      <c r="M335" s="0" t="s">
        <v>1710</v>
      </c>
      <c r="N335" s="0" t="s">
        <v>1710</v>
      </c>
      <c r="O335" s="0" t="s">
        <v>1711</v>
      </c>
      <c r="P335" s="0" t="s">
        <v>1712</v>
      </c>
      <c r="R335" s="0" t="s">
        <v>284</v>
      </c>
      <c r="S335" s="0" t="s">
        <v>290</v>
      </c>
      <c r="T335" s="0" t="s">
        <v>276</v>
      </c>
      <c r="U335" s="0" t="s">
        <v>277</v>
      </c>
    </row>
    <row r="336" customFormat="false" ht="15" hidden="false" customHeight="false" outlineLevel="0" collapsed="false">
      <c r="A336" s="0" t="n">
        <v>28</v>
      </c>
      <c r="B336" s="0" t="s">
        <v>67</v>
      </c>
      <c r="C336" s="0" t="s">
        <v>56</v>
      </c>
      <c r="D336" s="0" t="s">
        <v>1713</v>
      </c>
      <c r="E336" s="0" t="n">
        <v>2019</v>
      </c>
      <c r="F336" s="0" t="s">
        <v>1708</v>
      </c>
      <c r="G336" s="0" t="s">
        <v>1709</v>
      </c>
      <c r="H336" s="0" t="n">
        <v>7</v>
      </c>
      <c r="I336" s="0" t="n">
        <v>2793</v>
      </c>
      <c r="J336" s="0" t="s">
        <v>268</v>
      </c>
      <c r="K336" s="0" t="s">
        <v>1696</v>
      </c>
      <c r="L336" s="0" t="s">
        <v>1697</v>
      </c>
      <c r="M336" s="0" t="s">
        <v>1714</v>
      </c>
      <c r="N336" s="0" t="s">
        <v>1714</v>
      </c>
      <c r="O336" s="0" t="s">
        <v>1715</v>
      </c>
      <c r="P336" s="0" t="s">
        <v>1716</v>
      </c>
      <c r="R336" s="0" t="s">
        <v>284</v>
      </c>
      <c r="S336" s="0" t="s">
        <v>290</v>
      </c>
      <c r="T336" s="0" t="s">
        <v>276</v>
      </c>
      <c r="U336" s="0" t="s">
        <v>277</v>
      </c>
    </row>
    <row r="337" customFormat="false" ht="15" hidden="false" customHeight="false" outlineLevel="0" collapsed="false">
      <c r="A337" s="0" t="n">
        <v>28</v>
      </c>
      <c r="B337" s="0" t="s">
        <v>67</v>
      </c>
      <c r="C337" s="0" t="s">
        <v>56</v>
      </c>
      <c r="D337" s="0" t="s">
        <v>1717</v>
      </c>
      <c r="E337" s="0" t="n">
        <v>2018</v>
      </c>
      <c r="F337" s="0" t="s">
        <v>1718</v>
      </c>
      <c r="G337" s="0" t="s">
        <v>1719</v>
      </c>
      <c r="H337" s="0" t="n">
        <v>7</v>
      </c>
      <c r="I337" s="0" t="n">
        <v>1602</v>
      </c>
      <c r="J337" s="0" t="s">
        <v>268</v>
      </c>
      <c r="K337" s="0" t="s">
        <v>1696</v>
      </c>
      <c r="L337" s="0" t="s">
        <v>1697</v>
      </c>
      <c r="M337" s="0" t="s">
        <v>1720</v>
      </c>
      <c r="N337" s="0" t="s">
        <v>1720</v>
      </c>
      <c r="O337" s="0" t="s">
        <v>1721</v>
      </c>
      <c r="P337" s="0" t="s">
        <v>1722</v>
      </c>
      <c r="R337" s="0" t="s">
        <v>284</v>
      </c>
      <c r="S337" s="0" t="s">
        <v>290</v>
      </c>
      <c r="T337" s="0" t="s">
        <v>276</v>
      </c>
      <c r="U337" s="0" t="s">
        <v>277</v>
      </c>
    </row>
    <row r="338" customFormat="false" ht="15" hidden="false" customHeight="false" outlineLevel="0" collapsed="false">
      <c r="A338" s="0" t="n">
        <v>28</v>
      </c>
      <c r="B338" s="0" t="s">
        <v>67</v>
      </c>
      <c r="C338" s="0" t="s">
        <v>309</v>
      </c>
      <c r="D338" s="0" t="s">
        <v>1723</v>
      </c>
      <c r="E338" s="0" t="n">
        <v>2025</v>
      </c>
      <c r="F338" s="0" t="s">
        <v>1694</v>
      </c>
      <c r="G338" s="0" t="s">
        <v>1695</v>
      </c>
      <c r="H338" s="0" t="n">
        <v>1</v>
      </c>
      <c r="I338" s="0" t="n">
        <v>1945</v>
      </c>
      <c r="J338" s="0" t="s">
        <v>290</v>
      </c>
      <c r="K338" s="0" t="s">
        <v>1696</v>
      </c>
      <c r="L338" s="0" t="s">
        <v>1697</v>
      </c>
      <c r="M338" s="0" t="s">
        <v>1724</v>
      </c>
      <c r="N338" s="0" t="s">
        <v>1724</v>
      </c>
      <c r="O338" s="0" t="s">
        <v>1725</v>
      </c>
      <c r="P338" s="0" t="s">
        <v>1726</v>
      </c>
      <c r="R338" s="0" t="s">
        <v>275</v>
      </c>
      <c r="S338" s="0" t="s">
        <v>268</v>
      </c>
      <c r="T338" s="0" t="s">
        <v>276</v>
      </c>
      <c r="U338" s="0" t="s">
        <v>277</v>
      </c>
    </row>
    <row r="339" customFormat="false" ht="15" hidden="false" customHeight="false" outlineLevel="0" collapsed="false">
      <c r="A339" s="0" t="n">
        <v>28</v>
      </c>
      <c r="B339" s="0" t="s">
        <v>67</v>
      </c>
      <c r="C339" s="0" t="s">
        <v>586</v>
      </c>
      <c r="D339" s="0" t="s">
        <v>1727</v>
      </c>
      <c r="E339" s="0" t="n">
        <v>2025</v>
      </c>
      <c r="F339" s="0" t="s">
        <v>1694</v>
      </c>
      <c r="G339" s="0" t="s">
        <v>1695</v>
      </c>
      <c r="H339" s="0" t="n">
        <v>11</v>
      </c>
      <c r="I339" s="0" t="n">
        <v>1248</v>
      </c>
      <c r="J339" s="0" t="s">
        <v>268</v>
      </c>
      <c r="K339" s="0" t="s">
        <v>1696</v>
      </c>
      <c r="L339" s="0" t="s">
        <v>1697</v>
      </c>
      <c r="M339" s="0" t="s">
        <v>1728</v>
      </c>
      <c r="N339" s="0" t="s">
        <v>1728</v>
      </c>
      <c r="O339" s="0" t="s">
        <v>1729</v>
      </c>
      <c r="P339" s="0" t="s">
        <v>1730</v>
      </c>
      <c r="R339" s="0" t="s">
        <v>275</v>
      </c>
      <c r="S339" s="0" t="s">
        <v>268</v>
      </c>
      <c r="T339" s="0" t="s">
        <v>276</v>
      </c>
      <c r="U339" s="0" t="s">
        <v>277</v>
      </c>
    </row>
    <row r="340" customFormat="false" ht="15" hidden="false" customHeight="false" outlineLevel="0" collapsed="false">
      <c r="A340" s="0" t="n">
        <v>28</v>
      </c>
      <c r="B340" s="0" t="s">
        <v>67</v>
      </c>
      <c r="C340" s="0" t="s">
        <v>586</v>
      </c>
      <c r="D340" s="0" t="s">
        <v>1731</v>
      </c>
      <c r="E340" s="0" t="n">
        <v>2019</v>
      </c>
      <c r="H340" s="0" t="n">
        <v>1</v>
      </c>
      <c r="I340" s="0" t="n">
        <v>493</v>
      </c>
      <c r="J340" s="0" t="s">
        <v>268</v>
      </c>
      <c r="K340" s="0" t="s">
        <v>1696</v>
      </c>
      <c r="L340" s="0" t="s">
        <v>1697</v>
      </c>
      <c r="M340" s="0" t="s">
        <v>1732</v>
      </c>
      <c r="N340" s="0" t="s">
        <v>1732</v>
      </c>
      <c r="O340" s="0" t="s">
        <v>1733</v>
      </c>
      <c r="P340" s="0" t="s">
        <v>1734</v>
      </c>
      <c r="R340" s="0" t="s">
        <v>284</v>
      </c>
      <c r="S340" s="0" t="s">
        <v>290</v>
      </c>
      <c r="T340" s="0" t="s">
        <v>276</v>
      </c>
      <c r="U340" s="0" t="s">
        <v>277</v>
      </c>
    </row>
    <row r="341" customFormat="false" ht="15" hidden="false" customHeight="false" outlineLevel="0" collapsed="false">
      <c r="A341" s="0" t="n">
        <v>28</v>
      </c>
      <c r="B341" s="0" t="s">
        <v>67</v>
      </c>
      <c r="C341" s="0" t="s">
        <v>586</v>
      </c>
      <c r="D341" s="0" t="s">
        <v>1735</v>
      </c>
      <c r="E341" s="0" t="n">
        <v>2018</v>
      </c>
      <c r="F341" s="0" t="s">
        <v>1736</v>
      </c>
      <c r="G341" s="0" t="s">
        <v>1719</v>
      </c>
      <c r="H341" s="0" t="n">
        <v>9</v>
      </c>
      <c r="I341" s="0" t="n">
        <v>603</v>
      </c>
      <c r="J341" s="0" t="s">
        <v>268</v>
      </c>
      <c r="K341" s="0" t="s">
        <v>1696</v>
      </c>
      <c r="L341" s="0" t="s">
        <v>1697</v>
      </c>
      <c r="M341" s="0" t="s">
        <v>1737</v>
      </c>
      <c r="N341" s="0" t="s">
        <v>1737</v>
      </c>
      <c r="O341" s="0" t="s">
        <v>1738</v>
      </c>
      <c r="P341" s="0" t="s">
        <v>1739</v>
      </c>
      <c r="R341" s="0" t="s">
        <v>284</v>
      </c>
      <c r="S341" s="0" t="s">
        <v>290</v>
      </c>
      <c r="T341" s="0" t="s">
        <v>276</v>
      </c>
      <c r="U341" s="0" t="s">
        <v>277</v>
      </c>
    </row>
    <row r="342" customFormat="false" ht="15" hidden="false" customHeight="false" outlineLevel="0" collapsed="false">
      <c r="A342" s="0" t="n">
        <v>28</v>
      </c>
      <c r="B342" s="0" t="s">
        <v>67</v>
      </c>
      <c r="C342" s="0" t="s">
        <v>335</v>
      </c>
      <c r="D342" s="0" t="s">
        <v>1740</v>
      </c>
      <c r="E342" s="0" t="n">
        <v>2025</v>
      </c>
      <c r="F342" s="0" t="s">
        <v>1694</v>
      </c>
      <c r="G342" s="0" t="s">
        <v>1695</v>
      </c>
      <c r="H342" s="0" t="n">
        <v>10</v>
      </c>
      <c r="I342" s="0" t="n">
        <v>1102</v>
      </c>
      <c r="J342" s="0" t="s">
        <v>268</v>
      </c>
      <c r="K342" s="0" t="s">
        <v>1696</v>
      </c>
      <c r="L342" s="0" t="s">
        <v>1697</v>
      </c>
      <c r="M342" s="0" t="s">
        <v>1741</v>
      </c>
      <c r="N342" s="0" t="s">
        <v>1741</v>
      </c>
      <c r="O342" s="0" t="s">
        <v>1742</v>
      </c>
      <c r="P342" s="0" t="s">
        <v>1743</v>
      </c>
      <c r="R342" s="0" t="s">
        <v>275</v>
      </c>
      <c r="S342" s="0" t="s">
        <v>268</v>
      </c>
      <c r="T342" s="0" t="s">
        <v>276</v>
      </c>
      <c r="U342" s="0" t="s">
        <v>277</v>
      </c>
    </row>
    <row r="343" customFormat="false" ht="15" hidden="false" customHeight="false" outlineLevel="0" collapsed="false">
      <c r="A343" s="0" t="n">
        <v>28</v>
      </c>
      <c r="B343" s="0" t="s">
        <v>67</v>
      </c>
      <c r="C343" s="0" t="s">
        <v>480</v>
      </c>
      <c r="D343" s="0" t="s">
        <v>1744</v>
      </c>
      <c r="E343" s="0" t="n">
        <v>2025</v>
      </c>
      <c r="F343" s="0" t="s">
        <v>1694</v>
      </c>
      <c r="G343" s="0" t="s">
        <v>1695</v>
      </c>
      <c r="H343" s="0" t="n">
        <v>1</v>
      </c>
      <c r="I343" s="0" t="n">
        <v>516</v>
      </c>
      <c r="J343" s="0" t="s">
        <v>268</v>
      </c>
      <c r="K343" s="0" t="s">
        <v>1696</v>
      </c>
      <c r="L343" s="0" t="s">
        <v>1697</v>
      </c>
      <c r="M343" s="0" t="s">
        <v>1745</v>
      </c>
      <c r="N343" s="0" t="s">
        <v>1745</v>
      </c>
      <c r="O343" s="0" t="s">
        <v>1746</v>
      </c>
      <c r="P343" s="0" t="s">
        <v>1747</v>
      </c>
      <c r="R343" s="0" t="s">
        <v>275</v>
      </c>
      <c r="S343" s="0" t="s">
        <v>268</v>
      </c>
      <c r="T343" s="0" t="s">
        <v>276</v>
      </c>
      <c r="U343" s="0" t="s">
        <v>277</v>
      </c>
    </row>
    <row r="344" customFormat="false" ht="15" hidden="false" customHeight="false" outlineLevel="0" collapsed="false">
      <c r="A344" s="0" t="n">
        <v>28</v>
      </c>
      <c r="B344" s="0" t="s">
        <v>67</v>
      </c>
      <c r="C344" s="0" t="s">
        <v>480</v>
      </c>
      <c r="D344" s="0" t="s">
        <v>1748</v>
      </c>
      <c r="E344" s="0" t="n">
        <v>2018</v>
      </c>
      <c r="H344" s="0" t="n">
        <v>1</v>
      </c>
      <c r="I344" s="0" t="n">
        <v>505</v>
      </c>
      <c r="J344" s="0" t="s">
        <v>268</v>
      </c>
      <c r="K344" s="0" t="s">
        <v>1696</v>
      </c>
      <c r="L344" s="0" t="s">
        <v>1697</v>
      </c>
      <c r="M344" s="0" t="s">
        <v>1749</v>
      </c>
      <c r="N344" s="0" t="s">
        <v>1749</v>
      </c>
      <c r="O344" s="0" t="s">
        <v>1750</v>
      </c>
      <c r="P344" s="0" t="s">
        <v>1751</v>
      </c>
      <c r="R344" s="0" t="s">
        <v>284</v>
      </c>
      <c r="S344" s="0" t="s">
        <v>290</v>
      </c>
      <c r="T344" s="0" t="s">
        <v>276</v>
      </c>
      <c r="U344" s="0" t="s">
        <v>277</v>
      </c>
    </row>
    <row r="345" customFormat="false" ht="15" hidden="false" customHeight="false" outlineLevel="0" collapsed="false">
      <c r="A345" s="0" t="n">
        <v>28</v>
      </c>
      <c r="B345" s="0" t="s">
        <v>67</v>
      </c>
      <c r="C345" s="0" t="s">
        <v>278</v>
      </c>
      <c r="D345" s="0" t="s">
        <v>1752</v>
      </c>
      <c r="E345" s="0" t="n">
        <v>2025</v>
      </c>
      <c r="F345" s="0" t="s">
        <v>1694</v>
      </c>
      <c r="G345" s="0" t="s">
        <v>1695</v>
      </c>
      <c r="H345" s="0" t="n">
        <v>11</v>
      </c>
      <c r="I345" s="0" t="n">
        <v>1447</v>
      </c>
      <c r="J345" s="0" t="s">
        <v>268</v>
      </c>
      <c r="K345" s="0" t="s">
        <v>1696</v>
      </c>
      <c r="L345" s="0" t="s">
        <v>1697</v>
      </c>
      <c r="M345" s="0" t="s">
        <v>1753</v>
      </c>
      <c r="N345" s="0" t="s">
        <v>1753</v>
      </c>
      <c r="O345" s="0" t="s">
        <v>1754</v>
      </c>
      <c r="P345" s="0" t="s">
        <v>1755</v>
      </c>
      <c r="R345" s="0" t="s">
        <v>275</v>
      </c>
      <c r="S345" s="0" t="s">
        <v>268</v>
      </c>
      <c r="T345" s="0" t="s">
        <v>276</v>
      </c>
      <c r="U345" s="0" t="s">
        <v>277</v>
      </c>
    </row>
    <row r="346" customFormat="false" ht="15" hidden="false" customHeight="false" outlineLevel="0" collapsed="false">
      <c r="A346" s="0" t="n">
        <v>29</v>
      </c>
      <c r="B346" s="0" t="s">
        <v>68</v>
      </c>
      <c r="C346" s="0" t="s">
        <v>56</v>
      </c>
      <c r="D346" s="0" t="s">
        <v>1756</v>
      </c>
      <c r="E346" s="0" t="n">
        <v>2025</v>
      </c>
      <c r="F346" s="0" t="s">
        <v>1694</v>
      </c>
      <c r="G346" s="0" t="s">
        <v>1695</v>
      </c>
      <c r="H346" s="0" t="n">
        <v>13</v>
      </c>
      <c r="I346" s="0" t="n">
        <v>671</v>
      </c>
      <c r="J346" s="0" t="s">
        <v>268</v>
      </c>
      <c r="K346" s="0" t="s">
        <v>1696</v>
      </c>
      <c r="L346" s="0" t="s">
        <v>1697</v>
      </c>
      <c r="M346" s="0" t="s">
        <v>1757</v>
      </c>
      <c r="N346" s="0" t="s">
        <v>1757</v>
      </c>
      <c r="O346" s="0" t="s">
        <v>1758</v>
      </c>
      <c r="P346" s="0" t="s">
        <v>1759</v>
      </c>
      <c r="R346" s="0" t="s">
        <v>275</v>
      </c>
      <c r="S346" s="0" t="s">
        <v>268</v>
      </c>
      <c r="T346" s="0" t="s">
        <v>314</v>
      </c>
      <c r="U346" s="0" t="s">
        <v>277</v>
      </c>
      <c r="V346" s="0" t="s">
        <v>1760</v>
      </c>
    </row>
    <row r="347" customFormat="false" ht="15" hidden="false" customHeight="false" outlineLevel="0" collapsed="false">
      <c r="A347" s="0" t="n">
        <v>83</v>
      </c>
      <c r="B347" s="0" t="s">
        <v>134</v>
      </c>
      <c r="C347" s="0" t="s">
        <v>56</v>
      </c>
      <c r="D347" s="0" t="s">
        <v>1756</v>
      </c>
      <c r="E347" s="0" t="n">
        <v>2025</v>
      </c>
      <c r="F347" s="0" t="s">
        <v>1694</v>
      </c>
      <c r="G347" s="0" t="s">
        <v>1695</v>
      </c>
      <c r="H347" s="0" t="n">
        <v>13</v>
      </c>
      <c r="I347" s="0" t="n">
        <v>671</v>
      </c>
      <c r="J347" s="0" t="s">
        <v>268</v>
      </c>
      <c r="K347" s="0" t="s">
        <v>1696</v>
      </c>
      <c r="L347" s="0" t="s">
        <v>1697</v>
      </c>
      <c r="M347" s="0" t="s">
        <v>1757</v>
      </c>
      <c r="N347" s="0" t="s">
        <v>1757</v>
      </c>
      <c r="O347" s="0" t="s">
        <v>1758</v>
      </c>
      <c r="P347" s="0" t="s">
        <v>1759</v>
      </c>
      <c r="R347" s="0" t="s">
        <v>275</v>
      </c>
      <c r="S347" s="0" t="s">
        <v>268</v>
      </c>
      <c r="T347" s="0" t="s">
        <v>314</v>
      </c>
      <c r="U347" s="0" t="s">
        <v>277</v>
      </c>
      <c r="V347" s="0" t="s">
        <v>1760</v>
      </c>
    </row>
    <row r="348" customFormat="false" ht="15" hidden="false" customHeight="false" outlineLevel="0" collapsed="false">
      <c r="A348" s="0" t="n">
        <v>1</v>
      </c>
      <c r="B348" s="0" t="s">
        <v>26</v>
      </c>
      <c r="C348" s="0" t="s">
        <v>56</v>
      </c>
      <c r="D348" s="0" t="s">
        <v>1756</v>
      </c>
      <c r="E348" s="0" t="n">
        <v>2025</v>
      </c>
      <c r="F348" s="0" t="s">
        <v>1694</v>
      </c>
      <c r="G348" s="0" t="s">
        <v>1695</v>
      </c>
      <c r="H348" s="0" t="n">
        <v>13</v>
      </c>
      <c r="I348" s="0" t="n">
        <v>671</v>
      </c>
      <c r="J348" s="0" t="s">
        <v>268</v>
      </c>
      <c r="K348" s="0" t="s">
        <v>1696</v>
      </c>
      <c r="L348" s="0" t="s">
        <v>1697</v>
      </c>
      <c r="M348" s="0" t="s">
        <v>1757</v>
      </c>
      <c r="N348" s="0" t="s">
        <v>1757</v>
      </c>
      <c r="O348" s="0" t="s">
        <v>1758</v>
      </c>
      <c r="P348" s="0" t="s">
        <v>1759</v>
      </c>
      <c r="R348" s="0" t="s">
        <v>275</v>
      </c>
      <c r="S348" s="0" t="s">
        <v>268</v>
      </c>
      <c r="T348" s="0" t="s">
        <v>314</v>
      </c>
      <c r="U348" s="0" t="s">
        <v>277</v>
      </c>
      <c r="V348" s="0" t="s">
        <v>1760</v>
      </c>
    </row>
    <row r="349" customFormat="false" ht="15" hidden="false" customHeight="false" outlineLevel="0" collapsed="false">
      <c r="A349" s="0" t="n">
        <v>29</v>
      </c>
      <c r="B349" s="0" t="s">
        <v>68</v>
      </c>
      <c r="C349" s="0" t="s">
        <v>309</v>
      </c>
      <c r="D349" s="0" t="s">
        <v>1761</v>
      </c>
      <c r="E349" s="0" t="n">
        <v>2023</v>
      </c>
      <c r="H349" s="0" t="n">
        <v>1</v>
      </c>
      <c r="I349" s="0" t="n">
        <v>364</v>
      </c>
      <c r="J349" s="0" t="s">
        <v>290</v>
      </c>
      <c r="K349" s="0" t="s">
        <v>1696</v>
      </c>
      <c r="L349" s="0" t="s">
        <v>1697</v>
      </c>
      <c r="M349" s="0" t="s">
        <v>1762</v>
      </c>
      <c r="N349" s="0" t="s">
        <v>1762</v>
      </c>
      <c r="O349" s="0" t="s">
        <v>1763</v>
      </c>
      <c r="P349" s="0" t="s">
        <v>1764</v>
      </c>
      <c r="R349" s="0" t="s">
        <v>284</v>
      </c>
      <c r="S349" s="0" t="s">
        <v>268</v>
      </c>
      <c r="T349" s="0" t="s">
        <v>276</v>
      </c>
      <c r="U349" s="0" t="s">
        <v>277</v>
      </c>
    </row>
    <row r="350" customFormat="false" ht="15" hidden="false" customHeight="false" outlineLevel="0" collapsed="false">
      <c r="A350" s="0" t="n">
        <v>83</v>
      </c>
      <c r="B350" s="0" t="s">
        <v>134</v>
      </c>
      <c r="C350" s="0" t="s">
        <v>309</v>
      </c>
      <c r="D350" s="0" t="s">
        <v>1761</v>
      </c>
      <c r="E350" s="0" t="n">
        <v>2023</v>
      </c>
      <c r="H350" s="0" t="n">
        <v>1</v>
      </c>
      <c r="I350" s="0" t="n">
        <v>364</v>
      </c>
      <c r="J350" s="0" t="s">
        <v>290</v>
      </c>
      <c r="K350" s="0" t="s">
        <v>1696</v>
      </c>
      <c r="L350" s="0" t="s">
        <v>1697</v>
      </c>
      <c r="M350" s="0" t="s">
        <v>1762</v>
      </c>
      <c r="N350" s="0" t="s">
        <v>1762</v>
      </c>
      <c r="O350" s="0" t="s">
        <v>1763</v>
      </c>
      <c r="P350" s="0" t="s">
        <v>1764</v>
      </c>
      <c r="R350" s="0" t="s">
        <v>284</v>
      </c>
      <c r="S350" s="0" t="s">
        <v>268</v>
      </c>
      <c r="T350" s="0" t="s">
        <v>276</v>
      </c>
      <c r="U350" s="0" t="s">
        <v>277</v>
      </c>
    </row>
    <row r="351" customFormat="false" ht="15" hidden="false" customHeight="false" outlineLevel="0" collapsed="false">
      <c r="A351" s="0" t="n">
        <v>29</v>
      </c>
      <c r="B351" s="0" t="s">
        <v>68</v>
      </c>
      <c r="C351" s="0" t="s">
        <v>887</v>
      </c>
      <c r="D351" s="0" t="s">
        <v>1765</v>
      </c>
      <c r="E351" s="0" t="n">
        <v>2023</v>
      </c>
      <c r="H351" s="0" t="n">
        <v>3</v>
      </c>
      <c r="I351" s="0" t="n">
        <v>848</v>
      </c>
      <c r="J351" s="0" t="s">
        <v>268</v>
      </c>
      <c r="K351" s="0" t="s">
        <v>1696</v>
      </c>
      <c r="L351" s="0" t="s">
        <v>1697</v>
      </c>
      <c r="M351" s="0" t="s">
        <v>1766</v>
      </c>
      <c r="N351" s="0" t="s">
        <v>1766</v>
      </c>
      <c r="O351" s="0" t="s">
        <v>1767</v>
      </c>
      <c r="P351" s="0" t="s">
        <v>1768</v>
      </c>
      <c r="R351" s="0" t="s">
        <v>284</v>
      </c>
      <c r="S351" s="0" t="s">
        <v>268</v>
      </c>
      <c r="T351" s="0" t="s">
        <v>276</v>
      </c>
      <c r="U351" s="0" t="s">
        <v>277</v>
      </c>
    </row>
    <row r="352" customFormat="false" ht="15" hidden="false" customHeight="false" outlineLevel="0" collapsed="false">
      <c r="A352" s="0" t="n">
        <v>83</v>
      </c>
      <c r="B352" s="0" t="s">
        <v>134</v>
      </c>
      <c r="C352" s="0" t="s">
        <v>887</v>
      </c>
      <c r="D352" s="0" t="s">
        <v>1765</v>
      </c>
      <c r="E352" s="0" t="n">
        <v>2023</v>
      </c>
      <c r="H352" s="0" t="n">
        <v>3</v>
      </c>
      <c r="I352" s="0" t="n">
        <v>848</v>
      </c>
      <c r="J352" s="0" t="s">
        <v>268</v>
      </c>
      <c r="K352" s="0" t="s">
        <v>1696</v>
      </c>
      <c r="L352" s="0" t="s">
        <v>1697</v>
      </c>
      <c r="M352" s="0" t="s">
        <v>1766</v>
      </c>
      <c r="N352" s="0" t="s">
        <v>1766</v>
      </c>
      <c r="O352" s="0" t="s">
        <v>1767</v>
      </c>
      <c r="P352" s="0" t="s">
        <v>1768</v>
      </c>
      <c r="R352" s="0" t="s">
        <v>284</v>
      </c>
      <c r="S352" s="0" t="s">
        <v>268</v>
      </c>
      <c r="T352" s="0" t="s">
        <v>276</v>
      </c>
      <c r="U352" s="0" t="s">
        <v>277</v>
      </c>
    </row>
    <row r="353" customFormat="false" ht="15" hidden="false" customHeight="false" outlineLevel="0" collapsed="false">
      <c r="A353" s="0" t="n">
        <v>30</v>
      </c>
      <c r="B353" s="0" t="s">
        <v>70</v>
      </c>
      <c r="C353" s="0" t="s">
        <v>56</v>
      </c>
      <c r="D353" s="0" t="s">
        <v>1769</v>
      </c>
      <c r="E353" s="0" t="n">
        <v>2023</v>
      </c>
      <c r="F353" s="0" t="s">
        <v>1770</v>
      </c>
      <c r="G353" s="0" t="s">
        <v>1771</v>
      </c>
      <c r="H353" s="0" t="n">
        <v>7</v>
      </c>
      <c r="I353" s="0" t="n">
        <v>1358</v>
      </c>
      <c r="J353" s="0" t="s">
        <v>268</v>
      </c>
      <c r="K353" s="0" t="s">
        <v>1696</v>
      </c>
      <c r="L353" s="0" t="s">
        <v>1697</v>
      </c>
      <c r="M353" s="0" t="s">
        <v>1772</v>
      </c>
      <c r="N353" s="0" t="s">
        <v>1772</v>
      </c>
      <c r="O353" s="0" t="s">
        <v>1773</v>
      </c>
      <c r="P353" s="0" t="s">
        <v>1774</v>
      </c>
      <c r="R353" s="0" t="s">
        <v>284</v>
      </c>
      <c r="S353" s="0" t="s">
        <v>268</v>
      </c>
      <c r="T353" s="0" t="s">
        <v>276</v>
      </c>
      <c r="U353" s="0" t="s">
        <v>277</v>
      </c>
    </row>
    <row r="354" customFormat="false" ht="15" hidden="false" customHeight="false" outlineLevel="0" collapsed="false">
      <c r="A354" s="0" t="n">
        <v>30</v>
      </c>
      <c r="B354" s="0" t="s">
        <v>70</v>
      </c>
      <c r="C354" s="0" t="s">
        <v>56</v>
      </c>
      <c r="D354" s="0" t="s">
        <v>1775</v>
      </c>
      <c r="E354" s="0" t="n">
        <v>2020</v>
      </c>
      <c r="F354" s="0" t="s">
        <v>1776</v>
      </c>
      <c r="G354" s="0" t="s">
        <v>1777</v>
      </c>
      <c r="H354" s="0" t="n">
        <v>7</v>
      </c>
      <c r="I354" s="0" t="n">
        <v>2752</v>
      </c>
      <c r="J354" s="0" t="s">
        <v>268</v>
      </c>
      <c r="K354" s="0" t="s">
        <v>1696</v>
      </c>
      <c r="L354" s="0" t="s">
        <v>1697</v>
      </c>
      <c r="M354" s="0" t="s">
        <v>1778</v>
      </c>
      <c r="N354" s="0" t="s">
        <v>1778</v>
      </c>
      <c r="O354" s="0" t="s">
        <v>1779</v>
      </c>
      <c r="P354" s="0" t="s">
        <v>1780</v>
      </c>
      <c r="R354" s="0" t="s">
        <v>284</v>
      </c>
      <c r="S354" s="0" t="s">
        <v>290</v>
      </c>
      <c r="T354" s="0" t="s">
        <v>276</v>
      </c>
      <c r="U354" s="0" t="s">
        <v>277</v>
      </c>
    </row>
    <row r="355" customFormat="false" ht="15" hidden="false" customHeight="false" outlineLevel="0" collapsed="false">
      <c r="A355" s="0" t="n">
        <v>30</v>
      </c>
      <c r="B355" s="0" t="s">
        <v>70</v>
      </c>
      <c r="C355" s="0" t="s">
        <v>56</v>
      </c>
      <c r="D355" s="0" t="s">
        <v>1781</v>
      </c>
      <c r="E355" s="0" t="n">
        <v>2019</v>
      </c>
      <c r="H355" s="0" t="n">
        <v>7</v>
      </c>
      <c r="I355" s="0" t="n">
        <v>1219</v>
      </c>
      <c r="J355" s="0" t="s">
        <v>268</v>
      </c>
      <c r="K355" s="0" t="s">
        <v>298</v>
      </c>
      <c r="L355" s="0" t="s">
        <v>270</v>
      </c>
      <c r="M355" s="0" t="s">
        <v>1782</v>
      </c>
      <c r="N355" s="0" t="s">
        <v>1782</v>
      </c>
      <c r="O355" s="0" t="s">
        <v>1783</v>
      </c>
      <c r="P355" s="0" t="s">
        <v>1784</v>
      </c>
      <c r="R355" s="0" t="s">
        <v>284</v>
      </c>
      <c r="S355" s="0" t="s">
        <v>290</v>
      </c>
      <c r="T355" s="0" t="s">
        <v>276</v>
      </c>
      <c r="U355" s="0" t="s">
        <v>277</v>
      </c>
    </row>
    <row r="356" customFormat="false" ht="15" hidden="false" customHeight="false" outlineLevel="0" collapsed="false">
      <c r="A356" s="0" t="n">
        <v>30</v>
      </c>
      <c r="B356" s="0" t="s">
        <v>70</v>
      </c>
      <c r="C356" s="0" t="s">
        <v>91</v>
      </c>
      <c r="D356" s="0" t="s">
        <v>1785</v>
      </c>
      <c r="E356" s="0" t="n">
        <v>2019</v>
      </c>
      <c r="H356" s="0" t="n">
        <v>10</v>
      </c>
      <c r="I356" s="0" t="n">
        <v>3454</v>
      </c>
      <c r="J356" s="0" t="s">
        <v>268</v>
      </c>
      <c r="K356" s="0" t="s">
        <v>1696</v>
      </c>
      <c r="L356" s="0" t="s">
        <v>1697</v>
      </c>
      <c r="M356" s="0" t="s">
        <v>1786</v>
      </c>
      <c r="N356" s="0" t="s">
        <v>1786</v>
      </c>
      <c r="O356" s="0" t="s">
        <v>1787</v>
      </c>
      <c r="P356" s="0" t="s">
        <v>1788</v>
      </c>
      <c r="R356" s="0" t="s">
        <v>284</v>
      </c>
      <c r="S356" s="0" t="s">
        <v>268</v>
      </c>
      <c r="T356" s="0" t="s">
        <v>276</v>
      </c>
      <c r="U356" s="0" t="s">
        <v>277</v>
      </c>
    </row>
    <row r="357" customFormat="false" ht="15" hidden="false" customHeight="false" outlineLevel="0" collapsed="false">
      <c r="A357" s="0" t="n">
        <v>30</v>
      </c>
      <c r="B357" s="0" t="s">
        <v>70</v>
      </c>
      <c r="C357" s="0" t="s">
        <v>309</v>
      </c>
      <c r="D357" s="0" t="s">
        <v>1789</v>
      </c>
      <c r="E357" s="0" t="n">
        <v>2022</v>
      </c>
      <c r="F357" s="0" t="s">
        <v>1790</v>
      </c>
      <c r="G357" s="0" t="s">
        <v>1791</v>
      </c>
      <c r="H357" s="0" t="n">
        <v>1</v>
      </c>
      <c r="I357" s="0" t="n">
        <v>1544</v>
      </c>
      <c r="J357" s="0" t="s">
        <v>290</v>
      </c>
      <c r="K357" s="0" t="s">
        <v>1696</v>
      </c>
      <c r="L357" s="0" t="s">
        <v>1697</v>
      </c>
      <c r="M357" s="0" t="s">
        <v>1792</v>
      </c>
      <c r="N357" s="0" t="s">
        <v>1792</v>
      </c>
      <c r="O357" s="0" t="s">
        <v>1793</v>
      </c>
      <c r="P357" s="0" t="s">
        <v>1794</v>
      </c>
      <c r="R357" s="0" t="s">
        <v>284</v>
      </c>
      <c r="S357" s="0" t="s">
        <v>268</v>
      </c>
      <c r="T357" s="0" t="s">
        <v>276</v>
      </c>
      <c r="U357" s="0" t="s">
        <v>277</v>
      </c>
    </row>
    <row r="358" customFormat="false" ht="15" hidden="false" customHeight="false" outlineLevel="0" collapsed="false">
      <c r="A358" s="0" t="n">
        <v>30</v>
      </c>
      <c r="B358" s="0" t="s">
        <v>70</v>
      </c>
      <c r="C358" s="0" t="s">
        <v>309</v>
      </c>
      <c r="D358" s="0" t="s">
        <v>1795</v>
      </c>
      <c r="E358" s="0" t="n">
        <v>2019</v>
      </c>
      <c r="H358" s="0" t="n">
        <v>1</v>
      </c>
      <c r="I358" s="0" t="n">
        <v>1500</v>
      </c>
      <c r="J358" s="0" t="s">
        <v>290</v>
      </c>
      <c r="K358" s="0" t="s">
        <v>298</v>
      </c>
      <c r="L358" s="0" t="s">
        <v>270</v>
      </c>
      <c r="M358" s="0" t="s">
        <v>1796</v>
      </c>
      <c r="N358" s="0" t="s">
        <v>1796</v>
      </c>
      <c r="O358" s="0" t="s">
        <v>1797</v>
      </c>
      <c r="P358" s="0" t="s">
        <v>1798</v>
      </c>
      <c r="R358" s="0" t="s">
        <v>284</v>
      </c>
      <c r="S358" s="0" t="s">
        <v>290</v>
      </c>
      <c r="T358" s="0" t="s">
        <v>276</v>
      </c>
      <c r="U358" s="0" t="s">
        <v>277</v>
      </c>
    </row>
    <row r="359" customFormat="false" ht="15" hidden="false" customHeight="false" outlineLevel="0" collapsed="false">
      <c r="A359" s="0" t="n">
        <v>30</v>
      </c>
      <c r="B359" s="0" t="s">
        <v>70</v>
      </c>
      <c r="C359" s="0" t="s">
        <v>309</v>
      </c>
      <c r="D359" s="0" t="s">
        <v>1799</v>
      </c>
      <c r="E359" s="0" t="n">
        <v>2018</v>
      </c>
      <c r="H359" s="0" t="n">
        <v>1</v>
      </c>
      <c r="I359" s="0" t="n">
        <v>1548</v>
      </c>
      <c r="J359" s="0" t="s">
        <v>290</v>
      </c>
      <c r="K359" s="0" t="s">
        <v>1696</v>
      </c>
      <c r="L359" s="0" t="s">
        <v>1697</v>
      </c>
      <c r="M359" s="0" t="s">
        <v>1800</v>
      </c>
      <c r="N359" s="0" t="s">
        <v>1801</v>
      </c>
      <c r="O359" s="0" t="s">
        <v>1802</v>
      </c>
      <c r="P359" s="0" t="s">
        <v>1803</v>
      </c>
      <c r="R359" s="0" t="s">
        <v>284</v>
      </c>
      <c r="S359" s="0" t="s">
        <v>290</v>
      </c>
      <c r="T359" s="0" t="s">
        <v>276</v>
      </c>
      <c r="U359" s="0" t="s">
        <v>277</v>
      </c>
    </row>
    <row r="360" customFormat="false" ht="15" hidden="false" customHeight="false" outlineLevel="0" collapsed="false">
      <c r="A360" s="0" t="n">
        <v>30</v>
      </c>
      <c r="B360" s="0" t="s">
        <v>70</v>
      </c>
      <c r="C360" s="0" t="s">
        <v>335</v>
      </c>
      <c r="D360" s="0" t="s">
        <v>1804</v>
      </c>
      <c r="E360" s="0" t="n">
        <v>2019</v>
      </c>
      <c r="H360" s="0" t="n">
        <v>9</v>
      </c>
      <c r="I360" s="0" t="n">
        <v>1021</v>
      </c>
      <c r="J360" s="0" t="s">
        <v>268</v>
      </c>
      <c r="K360" s="0" t="s">
        <v>1696</v>
      </c>
      <c r="L360" s="0" t="s">
        <v>1697</v>
      </c>
      <c r="M360" s="0" t="s">
        <v>1805</v>
      </c>
      <c r="N360" s="0" t="s">
        <v>1805</v>
      </c>
      <c r="O360" s="0" t="s">
        <v>1806</v>
      </c>
      <c r="P360" s="0" t="s">
        <v>1807</v>
      </c>
      <c r="R360" s="0" t="s">
        <v>284</v>
      </c>
      <c r="S360" s="0" t="s">
        <v>268</v>
      </c>
      <c r="T360" s="0" t="s">
        <v>314</v>
      </c>
      <c r="U360" s="0" t="s">
        <v>277</v>
      </c>
      <c r="V360" s="0" t="s">
        <v>1808</v>
      </c>
    </row>
    <row r="361" customFormat="false" ht="15" hidden="false" customHeight="false" outlineLevel="0" collapsed="false">
      <c r="A361" s="0" t="n">
        <v>28</v>
      </c>
      <c r="B361" s="0" t="s">
        <v>67</v>
      </c>
      <c r="C361" s="0" t="s">
        <v>335</v>
      </c>
      <c r="D361" s="0" t="s">
        <v>1804</v>
      </c>
      <c r="E361" s="0" t="n">
        <v>2019</v>
      </c>
      <c r="H361" s="0" t="n">
        <v>9</v>
      </c>
      <c r="I361" s="0" t="n">
        <v>1021</v>
      </c>
      <c r="J361" s="0" t="s">
        <v>268</v>
      </c>
      <c r="K361" s="0" t="s">
        <v>1696</v>
      </c>
      <c r="L361" s="0" t="s">
        <v>1697</v>
      </c>
      <c r="M361" s="0" t="s">
        <v>1805</v>
      </c>
      <c r="N361" s="0" t="s">
        <v>1805</v>
      </c>
      <c r="O361" s="0" t="s">
        <v>1806</v>
      </c>
      <c r="P361" s="0" t="s">
        <v>1807</v>
      </c>
      <c r="R361" s="0" t="s">
        <v>284</v>
      </c>
      <c r="S361" s="0" t="s">
        <v>268</v>
      </c>
      <c r="T361" s="0" t="s">
        <v>314</v>
      </c>
      <c r="U361" s="0" t="s">
        <v>277</v>
      </c>
      <c r="V361" s="0" t="s">
        <v>1808</v>
      </c>
    </row>
    <row r="362" customFormat="false" ht="15" hidden="false" customHeight="false" outlineLevel="0" collapsed="false">
      <c r="A362" s="0" t="n">
        <v>31</v>
      </c>
      <c r="B362" s="0" t="s">
        <v>71</v>
      </c>
      <c r="C362" s="0" t="s">
        <v>56</v>
      </c>
      <c r="D362" s="0" t="s">
        <v>1809</v>
      </c>
      <c r="E362" s="0" t="n">
        <v>2021</v>
      </c>
      <c r="F362" s="0" t="s">
        <v>1702</v>
      </c>
      <c r="G362" s="0" t="s">
        <v>1703</v>
      </c>
      <c r="H362" s="0" t="n">
        <v>2</v>
      </c>
      <c r="I362" s="0" t="n">
        <v>1287</v>
      </c>
      <c r="J362" s="0" t="s">
        <v>268</v>
      </c>
      <c r="K362" s="0" t="s">
        <v>1696</v>
      </c>
      <c r="L362" s="0" t="s">
        <v>1697</v>
      </c>
      <c r="M362" s="0" t="s">
        <v>1810</v>
      </c>
      <c r="N362" s="0" t="s">
        <v>1810</v>
      </c>
      <c r="O362" s="0" t="s">
        <v>1811</v>
      </c>
      <c r="P362" s="0" t="s">
        <v>1812</v>
      </c>
      <c r="R362" s="0" t="s">
        <v>284</v>
      </c>
      <c r="S362" s="0" t="s">
        <v>268</v>
      </c>
      <c r="T362" s="0" t="s">
        <v>276</v>
      </c>
      <c r="U362" s="0" t="s">
        <v>277</v>
      </c>
    </row>
    <row r="363" customFormat="false" ht="15" hidden="false" customHeight="false" outlineLevel="0" collapsed="false">
      <c r="A363" s="0" t="n">
        <v>31</v>
      </c>
      <c r="B363" s="0" t="s">
        <v>71</v>
      </c>
      <c r="C363" s="0" t="s">
        <v>56</v>
      </c>
      <c r="D363" s="0" t="s">
        <v>1813</v>
      </c>
      <c r="E363" s="0" t="n">
        <v>2019</v>
      </c>
      <c r="F363" s="0" t="s">
        <v>1708</v>
      </c>
      <c r="G363" s="0" t="s">
        <v>1709</v>
      </c>
      <c r="H363" s="0" t="n">
        <v>2</v>
      </c>
      <c r="I363" s="0" t="n">
        <v>640</v>
      </c>
      <c r="J363" s="0" t="s">
        <v>268</v>
      </c>
      <c r="K363" s="0" t="s">
        <v>1696</v>
      </c>
      <c r="L363" s="0" t="s">
        <v>1697</v>
      </c>
      <c r="M363" s="0" t="s">
        <v>1814</v>
      </c>
      <c r="N363" s="0" t="s">
        <v>1814</v>
      </c>
      <c r="O363" s="0" t="s">
        <v>1815</v>
      </c>
      <c r="P363" s="0" t="s">
        <v>1816</v>
      </c>
      <c r="R363" s="0" t="s">
        <v>284</v>
      </c>
      <c r="S363" s="0" t="s">
        <v>290</v>
      </c>
      <c r="T363" s="0" t="s">
        <v>276</v>
      </c>
      <c r="U363" s="0" t="s">
        <v>277</v>
      </c>
    </row>
    <row r="364" customFormat="false" ht="15" hidden="false" customHeight="false" outlineLevel="0" collapsed="false">
      <c r="A364" s="0" t="n">
        <v>31</v>
      </c>
      <c r="B364" s="0" t="s">
        <v>71</v>
      </c>
      <c r="C364" s="0" t="s">
        <v>56</v>
      </c>
      <c r="D364" s="0" t="s">
        <v>1817</v>
      </c>
      <c r="E364" s="0" t="n">
        <v>2018</v>
      </c>
      <c r="H364" s="0" t="n">
        <v>3</v>
      </c>
      <c r="I364" s="0" t="n">
        <v>551</v>
      </c>
      <c r="J364" s="0" t="s">
        <v>268</v>
      </c>
      <c r="K364" s="0" t="s">
        <v>1696</v>
      </c>
      <c r="L364" s="0" t="s">
        <v>1697</v>
      </c>
      <c r="M364" s="0" t="s">
        <v>1818</v>
      </c>
      <c r="N364" s="0" t="s">
        <v>1819</v>
      </c>
      <c r="O364" s="0" t="s">
        <v>1820</v>
      </c>
      <c r="P364" s="0" t="s">
        <v>1821</v>
      </c>
      <c r="R364" s="0" t="s">
        <v>284</v>
      </c>
      <c r="S364" s="0" t="s">
        <v>290</v>
      </c>
      <c r="T364" s="0" t="s">
        <v>276</v>
      </c>
      <c r="U364" s="0" t="s">
        <v>277</v>
      </c>
    </row>
    <row r="365" customFormat="false" ht="15" hidden="false" customHeight="false" outlineLevel="0" collapsed="false">
      <c r="A365" s="0" t="n">
        <v>31</v>
      </c>
      <c r="B365" s="0" t="s">
        <v>71</v>
      </c>
      <c r="C365" s="0" t="s">
        <v>480</v>
      </c>
      <c r="D365" s="0" t="s">
        <v>1822</v>
      </c>
      <c r="E365" s="0" t="n">
        <v>2021</v>
      </c>
      <c r="F365" s="0" t="s">
        <v>1702</v>
      </c>
      <c r="G365" s="0" t="s">
        <v>1703</v>
      </c>
      <c r="H365" s="0" t="n">
        <v>1</v>
      </c>
      <c r="I365" s="0" t="n">
        <v>1226</v>
      </c>
      <c r="J365" s="0" t="s">
        <v>268</v>
      </c>
      <c r="K365" s="0" t="s">
        <v>1696</v>
      </c>
      <c r="L365" s="0" t="s">
        <v>1697</v>
      </c>
      <c r="M365" s="0" t="s">
        <v>1823</v>
      </c>
      <c r="N365" s="0" t="s">
        <v>1823</v>
      </c>
      <c r="O365" s="0" t="s">
        <v>1824</v>
      </c>
      <c r="P365" s="0" t="s">
        <v>1825</v>
      </c>
      <c r="R365" s="0" t="s">
        <v>284</v>
      </c>
      <c r="S365" s="0" t="s">
        <v>268</v>
      </c>
      <c r="T365" s="0" t="s">
        <v>276</v>
      </c>
      <c r="U365" s="0" t="s">
        <v>277</v>
      </c>
    </row>
    <row r="366" customFormat="false" ht="15" hidden="false" customHeight="false" outlineLevel="0" collapsed="false">
      <c r="A366" s="0" t="n">
        <v>32</v>
      </c>
      <c r="B366" s="0" t="s">
        <v>72</v>
      </c>
      <c r="C366" s="0" t="s">
        <v>56</v>
      </c>
      <c r="D366" s="0" t="s">
        <v>1826</v>
      </c>
      <c r="E366" s="0" t="n">
        <v>2025</v>
      </c>
      <c r="H366" s="0" t="n">
        <v>6</v>
      </c>
      <c r="I366" s="0" t="n">
        <v>2993</v>
      </c>
      <c r="J366" s="0" t="s">
        <v>268</v>
      </c>
      <c r="K366" s="0" t="s">
        <v>298</v>
      </c>
      <c r="L366" s="0" t="s">
        <v>270</v>
      </c>
      <c r="M366" s="0" t="s">
        <v>1827</v>
      </c>
      <c r="N366" s="0" t="s">
        <v>1827</v>
      </c>
      <c r="O366" s="0" t="s">
        <v>1828</v>
      </c>
      <c r="P366" s="0" t="s">
        <v>1829</v>
      </c>
      <c r="R366" s="0" t="s">
        <v>275</v>
      </c>
      <c r="S366" s="0" t="s">
        <v>268</v>
      </c>
      <c r="T366" s="0" t="s">
        <v>276</v>
      </c>
      <c r="U366" s="0" t="s">
        <v>277</v>
      </c>
    </row>
    <row r="367" customFormat="false" ht="15" hidden="false" customHeight="false" outlineLevel="0" collapsed="false">
      <c r="A367" s="0" t="n">
        <v>32</v>
      </c>
      <c r="B367" s="0" t="s">
        <v>72</v>
      </c>
      <c r="C367" s="0" t="s">
        <v>309</v>
      </c>
      <c r="D367" s="0" t="s">
        <v>1830</v>
      </c>
      <c r="E367" s="0" t="n">
        <v>2025</v>
      </c>
      <c r="H367" s="0" t="n">
        <v>1</v>
      </c>
      <c r="I367" s="0" t="n">
        <v>4694</v>
      </c>
      <c r="J367" s="0" t="s">
        <v>268</v>
      </c>
      <c r="K367" s="0" t="s">
        <v>298</v>
      </c>
      <c r="L367" s="0" t="s">
        <v>270</v>
      </c>
      <c r="M367" s="0" t="s">
        <v>1831</v>
      </c>
      <c r="N367" s="0" t="s">
        <v>1831</v>
      </c>
      <c r="O367" s="0" t="s">
        <v>1832</v>
      </c>
      <c r="P367" s="0" t="s">
        <v>1833</v>
      </c>
      <c r="R367" s="0" t="s">
        <v>275</v>
      </c>
      <c r="S367" s="0" t="s">
        <v>268</v>
      </c>
      <c r="T367" s="0" t="s">
        <v>276</v>
      </c>
      <c r="U367" s="0" t="s">
        <v>277</v>
      </c>
    </row>
    <row r="368" customFormat="false" ht="15" hidden="false" customHeight="false" outlineLevel="0" collapsed="false">
      <c r="A368" s="0" t="n">
        <v>32</v>
      </c>
      <c r="B368" s="0" t="s">
        <v>72</v>
      </c>
      <c r="C368" s="0" t="s">
        <v>309</v>
      </c>
      <c r="D368" s="0" t="s">
        <v>1834</v>
      </c>
      <c r="E368" s="0" t="n">
        <v>2024</v>
      </c>
      <c r="H368" s="0" t="n">
        <v>1</v>
      </c>
      <c r="I368" s="0" t="n">
        <v>1092</v>
      </c>
      <c r="J368" s="0" t="s">
        <v>268</v>
      </c>
      <c r="K368" s="0" t="s">
        <v>298</v>
      </c>
      <c r="L368" s="0" t="s">
        <v>270</v>
      </c>
      <c r="M368" s="0" t="s">
        <v>1835</v>
      </c>
      <c r="N368" s="0" t="s">
        <v>1835</v>
      </c>
      <c r="O368" s="0" t="s">
        <v>1836</v>
      </c>
      <c r="P368" s="0" t="s">
        <v>1837</v>
      </c>
      <c r="R368" s="0" t="s">
        <v>284</v>
      </c>
      <c r="S368" s="0" t="s">
        <v>290</v>
      </c>
      <c r="T368" s="0" t="s">
        <v>276</v>
      </c>
      <c r="U368" s="0" t="s">
        <v>277</v>
      </c>
    </row>
    <row r="369" customFormat="false" ht="15" hidden="false" customHeight="false" outlineLevel="0" collapsed="false">
      <c r="A369" s="0" t="n">
        <v>32</v>
      </c>
      <c r="B369" s="0" t="s">
        <v>72</v>
      </c>
      <c r="C369" s="0" t="s">
        <v>309</v>
      </c>
      <c r="D369" s="0" t="s">
        <v>1838</v>
      </c>
      <c r="E369" s="0" t="n">
        <v>2022</v>
      </c>
      <c r="H369" s="0" t="n">
        <v>1</v>
      </c>
      <c r="I369" s="0" t="n">
        <v>543</v>
      </c>
      <c r="J369" s="0" t="s">
        <v>290</v>
      </c>
      <c r="K369" s="0" t="s">
        <v>1839</v>
      </c>
      <c r="L369" s="0" t="s">
        <v>293</v>
      </c>
      <c r="M369" s="0" t="s">
        <v>1840</v>
      </c>
      <c r="N369" s="0" t="s">
        <v>1840</v>
      </c>
      <c r="O369" s="0" t="s">
        <v>1841</v>
      </c>
      <c r="P369" s="0" t="s">
        <v>1842</v>
      </c>
      <c r="R369" s="0" t="s">
        <v>284</v>
      </c>
      <c r="S369" s="0" t="s">
        <v>290</v>
      </c>
      <c r="T369" s="0" t="s">
        <v>276</v>
      </c>
      <c r="U369" s="0" t="s">
        <v>277</v>
      </c>
    </row>
    <row r="370" customFormat="false" ht="15" hidden="false" customHeight="false" outlineLevel="0" collapsed="false">
      <c r="A370" s="0" t="n">
        <v>32</v>
      </c>
      <c r="B370" s="0" t="s">
        <v>72</v>
      </c>
      <c r="C370" s="0" t="s">
        <v>500</v>
      </c>
      <c r="D370" s="0" t="s">
        <v>1843</v>
      </c>
      <c r="E370" s="0" t="n">
        <v>2024</v>
      </c>
      <c r="H370" s="0" t="n">
        <v>1</v>
      </c>
      <c r="I370" s="0" t="n">
        <v>719</v>
      </c>
      <c r="J370" s="0" t="s">
        <v>268</v>
      </c>
      <c r="K370" s="0" t="s">
        <v>1839</v>
      </c>
      <c r="L370" s="0" t="s">
        <v>293</v>
      </c>
      <c r="M370" s="0" t="s">
        <v>1844</v>
      </c>
      <c r="N370" s="0" t="s">
        <v>1844</v>
      </c>
      <c r="O370" s="0" t="s">
        <v>1845</v>
      </c>
      <c r="P370" s="0" t="s">
        <v>1846</v>
      </c>
      <c r="R370" s="0" t="s">
        <v>284</v>
      </c>
      <c r="S370" s="0" t="s">
        <v>268</v>
      </c>
      <c r="T370" s="0" t="s">
        <v>276</v>
      </c>
      <c r="U370" s="0" t="s">
        <v>277</v>
      </c>
    </row>
    <row r="371" customFormat="false" ht="15" hidden="false" customHeight="false" outlineLevel="0" collapsed="false">
      <c r="A371" s="0" t="n">
        <v>33</v>
      </c>
      <c r="B371" s="0" t="s">
        <v>73</v>
      </c>
      <c r="C371" s="0" t="s">
        <v>56</v>
      </c>
      <c r="D371" s="0" t="s">
        <v>1847</v>
      </c>
      <c r="E371" s="0" t="n">
        <v>2026</v>
      </c>
      <c r="H371" s="0" t="n">
        <v>4</v>
      </c>
      <c r="I371" s="0" t="n">
        <v>5839</v>
      </c>
      <c r="J371" s="0" t="s">
        <v>268</v>
      </c>
      <c r="K371" s="0" t="s">
        <v>1848</v>
      </c>
      <c r="L371" s="0" t="s">
        <v>293</v>
      </c>
      <c r="M371" s="0" t="s">
        <v>1849</v>
      </c>
      <c r="N371" s="0" t="s">
        <v>1850</v>
      </c>
      <c r="O371" s="0" t="s">
        <v>1851</v>
      </c>
      <c r="P371" s="0" t="s">
        <v>1852</v>
      </c>
      <c r="R371" s="0" t="s">
        <v>275</v>
      </c>
      <c r="S371" s="0" t="s">
        <v>290</v>
      </c>
      <c r="T371" s="0" t="s">
        <v>276</v>
      </c>
      <c r="U371" s="0" t="s">
        <v>277</v>
      </c>
    </row>
    <row r="372" customFormat="false" ht="15" hidden="false" customHeight="false" outlineLevel="0" collapsed="false">
      <c r="A372" s="0" t="n">
        <v>33</v>
      </c>
      <c r="B372" s="0" t="s">
        <v>73</v>
      </c>
      <c r="C372" s="0" t="s">
        <v>56</v>
      </c>
      <c r="D372" s="0" t="s">
        <v>1853</v>
      </c>
      <c r="E372" s="0" t="n">
        <v>2026</v>
      </c>
      <c r="H372" s="0" t="n">
        <v>9</v>
      </c>
      <c r="I372" s="0" t="n">
        <v>7587</v>
      </c>
      <c r="J372" s="0" t="s">
        <v>268</v>
      </c>
      <c r="K372" s="0" t="s">
        <v>1848</v>
      </c>
      <c r="L372" s="0" t="s">
        <v>293</v>
      </c>
      <c r="M372" s="0" t="s">
        <v>1854</v>
      </c>
      <c r="N372" s="0" t="s">
        <v>1854</v>
      </c>
      <c r="O372" s="0" t="s">
        <v>1855</v>
      </c>
      <c r="P372" s="0" t="s">
        <v>1856</v>
      </c>
      <c r="R372" s="0" t="s">
        <v>275</v>
      </c>
      <c r="S372" s="0" t="s">
        <v>268</v>
      </c>
      <c r="T372" s="0" t="s">
        <v>276</v>
      </c>
      <c r="U372" s="0" t="s">
        <v>277</v>
      </c>
    </row>
    <row r="373" customFormat="false" ht="15" hidden="false" customHeight="false" outlineLevel="0" collapsed="false">
      <c r="A373" s="0" t="n">
        <v>33</v>
      </c>
      <c r="B373" s="0" t="s">
        <v>73</v>
      </c>
      <c r="C373" s="0" t="s">
        <v>56</v>
      </c>
      <c r="D373" s="0" t="s">
        <v>1857</v>
      </c>
      <c r="E373" s="0" t="n">
        <v>2026</v>
      </c>
      <c r="H373" s="0" t="n">
        <v>4</v>
      </c>
      <c r="I373" s="0" t="n">
        <v>5839</v>
      </c>
      <c r="J373" s="0" t="s">
        <v>268</v>
      </c>
      <c r="K373" s="0" t="s">
        <v>1848</v>
      </c>
      <c r="L373" s="0" t="s">
        <v>293</v>
      </c>
      <c r="M373" s="0" t="s">
        <v>1858</v>
      </c>
      <c r="N373" s="0" t="s">
        <v>1859</v>
      </c>
      <c r="O373" s="0" t="s">
        <v>1860</v>
      </c>
      <c r="P373" s="0" t="s">
        <v>1861</v>
      </c>
      <c r="R373" s="0" t="s">
        <v>275</v>
      </c>
      <c r="S373" s="0" t="s">
        <v>290</v>
      </c>
      <c r="T373" s="0" t="s">
        <v>276</v>
      </c>
      <c r="U373" s="0" t="s">
        <v>277</v>
      </c>
    </row>
    <row r="374" customFormat="false" ht="15" hidden="false" customHeight="false" outlineLevel="0" collapsed="false">
      <c r="A374" s="0" t="n">
        <v>33</v>
      </c>
      <c r="B374" s="0" t="s">
        <v>73</v>
      </c>
      <c r="C374" s="0" t="s">
        <v>56</v>
      </c>
      <c r="D374" s="0" t="s">
        <v>1862</v>
      </c>
      <c r="E374" s="0" t="n">
        <v>2026</v>
      </c>
      <c r="H374" s="0" t="n">
        <v>5</v>
      </c>
      <c r="I374" s="0" t="n">
        <v>1118</v>
      </c>
      <c r="J374" s="0" t="s">
        <v>268</v>
      </c>
      <c r="K374" s="0" t="s">
        <v>1848</v>
      </c>
      <c r="L374" s="0" t="s">
        <v>293</v>
      </c>
      <c r="M374" s="0" t="s">
        <v>1863</v>
      </c>
      <c r="N374" s="0" t="s">
        <v>1863</v>
      </c>
      <c r="O374" s="0" t="s">
        <v>1864</v>
      </c>
      <c r="P374" s="0" t="s">
        <v>1865</v>
      </c>
      <c r="R374" s="0" t="s">
        <v>275</v>
      </c>
      <c r="S374" s="0" t="s">
        <v>290</v>
      </c>
      <c r="T374" s="0" t="s">
        <v>276</v>
      </c>
      <c r="U374" s="0" t="s">
        <v>277</v>
      </c>
    </row>
    <row r="375" customFormat="false" ht="15" hidden="false" customHeight="false" outlineLevel="0" collapsed="false">
      <c r="A375" s="0" t="n">
        <v>33</v>
      </c>
      <c r="B375" s="0" t="s">
        <v>73</v>
      </c>
      <c r="C375" s="0" t="s">
        <v>56</v>
      </c>
      <c r="D375" s="0" t="s">
        <v>1866</v>
      </c>
      <c r="E375" s="0" t="n">
        <v>2026</v>
      </c>
      <c r="H375" s="0" t="n">
        <v>6</v>
      </c>
      <c r="I375" s="0" t="n">
        <v>865</v>
      </c>
      <c r="J375" s="0" t="s">
        <v>268</v>
      </c>
      <c r="K375" s="0" t="s">
        <v>1848</v>
      </c>
      <c r="L375" s="0" t="s">
        <v>293</v>
      </c>
      <c r="M375" s="0" t="s">
        <v>1867</v>
      </c>
      <c r="N375" s="0" t="s">
        <v>1867</v>
      </c>
      <c r="O375" s="0" t="s">
        <v>1868</v>
      </c>
      <c r="P375" s="0" t="s">
        <v>1869</v>
      </c>
      <c r="R375" s="0" t="s">
        <v>275</v>
      </c>
      <c r="S375" s="0" t="s">
        <v>290</v>
      </c>
      <c r="T375" s="0" t="s">
        <v>276</v>
      </c>
      <c r="U375" s="0" t="s">
        <v>277</v>
      </c>
    </row>
    <row r="376" customFormat="false" ht="15" hidden="false" customHeight="false" outlineLevel="0" collapsed="false">
      <c r="A376" s="0" t="n">
        <v>33</v>
      </c>
      <c r="B376" s="0" t="s">
        <v>73</v>
      </c>
      <c r="C376" s="0" t="s">
        <v>56</v>
      </c>
      <c r="D376" s="0" t="s">
        <v>1870</v>
      </c>
      <c r="E376" s="0" t="n">
        <v>2022</v>
      </c>
      <c r="H376" s="0" t="n">
        <v>8</v>
      </c>
      <c r="I376" s="0" t="n">
        <v>4683</v>
      </c>
      <c r="J376" s="0" t="s">
        <v>268</v>
      </c>
      <c r="K376" s="0" t="s">
        <v>298</v>
      </c>
      <c r="L376" s="0" t="s">
        <v>270</v>
      </c>
      <c r="M376" s="0" t="s">
        <v>1871</v>
      </c>
      <c r="N376" s="0" t="s">
        <v>1871</v>
      </c>
      <c r="O376" s="0" t="s">
        <v>1872</v>
      </c>
      <c r="P376" s="0" t="s">
        <v>1873</v>
      </c>
      <c r="R376" s="0" t="s">
        <v>284</v>
      </c>
      <c r="S376" s="0" t="s">
        <v>290</v>
      </c>
      <c r="T376" s="0" t="s">
        <v>276</v>
      </c>
      <c r="U376" s="0" t="s">
        <v>277</v>
      </c>
    </row>
    <row r="377" customFormat="false" ht="15" hidden="false" customHeight="false" outlineLevel="0" collapsed="false">
      <c r="A377" s="0" t="n">
        <v>33</v>
      </c>
      <c r="B377" s="0" t="s">
        <v>73</v>
      </c>
      <c r="C377" s="0" t="s">
        <v>309</v>
      </c>
      <c r="D377" s="0" t="s">
        <v>1874</v>
      </c>
      <c r="E377" s="0" t="n">
        <v>2022</v>
      </c>
      <c r="H377" s="0" t="n">
        <v>1</v>
      </c>
      <c r="I377" s="0" t="n">
        <v>1277</v>
      </c>
      <c r="J377" s="0" t="s">
        <v>290</v>
      </c>
      <c r="K377" s="0" t="s">
        <v>298</v>
      </c>
      <c r="L377" s="0" t="s">
        <v>270</v>
      </c>
      <c r="M377" s="0" t="s">
        <v>1875</v>
      </c>
      <c r="N377" s="0" t="s">
        <v>1875</v>
      </c>
      <c r="O377" s="0" t="s">
        <v>1876</v>
      </c>
      <c r="P377" s="0" t="s">
        <v>1877</v>
      </c>
      <c r="R377" s="0" t="s">
        <v>284</v>
      </c>
      <c r="S377" s="0" t="s">
        <v>268</v>
      </c>
      <c r="T377" s="0" t="s">
        <v>276</v>
      </c>
      <c r="U377" s="0" t="s">
        <v>277</v>
      </c>
    </row>
    <row r="378" customFormat="false" ht="15" hidden="false" customHeight="false" outlineLevel="0" collapsed="false">
      <c r="A378" s="0" t="n">
        <v>33</v>
      </c>
      <c r="B378" s="0" t="s">
        <v>73</v>
      </c>
      <c r="C378" s="0" t="s">
        <v>586</v>
      </c>
      <c r="D378" s="0" t="s">
        <v>1878</v>
      </c>
      <c r="E378" s="0" t="n">
        <v>2026</v>
      </c>
      <c r="H378" s="0" t="n">
        <v>4</v>
      </c>
      <c r="I378" s="0" t="n">
        <v>265</v>
      </c>
      <c r="J378" s="0" t="s">
        <v>268</v>
      </c>
      <c r="K378" s="0" t="s">
        <v>1848</v>
      </c>
      <c r="L378" s="0" t="s">
        <v>293</v>
      </c>
      <c r="M378" s="0" t="s">
        <v>1879</v>
      </c>
      <c r="N378" s="0" t="s">
        <v>1879</v>
      </c>
      <c r="O378" s="0" t="s">
        <v>1880</v>
      </c>
      <c r="P378" s="0" t="s">
        <v>1881</v>
      </c>
      <c r="R378" s="0" t="s">
        <v>275</v>
      </c>
      <c r="S378" s="0" t="s">
        <v>290</v>
      </c>
      <c r="T378" s="0" t="s">
        <v>276</v>
      </c>
      <c r="U378" s="0" t="s">
        <v>277</v>
      </c>
    </row>
    <row r="379" customFormat="false" ht="15" hidden="false" customHeight="false" outlineLevel="0" collapsed="false">
      <c r="A379" s="0" t="n">
        <v>33</v>
      </c>
      <c r="B379" s="0" t="s">
        <v>73</v>
      </c>
      <c r="C379" s="0" t="s">
        <v>586</v>
      </c>
      <c r="D379" s="0" t="s">
        <v>1882</v>
      </c>
      <c r="E379" s="0" t="n">
        <v>2026</v>
      </c>
      <c r="H379" s="0" t="n">
        <v>1</v>
      </c>
      <c r="I379" s="0" t="n">
        <v>1091</v>
      </c>
      <c r="J379" s="0" t="s">
        <v>268</v>
      </c>
      <c r="K379" s="0" t="s">
        <v>1848</v>
      </c>
      <c r="L379" s="0" t="s">
        <v>293</v>
      </c>
      <c r="M379" s="0" t="s">
        <v>1883</v>
      </c>
      <c r="N379" s="0" t="s">
        <v>1883</v>
      </c>
      <c r="O379" s="0" t="s">
        <v>1884</v>
      </c>
      <c r="P379" s="0" t="s">
        <v>1885</v>
      </c>
      <c r="R379" s="0" t="s">
        <v>275</v>
      </c>
      <c r="S379" s="0" t="s">
        <v>290</v>
      </c>
      <c r="T379" s="0" t="s">
        <v>276</v>
      </c>
      <c r="U379" s="0" t="s">
        <v>277</v>
      </c>
    </row>
    <row r="380" customFormat="false" ht="15" hidden="false" customHeight="false" outlineLevel="0" collapsed="false">
      <c r="A380" s="0" t="n">
        <v>33</v>
      </c>
      <c r="B380" s="0" t="s">
        <v>73</v>
      </c>
      <c r="C380" s="0" t="s">
        <v>586</v>
      </c>
      <c r="D380" s="0" t="s">
        <v>1886</v>
      </c>
      <c r="E380" s="0" t="n">
        <v>2026</v>
      </c>
      <c r="H380" s="0" t="n">
        <v>1</v>
      </c>
      <c r="I380" s="0" t="n">
        <v>3727</v>
      </c>
      <c r="J380" s="0" t="s">
        <v>268</v>
      </c>
      <c r="K380" s="0" t="s">
        <v>1848</v>
      </c>
      <c r="L380" s="0" t="s">
        <v>293</v>
      </c>
      <c r="M380" s="0" t="s">
        <v>1887</v>
      </c>
      <c r="N380" s="0" t="s">
        <v>1887</v>
      </c>
      <c r="O380" s="0" t="s">
        <v>1888</v>
      </c>
      <c r="P380" s="0" t="s">
        <v>1889</v>
      </c>
      <c r="R380" s="0" t="s">
        <v>275</v>
      </c>
      <c r="S380" s="0" t="s">
        <v>290</v>
      </c>
      <c r="T380" s="0" t="s">
        <v>276</v>
      </c>
      <c r="U380" s="0" t="s">
        <v>277</v>
      </c>
    </row>
    <row r="381" customFormat="false" ht="15" hidden="false" customHeight="false" outlineLevel="0" collapsed="false">
      <c r="A381" s="0" t="n">
        <v>33</v>
      </c>
      <c r="B381" s="0" t="s">
        <v>73</v>
      </c>
      <c r="C381" s="0" t="s">
        <v>586</v>
      </c>
      <c r="D381" s="0" t="s">
        <v>1890</v>
      </c>
      <c r="E381" s="0" t="n">
        <v>2026</v>
      </c>
      <c r="H381" s="0" t="n">
        <v>6</v>
      </c>
      <c r="I381" s="0" t="n">
        <v>752</v>
      </c>
      <c r="J381" s="0" t="s">
        <v>268</v>
      </c>
      <c r="K381" s="0" t="s">
        <v>1848</v>
      </c>
      <c r="L381" s="0" t="s">
        <v>293</v>
      </c>
      <c r="M381" s="0" t="s">
        <v>1891</v>
      </c>
      <c r="N381" s="0" t="s">
        <v>1891</v>
      </c>
      <c r="O381" s="0" t="s">
        <v>1892</v>
      </c>
      <c r="P381" s="0" t="s">
        <v>1893</v>
      </c>
      <c r="R381" s="0" t="s">
        <v>275</v>
      </c>
      <c r="S381" s="0" t="s">
        <v>268</v>
      </c>
      <c r="T381" s="0" t="s">
        <v>276</v>
      </c>
      <c r="U381" s="0" t="s">
        <v>277</v>
      </c>
    </row>
    <row r="382" customFormat="false" ht="15" hidden="false" customHeight="false" outlineLevel="0" collapsed="false">
      <c r="A382" s="0" t="n">
        <v>33</v>
      </c>
      <c r="B382" s="0" t="s">
        <v>73</v>
      </c>
      <c r="C382" s="0" t="s">
        <v>586</v>
      </c>
      <c r="D382" s="0" t="s">
        <v>1894</v>
      </c>
      <c r="E382" s="0" t="n">
        <v>2026</v>
      </c>
      <c r="H382" s="0" t="n">
        <v>4</v>
      </c>
      <c r="I382" s="0" t="n">
        <v>266</v>
      </c>
      <c r="J382" s="0" t="s">
        <v>268</v>
      </c>
      <c r="K382" s="0" t="s">
        <v>1848</v>
      </c>
      <c r="L382" s="0" t="s">
        <v>293</v>
      </c>
      <c r="M382" s="0" t="s">
        <v>1895</v>
      </c>
      <c r="N382" s="0" t="s">
        <v>1895</v>
      </c>
      <c r="O382" s="0" t="s">
        <v>1896</v>
      </c>
      <c r="P382" s="0" t="s">
        <v>1897</v>
      </c>
      <c r="R382" s="0" t="s">
        <v>275</v>
      </c>
      <c r="S382" s="0" t="s">
        <v>290</v>
      </c>
      <c r="T382" s="0" t="s">
        <v>276</v>
      </c>
      <c r="U382" s="0" t="s">
        <v>277</v>
      </c>
    </row>
    <row r="383" customFormat="false" ht="15" hidden="false" customHeight="false" outlineLevel="0" collapsed="false">
      <c r="A383" s="0" t="n">
        <v>33</v>
      </c>
      <c r="B383" s="0" t="s">
        <v>73</v>
      </c>
      <c r="C383" s="0" t="s">
        <v>586</v>
      </c>
      <c r="D383" s="0" t="s">
        <v>1898</v>
      </c>
      <c r="E383" s="0" t="n">
        <v>2026</v>
      </c>
      <c r="H383" s="0" t="n">
        <v>4</v>
      </c>
      <c r="I383" s="0" t="n">
        <v>266</v>
      </c>
      <c r="J383" s="0" t="s">
        <v>268</v>
      </c>
      <c r="K383" s="0" t="s">
        <v>1848</v>
      </c>
      <c r="L383" s="0" t="s">
        <v>293</v>
      </c>
      <c r="M383" s="0" t="s">
        <v>1899</v>
      </c>
      <c r="N383" s="0" t="s">
        <v>1900</v>
      </c>
      <c r="O383" s="0" t="s">
        <v>1901</v>
      </c>
      <c r="P383" s="0" t="s">
        <v>1902</v>
      </c>
      <c r="R383" s="0" t="s">
        <v>275</v>
      </c>
      <c r="S383" s="0" t="s">
        <v>290</v>
      </c>
      <c r="T383" s="0" t="s">
        <v>276</v>
      </c>
      <c r="U383" s="0" t="s">
        <v>277</v>
      </c>
    </row>
    <row r="384" customFormat="false" ht="15" hidden="false" customHeight="false" outlineLevel="0" collapsed="false">
      <c r="A384" s="0" t="n">
        <v>33</v>
      </c>
      <c r="B384" s="0" t="s">
        <v>73</v>
      </c>
      <c r="C384" s="0" t="s">
        <v>586</v>
      </c>
      <c r="D384" s="0" t="s">
        <v>1903</v>
      </c>
      <c r="E384" s="0" t="n">
        <v>2026</v>
      </c>
      <c r="H384" s="0" t="n">
        <v>1</v>
      </c>
      <c r="I384" s="0" t="n">
        <v>1661</v>
      </c>
      <c r="J384" s="0" t="s">
        <v>268</v>
      </c>
      <c r="K384" s="0" t="s">
        <v>1848</v>
      </c>
      <c r="L384" s="0" t="s">
        <v>293</v>
      </c>
      <c r="M384" s="0" t="s">
        <v>1904</v>
      </c>
      <c r="N384" s="0" t="s">
        <v>1904</v>
      </c>
      <c r="O384" s="0" t="s">
        <v>1905</v>
      </c>
      <c r="P384" s="0" t="s">
        <v>1906</v>
      </c>
      <c r="R384" s="0" t="s">
        <v>275</v>
      </c>
      <c r="S384" s="0" t="s">
        <v>290</v>
      </c>
      <c r="T384" s="0" t="s">
        <v>276</v>
      </c>
      <c r="U384" s="0" t="s">
        <v>277</v>
      </c>
    </row>
    <row r="385" customFormat="false" ht="15" hidden="false" customHeight="false" outlineLevel="0" collapsed="false">
      <c r="A385" s="0" t="n">
        <v>33</v>
      </c>
      <c r="B385" s="0" t="s">
        <v>73</v>
      </c>
      <c r="C385" s="0" t="s">
        <v>586</v>
      </c>
      <c r="D385" s="0" t="s">
        <v>1907</v>
      </c>
      <c r="E385" s="0" t="n">
        <v>2026</v>
      </c>
      <c r="H385" s="0" t="n">
        <v>1</v>
      </c>
      <c r="I385" s="0" t="n">
        <v>197</v>
      </c>
      <c r="J385" s="0" t="s">
        <v>268</v>
      </c>
      <c r="K385" s="0" t="s">
        <v>1848</v>
      </c>
      <c r="L385" s="0" t="s">
        <v>293</v>
      </c>
      <c r="M385" s="0" t="s">
        <v>1908</v>
      </c>
      <c r="N385" s="0" t="s">
        <v>1908</v>
      </c>
      <c r="O385" s="0" t="s">
        <v>1909</v>
      </c>
      <c r="P385" s="0" t="s">
        <v>1910</v>
      </c>
      <c r="R385" s="0" t="s">
        <v>275</v>
      </c>
      <c r="S385" s="0" t="s">
        <v>290</v>
      </c>
      <c r="T385" s="0" t="s">
        <v>276</v>
      </c>
      <c r="U385" s="0" t="s">
        <v>277</v>
      </c>
    </row>
    <row r="386" customFormat="false" ht="15" hidden="false" customHeight="false" outlineLevel="0" collapsed="false">
      <c r="A386" s="0" t="n">
        <v>33</v>
      </c>
      <c r="B386" s="0" t="s">
        <v>73</v>
      </c>
      <c r="C386" s="0" t="s">
        <v>586</v>
      </c>
      <c r="D386" s="0" t="s">
        <v>1911</v>
      </c>
      <c r="E386" s="0" t="n">
        <v>2026</v>
      </c>
      <c r="H386" s="0" t="n">
        <v>1</v>
      </c>
      <c r="I386" s="0" t="n">
        <v>914</v>
      </c>
      <c r="J386" s="0" t="s">
        <v>268</v>
      </c>
      <c r="K386" s="0" t="s">
        <v>1848</v>
      </c>
      <c r="L386" s="0" t="s">
        <v>293</v>
      </c>
      <c r="M386" s="0" t="s">
        <v>1912</v>
      </c>
      <c r="N386" s="0" t="s">
        <v>1912</v>
      </c>
      <c r="O386" s="0" t="s">
        <v>1913</v>
      </c>
      <c r="P386" s="0" t="s">
        <v>1914</v>
      </c>
      <c r="R386" s="0" t="s">
        <v>275</v>
      </c>
      <c r="S386" s="0" t="s">
        <v>290</v>
      </c>
      <c r="T386" s="0" t="s">
        <v>276</v>
      </c>
      <c r="U386" s="0" t="s">
        <v>277</v>
      </c>
    </row>
    <row r="387" customFormat="false" ht="15" hidden="false" customHeight="false" outlineLevel="0" collapsed="false">
      <c r="A387" s="0" t="n">
        <v>33</v>
      </c>
      <c r="B387" s="0" t="s">
        <v>73</v>
      </c>
      <c r="C387" s="0" t="s">
        <v>266</v>
      </c>
      <c r="D387" s="0" t="s">
        <v>1915</v>
      </c>
      <c r="E387" s="0" t="n">
        <v>2026</v>
      </c>
      <c r="H387" s="0" t="n">
        <v>2</v>
      </c>
      <c r="I387" s="0" t="n">
        <v>3188</v>
      </c>
      <c r="J387" s="0" t="s">
        <v>268</v>
      </c>
      <c r="K387" s="0" t="s">
        <v>1848</v>
      </c>
      <c r="L387" s="0" t="s">
        <v>293</v>
      </c>
      <c r="M387" s="0" t="s">
        <v>1916</v>
      </c>
      <c r="N387" s="0" t="s">
        <v>1916</v>
      </c>
      <c r="O387" s="0" t="s">
        <v>1917</v>
      </c>
      <c r="P387" s="0" t="s">
        <v>1918</v>
      </c>
      <c r="R387" s="0" t="s">
        <v>275</v>
      </c>
      <c r="S387" s="0" t="s">
        <v>290</v>
      </c>
      <c r="T387" s="0" t="s">
        <v>276</v>
      </c>
      <c r="U387" s="0" t="s">
        <v>277</v>
      </c>
    </row>
    <row r="388" customFormat="false" ht="15" hidden="false" customHeight="false" outlineLevel="0" collapsed="false">
      <c r="A388" s="0" t="n">
        <v>33</v>
      </c>
      <c r="B388" s="0" t="s">
        <v>73</v>
      </c>
      <c r="C388" s="0" t="s">
        <v>266</v>
      </c>
      <c r="D388" s="0" t="s">
        <v>1919</v>
      </c>
      <c r="E388" s="0" t="n">
        <v>2026</v>
      </c>
      <c r="H388" s="0" t="n">
        <v>2</v>
      </c>
      <c r="I388" s="0" t="n">
        <v>2157</v>
      </c>
      <c r="J388" s="0" t="s">
        <v>268</v>
      </c>
      <c r="K388" s="0" t="s">
        <v>1848</v>
      </c>
      <c r="L388" s="0" t="s">
        <v>293</v>
      </c>
      <c r="M388" s="0" t="s">
        <v>1920</v>
      </c>
      <c r="N388" s="0" t="s">
        <v>1920</v>
      </c>
      <c r="O388" s="0" t="s">
        <v>1921</v>
      </c>
      <c r="P388" s="0" t="s">
        <v>1922</v>
      </c>
      <c r="R388" s="0" t="s">
        <v>275</v>
      </c>
      <c r="S388" s="0" t="s">
        <v>290</v>
      </c>
      <c r="T388" s="0" t="s">
        <v>276</v>
      </c>
      <c r="U388" s="0" t="s">
        <v>277</v>
      </c>
    </row>
    <row r="389" customFormat="false" ht="15" hidden="false" customHeight="false" outlineLevel="0" collapsed="false">
      <c r="A389" s="0" t="n">
        <v>33</v>
      </c>
      <c r="B389" s="0" t="s">
        <v>73</v>
      </c>
      <c r="C389" s="0" t="s">
        <v>266</v>
      </c>
      <c r="D389" s="0" t="s">
        <v>1923</v>
      </c>
      <c r="E389" s="0" t="n">
        <v>2026</v>
      </c>
      <c r="H389" s="0" t="n">
        <v>2</v>
      </c>
      <c r="I389" s="0" t="n">
        <v>3186</v>
      </c>
      <c r="J389" s="0" t="s">
        <v>268</v>
      </c>
      <c r="K389" s="0" t="s">
        <v>1848</v>
      </c>
      <c r="L389" s="0" t="s">
        <v>293</v>
      </c>
      <c r="M389" s="0" t="s">
        <v>1924</v>
      </c>
      <c r="N389" s="0" t="s">
        <v>1924</v>
      </c>
      <c r="O389" s="0" t="s">
        <v>1925</v>
      </c>
      <c r="P389" s="0" t="s">
        <v>1926</v>
      </c>
      <c r="R389" s="0" t="s">
        <v>275</v>
      </c>
      <c r="S389" s="0" t="s">
        <v>290</v>
      </c>
      <c r="T389" s="0" t="s">
        <v>276</v>
      </c>
      <c r="U389" s="0" t="s">
        <v>277</v>
      </c>
    </row>
    <row r="390" customFormat="false" ht="15" hidden="false" customHeight="false" outlineLevel="0" collapsed="false">
      <c r="A390" s="0" t="n">
        <v>33</v>
      </c>
      <c r="B390" s="0" t="s">
        <v>73</v>
      </c>
      <c r="C390" s="0" t="s">
        <v>266</v>
      </c>
      <c r="D390" s="0" t="s">
        <v>1927</v>
      </c>
      <c r="E390" s="0" t="n">
        <v>2026</v>
      </c>
      <c r="H390" s="0" t="n">
        <v>3</v>
      </c>
      <c r="I390" s="0" t="n">
        <v>2989</v>
      </c>
      <c r="J390" s="0" t="s">
        <v>268</v>
      </c>
      <c r="K390" s="0" t="s">
        <v>1848</v>
      </c>
      <c r="L390" s="0" t="s">
        <v>293</v>
      </c>
      <c r="M390" s="0" t="s">
        <v>1928</v>
      </c>
      <c r="N390" s="0" t="s">
        <v>1928</v>
      </c>
      <c r="O390" s="0" t="s">
        <v>1929</v>
      </c>
      <c r="P390" s="0" t="s">
        <v>1930</v>
      </c>
      <c r="R390" s="0" t="s">
        <v>275</v>
      </c>
      <c r="S390" s="0" t="s">
        <v>290</v>
      </c>
      <c r="T390" s="0" t="s">
        <v>276</v>
      </c>
      <c r="U390" s="0" t="s">
        <v>277</v>
      </c>
    </row>
    <row r="391" customFormat="false" ht="15" hidden="false" customHeight="false" outlineLevel="0" collapsed="false">
      <c r="A391" s="0" t="n">
        <v>33</v>
      </c>
      <c r="B391" s="0" t="s">
        <v>73</v>
      </c>
      <c r="C391" s="0" t="s">
        <v>266</v>
      </c>
      <c r="D391" s="0" t="s">
        <v>1931</v>
      </c>
      <c r="E391" s="0" t="n">
        <v>2026</v>
      </c>
      <c r="H391" s="0" t="n">
        <v>2</v>
      </c>
      <c r="I391" s="0" t="n">
        <v>330</v>
      </c>
      <c r="J391" s="0" t="s">
        <v>268</v>
      </c>
      <c r="K391" s="0" t="s">
        <v>1848</v>
      </c>
      <c r="L391" s="0" t="s">
        <v>293</v>
      </c>
      <c r="M391" s="0" t="s">
        <v>1932</v>
      </c>
      <c r="N391" s="0" t="s">
        <v>1932</v>
      </c>
      <c r="O391" s="0" t="s">
        <v>1933</v>
      </c>
      <c r="P391" s="0" t="s">
        <v>1934</v>
      </c>
      <c r="R391" s="0" t="s">
        <v>275</v>
      </c>
      <c r="S391" s="0" t="s">
        <v>290</v>
      </c>
      <c r="T391" s="0" t="s">
        <v>276</v>
      </c>
      <c r="U391" s="0" t="s">
        <v>277</v>
      </c>
    </row>
    <row r="392" customFormat="false" ht="15" hidden="false" customHeight="false" outlineLevel="0" collapsed="false">
      <c r="A392" s="0" t="n">
        <v>33</v>
      </c>
      <c r="B392" s="0" t="s">
        <v>73</v>
      </c>
      <c r="C392" s="0" t="s">
        <v>266</v>
      </c>
      <c r="D392" s="0" t="s">
        <v>1935</v>
      </c>
      <c r="E392" s="0" t="n">
        <v>2026</v>
      </c>
      <c r="H392" s="0" t="n">
        <v>3</v>
      </c>
      <c r="I392" s="0" t="n">
        <v>363</v>
      </c>
      <c r="J392" s="0" t="s">
        <v>268</v>
      </c>
      <c r="K392" s="0" t="s">
        <v>1848</v>
      </c>
      <c r="L392" s="0" t="s">
        <v>293</v>
      </c>
      <c r="M392" s="0" t="s">
        <v>1936</v>
      </c>
      <c r="N392" s="0" t="s">
        <v>1936</v>
      </c>
      <c r="O392" s="0" t="s">
        <v>1937</v>
      </c>
      <c r="P392" s="0" t="s">
        <v>1938</v>
      </c>
      <c r="R392" s="0" t="s">
        <v>275</v>
      </c>
      <c r="S392" s="0" t="s">
        <v>290</v>
      </c>
      <c r="T392" s="0" t="s">
        <v>276</v>
      </c>
      <c r="U392" s="0" t="s">
        <v>277</v>
      </c>
    </row>
    <row r="393" customFormat="false" ht="15" hidden="false" customHeight="false" outlineLevel="0" collapsed="false">
      <c r="A393" s="0" t="n">
        <v>33</v>
      </c>
      <c r="B393" s="0" t="s">
        <v>73</v>
      </c>
      <c r="C393" s="0" t="s">
        <v>266</v>
      </c>
      <c r="D393" s="0" t="s">
        <v>1939</v>
      </c>
      <c r="E393" s="0" t="n">
        <v>2026</v>
      </c>
      <c r="H393" s="0" t="n">
        <v>6</v>
      </c>
      <c r="I393" s="0" t="n">
        <v>642</v>
      </c>
      <c r="J393" s="0" t="s">
        <v>268</v>
      </c>
      <c r="K393" s="0" t="s">
        <v>1848</v>
      </c>
      <c r="L393" s="0" t="s">
        <v>293</v>
      </c>
      <c r="M393" s="0" t="s">
        <v>1940</v>
      </c>
      <c r="N393" s="0" t="s">
        <v>1940</v>
      </c>
      <c r="O393" s="0" t="s">
        <v>1941</v>
      </c>
      <c r="P393" s="0" t="s">
        <v>1942</v>
      </c>
      <c r="R393" s="0" t="s">
        <v>275</v>
      </c>
      <c r="S393" s="0" t="s">
        <v>290</v>
      </c>
      <c r="T393" s="0" t="s">
        <v>276</v>
      </c>
      <c r="U393" s="0" t="s">
        <v>277</v>
      </c>
    </row>
    <row r="394" customFormat="false" ht="15" hidden="false" customHeight="false" outlineLevel="0" collapsed="false">
      <c r="A394" s="0" t="n">
        <v>33</v>
      </c>
      <c r="B394" s="0" t="s">
        <v>73</v>
      </c>
      <c r="C394" s="0" t="s">
        <v>266</v>
      </c>
      <c r="D394" s="0" t="s">
        <v>1943</v>
      </c>
      <c r="E394" s="0" t="n">
        <v>2026</v>
      </c>
      <c r="H394" s="0" t="n">
        <v>4</v>
      </c>
      <c r="I394" s="0" t="n">
        <v>597</v>
      </c>
      <c r="J394" s="0" t="s">
        <v>268</v>
      </c>
      <c r="K394" s="0" t="s">
        <v>1848</v>
      </c>
      <c r="L394" s="0" t="s">
        <v>293</v>
      </c>
      <c r="M394" s="0" t="s">
        <v>1944</v>
      </c>
      <c r="N394" s="0" t="s">
        <v>1944</v>
      </c>
      <c r="O394" s="0" t="s">
        <v>1945</v>
      </c>
      <c r="P394" s="0" t="s">
        <v>1946</v>
      </c>
      <c r="R394" s="0" t="s">
        <v>275</v>
      </c>
      <c r="S394" s="0" t="s">
        <v>290</v>
      </c>
      <c r="T394" s="0" t="s">
        <v>276</v>
      </c>
      <c r="U394" s="0" t="s">
        <v>277</v>
      </c>
    </row>
    <row r="395" customFormat="false" ht="15" hidden="false" customHeight="false" outlineLevel="0" collapsed="false">
      <c r="A395" s="0" t="n">
        <v>33</v>
      </c>
      <c r="B395" s="0" t="s">
        <v>73</v>
      </c>
      <c r="C395" s="0" t="s">
        <v>266</v>
      </c>
      <c r="D395" s="0" t="s">
        <v>1947</v>
      </c>
      <c r="E395" s="0" t="n">
        <v>2026</v>
      </c>
      <c r="H395" s="0" t="n">
        <v>6</v>
      </c>
      <c r="I395" s="0" t="n">
        <v>631</v>
      </c>
      <c r="J395" s="0" t="s">
        <v>268</v>
      </c>
      <c r="K395" s="0" t="s">
        <v>1848</v>
      </c>
      <c r="L395" s="0" t="s">
        <v>293</v>
      </c>
      <c r="M395" s="0" t="s">
        <v>1948</v>
      </c>
      <c r="N395" s="0" t="s">
        <v>1948</v>
      </c>
      <c r="O395" s="0" t="s">
        <v>1949</v>
      </c>
      <c r="P395" s="0" t="s">
        <v>1950</v>
      </c>
      <c r="R395" s="0" t="s">
        <v>275</v>
      </c>
      <c r="S395" s="0" t="s">
        <v>290</v>
      </c>
      <c r="T395" s="0" t="s">
        <v>276</v>
      </c>
      <c r="U395" s="0" t="s">
        <v>277</v>
      </c>
    </row>
    <row r="396" customFormat="false" ht="15" hidden="false" customHeight="false" outlineLevel="0" collapsed="false">
      <c r="A396" s="0" t="n">
        <v>33</v>
      </c>
      <c r="B396" s="0" t="s">
        <v>73</v>
      </c>
      <c r="C396" s="0" t="s">
        <v>266</v>
      </c>
      <c r="D396" s="0" t="s">
        <v>1951</v>
      </c>
      <c r="E396" s="0" t="n">
        <v>2026</v>
      </c>
      <c r="H396" s="0" t="n">
        <v>5</v>
      </c>
      <c r="I396" s="0" t="n">
        <v>254</v>
      </c>
      <c r="J396" s="0" t="s">
        <v>268</v>
      </c>
      <c r="K396" s="0" t="s">
        <v>1848</v>
      </c>
      <c r="L396" s="0" t="s">
        <v>293</v>
      </c>
      <c r="M396" s="0" t="s">
        <v>1952</v>
      </c>
      <c r="N396" s="0" t="s">
        <v>1952</v>
      </c>
      <c r="O396" s="0" t="s">
        <v>1953</v>
      </c>
      <c r="P396" s="0" t="s">
        <v>1954</v>
      </c>
      <c r="R396" s="0" t="s">
        <v>275</v>
      </c>
      <c r="S396" s="0" t="s">
        <v>290</v>
      </c>
      <c r="T396" s="0" t="s">
        <v>276</v>
      </c>
      <c r="U396" s="0" t="s">
        <v>277</v>
      </c>
    </row>
    <row r="397" customFormat="false" ht="15" hidden="false" customHeight="false" outlineLevel="0" collapsed="false">
      <c r="A397" s="0" t="n">
        <v>33</v>
      </c>
      <c r="B397" s="0" t="s">
        <v>73</v>
      </c>
      <c r="C397" s="0" t="s">
        <v>266</v>
      </c>
      <c r="D397" s="0" t="s">
        <v>1955</v>
      </c>
      <c r="E397" s="0" t="n">
        <v>2026</v>
      </c>
      <c r="H397" s="0" t="n">
        <v>4</v>
      </c>
      <c r="I397" s="0" t="n">
        <v>196</v>
      </c>
      <c r="J397" s="0" t="s">
        <v>268</v>
      </c>
      <c r="K397" s="0" t="s">
        <v>1848</v>
      </c>
      <c r="L397" s="0" t="s">
        <v>293</v>
      </c>
      <c r="M397" s="0" t="s">
        <v>1956</v>
      </c>
      <c r="N397" s="0" t="s">
        <v>1956</v>
      </c>
      <c r="O397" s="0" t="s">
        <v>1957</v>
      </c>
      <c r="P397" s="0" t="s">
        <v>1958</v>
      </c>
      <c r="R397" s="0" t="s">
        <v>275</v>
      </c>
      <c r="S397" s="0" t="s">
        <v>290</v>
      </c>
      <c r="T397" s="0" t="s">
        <v>276</v>
      </c>
      <c r="U397" s="0" t="s">
        <v>277</v>
      </c>
    </row>
    <row r="398" customFormat="false" ht="15" hidden="false" customHeight="false" outlineLevel="0" collapsed="false">
      <c r="A398" s="0" t="n">
        <v>33</v>
      </c>
      <c r="B398" s="0" t="s">
        <v>73</v>
      </c>
      <c r="C398" s="0" t="s">
        <v>266</v>
      </c>
      <c r="D398" s="0" t="s">
        <v>1959</v>
      </c>
      <c r="E398" s="0" t="n">
        <v>2026</v>
      </c>
      <c r="H398" s="0" t="n">
        <v>5</v>
      </c>
      <c r="I398" s="0" t="n">
        <v>245</v>
      </c>
      <c r="J398" s="0" t="s">
        <v>268</v>
      </c>
      <c r="K398" s="0" t="s">
        <v>1848</v>
      </c>
      <c r="L398" s="0" t="s">
        <v>293</v>
      </c>
      <c r="M398" s="0" t="s">
        <v>1960</v>
      </c>
      <c r="N398" s="0" t="s">
        <v>1960</v>
      </c>
      <c r="O398" s="0" t="s">
        <v>1961</v>
      </c>
      <c r="P398" s="0" t="s">
        <v>1962</v>
      </c>
      <c r="R398" s="0" t="s">
        <v>275</v>
      </c>
      <c r="S398" s="0" t="s">
        <v>290</v>
      </c>
      <c r="T398" s="0" t="s">
        <v>276</v>
      </c>
      <c r="U398" s="0" t="s">
        <v>277</v>
      </c>
    </row>
    <row r="399" customFormat="false" ht="15" hidden="false" customHeight="false" outlineLevel="0" collapsed="false">
      <c r="A399" s="0" t="n">
        <v>33</v>
      </c>
      <c r="B399" s="0" t="s">
        <v>73</v>
      </c>
      <c r="C399" s="0" t="s">
        <v>266</v>
      </c>
      <c r="D399" s="0" t="s">
        <v>1963</v>
      </c>
      <c r="E399" s="0" t="n">
        <v>2026</v>
      </c>
      <c r="H399" s="0" t="n">
        <v>4</v>
      </c>
      <c r="I399" s="0" t="n">
        <v>201</v>
      </c>
      <c r="J399" s="0" t="s">
        <v>268</v>
      </c>
      <c r="K399" s="0" t="s">
        <v>1848</v>
      </c>
      <c r="L399" s="0" t="s">
        <v>293</v>
      </c>
      <c r="M399" s="0" t="s">
        <v>1964</v>
      </c>
      <c r="N399" s="0" t="s">
        <v>1964</v>
      </c>
      <c r="O399" s="0" t="s">
        <v>1965</v>
      </c>
      <c r="P399" s="0" t="s">
        <v>1966</v>
      </c>
      <c r="R399" s="0" t="s">
        <v>275</v>
      </c>
      <c r="S399" s="0" t="s">
        <v>290</v>
      </c>
      <c r="T399" s="0" t="s">
        <v>276</v>
      </c>
      <c r="U399" s="0" t="s">
        <v>277</v>
      </c>
    </row>
    <row r="400" customFormat="false" ht="15" hidden="false" customHeight="false" outlineLevel="0" collapsed="false">
      <c r="A400" s="0" t="n">
        <v>33</v>
      </c>
      <c r="B400" s="0" t="s">
        <v>73</v>
      </c>
      <c r="C400" s="0" t="s">
        <v>266</v>
      </c>
      <c r="D400" s="0" t="s">
        <v>1967</v>
      </c>
      <c r="E400" s="0" t="n">
        <v>2026</v>
      </c>
      <c r="H400" s="0" t="n">
        <v>4</v>
      </c>
      <c r="I400" s="0" t="n">
        <v>203</v>
      </c>
      <c r="J400" s="0" t="s">
        <v>268</v>
      </c>
      <c r="K400" s="0" t="s">
        <v>1848</v>
      </c>
      <c r="L400" s="0" t="s">
        <v>293</v>
      </c>
      <c r="M400" s="0" t="s">
        <v>1968</v>
      </c>
      <c r="N400" s="0" t="s">
        <v>1969</v>
      </c>
      <c r="O400" s="0" t="s">
        <v>1970</v>
      </c>
      <c r="P400" s="0" t="s">
        <v>1971</v>
      </c>
      <c r="R400" s="0" t="s">
        <v>275</v>
      </c>
      <c r="S400" s="0" t="s">
        <v>290</v>
      </c>
      <c r="T400" s="0" t="s">
        <v>276</v>
      </c>
      <c r="U400" s="0" t="s">
        <v>277</v>
      </c>
    </row>
    <row r="401" customFormat="false" ht="15" hidden="false" customHeight="false" outlineLevel="0" collapsed="false">
      <c r="A401" s="0" t="n">
        <v>33</v>
      </c>
      <c r="B401" s="0" t="s">
        <v>73</v>
      </c>
      <c r="C401" s="0" t="s">
        <v>266</v>
      </c>
      <c r="D401" s="0" t="s">
        <v>1972</v>
      </c>
      <c r="E401" s="0" t="n">
        <v>2026</v>
      </c>
      <c r="H401" s="0" t="n">
        <v>2</v>
      </c>
      <c r="I401" s="0" t="n">
        <v>315</v>
      </c>
      <c r="J401" s="0" t="s">
        <v>268</v>
      </c>
      <c r="K401" s="0" t="s">
        <v>1848</v>
      </c>
      <c r="L401" s="0" t="s">
        <v>293</v>
      </c>
      <c r="M401" s="0" t="s">
        <v>1973</v>
      </c>
      <c r="N401" s="0" t="s">
        <v>1973</v>
      </c>
      <c r="O401" s="0" t="s">
        <v>1974</v>
      </c>
      <c r="P401" s="0" t="s">
        <v>1975</v>
      </c>
      <c r="R401" s="0" t="s">
        <v>275</v>
      </c>
      <c r="S401" s="0" t="s">
        <v>290</v>
      </c>
      <c r="T401" s="0" t="s">
        <v>276</v>
      </c>
      <c r="U401" s="0" t="s">
        <v>277</v>
      </c>
    </row>
    <row r="402" customFormat="false" ht="15" hidden="false" customHeight="false" outlineLevel="0" collapsed="false">
      <c r="A402" s="0" t="n">
        <v>33</v>
      </c>
      <c r="B402" s="0" t="s">
        <v>73</v>
      </c>
      <c r="C402" s="0" t="s">
        <v>266</v>
      </c>
      <c r="D402" s="0" t="s">
        <v>1976</v>
      </c>
      <c r="E402" s="0" t="n">
        <v>2026</v>
      </c>
      <c r="H402" s="0" t="n">
        <v>3</v>
      </c>
      <c r="I402" s="0" t="n">
        <v>363</v>
      </c>
      <c r="J402" s="0" t="s">
        <v>268</v>
      </c>
      <c r="K402" s="0" t="s">
        <v>1848</v>
      </c>
      <c r="L402" s="0" t="s">
        <v>293</v>
      </c>
      <c r="M402" s="0" t="s">
        <v>1977</v>
      </c>
      <c r="N402" s="0" t="s">
        <v>1977</v>
      </c>
      <c r="O402" s="0" t="s">
        <v>1978</v>
      </c>
      <c r="P402" s="0" t="s">
        <v>1979</v>
      </c>
      <c r="R402" s="0" t="s">
        <v>275</v>
      </c>
      <c r="S402" s="0" t="s">
        <v>290</v>
      </c>
      <c r="T402" s="0" t="s">
        <v>276</v>
      </c>
      <c r="U402" s="0" t="s">
        <v>277</v>
      </c>
    </row>
    <row r="403" customFormat="false" ht="15" hidden="false" customHeight="false" outlineLevel="0" collapsed="false">
      <c r="A403" s="0" t="n">
        <v>33</v>
      </c>
      <c r="B403" s="0" t="s">
        <v>73</v>
      </c>
      <c r="C403" s="0" t="s">
        <v>266</v>
      </c>
      <c r="D403" s="0" t="s">
        <v>1980</v>
      </c>
      <c r="E403" s="0" t="n">
        <v>2026</v>
      </c>
      <c r="H403" s="0" t="n">
        <v>26</v>
      </c>
      <c r="I403" s="0" t="n">
        <v>2815</v>
      </c>
      <c r="J403" s="0" t="s">
        <v>268</v>
      </c>
      <c r="K403" s="0" t="s">
        <v>1848</v>
      </c>
      <c r="L403" s="0" t="s">
        <v>293</v>
      </c>
      <c r="M403" s="0" t="s">
        <v>1981</v>
      </c>
      <c r="N403" s="0" t="s">
        <v>1981</v>
      </c>
      <c r="O403" s="0" t="s">
        <v>1982</v>
      </c>
      <c r="P403" s="0" t="s">
        <v>1983</v>
      </c>
      <c r="R403" s="0" t="s">
        <v>275</v>
      </c>
      <c r="S403" s="0" t="s">
        <v>268</v>
      </c>
      <c r="T403" s="0" t="s">
        <v>276</v>
      </c>
      <c r="U403" s="0" t="s">
        <v>277</v>
      </c>
    </row>
    <row r="404" customFormat="false" ht="15" hidden="false" customHeight="false" outlineLevel="0" collapsed="false">
      <c r="A404" s="0" t="n">
        <v>33</v>
      </c>
      <c r="B404" s="0" t="s">
        <v>73</v>
      </c>
      <c r="C404" s="0" t="s">
        <v>266</v>
      </c>
      <c r="D404" s="0" t="s">
        <v>1984</v>
      </c>
      <c r="E404" s="0" t="n">
        <v>2026</v>
      </c>
      <c r="H404" s="0" t="n">
        <v>6</v>
      </c>
      <c r="I404" s="0" t="n">
        <v>594</v>
      </c>
      <c r="J404" s="0" t="s">
        <v>268</v>
      </c>
      <c r="K404" s="0" t="s">
        <v>1848</v>
      </c>
      <c r="L404" s="0" t="s">
        <v>293</v>
      </c>
      <c r="M404" s="0" t="s">
        <v>1985</v>
      </c>
      <c r="N404" s="0" t="s">
        <v>1985</v>
      </c>
      <c r="O404" s="0" t="s">
        <v>1986</v>
      </c>
      <c r="P404" s="0" t="s">
        <v>1987</v>
      </c>
      <c r="R404" s="0" t="s">
        <v>275</v>
      </c>
      <c r="S404" s="0" t="s">
        <v>290</v>
      </c>
      <c r="T404" s="0" t="s">
        <v>276</v>
      </c>
      <c r="U404" s="0" t="s">
        <v>277</v>
      </c>
    </row>
    <row r="405" customFormat="false" ht="15" hidden="false" customHeight="false" outlineLevel="0" collapsed="false">
      <c r="A405" s="0" t="n">
        <v>33</v>
      </c>
      <c r="B405" s="0" t="s">
        <v>73</v>
      </c>
      <c r="C405" s="0" t="s">
        <v>266</v>
      </c>
      <c r="D405" s="0" t="s">
        <v>1988</v>
      </c>
      <c r="E405" s="0" t="n">
        <v>2026</v>
      </c>
      <c r="H405" s="0" t="n">
        <v>3</v>
      </c>
      <c r="I405" s="0" t="n">
        <v>333</v>
      </c>
      <c r="J405" s="0" t="s">
        <v>268</v>
      </c>
      <c r="K405" s="0" t="s">
        <v>1848</v>
      </c>
      <c r="L405" s="0" t="s">
        <v>293</v>
      </c>
      <c r="M405" s="0" t="s">
        <v>1989</v>
      </c>
      <c r="N405" s="0" t="s">
        <v>1989</v>
      </c>
      <c r="O405" s="0" t="s">
        <v>1990</v>
      </c>
      <c r="P405" s="0" t="s">
        <v>1991</v>
      </c>
      <c r="R405" s="0" t="s">
        <v>275</v>
      </c>
      <c r="S405" s="0" t="s">
        <v>290</v>
      </c>
      <c r="T405" s="0" t="s">
        <v>276</v>
      </c>
      <c r="U405" s="0" t="s">
        <v>277</v>
      </c>
    </row>
    <row r="406" customFormat="false" ht="15" hidden="false" customHeight="false" outlineLevel="0" collapsed="false">
      <c r="A406" s="0" t="n">
        <v>33</v>
      </c>
      <c r="B406" s="0" t="s">
        <v>73</v>
      </c>
      <c r="C406" s="0" t="s">
        <v>266</v>
      </c>
      <c r="D406" s="0" t="s">
        <v>1992</v>
      </c>
      <c r="E406" s="0" t="n">
        <v>2026</v>
      </c>
      <c r="H406" s="0" t="n">
        <v>5</v>
      </c>
      <c r="I406" s="0" t="n">
        <v>252</v>
      </c>
      <c r="J406" s="0" t="s">
        <v>268</v>
      </c>
      <c r="K406" s="0" t="s">
        <v>1848</v>
      </c>
      <c r="L406" s="0" t="s">
        <v>293</v>
      </c>
      <c r="M406" s="0" t="s">
        <v>1993</v>
      </c>
      <c r="N406" s="0" t="s">
        <v>1993</v>
      </c>
      <c r="O406" s="0" t="s">
        <v>1994</v>
      </c>
      <c r="P406" s="0" t="s">
        <v>1995</v>
      </c>
      <c r="R406" s="0" t="s">
        <v>275</v>
      </c>
      <c r="S406" s="0" t="s">
        <v>290</v>
      </c>
      <c r="T406" s="0" t="s">
        <v>276</v>
      </c>
      <c r="U406" s="0" t="s">
        <v>277</v>
      </c>
    </row>
    <row r="407" customFormat="false" ht="15" hidden="false" customHeight="false" outlineLevel="0" collapsed="false">
      <c r="A407" s="0" t="n">
        <v>33</v>
      </c>
      <c r="B407" s="0" t="s">
        <v>73</v>
      </c>
      <c r="C407" s="0" t="s">
        <v>266</v>
      </c>
      <c r="D407" s="0" t="s">
        <v>1996</v>
      </c>
      <c r="E407" s="0" t="n">
        <v>2026</v>
      </c>
      <c r="H407" s="0" t="n">
        <v>4</v>
      </c>
      <c r="I407" s="0" t="n">
        <v>193</v>
      </c>
      <c r="J407" s="0" t="s">
        <v>268</v>
      </c>
      <c r="K407" s="0" t="s">
        <v>1848</v>
      </c>
      <c r="L407" s="0" t="s">
        <v>293</v>
      </c>
      <c r="M407" s="0" t="s">
        <v>1997</v>
      </c>
      <c r="N407" s="0" t="s">
        <v>1997</v>
      </c>
      <c r="O407" s="0" t="s">
        <v>1998</v>
      </c>
      <c r="P407" s="0" t="s">
        <v>1999</v>
      </c>
      <c r="R407" s="0" t="s">
        <v>275</v>
      </c>
      <c r="S407" s="0" t="s">
        <v>290</v>
      </c>
      <c r="T407" s="0" t="s">
        <v>276</v>
      </c>
      <c r="U407" s="0" t="s">
        <v>277</v>
      </c>
    </row>
    <row r="408" customFormat="false" ht="15" hidden="false" customHeight="false" outlineLevel="0" collapsed="false">
      <c r="A408" s="0" t="n">
        <v>33</v>
      </c>
      <c r="B408" s="0" t="s">
        <v>73</v>
      </c>
      <c r="C408" s="0" t="s">
        <v>266</v>
      </c>
      <c r="D408" s="0" t="s">
        <v>2000</v>
      </c>
      <c r="E408" s="0" t="n">
        <v>2026</v>
      </c>
      <c r="H408" s="0" t="n">
        <v>5</v>
      </c>
      <c r="I408" s="0" t="n">
        <v>243</v>
      </c>
      <c r="J408" s="0" t="s">
        <v>268</v>
      </c>
      <c r="K408" s="0" t="s">
        <v>1848</v>
      </c>
      <c r="L408" s="0" t="s">
        <v>293</v>
      </c>
      <c r="M408" s="0" t="s">
        <v>2001</v>
      </c>
      <c r="N408" s="0" t="s">
        <v>2001</v>
      </c>
      <c r="O408" s="0" t="s">
        <v>2002</v>
      </c>
      <c r="P408" s="0" t="s">
        <v>2003</v>
      </c>
      <c r="R408" s="0" t="s">
        <v>275</v>
      </c>
      <c r="S408" s="0" t="s">
        <v>290</v>
      </c>
      <c r="T408" s="0" t="s">
        <v>276</v>
      </c>
      <c r="U408" s="0" t="s">
        <v>277</v>
      </c>
    </row>
    <row r="409" customFormat="false" ht="15" hidden="false" customHeight="false" outlineLevel="0" collapsed="false">
      <c r="A409" s="0" t="n">
        <v>33</v>
      </c>
      <c r="B409" s="0" t="s">
        <v>73</v>
      </c>
      <c r="C409" s="0" t="s">
        <v>266</v>
      </c>
      <c r="D409" s="0" t="s">
        <v>2004</v>
      </c>
      <c r="E409" s="0" t="n">
        <v>2026</v>
      </c>
      <c r="H409" s="0" t="n">
        <v>4</v>
      </c>
      <c r="I409" s="0" t="n">
        <v>199</v>
      </c>
      <c r="J409" s="0" t="s">
        <v>268</v>
      </c>
      <c r="K409" s="0" t="s">
        <v>1848</v>
      </c>
      <c r="L409" s="0" t="s">
        <v>293</v>
      </c>
      <c r="M409" s="0" t="s">
        <v>2005</v>
      </c>
      <c r="N409" s="0" t="s">
        <v>2006</v>
      </c>
      <c r="O409" s="0" t="s">
        <v>2007</v>
      </c>
      <c r="P409" s="0" t="s">
        <v>2008</v>
      </c>
      <c r="R409" s="0" t="s">
        <v>275</v>
      </c>
      <c r="S409" s="0" t="s">
        <v>290</v>
      </c>
      <c r="T409" s="0" t="s">
        <v>276</v>
      </c>
      <c r="U409" s="0" t="s">
        <v>277</v>
      </c>
    </row>
    <row r="410" customFormat="false" ht="15" hidden="false" customHeight="false" outlineLevel="0" collapsed="false">
      <c r="A410" s="0" t="n">
        <v>33</v>
      </c>
      <c r="B410" s="0" t="s">
        <v>73</v>
      </c>
      <c r="C410" s="0" t="s">
        <v>266</v>
      </c>
      <c r="D410" s="0" t="s">
        <v>2009</v>
      </c>
      <c r="E410" s="0" t="n">
        <v>2026</v>
      </c>
      <c r="H410" s="0" t="n">
        <v>6</v>
      </c>
      <c r="I410" s="0" t="n">
        <v>591</v>
      </c>
      <c r="J410" s="0" t="s">
        <v>268</v>
      </c>
      <c r="K410" s="0" t="s">
        <v>1848</v>
      </c>
      <c r="L410" s="0" t="s">
        <v>293</v>
      </c>
      <c r="M410" s="0" t="s">
        <v>2010</v>
      </c>
      <c r="N410" s="0" t="s">
        <v>2010</v>
      </c>
      <c r="O410" s="0" t="s">
        <v>2011</v>
      </c>
      <c r="P410" s="0" t="s">
        <v>2012</v>
      </c>
      <c r="R410" s="0" t="s">
        <v>275</v>
      </c>
      <c r="S410" s="0" t="s">
        <v>290</v>
      </c>
      <c r="T410" s="0" t="s">
        <v>276</v>
      </c>
      <c r="U410" s="0" t="s">
        <v>277</v>
      </c>
    </row>
    <row r="411" customFormat="false" ht="15" hidden="false" customHeight="false" outlineLevel="0" collapsed="false">
      <c r="A411" s="0" t="n">
        <v>33</v>
      </c>
      <c r="B411" s="0" t="s">
        <v>73</v>
      </c>
      <c r="C411" s="0" t="s">
        <v>266</v>
      </c>
      <c r="D411" s="0" t="s">
        <v>2013</v>
      </c>
      <c r="E411" s="0" t="n">
        <v>2026</v>
      </c>
      <c r="H411" s="0" t="n">
        <v>4</v>
      </c>
      <c r="I411" s="0" t="n">
        <v>200</v>
      </c>
      <c r="J411" s="0" t="s">
        <v>268</v>
      </c>
      <c r="K411" s="0" t="s">
        <v>1848</v>
      </c>
      <c r="L411" s="0" t="s">
        <v>293</v>
      </c>
      <c r="M411" s="0" t="s">
        <v>2014</v>
      </c>
      <c r="N411" s="0" t="s">
        <v>2015</v>
      </c>
      <c r="O411" s="0" t="s">
        <v>2016</v>
      </c>
      <c r="P411" s="0" t="s">
        <v>2017</v>
      </c>
      <c r="R411" s="0" t="s">
        <v>275</v>
      </c>
      <c r="S411" s="0" t="s">
        <v>290</v>
      </c>
      <c r="T411" s="0" t="s">
        <v>276</v>
      </c>
      <c r="U411" s="0" t="s">
        <v>277</v>
      </c>
    </row>
    <row r="412" customFormat="false" ht="15" hidden="false" customHeight="false" outlineLevel="0" collapsed="false">
      <c r="A412" s="0" t="n">
        <v>33</v>
      </c>
      <c r="B412" s="0" t="s">
        <v>73</v>
      </c>
      <c r="C412" s="0" t="s">
        <v>266</v>
      </c>
      <c r="D412" s="0" t="s">
        <v>2018</v>
      </c>
      <c r="E412" s="0" t="n">
        <v>2026</v>
      </c>
      <c r="H412" s="0" t="n">
        <v>4</v>
      </c>
      <c r="I412" s="0" t="n">
        <v>561</v>
      </c>
      <c r="J412" s="0" t="s">
        <v>268</v>
      </c>
      <c r="K412" s="0" t="s">
        <v>1848</v>
      </c>
      <c r="L412" s="0" t="s">
        <v>293</v>
      </c>
      <c r="M412" s="0" t="s">
        <v>2019</v>
      </c>
      <c r="N412" s="0" t="s">
        <v>2020</v>
      </c>
      <c r="O412" s="0" t="s">
        <v>2021</v>
      </c>
      <c r="P412" s="0" t="s">
        <v>2022</v>
      </c>
      <c r="R412" s="0" t="s">
        <v>275</v>
      </c>
      <c r="S412" s="0" t="s">
        <v>290</v>
      </c>
      <c r="T412" s="0" t="s">
        <v>276</v>
      </c>
      <c r="U412" s="0" t="s">
        <v>277</v>
      </c>
    </row>
    <row r="413" customFormat="false" ht="15" hidden="false" customHeight="false" outlineLevel="0" collapsed="false">
      <c r="A413" s="0" t="n">
        <v>33</v>
      </c>
      <c r="B413" s="0" t="s">
        <v>73</v>
      </c>
      <c r="C413" s="0" t="s">
        <v>266</v>
      </c>
      <c r="D413" s="0" t="s">
        <v>2023</v>
      </c>
      <c r="E413" s="0" t="n">
        <v>2026</v>
      </c>
      <c r="H413" s="0" t="n">
        <v>5</v>
      </c>
      <c r="I413" s="0" t="n">
        <v>251</v>
      </c>
      <c r="J413" s="0" t="s">
        <v>268</v>
      </c>
      <c r="K413" s="0" t="s">
        <v>1848</v>
      </c>
      <c r="L413" s="0" t="s">
        <v>293</v>
      </c>
      <c r="M413" s="0" t="s">
        <v>2024</v>
      </c>
      <c r="N413" s="0" t="s">
        <v>2024</v>
      </c>
      <c r="O413" s="0" t="s">
        <v>2025</v>
      </c>
      <c r="P413" s="0" t="s">
        <v>2026</v>
      </c>
      <c r="R413" s="0" t="s">
        <v>275</v>
      </c>
      <c r="S413" s="0" t="s">
        <v>290</v>
      </c>
      <c r="T413" s="0" t="s">
        <v>276</v>
      </c>
      <c r="U413" s="0" t="s">
        <v>277</v>
      </c>
    </row>
    <row r="414" customFormat="false" ht="15" hidden="false" customHeight="false" outlineLevel="0" collapsed="false">
      <c r="A414" s="0" t="n">
        <v>33</v>
      </c>
      <c r="B414" s="0" t="s">
        <v>73</v>
      </c>
      <c r="C414" s="0" t="s">
        <v>266</v>
      </c>
      <c r="D414" s="0" t="s">
        <v>2027</v>
      </c>
      <c r="E414" s="0" t="n">
        <v>2026</v>
      </c>
      <c r="H414" s="0" t="n">
        <v>4</v>
      </c>
      <c r="I414" s="0" t="n">
        <v>193</v>
      </c>
      <c r="J414" s="0" t="s">
        <v>268</v>
      </c>
      <c r="K414" s="0" t="s">
        <v>1848</v>
      </c>
      <c r="L414" s="0" t="s">
        <v>293</v>
      </c>
      <c r="M414" s="0" t="s">
        <v>2028</v>
      </c>
      <c r="N414" s="0" t="s">
        <v>2028</v>
      </c>
      <c r="O414" s="0" t="s">
        <v>2029</v>
      </c>
      <c r="P414" s="0" t="s">
        <v>2030</v>
      </c>
      <c r="R414" s="0" t="s">
        <v>275</v>
      </c>
      <c r="S414" s="0" t="s">
        <v>290</v>
      </c>
      <c r="T414" s="0" t="s">
        <v>276</v>
      </c>
      <c r="U414" s="0" t="s">
        <v>277</v>
      </c>
    </row>
    <row r="415" customFormat="false" ht="15" hidden="false" customHeight="false" outlineLevel="0" collapsed="false">
      <c r="A415" s="0" t="n">
        <v>33</v>
      </c>
      <c r="B415" s="0" t="s">
        <v>73</v>
      </c>
      <c r="C415" s="0" t="s">
        <v>266</v>
      </c>
      <c r="D415" s="0" t="s">
        <v>2031</v>
      </c>
      <c r="E415" s="0" t="n">
        <v>2026</v>
      </c>
      <c r="H415" s="0" t="n">
        <v>4</v>
      </c>
      <c r="I415" s="0" t="n">
        <v>199</v>
      </c>
      <c r="J415" s="0" t="s">
        <v>268</v>
      </c>
      <c r="K415" s="0" t="s">
        <v>1848</v>
      </c>
      <c r="L415" s="0" t="s">
        <v>293</v>
      </c>
      <c r="M415" s="0" t="s">
        <v>2032</v>
      </c>
      <c r="N415" s="0" t="s">
        <v>2033</v>
      </c>
      <c r="O415" s="0" t="s">
        <v>2034</v>
      </c>
      <c r="P415" s="0" t="s">
        <v>2035</v>
      </c>
      <c r="R415" s="0" t="s">
        <v>275</v>
      </c>
      <c r="S415" s="0" t="s">
        <v>290</v>
      </c>
      <c r="T415" s="0" t="s">
        <v>276</v>
      </c>
      <c r="U415" s="0" t="s">
        <v>277</v>
      </c>
    </row>
    <row r="416" customFormat="false" ht="15" hidden="false" customHeight="false" outlineLevel="0" collapsed="false">
      <c r="A416" s="0" t="n">
        <v>33</v>
      </c>
      <c r="B416" s="0" t="s">
        <v>73</v>
      </c>
      <c r="C416" s="0" t="s">
        <v>266</v>
      </c>
      <c r="D416" s="0" t="s">
        <v>2036</v>
      </c>
      <c r="E416" s="0" t="n">
        <v>2026</v>
      </c>
      <c r="H416" s="0" t="n">
        <v>1</v>
      </c>
      <c r="I416" s="0" t="n">
        <v>168</v>
      </c>
      <c r="J416" s="0" t="s">
        <v>268</v>
      </c>
      <c r="K416" s="0" t="s">
        <v>1848</v>
      </c>
      <c r="L416" s="0" t="s">
        <v>293</v>
      </c>
      <c r="M416" s="0" t="s">
        <v>2037</v>
      </c>
      <c r="N416" s="0" t="s">
        <v>2037</v>
      </c>
      <c r="O416" s="0" t="s">
        <v>2038</v>
      </c>
      <c r="P416" s="0" t="s">
        <v>2039</v>
      </c>
      <c r="R416" s="0" t="s">
        <v>275</v>
      </c>
      <c r="S416" s="0" t="s">
        <v>290</v>
      </c>
      <c r="T416" s="0" t="s">
        <v>276</v>
      </c>
      <c r="U416" s="0" t="s">
        <v>277</v>
      </c>
    </row>
    <row r="417" customFormat="false" ht="15" hidden="false" customHeight="false" outlineLevel="0" collapsed="false">
      <c r="A417" s="0" t="n">
        <v>33</v>
      </c>
      <c r="B417" s="0" t="s">
        <v>73</v>
      </c>
      <c r="C417" s="0" t="s">
        <v>266</v>
      </c>
      <c r="D417" s="0" t="s">
        <v>2040</v>
      </c>
      <c r="E417" s="0" t="n">
        <v>2026</v>
      </c>
      <c r="H417" s="0" t="n">
        <v>1</v>
      </c>
      <c r="I417" s="0" t="n">
        <v>114</v>
      </c>
      <c r="J417" s="0" t="s">
        <v>268</v>
      </c>
      <c r="K417" s="0" t="s">
        <v>1848</v>
      </c>
      <c r="L417" s="0" t="s">
        <v>293</v>
      </c>
      <c r="M417" s="0" t="s">
        <v>2041</v>
      </c>
      <c r="N417" s="0" t="s">
        <v>2041</v>
      </c>
      <c r="O417" s="0" t="s">
        <v>2042</v>
      </c>
      <c r="P417" s="0" t="s">
        <v>2043</v>
      </c>
      <c r="R417" s="0" t="s">
        <v>275</v>
      </c>
      <c r="S417" s="0" t="s">
        <v>290</v>
      </c>
      <c r="T417" s="0" t="s">
        <v>276</v>
      </c>
      <c r="U417" s="0" t="s">
        <v>277</v>
      </c>
    </row>
    <row r="418" customFormat="false" ht="15" hidden="false" customHeight="false" outlineLevel="0" collapsed="false">
      <c r="A418" s="0" t="n">
        <v>33</v>
      </c>
      <c r="B418" s="0" t="s">
        <v>73</v>
      </c>
      <c r="C418" s="0" t="s">
        <v>266</v>
      </c>
      <c r="D418" s="0" t="s">
        <v>2044</v>
      </c>
      <c r="E418" s="0" t="n">
        <v>2026</v>
      </c>
      <c r="H418" s="0" t="n">
        <v>1</v>
      </c>
      <c r="I418" s="0" t="n">
        <v>27</v>
      </c>
      <c r="J418" s="0" t="s">
        <v>268</v>
      </c>
      <c r="K418" s="0" t="s">
        <v>1848</v>
      </c>
      <c r="L418" s="0" t="s">
        <v>293</v>
      </c>
      <c r="M418" s="0" t="s">
        <v>2045</v>
      </c>
      <c r="N418" s="0" t="s">
        <v>2045</v>
      </c>
      <c r="O418" s="0" t="s">
        <v>2046</v>
      </c>
      <c r="P418" s="0" t="s">
        <v>2047</v>
      </c>
      <c r="R418" s="0" t="s">
        <v>275</v>
      </c>
      <c r="S418" s="0" t="s">
        <v>290</v>
      </c>
      <c r="T418" s="0" t="s">
        <v>276</v>
      </c>
      <c r="U418" s="0" t="s">
        <v>277</v>
      </c>
    </row>
    <row r="419" customFormat="false" ht="15" hidden="false" customHeight="false" outlineLevel="0" collapsed="false">
      <c r="A419" s="0" t="n">
        <v>33</v>
      </c>
      <c r="B419" s="0" t="s">
        <v>73</v>
      </c>
      <c r="C419" s="0" t="s">
        <v>266</v>
      </c>
      <c r="D419" s="0" t="s">
        <v>2048</v>
      </c>
      <c r="E419" s="0" t="n">
        <v>2026</v>
      </c>
      <c r="H419" s="0" t="n">
        <v>1</v>
      </c>
      <c r="I419" s="0" t="n">
        <v>105</v>
      </c>
      <c r="J419" s="0" t="s">
        <v>268</v>
      </c>
      <c r="K419" s="0" t="s">
        <v>1848</v>
      </c>
      <c r="L419" s="0" t="s">
        <v>293</v>
      </c>
      <c r="M419" s="0" t="s">
        <v>2049</v>
      </c>
      <c r="N419" s="0" t="s">
        <v>2049</v>
      </c>
      <c r="O419" s="0" t="s">
        <v>2050</v>
      </c>
      <c r="P419" s="0" t="s">
        <v>2051</v>
      </c>
      <c r="R419" s="0" t="s">
        <v>275</v>
      </c>
      <c r="S419" s="0" t="s">
        <v>290</v>
      </c>
      <c r="T419" s="0" t="s">
        <v>276</v>
      </c>
      <c r="U419" s="0" t="s">
        <v>277</v>
      </c>
    </row>
    <row r="420" customFormat="false" ht="15" hidden="false" customHeight="false" outlineLevel="0" collapsed="false">
      <c r="A420" s="0" t="n">
        <v>33</v>
      </c>
      <c r="B420" s="0" t="s">
        <v>73</v>
      </c>
      <c r="C420" s="0" t="s">
        <v>266</v>
      </c>
      <c r="D420" s="0" t="s">
        <v>2052</v>
      </c>
      <c r="E420" s="0" t="n">
        <v>2026</v>
      </c>
      <c r="H420" s="0" t="n">
        <v>1</v>
      </c>
      <c r="I420" s="0" t="n">
        <v>36</v>
      </c>
      <c r="J420" s="0" t="s">
        <v>268</v>
      </c>
      <c r="K420" s="0" t="s">
        <v>1848</v>
      </c>
      <c r="L420" s="0" t="s">
        <v>293</v>
      </c>
      <c r="M420" s="0" t="s">
        <v>2053</v>
      </c>
      <c r="N420" s="0" t="s">
        <v>2053</v>
      </c>
      <c r="O420" s="0" t="s">
        <v>2054</v>
      </c>
      <c r="P420" s="0" t="s">
        <v>2055</v>
      </c>
      <c r="R420" s="0" t="s">
        <v>275</v>
      </c>
      <c r="S420" s="0" t="s">
        <v>290</v>
      </c>
      <c r="T420" s="0" t="s">
        <v>276</v>
      </c>
      <c r="U420" s="0" t="s">
        <v>277</v>
      </c>
    </row>
    <row r="421" customFormat="false" ht="15" hidden="false" customHeight="false" outlineLevel="0" collapsed="false">
      <c r="A421" s="0" t="n">
        <v>33</v>
      </c>
      <c r="B421" s="0" t="s">
        <v>73</v>
      </c>
      <c r="C421" s="0" t="s">
        <v>266</v>
      </c>
      <c r="D421" s="0" t="s">
        <v>2056</v>
      </c>
      <c r="E421" s="0" t="n">
        <v>2021</v>
      </c>
      <c r="H421" s="0" t="n">
        <v>3</v>
      </c>
      <c r="I421" s="0" t="n">
        <v>137</v>
      </c>
      <c r="J421" s="0" t="s">
        <v>268</v>
      </c>
      <c r="K421" s="0" t="s">
        <v>1848</v>
      </c>
      <c r="L421" s="0" t="s">
        <v>293</v>
      </c>
      <c r="M421" s="0" t="s">
        <v>2057</v>
      </c>
      <c r="N421" s="0" t="s">
        <v>2058</v>
      </c>
      <c r="O421" s="0" t="s">
        <v>2059</v>
      </c>
      <c r="P421" s="0" t="s">
        <v>2060</v>
      </c>
      <c r="R421" s="0" t="s">
        <v>284</v>
      </c>
      <c r="S421" s="0" t="s">
        <v>290</v>
      </c>
      <c r="T421" s="0" t="s">
        <v>276</v>
      </c>
      <c r="U421" s="0" t="s">
        <v>277</v>
      </c>
    </row>
    <row r="422" customFormat="false" ht="15" hidden="false" customHeight="false" outlineLevel="0" collapsed="false">
      <c r="A422" s="0" t="n">
        <v>33</v>
      </c>
      <c r="B422" s="0" t="s">
        <v>73</v>
      </c>
      <c r="C422" s="0" t="s">
        <v>266</v>
      </c>
      <c r="D422" s="0" t="s">
        <v>2061</v>
      </c>
      <c r="E422" s="0" t="n">
        <v>2021</v>
      </c>
      <c r="H422" s="0" t="n">
        <v>3</v>
      </c>
      <c r="I422" s="0" t="n">
        <v>134</v>
      </c>
      <c r="J422" s="0" t="s">
        <v>268</v>
      </c>
      <c r="K422" s="0" t="s">
        <v>1848</v>
      </c>
      <c r="L422" s="0" t="s">
        <v>293</v>
      </c>
      <c r="M422" s="0" t="s">
        <v>2062</v>
      </c>
      <c r="N422" s="0" t="s">
        <v>2062</v>
      </c>
      <c r="O422" s="0" t="s">
        <v>2063</v>
      </c>
      <c r="P422" s="0" t="s">
        <v>2064</v>
      </c>
      <c r="R422" s="0" t="s">
        <v>284</v>
      </c>
      <c r="S422" s="0" t="s">
        <v>290</v>
      </c>
      <c r="T422" s="0" t="s">
        <v>276</v>
      </c>
      <c r="U422" s="0" t="s">
        <v>277</v>
      </c>
    </row>
    <row r="423" customFormat="false" ht="15" hidden="false" customHeight="false" outlineLevel="0" collapsed="false">
      <c r="A423" s="0" t="n">
        <v>33</v>
      </c>
      <c r="B423" s="0" t="s">
        <v>73</v>
      </c>
      <c r="C423" s="0" t="s">
        <v>266</v>
      </c>
      <c r="D423" s="0" t="s">
        <v>2065</v>
      </c>
      <c r="E423" s="0" t="n">
        <v>2021</v>
      </c>
      <c r="H423" s="0" t="n">
        <v>3</v>
      </c>
      <c r="I423" s="0" t="n">
        <v>134</v>
      </c>
      <c r="J423" s="0" t="s">
        <v>268</v>
      </c>
      <c r="K423" s="0" t="s">
        <v>1848</v>
      </c>
      <c r="L423" s="0" t="s">
        <v>293</v>
      </c>
      <c r="M423" s="0" t="s">
        <v>2066</v>
      </c>
      <c r="N423" s="0" t="s">
        <v>2066</v>
      </c>
      <c r="O423" s="0" t="s">
        <v>2067</v>
      </c>
      <c r="P423" s="0" t="s">
        <v>2068</v>
      </c>
      <c r="R423" s="0" t="s">
        <v>284</v>
      </c>
      <c r="S423" s="0" t="s">
        <v>290</v>
      </c>
      <c r="T423" s="0" t="s">
        <v>276</v>
      </c>
      <c r="U423" s="0" t="s">
        <v>277</v>
      </c>
    </row>
    <row r="424" customFormat="false" ht="15" hidden="false" customHeight="false" outlineLevel="0" collapsed="false">
      <c r="A424" s="0" t="n">
        <v>33</v>
      </c>
      <c r="B424" s="0" t="s">
        <v>73</v>
      </c>
      <c r="C424" s="0" t="s">
        <v>266</v>
      </c>
      <c r="D424" s="0" t="s">
        <v>2069</v>
      </c>
      <c r="E424" s="0" t="n">
        <v>2021</v>
      </c>
      <c r="H424" s="0" t="n">
        <v>3</v>
      </c>
      <c r="I424" s="0" t="n">
        <v>142</v>
      </c>
      <c r="J424" s="0" t="s">
        <v>268</v>
      </c>
      <c r="K424" s="0" t="s">
        <v>1848</v>
      </c>
      <c r="L424" s="0" t="s">
        <v>293</v>
      </c>
      <c r="M424" s="0" t="s">
        <v>2070</v>
      </c>
      <c r="N424" s="0" t="s">
        <v>2070</v>
      </c>
      <c r="O424" s="0" t="s">
        <v>2071</v>
      </c>
      <c r="P424" s="0" t="s">
        <v>2072</v>
      </c>
      <c r="R424" s="0" t="s">
        <v>284</v>
      </c>
      <c r="S424" s="0" t="s">
        <v>290</v>
      </c>
      <c r="T424" s="0" t="s">
        <v>276</v>
      </c>
      <c r="U424" s="0" t="s">
        <v>277</v>
      </c>
    </row>
    <row r="425" customFormat="false" ht="15" hidden="false" customHeight="false" outlineLevel="0" collapsed="false">
      <c r="A425" s="0" t="n">
        <v>33</v>
      </c>
      <c r="B425" s="0" t="s">
        <v>73</v>
      </c>
      <c r="C425" s="0" t="s">
        <v>266</v>
      </c>
      <c r="D425" s="0" t="s">
        <v>2073</v>
      </c>
      <c r="E425" s="0" t="n">
        <v>2021</v>
      </c>
      <c r="H425" s="0" t="n">
        <v>3</v>
      </c>
      <c r="I425" s="0" t="n">
        <v>142</v>
      </c>
      <c r="J425" s="0" t="s">
        <v>268</v>
      </c>
      <c r="K425" s="0" t="s">
        <v>1848</v>
      </c>
      <c r="L425" s="0" t="s">
        <v>293</v>
      </c>
      <c r="M425" s="0" t="s">
        <v>2074</v>
      </c>
      <c r="N425" s="0" t="s">
        <v>2074</v>
      </c>
      <c r="O425" s="0" t="s">
        <v>2075</v>
      </c>
      <c r="P425" s="0" t="s">
        <v>2076</v>
      </c>
      <c r="R425" s="0" t="s">
        <v>284</v>
      </c>
      <c r="S425" s="0" t="s">
        <v>290</v>
      </c>
      <c r="T425" s="0" t="s">
        <v>276</v>
      </c>
      <c r="U425" s="0" t="s">
        <v>277</v>
      </c>
    </row>
    <row r="426" customFormat="false" ht="15" hidden="false" customHeight="false" outlineLevel="0" collapsed="false">
      <c r="A426" s="0" t="n">
        <v>33</v>
      </c>
      <c r="B426" s="0" t="s">
        <v>73</v>
      </c>
      <c r="C426" s="0" t="s">
        <v>266</v>
      </c>
      <c r="D426" s="0" t="s">
        <v>2077</v>
      </c>
      <c r="E426" s="0" t="n">
        <v>2021</v>
      </c>
      <c r="H426" s="0" t="n">
        <v>3</v>
      </c>
      <c r="I426" s="0" t="n">
        <v>134</v>
      </c>
      <c r="J426" s="0" t="s">
        <v>268</v>
      </c>
      <c r="K426" s="0" t="s">
        <v>1848</v>
      </c>
      <c r="L426" s="0" t="s">
        <v>293</v>
      </c>
      <c r="M426" s="0" t="s">
        <v>2078</v>
      </c>
      <c r="N426" s="0" t="s">
        <v>2078</v>
      </c>
      <c r="O426" s="0" t="s">
        <v>2079</v>
      </c>
      <c r="P426" s="0" t="s">
        <v>2080</v>
      </c>
      <c r="R426" s="0" t="s">
        <v>284</v>
      </c>
      <c r="S426" s="0" t="s">
        <v>290</v>
      </c>
      <c r="T426" s="0" t="s">
        <v>276</v>
      </c>
      <c r="U426" s="0" t="s">
        <v>277</v>
      </c>
    </row>
    <row r="427" customFormat="false" ht="15" hidden="false" customHeight="false" outlineLevel="0" collapsed="false">
      <c r="A427" s="0" t="n">
        <v>33</v>
      </c>
      <c r="B427" s="0" t="s">
        <v>73</v>
      </c>
      <c r="C427" s="0" t="s">
        <v>266</v>
      </c>
      <c r="D427" s="0" t="s">
        <v>2081</v>
      </c>
      <c r="E427" s="0" t="n">
        <v>2021</v>
      </c>
      <c r="H427" s="0" t="n">
        <v>3</v>
      </c>
      <c r="I427" s="0" t="n">
        <v>134</v>
      </c>
      <c r="J427" s="0" t="s">
        <v>268</v>
      </c>
      <c r="K427" s="0" t="s">
        <v>1848</v>
      </c>
      <c r="L427" s="0" t="s">
        <v>293</v>
      </c>
      <c r="M427" s="0" t="s">
        <v>2082</v>
      </c>
      <c r="N427" s="0" t="s">
        <v>2082</v>
      </c>
      <c r="O427" s="0" t="s">
        <v>2083</v>
      </c>
      <c r="P427" s="0" t="s">
        <v>2084</v>
      </c>
      <c r="R427" s="0" t="s">
        <v>284</v>
      </c>
      <c r="S427" s="0" t="s">
        <v>290</v>
      </c>
      <c r="T427" s="0" t="s">
        <v>276</v>
      </c>
      <c r="U427" s="0" t="s">
        <v>277</v>
      </c>
    </row>
    <row r="428" customFormat="false" ht="15" hidden="false" customHeight="false" outlineLevel="0" collapsed="false">
      <c r="A428" s="0" t="n">
        <v>33</v>
      </c>
      <c r="B428" s="0" t="s">
        <v>73</v>
      </c>
      <c r="C428" s="0" t="s">
        <v>266</v>
      </c>
      <c r="D428" s="0" t="s">
        <v>2085</v>
      </c>
      <c r="E428" s="0" t="n">
        <v>2021</v>
      </c>
      <c r="H428" s="0" t="n">
        <v>3</v>
      </c>
      <c r="I428" s="0" t="n">
        <v>133</v>
      </c>
      <c r="J428" s="0" t="s">
        <v>268</v>
      </c>
      <c r="K428" s="0" t="s">
        <v>1848</v>
      </c>
      <c r="L428" s="0" t="s">
        <v>293</v>
      </c>
      <c r="M428" s="0" t="s">
        <v>2086</v>
      </c>
      <c r="N428" s="0" t="s">
        <v>2086</v>
      </c>
      <c r="O428" s="0" t="s">
        <v>2087</v>
      </c>
      <c r="P428" s="0" t="s">
        <v>2088</v>
      </c>
      <c r="R428" s="0" t="s">
        <v>284</v>
      </c>
      <c r="S428" s="0" t="s">
        <v>290</v>
      </c>
      <c r="T428" s="0" t="s">
        <v>276</v>
      </c>
      <c r="U428" s="0" t="s">
        <v>277</v>
      </c>
    </row>
    <row r="429" customFormat="false" ht="15" hidden="false" customHeight="false" outlineLevel="0" collapsed="false">
      <c r="A429" s="0" t="n">
        <v>33</v>
      </c>
      <c r="B429" s="0" t="s">
        <v>73</v>
      </c>
      <c r="C429" s="0" t="s">
        <v>266</v>
      </c>
      <c r="D429" s="0" t="s">
        <v>2089</v>
      </c>
      <c r="E429" s="0" t="n">
        <v>2021</v>
      </c>
      <c r="H429" s="0" t="n">
        <v>3</v>
      </c>
      <c r="I429" s="0" t="n">
        <v>133</v>
      </c>
      <c r="J429" s="0" t="s">
        <v>268</v>
      </c>
      <c r="K429" s="0" t="s">
        <v>1848</v>
      </c>
      <c r="L429" s="0" t="s">
        <v>293</v>
      </c>
      <c r="M429" s="0" t="s">
        <v>2090</v>
      </c>
      <c r="N429" s="0" t="s">
        <v>2090</v>
      </c>
      <c r="O429" s="0" t="s">
        <v>2091</v>
      </c>
      <c r="P429" s="0" t="s">
        <v>2092</v>
      </c>
      <c r="R429" s="0" t="s">
        <v>284</v>
      </c>
      <c r="S429" s="0" t="s">
        <v>290</v>
      </c>
      <c r="T429" s="0" t="s">
        <v>276</v>
      </c>
      <c r="U429" s="0" t="s">
        <v>277</v>
      </c>
    </row>
    <row r="430" customFormat="false" ht="15" hidden="false" customHeight="false" outlineLevel="0" collapsed="false">
      <c r="A430" s="0" t="n">
        <v>33</v>
      </c>
      <c r="B430" s="0" t="s">
        <v>73</v>
      </c>
      <c r="C430" s="0" t="s">
        <v>266</v>
      </c>
      <c r="D430" s="0" t="s">
        <v>2093</v>
      </c>
      <c r="E430" s="0" t="n">
        <v>2021</v>
      </c>
      <c r="H430" s="0" t="n">
        <v>3</v>
      </c>
      <c r="I430" s="0" t="n">
        <v>142</v>
      </c>
      <c r="J430" s="0" t="s">
        <v>268</v>
      </c>
      <c r="K430" s="0" t="s">
        <v>1848</v>
      </c>
      <c r="L430" s="0" t="s">
        <v>293</v>
      </c>
      <c r="M430" s="0" t="s">
        <v>2094</v>
      </c>
      <c r="N430" s="0" t="s">
        <v>2094</v>
      </c>
      <c r="O430" s="0" t="s">
        <v>2095</v>
      </c>
      <c r="P430" s="0" t="s">
        <v>2096</v>
      </c>
      <c r="R430" s="0" t="s">
        <v>284</v>
      </c>
      <c r="S430" s="0" t="s">
        <v>290</v>
      </c>
      <c r="T430" s="0" t="s">
        <v>276</v>
      </c>
      <c r="U430" s="0" t="s">
        <v>277</v>
      </c>
    </row>
    <row r="431" customFormat="false" ht="15" hidden="false" customHeight="false" outlineLevel="0" collapsed="false">
      <c r="A431" s="0" t="n">
        <v>33</v>
      </c>
      <c r="B431" s="0" t="s">
        <v>73</v>
      </c>
      <c r="C431" s="0" t="s">
        <v>266</v>
      </c>
      <c r="D431" s="0" t="s">
        <v>2097</v>
      </c>
      <c r="E431" s="0" t="n">
        <v>2021</v>
      </c>
      <c r="H431" s="0" t="n">
        <v>3</v>
      </c>
      <c r="I431" s="0" t="n">
        <v>142</v>
      </c>
      <c r="J431" s="0" t="s">
        <v>268</v>
      </c>
      <c r="K431" s="0" t="s">
        <v>1848</v>
      </c>
      <c r="L431" s="0" t="s">
        <v>293</v>
      </c>
      <c r="M431" s="0" t="s">
        <v>2098</v>
      </c>
      <c r="N431" s="0" t="s">
        <v>2098</v>
      </c>
      <c r="O431" s="0" t="s">
        <v>2099</v>
      </c>
      <c r="P431" s="0" t="s">
        <v>2100</v>
      </c>
      <c r="R431" s="0" t="s">
        <v>284</v>
      </c>
      <c r="S431" s="0" t="s">
        <v>290</v>
      </c>
      <c r="T431" s="0" t="s">
        <v>276</v>
      </c>
      <c r="U431" s="0" t="s">
        <v>277</v>
      </c>
    </row>
    <row r="432" customFormat="false" ht="15" hidden="false" customHeight="false" outlineLevel="0" collapsed="false">
      <c r="A432" s="0" t="n">
        <v>33</v>
      </c>
      <c r="B432" s="0" t="s">
        <v>73</v>
      </c>
      <c r="C432" s="0" t="s">
        <v>324</v>
      </c>
      <c r="D432" s="0" t="s">
        <v>2101</v>
      </c>
      <c r="E432" s="0" t="n">
        <v>2026</v>
      </c>
      <c r="H432" s="0" t="n">
        <v>2</v>
      </c>
      <c r="I432" s="0" t="n">
        <v>2580</v>
      </c>
      <c r="J432" s="0" t="s">
        <v>268</v>
      </c>
      <c r="K432" s="0" t="s">
        <v>1848</v>
      </c>
      <c r="L432" s="0" t="s">
        <v>293</v>
      </c>
      <c r="M432" s="0" t="s">
        <v>2102</v>
      </c>
      <c r="N432" s="0" t="s">
        <v>2102</v>
      </c>
      <c r="O432" s="0" t="s">
        <v>2103</v>
      </c>
      <c r="P432" s="0" t="s">
        <v>2104</v>
      </c>
      <c r="R432" s="0" t="s">
        <v>275</v>
      </c>
      <c r="S432" s="0" t="s">
        <v>268</v>
      </c>
      <c r="T432" s="0" t="s">
        <v>276</v>
      </c>
      <c r="U432" s="0" t="s">
        <v>277</v>
      </c>
    </row>
    <row r="433" customFormat="false" ht="15" hidden="false" customHeight="false" outlineLevel="0" collapsed="false">
      <c r="A433" s="0" t="n">
        <v>33</v>
      </c>
      <c r="B433" s="0" t="s">
        <v>73</v>
      </c>
      <c r="C433" s="0" t="s">
        <v>324</v>
      </c>
      <c r="D433" s="0" t="s">
        <v>2105</v>
      </c>
      <c r="E433" s="0" t="n">
        <v>2026</v>
      </c>
      <c r="H433" s="0" t="n">
        <v>2</v>
      </c>
      <c r="I433" s="0" t="n">
        <v>479</v>
      </c>
      <c r="J433" s="0" t="s">
        <v>268</v>
      </c>
      <c r="K433" s="0" t="s">
        <v>1848</v>
      </c>
      <c r="L433" s="0" t="s">
        <v>293</v>
      </c>
      <c r="M433" s="0" t="s">
        <v>2106</v>
      </c>
      <c r="N433" s="0" t="s">
        <v>2106</v>
      </c>
      <c r="O433" s="0" t="s">
        <v>2107</v>
      </c>
      <c r="P433" s="0" t="s">
        <v>2108</v>
      </c>
      <c r="R433" s="0" t="s">
        <v>275</v>
      </c>
      <c r="S433" s="0" t="s">
        <v>290</v>
      </c>
      <c r="T433" s="0" t="s">
        <v>276</v>
      </c>
      <c r="U433" s="0" t="s">
        <v>277</v>
      </c>
    </row>
    <row r="434" customFormat="false" ht="15" hidden="false" customHeight="false" outlineLevel="0" collapsed="false">
      <c r="A434" s="0" t="n">
        <v>33</v>
      </c>
      <c r="B434" s="0" t="s">
        <v>73</v>
      </c>
      <c r="C434" s="0" t="s">
        <v>324</v>
      </c>
      <c r="D434" s="0" t="s">
        <v>2109</v>
      </c>
      <c r="E434" s="0" t="n">
        <v>2026</v>
      </c>
      <c r="H434" s="0" t="n">
        <v>2</v>
      </c>
      <c r="I434" s="0" t="n">
        <v>2580</v>
      </c>
      <c r="J434" s="0" t="s">
        <v>268</v>
      </c>
      <c r="K434" s="0" t="s">
        <v>1848</v>
      </c>
      <c r="L434" s="0" t="s">
        <v>293</v>
      </c>
      <c r="M434" s="0" t="s">
        <v>2110</v>
      </c>
      <c r="N434" s="0" t="s">
        <v>2110</v>
      </c>
      <c r="O434" s="0" t="s">
        <v>2111</v>
      </c>
      <c r="P434" s="0" t="s">
        <v>2112</v>
      </c>
      <c r="R434" s="0" t="s">
        <v>275</v>
      </c>
      <c r="S434" s="0" t="s">
        <v>290</v>
      </c>
      <c r="T434" s="0" t="s">
        <v>276</v>
      </c>
      <c r="U434" s="0" t="s">
        <v>277</v>
      </c>
    </row>
    <row r="435" customFormat="false" ht="15" hidden="false" customHeight="false" outlineLevel="0" collapsed="false">
      <c r="A435" s="0" t="n">
        <v>33</v>
      </c>
      <c r="B435" s="0" t="s">
        <v>73</v>
      </c>
      <c r="C435" s="0" t="s">
        <v>324</v>
      </c>
      <c r="D435" s="0" t="s">
        <v>2113</v>
      </c>
      <c r="E435" s="0" t="n">
        <v>2026</v>
      </c>
      <c r="H435" s="0" t="n">
        <v>2</v>
      </c>
      <c r="I435" s="0" t="n">
        <v>4180</v>
      </c>
      <c r="J435" s="0" t="s">
        <v>268</v>
      </c>
      <c r="K435" s="0" t="s">
        <v>1848</v>
      </c>
      <c r="L435" s="0" t="s">
        <v>293</v>
      </c>
      <c r="M435" s="0" t="s">
        <v>2114</v>
      </c>
      <c r="N435" s="0" t="s">
        <v>2114</v>
      </c>
      <c r="O435" s="0" t="s">
        <v>2115</v>
      </c>
      <c r="P435" s="0" t="s">
        <v>2116</v>
      </c>
      <c r="R435" s="0" t="s">
        <v>275</v>
      </c>
      <c r="S435" s="0" t="s">
        <v>290</v>
      </c>
      <c r="T435" s="0" t="s">
        <v>276</v>
      </c>
      <c r="U435" s="0" t="s">
        <v>277</v>
      </c>
    </row>
    <row r="436" customFormat="false" ht="15" hidden="false" customHeight="false" outlineLevel="0" collapsed="false">
      <c r="A436" s="0" t="n">
        <v>33</v>
      </c>
      <c r="B436" s="0" t="s">
        <v>73</v>
      </c>
      <c r="C436" s="0" t="s">
        <v>324</v>
      </c>
      <c r="D436" s="0" t="s">
        <v>2117</v>
      </c>
      <c r="E436" s="0" t="n">
        <v>2026</v>
      </c>
      <c r="H436" s="0" t="n">
        <v>2</v>
      </c>
      <c r="I436" s="0" t="n">
        <v>9748</v>
      </c>
      <c r="J436" s="0" t="s">
        <v>268</v>
      </c>
      <c r="K436" s="0" t="s">
        <v>1848</v>
      </c>
      <c r="L436" s="0" t="s">
        <v>293</v>
      </c>
      <c r="M436" s="0" t="s">
        <v>2118</v>
      </c>
      <c r="N436" s="0" t="s">
        <v>2118</v>
      </c>
      <c r="O436" s="0" t="s">
        <v>2119</v>
      </c>
      <c r="P436" s="0" t="s">
        <v>2120</v>
      </c>
      <c r="R436" s="0" t="s">
        <v>275</v>
      </c>
      <c r="S436" s="0" t="s">
        <v>290</v>
      </c>
      <c r="T436" s="0" t="s">
        <v>276</v>
      </c>
      <c r="U436" s="0" t="s">
        <v>277</v>
      </c>
    </row>
    <row r="437" customFormat="false" ht="15" hidden="false" customHeight="false" outlineLevel="0" collapsed="false">
      <c r="A437" s="0" t="n">
        <v>33</v>
      </c>
      <c r="B437" s="0" t="s">
        <v>73</v>
      </c>
      <c r="C437" s="0" t="s">
        <v>324</v>
      </c>
      <c r="D437" s="0" t="s">
        <v>2121</v>
      </c>
      <c r="E437" s="0" t="n">
        <v>2026</v>
      </c>
      <c r="H437" s="0" t="n">
        <v>2</v>
      </c>
      <c r="I437" s="0" t="n">
        <v>9748</v>
      </c>
      <c r="J437" s="0" t="s">
        <v>268</v>
      </c>
      <c r="K437" s="0" t="s">
        <v>1848</v>
      </c>
      <c r="L437" s="0" t="s">
        <v>293</v>
      </c>
      <c r="M437" s="0" t="s">
        <v>2122</v>
      </c>
      <c r="N437" s="0" t="s">
        <v>2122</v>
      </c>
      <c r="O437" s="0" t="s">
        <v>2123</v>
      </c>
      <c r="P437" s="0" t="s">
        <v>2124</v>
      </c>
      <c r="R437" s="0" t="s">
        <v>275</v>
      </c>
      <c r="S437" s="0" t="s">
        <v>290</v>
      </c>
      <c r="T437" s="0" t="s">
        <v>276</v>
      </c>
      <c r="U437" s="0" t="s">
        <v>277</v>
      </c>
    </row>
    <row r="438" customFormat="false" ht="15" hidden="false" customHeight="false" outlineLevel="0" collapsed="false">
      <c r="A438" s="0" t="n">
        <v>33</v>
      </c>
      <c r="B438" s="0" t="s">
        <v>73</v>
      </c>
      <c r="C438" s="0" t="s">
        <v>324</v>
      </c>
      <c r="D438" s="0" t="s">
        <v>2125</v>
      </c>
      <c r="E438" s="0" t="n">
        <v>2026</v>
      </c>
      <c r="H438" s="0" t="n">
        <v>1</v>
      </c>
      <c r="I438" s="0" t="n">
        <v>4824</v>
      </c>
      <c r="J438" s="0" t="s">
        <v>268</v>
      </c>
      <c r="K438" s="0" t="s">
        <v>1848</v>
      </c>
      <c r="L438" s="0" t="s">
        <v>293</v>
      </c>
      <c r="M438" s="0" t="s">
        <v>2126</v>
      </c>
      <c r="N438" s="0" t="s">
        <v>2126</v>
      </c>
      <c r="O438" s="0" t="s">
        <v>2127</v>
      </c>
      <c r="P438" s="0" t="s">
        <v>2128</v>
      </c>
      <c r="R438" s="0" t="s">
        <v>275</v>
      </c>
      <c r="S438" s="0" t="s">
        <v>290</v>
      </c>
      <c r="T438" s="0" t="s">
        <v>276</v>
      </c>
      <c r="U438" s="0" t="s">
        <v>277</v>
      </c>
    </row>
    <row r="439" customFormat="false" ht="15" hidden="false" customHeight="false" outlineLevel="0" collapsed="false">
      <c r="A439" s="0" t="n">
        <v>33</v>
      </c>
      <c r="B439" s="0" t="s">
        <v>73</v>
      </c>
      <c r="C439" s="0" t="s">
        <v>324</v>
      </c>
      <c r="D439" s="0" t="s">
        <v>2129</v>
      </c>
      <c r="E439" s="0" t="n">
        <v>2026</v>
      </c>
      <c r="H439" s="0" t="n">
        <v>1</v>
      </c>
      <c r="I439" s="0" t="n">
        <v>3563</v>
      </c>
      <c r="J439" s="0" t="s">
        <v>268</v>
      </c>
      <c r="K439" s="0" t="s">
        <v>1848</v>
      </c>
      <c r="L439" s="0" t="s">
        <v>293</v>
      </c>
      <c r="M439" s="0" t="s">
        <v>2130</v>
      </c>
      <c r="N439" s="0" t="s">
        <v>2130</v>
      </c>
      <c r="O439" s="0" t="s">
        <v>2131</v>
      </c>
      <c r="P439" s="0" t="s">
        <v>2132</v>
      </c>
      <c r="R439" s="0" t="s">
        <v>275</v>
      </c>
      <c r="S439" s="0" t="s">
        <v>290</v>
      </c>
      <c r="T439" s="0" t="s">
        <v>276</v>
      </c>
      <c r="U439" s="0" t="s">
        <v>277</v>
      </c>
    </row>
    <row r="440" customFormat="false" ht="15" hidden="false" customHeight="false" outlineLevel="0" collapsed="false">
      <c r="A440" s="0" t="n">
        <v>33</v>
      </c>
      <c r="B440" s="0" t="s">
        <v>73</v>
      </c>
      <c r="C440" s="0" t="s">
        <v>324</v>
      </c>
      <c r="D440" s="0" t="s">
        <v>2133</v>
      </c>
      <c r="E440" s="0" t="n">
        <v>2026</v>
      </c>
      <c r="H440" s="0" t="n">
        <v>2</v>
      </c>
      <c r="I440" s="0" t="n">
        <v>83</v>
      </c>
      <c r="J440" s="0" t="s">
        <v>268</v>
      </c>
      <c r="K440" s="0" t="s">
        <v>1848</v>
      </c>
      <c r="L440" s="0" t="s">
        <v>293</v>
      </c>
      <c r="M440" s="0" t="s">
        <v>2134</v>
      </c>
      <c r="N440" s="0" t="s">
        <v>2134</v>
      </c>
      <c r="O440" s="0" t="s">
        <v>2135</v>
      </c>
      <c r="P440" s="0" t="s">
        <v>2136</v>
      </c>
      <c r="R440" s="0" t="s">
        <v>275</v>
      </c>
      <c r="S440" s="0" t="s">
        <v>290</v>
      </c>
      <c r="T440" s="0" t="s">
        <v>276</v>
      </c>
      <c r="U440" s="0" t="s">
        <v>277</v>
      </c>
    </row>
    <row r="441" customFormat="false" ht="15" hidden="false" customHeight="false" outlineLevel="0" collapsed="false">
      <c r="A441" s="0" t="n">
        <v>33</v>
      </c>
      <c r="B441" s="0" t="s">
        <v>73</v>
      </c>
      <c r="C441" s="0" t="s">
        <v>335</v>
      </c>
      <c r="D441" s="0" t="s">
        <v>2137</v>
      </c>
      <c r="E441" s="0" t="n">
        <v>2026</v>
      </c>
      <c r="H441" s="0" t="n">
        <v>1</v>
      </c>
      <c r="I441" s="0" t="n">
        <v>2255</v>
      </c>
      <c r="J441" s="0" t="s">
        <v>268</v>
      </c>
      <c r="K441" s="0" t="s">
        <v>1848</v>
      </c>
      <c r="L441" s="0" t="s">
        <v>293</v>
      </c>
      <c r="M441" s="0" t="s">
        <v>2138</v>
      </c>
      <c r="N441" s="0" t="s">
        <v>2138</v>
      </c>
      <c r="O441" s="0" t="s">
        <v>2139</v>
      </c>
      <c r="P441" s="0" t="s">
        <v>2140</v>
      </c>
      <c r="R441" s="0" t="s">
        <v>275</v>
      </c>
      <c r="S441" s="0" t="s">
        <v>268</v>
      </c>
      <c r="T441" s="0" t="s">
        <v>276</v>
      </c>
      <c r="U441" s="0" t="s">
        <v>277</v>
      </c>
    </row>
    <row r="442" customFormat="false" ht="15" hidden="false" customHeight="false" outlineLevel="0" collapsed="false">
      <c r="A442" s="0" t="n">
        <v>33</v>
      </c>
      <c r="B442" s="0" t="s">
        <v>73</v>
      </c>
      <c r="C442" s="0" t="s">
        <v>829</v>
      </c>
      <c r="D442" s="0" t="s">
        <v>2141</v>
      </c>
      <c r="E442" s="0" t="n">
        <v>2026</v>
      </c>
      <c r="H442" s="0" t="n">
        <v>9</v>
      </c>
      <c r="I442" s="0" t="n">
        <v>4167</v>
      </c>
      <c r="J442" s="0" t="s">
        <v>268</v>
      </c>
      <c r="K442" s="0" t="s">
        <v>1848</v>
      </c>
      <c r="L442" s="0" t="s">
        <v>293</v>
      </c>
      <c r="M442" s="0" t="s">
        <v>2142</v>
      </c>
      <c r="N442" s="0" t="s">
        <v>2143</v>
      </c>
      <c r="O442" s="0" t="s">
        <v>2144</v>
      </c>
      <c r="P442" s="0" t="s">
        <v>2145</v>
      </c>
      <c r="R442" s="0" t="s">
        <v>275</v>
      </c>
      <c r="S442" s="0" t="s">
        <v>268</v>
      </c>
      <c r="T442" s="0" t="s">
        <v>276</v>
      </c>
      <c r="U442" s="0" t="s">
        <v>277</v>
      </c>
    </row>
    <row r="443" customFormat="false" ht="15" hidden="false" customHeight="false" outlineLevel="0" collapsed="false">
      <c r="A443" s="0" t="n">
        <v>33</v>
      </c>
      <c r="B443" s="0" t="s">
        <v>73</v>
      </c>
      <c r="C443" s="0" t="s">
        <v>480</v>
      </c>
      <c r="D443" s="0" t="s">
        <v>2146</v>
      </c>
      <c r="E443" s="0" t="n">
        <v>2026</v>
      </c>
      <c r="H443" s="0" t="n">
        <v>2</v>
      </c>
      <c r="I443" s="0" t="n">
        <v>4139</v>
      </c>
      <c r="J443" s="0" t="s">
        <v>268</v>
      </c>
      <c r="K443" s="0" t="s">
        <v>1848</v>
      </c>
      <c r="L443" s="0" t="s">
        <v>293</v>
      </c>
      <c r="M443" s="0" t="s">
        <v>2147</v>
      </c>
      <c r="N443" s="0" t="s">
        <v>2147</v>
      </c>
      <c r="O443" s="0" t="s">
        <v>2148</v>
      </c>
      <c r="P443" s="0" t="s">
        <v>2149</v>
      </c>
      <c r="R443" s="0" t="s">
        <v>275</v>
      </c>
      <c r="S443" s="0" t="s">
        <v>268</v>
      </c>
      <c r="T443" s="0" t="s">
        <v>276</v>
      </c>
      <c r="U443" s="0" t="s">
        <v>277</v>
      </c>
    </row>
    <row r="444" customFormat="false" ht="15" hidden="false" customHeight="false" outlineLevel="0" collapsed="false">
      <c r="A444" s="0" t="n">
        <v>33</v>
      </c>
      <c r="B444" s="0" t="s">
        <v>73</v>
      </c>
      <c r="C444" s="0" t="s">
        <v>480</v>
      </c>
      <c r="D444" s="0" t="s">
        <v>2150</v>
      </c>
      <c r="E444" s="0" t="n">
        <v>2026</v>
      </c>
      <c r="H444" s="0" t="n">
        <v>1</v>
      </c>
      <c r="I444" s="0" t="n">
        <v>1141</v>
      </c>
      <c r="J444" s="0" t="s">
        <v>268</v>
      </c>
      <c r="K444" s="0" t="s">
        <v>1848</v>
      </c>
      <c r="L444" s="0" t="s">
        <v>293</v>
      </c>
      <c r="M444" s="0" t="s">
        <v>2151</v>
      </c>
      <c r="N444" s="0" t="s">
        <v>2151</v>
      </c>
      <c r="O444" s="0" t="s">
        <v>2152</v>
      </c>
      <c r="P444" s="0" t="s">
        <v>2153</v>
      </c>
      <c r="R444" s="0" t="s">
        <v>275</v>
      </c>
      <c r="S444" s="0" t="s">
        <v>290</v>
      </c>
      <c r="T444" s="0" t="s">
        <v>276</v>
      </c>
      <c r="U444" s="0" t="s">
        <v>277</v>
      </c>
    </row>
    <row r="445" customFormat="false" ht="15" hidden="false" customHeight="false" outlineLevel="0" collapsed="false">
      <c r="A445" s="0" t="n">
        <v>33</v>
      </c>
      <c r="B445" s="0" t="s">
        <v>73</v>
      </c>
      <c r="C445" s="0" t="s">
        <v>480</v>
      </c>
      <c r="D445" s="0" t="s">
        <v>2154</v>
      </c>
      <c r="E445" s="0" t="n">
        <v>2026</v>
      </c>
      <c r="H445" s="0" t="n">
        <v>1</v>
      </c>
      <c r="I445" s="0" t="n">
        <v>7895</v>
      </c>
      <c r="J445" s="0" t="s">
        <v>268</v>
      </c>
      <c r="K445" s="0" t="s">
        <v>1848</v>
      </c>
      <c r="L445" s="0" t="s">
        <v>293</v>
      </c>
      <c r="M445" s="0" t="s">
        <v>2155</v>
      </c>
      <c r="N445" s="0" t="s">
        <v>2155</v>
      </c>
      <c r="O445" s="0" t="s">
        <v>2156</v>
      </c>
      <c r="P445" s="0" t="s">
        <v>2157</v>
      </c>
      <c r="R445" s="0" t="s">
        <v>275</v>
      </c>
      <c r="S445" s="0" t="s">
        <v>290</v>
      </c>
      <c r="T445" s="0" t="s">
        <v>276</v>
      </c>
      <c r="U445" s="0" t="s">
        <v>277</v>
      </c>
    </row>
    <row r="446" customFormat="false" ht="15" hidden="false" customHeight="false" outlineLevel="0" collapsed="false">
      <c r="A446" s="0" t="n">
        <v>33</v>
      </c>
      <c r="B446" s="0" t="s">
        <v>73</v>
      </c>
      <c r="C446" s="0" t="s">
        <v>480</v>
      </c>
      <c r="D446" s="0" t="s">
        <v>2158</v>
      </c>
      <c r="E446" s="0" t="n">
        <v>2026</v>
      </c>
      <c r="H446" s="0" t="n">
        <v>1</v>
      </c>
      <c r="I446" s="0" t="n">
        <v>216</v>
      </c>
      <c r="J446" s="0" t="s">
        <v>268</v>
      </c>
      <c r="K446" s="0" t="s">
        <v>1848</v>
      </c>
      <c r="L446" s="0" t="s">
        <v>293</v>
      </c>
      <c r="M446" s="0" t="s">
        <v>2159</v>
      </c>
      <c r="N446" s="0" t="s">
        <v>2159</v>
      </c>
      <c r="O446" s="0" t="s">
        <v>2160</v>
      </c>
      <c r="P446" s="0" t="s">
        <v>2161</v>
      </c>
      <c r="R446" s="0" t="s">
        <v>275</v>
      </c>
      <c r="S446" s="0" t="s">
        <v>290</v>
      </c>
      <c r="T446" s="0" t="s">
        <v>276</v>
      </c>
      <c r="U446" s="0" t="s">
        <v>277</v>
      </c>
    </row>
    <row r="447" customFormat="false" ht="15" hidden="false" customHeight="false" outlineLevel="0" collapsed="false">
      <c r="A447" s="0" t="n">
        <v>33</v>
      </c>
      <c r="B447" s="0" t="s">
        <v>73</v>
      </c>
      <c r="C447" s="0" t="s">
        <v>480</v>
      </c>
      <c r="D447" s="0" t="s">
        <v>2162</v>
      </c>
      <c r="E447" s="0" t="n">
        <v>2020</v>
      </c>
      <c r="H447" s="0" t="n">
        <v>7</v>
      </c>
      <c r="I447" s="0" t="n">
        <v>185</v>
      </c>
      <c r="J447" s="0" t="s">
        <v>268</v>
      </c>
      <c r="K447" s="0" t="s">
        <v>1848</v>
      </c>
      <c r="L447" s="0" t="s">
        <v>293</v>
      </c>
      <c r="M447" s="0" t="s">
        <v>2163</v>
      </c>
      <c r="N447" s="0" t="s">
        <v>2163</v>
      </c>
      <c r="O447" s="0" t="s">
        <v>2164</v>
      </c>
      <c r="P447" s="0" t="s">
        <v>2165</v>
      </c>
      <c r="R447" s="0" t="s">
        <v>284</v>
      </c>
      <c r="S447" s="0" t="s">
        <v>290</v>
      </c>
      <c r="T447" s="0" t="s">
        <v>276</v>
      </c>
      <c r="U447" s="0" t="s">
        <v>277</v>
      </c>
    </row>
    <row r="448" customFormat="false" ht="15" hidden="false" customHeight="false" outlineLevel="0" collapsed="false">
      <c r="A448" s="0" t="n">
        <v>33</v>
      </c>
      <c r="B448" s="0" t="s">
        <v>73</v>
      </c>
      <c r="C448" s="0" t="s">
        <v>278</v>
      </c>
      <c r="D448" s="0" t="s">
        <v>2166</v>
      </c>
      <c r="E448" s="0" t="n">
        <v>2026</v>
      </c>
      <c r="H448" s="0" t="n">
        <v>2</v>
      </c>
      <c r="I448" s="0" t="n">
        <v>2658</v>
      </c>
      <c r="J448" s="0" t="s">
        <v>268</v>
      </c>
      <c r="K448" s="0" t="s">
        <v>1848</v>
      </c>
      <c r="L448" s="0" t="s">
        <v>293</v>
      </c>
      <c r="M448" s="0" t="s">
        <v>2167</v>
      </c>
      <c r="N448" s="0" t="s">
        <v>2167</v>
      </c>
      <c r="O448" s="0" t="s">
        <v>2168</v>
      </c>
      <c r="P448" s="0" t="s">
        <v>2169</v>
      </c>
      <c r="R448" s="0" t="s">
        <v>275</v>
      </c>
      <c r="S448" s="0" t="s">
        <v>290</v>
      </c>
      <c r="T448" s="0" t="s">
        <v>276</v>
      </c>
      <c r="U448" s="0" t="s">
        <v>277</v>
      </c>
    </row>
    <row r="449" customFormat="false" ht="15" hidden="false" customHeight="false" outlineLevel="0" collapsed="false">
      <c r="A449" s="0" t="n">
        <v>33</v>
      </c>
      <c r="B449" s="0" t="s">
        <v>73</v>
      </c>
      <c r="C449" s="0" t="s">
        <v>278</v>
      </c>
      <c r="D449" s="0" t="s">
        <v>2170</v>
      </c>
      <c r="E449" s="0" t="n">
        <v>2026</v>
      </c>
      <c r="H449" s="0" t="n">
        <v>2</v>
      </c>
      <c r="I449" s="0" t="n">
        <v>2679</v>
      </c>
      <c r="J449" s="0" t="s">
        <v>268</v>
      </c>
      <c r="K449" s="0" t="s">
        <v>1848</v>
      </c>
      <c r="L449" s="0" t="s">
        <v>293</v>
      </c>
      <c r="M449" s="0" t="s">
        <v>2171</v>
      </c>
      <c r="N449" s="0" t="s">
        <v>2171</v>
      </c>
      <c r="O449" s="0" t="s">
        <v>2172</v>
      </c>
      <c r="P449" s="0" t="s">
        <v>2173</v>
      </c>
      <c r="R449" s="0" t="s">
        <v>275</v>
      </c>
      <c r="S449" s="0" t="s">
        <v>290</v>
      </c>
      <c r="T449" s="0" t="s">
        <v>276</v>
      </c>
      <c r="U449" s="0" t="s">
        <v>277</v>
      </c>
    </row>
    <row r="450" customFormat="false" ht="15" hidden="false" customHeight="false" outlineLevel="0" collapsed="false">
      <c r="A450" s="0" t="n">
        <v>33</v>
      </c>
      <c r="B450" s="0" t="s">
        <v>73</v>
      </c>
      <c r="C450" s="0" t="s">
        <v>278</v>
      </c>
      <c r="D450" s="0" t="s">
        <v>2174</v>
      </c>
      <c r="E450" s="0" t="n">
        <v>2026</v>
      </c>
      <c r="H450" s="0" t="n">
        <v>2</v>
      </c>
      <c r="I450" s="0" t="n">
        <v>2796</v>
      </c>
      <c r="J450" s="0" t="s">
        <v>268</v>
      </c>
      <c r="K450" s="0" t="s">
        <v>1848</v>
      </c>
      <c r="L450" s="0" t="s">
        <v>293</v>
      </c>
      <c r="M450" s="0" t="s">
        <v>2175</v>
      </c>
      <c r="N450" s="0" t="s">
        <v>2176</v>
      </c>
      <c r="O450" s="0" t="s">
        <v>2177</v>
      </c>
      <c r="P450" s="0" t="s">
        <v>2178</v>
      </c>
      <c r="R450" s="0" t="s">
        <v>275</v>
      </c>
      <c r="S450" s="0" t="s">
        <v>290</v>
      </c>
      <c r="T450" s="0" t="s">
        <v>276</v>
      </c>
      <c r="U450" s="0" t="s">
        <v>277</v>
      </c>
    </row>
    <row r="451" customFormat="false" ht="15" hidden="false" customHeight="false" outlineLevel="0" collapsed="false">
      <c r="A451" s="0" t="n">
        <v>33</v>
      </c>
      <c r="B451" s="0" t="s">
        <v>73</v>
      </c>
      <c r="C451" s="0" t="s">
        <v>278</v>
      </c>
      <c r="D451" s="0" t="s">
        <v>2179</v>
      </c>
      <c r="E451" s="0" t="n">
        <v>2026</v>
      </c>
      <c r="H451" s="0" t="n">
        <v>1</v>
      </c>
      <c r="I451" s="0" t="n">
        <v>239</v>
      </c>
      <c r="J451" s="0" t="s">
        <v>268</v>
      </c>
      <c r="K451" s="0" t="s">
        <v>1848</v>
      </c>
      <c r="L451" s="0" t="s">
        <v>293</v>
      </c>
      <c r="M451" s="0" t="s">
        <v>2180</v>
      </c>
      <c r="N451" s="0" t="s">
        <v>2180</v>
      </c>
      <c r="O451" s="0" t="s">
        <v>2181</v>
      </c>
      <c r="P451" s="0" t="s">
        <v>2182</v>
      </c>
      <c r="R451" s="0" t="s">
        <v>275</v>
      </c>
      <c r="S451" s="0" t="s">
        <v>290</v>
      </c>
      <c r="T451" s="0" t="s">
        <v>276</v>
      </c>
      <c r="U451" s="0" t="s">
        <v>277</v>
      </c>
    </row>
    <row r="452" customFormat="false" ht="15" hidden="false" customHeight="false" outlineLevel="0" collapsed="false">
      <c r="A452" s="0" t="n">
        <v>33</v>
      </c>
      <c r="B452" s="0" t="s">
        <v>73</v>
      </c>
      <c r="C452" s="0" t="s">
        <v>278</v>
      </c>
      <c r="D452" s="0" t="s">
        <v>2183</v>
      </c>
      <c r="E452" s="0" t="n">
        <v>2026</v>
      </c>
      <c r="H452" s="0" t="n">
        <v>3</v>
      </c>
      <c r="I452" s="0" t="n">
        <v>6043</v>
      </c>
      <c r="J452" s="0" t="s">
        <v>268</v>
      </c>
      <c r="K452" s="0" t="s">
        <v>1848</v>
      </c>
      <c r="L452" s="0" t="s">
        <v>293</v>
      </c>
      <c r="M452" s="0" t="s">
        <v>2184</v>
      </c>
      <c r="N452" s="0" t="s">
        <v>2184</v>
      </c>
      <c r="O452" s="0" t="s">
        <v>2185</v>
      </c>
      <c r="P452" s="0" t="s">
        <v>2186</v>
      </c>
      <c r="R452" s="0" t="s">
        <v>275</v>
      </c>
      <c r="S452" s="0" t="s">
        <v>290</v>
      </c>
      <c r="T452" s="0" t="s">
        <v>276</v>
      </c>
      <c r="U452" s="0" t="s">
        <v>277</v>
      </c>
    </row>
    <row r="453" customFormat="false" ht="15" hidden="false" customHeight="false" outlineLevel="0" collapsed="false">
      <c r="A453" s="0" t="n">
        <v>33</v>
      </c>
      <c r="B453" s="0" t="s">
        <v>73</v>
      </c>
      <c r="C453" s="0" t="s">
        <v>278</v>
      </c>
      <c r="D453" s="0" t="s">
        <v>2187</v>
      </c>
      <c r="E453" s="0" t="n">
        <v>2026</v>
      </c>
      <c r="H453" s="0" t="n">
        <v>6</v>
      </c>
      <c r="I453" s="0" t="n">
        <v>13762</v>
      </c>
      <c r="J453" s="0" t="s">
        <v>268</v>
      </c>
      <c r="K453" s="0" t="s">
        <v>1848</v>
      </c>
      <c r="L453" s="0" t="s">
        <v>293</v>
      </c>
      <c r="M453" s="0" t="s">
        <v>2188</v>
      </c>
      <c r="N453" s="0" t="s">
        <v>2188</v>
      </c>
      <c r="O453" s="0" t="s">
        <v>2189</v>
      </c>
      <c r="P453" s="0" t="s">
        <v>2190</v>
      </c>
      <c r="R453" s="0" t="s">
        <v>275</v>
      </c>
      <c r="S453" s="0" t="s">
        <v>268</v>
      </c>
      <c r="T453" s="0" t="s">
        <v>276</v>
      </c>
      <c r="U453" s="0" t="s">
        <v>277</v>
      </c>
    </row>
    <row r="454" customFormat="false" ht="15" hidden="false" customHeight="false" outlineLevel="0" collapsed="false">
      <c r="A454" s="0" t="n">
        <v>33</v>
      </c>
      <c r="B454" s="0" t="s">
        <v>73</v>
      </c>
      <c r="C454" s="0" t="s">
        <v>278</v>
      </c>
      <c r="D454" s="0" t="s">
        <v>2191</v>
      </c>
      <c r="E454" s="0" t="n">
        <v>2026</v>
      </c>
      <c r="H454" s="0" t="n">
        <v>2</v>
      </c>
      <c r="I454" s="0" t="n">
        <v>3073</v>
      </c>
      <c r="J454" s="0" t="s">
        <v>268</v>
      </c>
      <c r="K454" s="0" t="s">
        <v>1848</v>
      </c>
      <c r="L454" s="0" t="s">
        <v>293</v>
      </c>
      <c r="M454" s="0" t="s">
        <v>2192</v>
      </c>
      <c r="N454" s="0" t="s">
        <v>2192</v>
      </c>
      <c r="O454" s="0" t="s">
        <v>2193</v>
      </c>
      <c r="P454" s="0" t="s">
        <v>2194</v>
      </c>
      <c r="R454" s="0" t="s">
        <v>275</v>
      </c>
      <c r="S454" s="0" t="s">
        <v>290</v>
      </c>
      <c r="T454" s="0" t="s">
        <v>276</v>
      </c>
      <c r="U454" s="0" t="s">
        <v>277</v>
      </c>
    </row>
    <row r="455" customFormat="false" ht="15" hidden="false" customHeight="false" outlineLevel="0" collapsed="false">
      <c r="A455" s="0" t="n">
        <v>33</v>
      </c>
      <c r="B455" s="0" t="s">
        <v>73</v>
      </c>
      <c r="C455" s="0" t="s">
        <v>278</v>
      </c>
      <c r="D455" s="0" t="s">
        <v>2195</v>
      </c>
      <c r="E455" s="0" t="n">
        <v>2026</v>
      </c>
      <c r="H455" s="0" t="n">
        <v>2</v>
      </c>
      <c r="I455" s="0" t="n">
        <v>2851</v>
      </c>
      <c r="J455" s="0" t="s">
        <v>268</v>
      </c>
      <c r="K455" s="0" t="s">
        <v>1848</v>
      </c>
      <c r="L455" s="0" t="s">
        <v>293</v>
      </c>
      <c r="M455" s="0" t="s">
        <v>2196</v>
      </c>
      <c r="N455" s="0" t="s">
        <v>2196</v>
      </c>
      <c r="O455" s="0" t="s">
        <v>2197</v>
      </c>
      <c r="P455" s="0" t="s">
        <v>2198</v>
      </c>
      <c r="R455" s="0" t="s">
        <v>275</v>
      </c>
      <c r="S455" s="0" t="s">
        <v>290</v>
      </c>
      <c r="T455" s="0" t="s">
        <v>276</v>
      </c>
      <c r="U455" s="0" t="s">
        <v>277</v>
      </c>
    </row>
    <row r="456" customFormat="false" ht="15" hidden="false" customHeight="false" outlineLevel="0" collapsed="false">
      <c r="A456" s="0" t="n">
        <v>33</v>
      </c>
      <c r="B456" s="0" t="s">
        <v>73</v>
      </c>
      <c r="C456" s="0" t="s">
        <v>887</v>
      </c>
      <c r="D456" s="0" t="s">
        <v>2199</v>
      </c>
      <c r="E456" s="0" t="n">
        <v>2026</v>
      </c>
      <c r="H456" s="0" t="n">
        <v>1</v>
      </c>
      <c r="I456" s="0" t="n">
        <v>3583</v>
      </c>
      <c r="J456" s="0" t="s">
        <v>268</v>
      </c>
      <c r="K456" s="0" t="s">
        <v>1848</v>
      </c>
      <c r="L456" s="0" t="s">
        <v>293</v>
      </c>
      <c r="M456" s="0" t="s">
        <v>2200</v>
      </c>
      <c r="N456" s="0" t="s">
        <v>2200</v>
      </c>
      <c r="O456" s="0" t="s">
        <v>2201</v>
      </c>
      <c r="P456" s="0" t="s">
        <v>2202</v>
      </c>
      <c r="R456" s="0" t="s">
        <v>275</v>
      </c>
      <c r="S456" s="0" t="s">
        <v>290</v>
      </c>
      <c r="T456" s="0" t="s">
        <v>276</v>
      </c>
      <c r="U456" s="0" t="s">
        <v>277</v>
      </c>
    </row>
    <row r="457" customFormat="false" ht="15" hidden="false" customHeight="false" outlineLevel="0" collapsed="false">
      <c r="A457" s="0" t="n">
        <v>33</v>
      </c>
      <c r="B457" s="0" t="s">
        <v>73</v>
      </c>
      <c r="C457" s="0" t="s">
        <v>887</v>
      </c>
      <c r="D457" s="0" t="s">
        <v>2203</v>
      </c>
      <c r="E457" s="0" t="n">
        <v>2026</v>
      </c>
      <c r="H457" s="0" t="n">
        <v>30</v>
      </c>
      <c r="I457" s="0" t="n">
        <v>10879</v>
      </c>
      <c r="J457" s="0" t="s">
        <v>268</v>
      </c>
      <c r="K457" s="0" t="s">
        <v>1848</v>
      </c>
      <c r="L457" s="0" t="s">
        <v>293</v>
      </c>
      <c r="M457" s="0" t="s">
        <v>2204</v>
      </c>
      <c r="N457" s="0" t="s">
        <v>2205</v>
      </c>
      <c r="O457" s="0" t="s">
        <v>2206</v>
      </c>
      <c r="P457" s="0" t="s">
        <v>2207</v>
      </c>
      <c r="R457" s="0" t="s">
        <v>275</v>
      </c>
      <c r="S457" s="0" t="s">
        <v>268</v>
      </c>
      <c r="T457" s="0" t="s">
        <v>276</v>
      </c>
      <c r="U457" s="0" t="s">
        <v>277</v>
      </c>
    </row>
    <row r="458" customFormat="false" ht="15" hidden="false" customHeight="false" outlineLevel="0" collapsed="false">
      <c r="A458" s="0" t="n">
        <v>33</v>
      </c>
      <c r="B458" s="0" t="s">
        <v>73</v>
      </c>
      <c r="C458" s="0" t="s">
        <v>887</v>
      </c>
      <c r="D458" s="0" t="s">
        <v>2208</v>
      </c>
      <c r="E458" s="0" t="n">
        <v>2026</v>
      </c>
      <c r="H458" s="0" t="n">
        <v>30</v>
      </c>
      <c r="I458" s="0" t="n">
        <v>10876</v>
      </c>
      <c r="J458" s="0" t="s">
        <v>268</v>
      </c>
      <c r="K458" s="0" t="s">
        <v>1848</v>
      </c>
      <c r="L458" s="0" t="s">
        <v>293</v>
      </c>
      <c r="M458" s="0" t="s">
        <v>2209</v>
      </c>
      <c r="N458" s="0" t="s">
        <v>2209</v>
      </c>
      <c r="O458" s="0" t="s">
        <v>2210</v>
      </c>
      <c r="P458" s="0" t="s">
        <v>2211</v>
      </c>
      <c r="R458" s="0" t="s">
        <v>275</v>
      </c>
      <c r="S458" s="0" t="s">
        <v>290</v>
      </c>
      <c r="T458" s="0" t="s">
        <v>276</v>
      </c>
      <c r="U458" s="0" t="s">
        <v>277</v>
      </c>
    </row>
    <row r="459" customFormat="false" ht="15" hidden="false" customHeight="false" outlineLevel="0" collapsed="false">
      <c r="A459" s="0" t="n">
        <v>33</v>
      </c>
      <c r="B459" s="0" t="s">
        <v>73</v>
      </c>
      <c r="C459" s="0" t="s">
        <v>500</v>
      </c>
      <c r="D459" s="0" t="s">
        <v>2212</v>
      </c>
      <c r="E459" s="0" t="n">
        <v>2026</v>
      </c>
      <c r="H459" s="0" t="n">
        <v>1</v>
      </c>
      <c r="I459" s="0" t="n">
        <v>7722</v>
      </c>
      <c r="J459" s="0" t="s">
        <v>268</v>
      </c>
      <c r="K459" s="0" t="s">
        <v>1848</v>
      </c>
      <c r="L459" s="0" t="s">
        <v>293</v>
      </c>
      <c r="M459" s="0" t="s">
        <v>2213</v>
      </c>
      <c r="N459" s="0" t="s">
        <v>2213</v>
      </c>
      <c r="O459" s="0" t="s">
        <v>2214</v>
      </c>
      <c r="P459" s="0" t="s">
        <v>2215</v>
      </c>
      <c r="R459" s="0" t="s">
        <v>275</v>
      </c>
      <c r="S459" s="0" t="s">
        <v>268</v>
      </c>
      <c r="T459" s="0" t="s">
        <v>276</v>
      </c>
      <c r="U459" s="0" t="s">
        <v>277</v>
      </c>
    </row>
    <row r="460" customFormat="false" ht="15" hidden="false" customHeight="false" outlineLevel="0" collapsed="false">
      <c r="A460" s="0" t="n">
        <v>34</v>
      </c>
      <c r="B460" s="0" t="s">
        <v>75</v>
      </c>
      <c r="C460" s="0" t="s">
        <v>56</v>
      </c>
      <c r="D460" s="0" t="s">
        <v>291</v>
      </c>
      <c r="E460" s="0" t="n">
        <v>2026</v>
      </c>
      <c r="H460" s="0" t="n">
        <v>13</v>
      </c>
      <c r="I460" s="0" t="n">
        <v>5274</v>
      </c>
      <c r="J460" s="0" t="s">
        <v>268</v>
      </c>
      <c r="K460" s="0" t="s">
        <v>292</v>
      </c>
      <c r="L460" s="0" t="s">
        <v>293</v>
      </c>
      <c r="M460" s="0" t="s">
        <v>2216</v>
      </c>
      <c r="N460" s="0" t="s">
        <v>2216</v>
      </c>
      <c r="O460" s="0" t="s">
        <v>2217</v>
      </c>
      <c r="P460" s="0" t="s">
        <v>2218</v>
      </c>
      <c r="R460" s="0" t="s">
        <v>275</v>
      </c>
      <c r="S460" s="0" t="s">
        <v>268</v>
      </c>
      <c r="T460" s="0" t="s">
        <v>276</v>
      </c>
      <c r="U460" s="0" t="s">
        <v>277</v>
      </c>
    </row>
    <row r="461" customFormat="false" ht="15" hidden="false" customHeight="false" outlineLevel="0" collapsed="false">
      <c r="A461" s="0" t="n">
        <v>34</v>
      </c>
      <c r="B461" s="0" t="s">
        <v>75</v>
      </c>
      <c r="C461" s="0" t="s">
        <v>91</v>
      </c>
      <c r="D461" s="0" t="s">
        <v>291</v>
      </c>
      <c r="E461" s="0" t="n">
        <v>2026</v>
      </c>
      <c r="H461" s="0" t="n">
        <v>5</v>
      </c>
      <c r="I461" s="0" t="n">
        <v>14280</v>
      </c>
      <c r="J461" s="0" t="s">
        <v>268</v>
      </c>
      <c r="K461" s="0" t="s">
        <v>292</v>
      </c>
      <c r="L461" s="0" t="s">
        <v>293</v>
      </c>
      <c r="M461" s="0" t="s">
        <v>2219</v>
      </c>
      <c r="N461" s="0" t="s">
        <v>2219</v>
      </c>
      <c r="O461" s="0" t="s">
        <v>2220</v>
      </c>
      <c r="P461" s="0" t="s">
        <v>2221</v>
      </c>
      <c r="R461" s="0" t="s">
        <v>275</v>
      </c>
      <c r="S461" s="0" t="s">
        <v>268</v>
      </c>
      <c r="T461" s="0" t="s">
        <v>276</v>
      </c>
      <c r="U461" s="0" t="s">
        <v>277</v>
      </c>
    </row>
    <row r="462" customFormat="false" ht="15" hidden="false" customHeight="false" outlineLevel="0" collapsed="false">
      <c r="A462" s="0" t="n">
        <v>34</v>
      </c>
      <c r="B462" s="0" t="s">
        <v>75</v>
      </c>
      <c r="C462" s="0" t="s">
        <v>266</v>
      </c>
      <c r="D462" s="0" t="s">
        <v>320</v>
      </c>
      <c r="E462" s="0" t="n">
        <v>2025</v>
      </c>
      <c r="H462" s="0" t="n">
        <v>7</v>
      </c>
      <c r="I462" s="0" t="n">
        <v>836</v>
      </c>
      <c r="J462" s="0" t="s">
        <v>268</v>
      </c>
      <c r="K462" s="0" t="s">
        <v>292</v>
      </c>
      <c r="L462" s="0" t="s">
        <v>293</v>
      </c>
      <c r="M462" s="0" t="s">
        <v>2222</v>
      </c>
      <c r="N462" s="0" t="s">
        <v>2222</v>
      </c>
      <c r="O462" s="0" t="s">
        <v>2223</v>
      </c>
      <c r="P462" s="0" t="s">
        <v>2224</v>
      </c>
      <c r="R462" s="0" t="s">
        <v>275</v>
      </c>
      <c r="S462" s="0" t="s">
        <v>268</v>
      </c>
      <c r="T462" s="0" t="s">
        <v>276</v>
      </c>
      <c r="U462" s="0" t="s">
        <v>277</v>
      </c>
    </row>
    <row r="463" customFormat="false" ht="15" hidden="false" customHeight="false" outlineLevel="0" collapsed="false">
      <c r="A463" s="0" t="n">
        <v>34</v>
      </c>
      <c r="B463" s="0" t="s">
        <v>75</v>
      </c>
      <c r="C463" s="0" t="s">
        <v>324</v>
      </c>
      <c r="D463" s="0" t="s">
        <v>291</v>
      </c>
      <c r="E463" s="0" t="n">
        <v>2026</v>
      </c>
      <c r="H463" s="0" t="n">
        <v>19</v>
      </c>
      <c r="I463" s="0" t="n">
        <v>2220</v>
      </c>
      <c r="J463" s="0" t="s">
        <v>268</v>
      </c>
      <c r="K463" s="0" t="s">
        <v>292</v>
      </c>
      <c r="L463" s="0" t="s">
        <v>293</v>
      </c>
      <c r="M463" s="0" t="s">
        <v>2225</v>
      </c>
      <c r="N463" s="0" t="s">
        <v>2225</v>
      </c>
      <c r="O463" s="0" t="s">
        <v>2226</v>
      </c>
      <c r="P463" s="0" t="s">
        <v>2227</v>
      </c>
      <c r="R463" s="0" t="s">
        <v>275</v>
      </c>
      <c r="S463" s="0" t="s">
        <v>268</v>
      </c>
      <c r="T463" s="0" t="s">
        <v>276</v>
      </c>
      <c r="U463" s="0" t="s">
        <v>277</v>
      </c>
    </row>
    <row r="464" customFormat="false" ht="15" hidden="false" customHeight="false" outlineLevel="0" collapsed="false">
      <c r="A464" s="0" t="n">
        <v>34</v>
      </c>
      <c r="B464" s="0" t="s">
        <v>75</v>
      </c>
      <c r="C464" s="0" t="s">
        <v>324</v>
      </c>
      <c r="D464" s="0" t="s">
        <v>2228</v>
      </c>
      <c r="E464" s="0" t="n">
        <v>2025</v>
      </c>
      <c r="H464" s="0" t="n">
        <v>2</v>
      </c>
      <c r="I464" s="0" t="n">
        <v>261</v>
      </c>
      <c r="J464" s="0" t="s">
        <v>268</v>
      </c>
      <c r="K464" s="0" t="s">
        <v>292</v>
      </c>
      <c r="L464" s="0" t="s">
        <v>293</v>
      </c>
      <c r="M464" s="0" t="s">
        <v>2229</v>
      </c>
      <c r="N464" s="0" t="s">
        <v>2230</v>
      </c>
      <c r="O464" s="0" t="s">
        <v>2231</v>
      </c>
      <c r="P464" s="0" t="s">
        <v>2232</v>
      </c>
      <c r="R464" s="0" t="s">
        <v>275</v>
      </c>
      <c r="S464" s="0" t="s">
        <v>290</v>
      </c>
      <c r="T464" s="0" t="s">
        <v>276</v>
      </c>
      <c r="U464" s="0" t="s">
        <v>277</v>
      </c>
    </row>
    <row r="465" customFormat="false" ht="15" hidden="false" customHeight="false" outlineLevel="0" collapsed="false">
      <c r="A465" s="0" t="n">
        <v>34</v>
      </c>
      <c r="B465" s="0" t="s">
        <v>75</v>
      </c>
      <c r="C465" s="0" t="s">
        <v>335</v>
      </c>
      <c r="D465" s="0" t="s">
        <v>291</v>
      </c>
      <c r="E465" s="0" t="n">
        <v>2026</v>
      </c>
      <c r="H465" s="0" t="n">
        <v>12</v>
      </c>
      <c r="I465" s="0" t="n">
        <v>2411</v>
      </c>
      <c r="J465" s="0" t="s">
        <v>268</v>
      </c>
      <c r="K465" s="0" t="s">
        <v>292</v>
      </c>
      <c r="L465" s="0" t="s">
        <v>293</v>
      </c>
      <c r="M465" s="0" t="s">
        <v>2233</v>
      </c>
      <c r="N465" s="0" t="s">
        <v>2233</v>
      </c>
      <c r="O465" s="0" t="s">
        <v>2234</v>
      </c>
      <c r="P465" s="0" t="s">
        <v>2235</v>
      </c>
      <c r="R465" s="0" t="s">
        <v>275</v>
      </c>
      <c r="S465" s="0" t="s">
        <v>268</v>
      </c>
      <c r="T465" s="0" t="s">
        <v>276</v>
      </c>
      <c r="U465" s="0" t="s">
        <v>277</v>
      </c>
    </row>
    <row r="466" customFormat="false" ht="15" hidden="false" customHeight="false" outlineLevel="0" collapsed="false">
      <c r="A466" s="0" t="n">
        <v>34</v>
      </c>
      <c r="B466" s="0" t="s">
        <v>75</v>
      </c>
      <c r="C466" s="0" t="s">
        <v>829</v>
      </c>
      <c r="D466" s="0" t="s">
        <v>320</v>
      </c>
      <c r="E466" s="0" t="n">
        <v>2025</v>
      </c>
      <c r="H466" s="0" t="n">
        <v>7</v>
      </c>
      <c r="I466" s="0" t="n">
        <v>1615</v>
      </c>
      <c r="J466" s="0" t="s">
        <v>268</v>
      </c>
      <c r="K466" s="0" t="s">
        <v>292</v>
      </c>
      <c r="L466" s="0" t="s">
        <v>293</v>
      </c>
      <c r="M466" s="0" t="s">
        <v>2236</v>
      </c>
      <c r="N466" s="0" t="s">
        <v>2236</v>
      </c>
      <c r="O466" s="0" t="s">
        <v>2237</v>
      </c>
      <c r="P466" s="0" t="s">
        <v>2238</v>
      </c>
      <c r="R466" s="0" t="s">
        <v>275</v>
      </c>
      <c r="S466" s="0" t="s">
        <v>268</v>
      </c>
      <c r="T466" s="0" t="s">
        <v>276</v>
      </c>
      <c r="U466" s="0" t="s">
        <v>277</v>
      </c>
    </row>
    <row r="467" customFormat="false" ht="15" hidden="false" customHeight="false" outlineLevel="0" collapsed="false">
      <c r="A467" s="0" t="n">
        <v>34</v>
      </c>
      <c r="B467" s="0" t="s">
        <v>75</v>
      </c>
      <c r="C467" s="0" t="s">
        <v>278</v>
      </c>
      <c r="D467" s="0" t="s">
        <v>2239</v>
      </c>
      <c r="E467" s="0" t="n">
        <v>2025</v>
      </c>
      <c r="H467" s="0" t="n">
        <v>21</v>
      </c>
      <c r="I467" s="0" t="n">
        <v>5686</v>
      </c>
      <c r="J467" s="0" t="s">
        <v>268</v>
      </c>
      <c r="K467" s="0" t="s">
        <v>292</v>
      </c>
      <c r="L467" s="0" t="s">
        <v>293</v>
      </c>
      <c r="M467" s="0" t="s">
        <v>2240</v>
      </c>
      <c r="N467" s="0" t="s">
        <v>2240</v>
      </c>
      <c r="O467" s="0" t="s">
        <v>2241</v>
      </c>
      <c r="P467" s="0" t="s">
        <v>2242</v>
      </c>
      <c r="R467" s="0" t="s">
        <v>275</v>
      </c>
      <c r="S467" s="0" t="s">
        <v>268</v>
      </c>
      <c r="T467" s="0" t="s">
        <v>276</v>
      </c>
      <c r="U467" s="0" t="s">
        <v>277</v>
      </c>
    </row>
    <row r="468" customFormat="false" ht="15" hidden="false" customHeight="false" outlineLevel="0" collapsed="false">
      <c r="A468" s="0" t="n">
        <v>34</v>
      </c>
      <c r="B468" s="0" t="s">
        <v>75</v>
      </c>
      <c r="C468" s="0" t="s">
        <v>278</v>
      </c>
      <c r="D468" s="0" t="s">
        <v>2243</v>
      </c>
      <c r="E468" s="0" t="n">
        <v>2024</v>
      </c>
      <c r="H468" s="0" t="n">
        <v>19</v>
      </c>
      <c r="I468" s="0" t="n">
        <v>2975</v>
      </c>
      <c r="J468" s="0" t="s">
        <v>268</v>
      </c>
      <c r="K468" s="0" t="s">
        <v>292</v>
      </c>
      <c r="L468" s="0" t="s">
        <v>293</v>
      </c>
      <c r="M468" s="0" t="s">
        <v>2244</v>
      </c>
      <c r="N468" s="0" t="s">
        <v>2244</v>
      </c>
      <c r="O468" s="0" t="s">
        <v>2245</v>
      </c>
      <c r="P468" s="0" t="s">
        <v>2246</v>
      </c>
      <c r="R468" s="0" t="s">
        <v>284</v>
      </c>
      <c r="S468" s="0" t="s">
        <v>290</v>
      </c>
      <c r="T468" s="0" t="s">
        <v>276</v>
      </c>
      <c r="U468" s="0" t="s">
        <v>277</v>
      </c>
    </row>
    <row r="469" customFormat="false" ht="15" hidden="false" customHeight="false" outlineLevel="0" collapsed="false">
      <c r="A469" s="0" t="n">
        <v>34</v>
      </c>
      <c r="B469" s="0" t="s">
        <v>75</v>
      </c>
      <c r="C469" s="0" t="s">
        <v>278</v>
      </c>
      <c r="D469" s="0" t="s">
        <v>2247</v>
      </c>
      <c r="E469" s="0" t="n">
        <v>2023</v>
      </c>
      <c r="H469" s="0" t="n">
        <v>17</v>
      </c>
      <c r="I469" s="0" t="n">
        <v>2418</v>
      </c>
      <c r="J469" s="0" t="s">
        <v>268</v>
      </c>
      <c r="K469" s="0" t="s">
        <v>292</v>
      </c>
      <c r="L469" s="0" t="s">
        <v>293</v>
      </c>
      <c r="M469" s="0" t="s">
        <v>2248</v>
      </c>
      <c r="N469" s="0" t="s">
        <v>2248</v>
      </c>
      <c r="O469" s="0" t="s">
        <v>2249</v>
      </c>
      <c r="P469" s="0" t="s">
        <v>2250</v>
      </c>
      <c r="R469" s="0" t="s">
        <v>284</v>
      </c>
      <c r="S469" s="0" t="s">
        <v>290</v>
      </c>
      <c r="T469" s="0" t="s">
        <v>276</v>
      </c>
      <c r="U469" s="0" t="s">
        <v>277</v>
      </c>
    </row>
    <row r="470" customFormat="false" ht="15" hidden="false" customHeight="false" outlineLevel="0" collapsed="false">
      <c r="A470" s="0" t="n">
        <v>34</v>
      </c>
      <c r="B470" s="0" t="s">
        <v>75</v>
      </c>
      <c r="C470" s="0" t="s">
        <v>278</v>
      </c>
      <c r="D470" s="0" t="s">
        <v>2251</v>
      </c>
      <c r="E470" s="0" t="n">
        <v>2022</v>
      </c>
      <c r="H470" s="0" t="n">
        <v>17</v>
      </c>
      <c r="I470" s="0" t="n">
        <v>5050</v>
      </c>
      <c r="J470" s="0" t="s">
        <v>268</v>
      </c>
      <c r="K470" s="0" t="s">
        <v>292</v>
      </c>
      <c r="L470" s="0" t="s">
        <v>293</v>
      </c>
      <c r="M470" s="0" t="s">
        <v>2252</v>
      </c>
      <c r="N470" s="0" t="s">
        <v>2252</v>
      </c>
      <c r="O470" s="0" t="s">
        <v>2253</v>
      </c>
      <c r="P470" s="0" t="s">
        <v>2254</v>
      </c>
      <c r="R470" s="0" t="s">
        <v>284</v>
      </c>
      <c r="S470" s="0" t="s">
        <v>290</v>
      </c>
      <c r="T470" s="0" t="s">
        <v>276</v>
      </c>
      <c r="U470" s="0" t="s">
        <v>277</v>
      </c>
    </row>
    <row r="471" customFormat="false" ht="15" hidden="false" customHeight="false" outlineLevel="0" collapsed="false">
      <c r="A471" s="0" t="n">
        <v>34</v>
      </c>
      <c r="B471" s="0" t="s">
        <v>75</v>
      </c>
      <c r="C471" s="0" t="s">
        <v>278</v>
      </c>
      <c r="D471" s="0" t="s">
        <v>2255</v>
      </c>
      <c r="E471" s="0" t="n">
        <v>2021</v>
      </c>
      <c r="H471" s="0" t="n">
        <v>20</v>
      </c>
      <c r="I471" s="0" t="n">
        <v>5447</v>
      </c>
      <c r="J471" s="0" t="s">
        <v>268</v>
      </c>
      <c r="K471" s="0" t="s">
        <v>292</v>
      </c>
      <c r="L471" s="0" t="s">
        <v>293</v>
      </c>
      <c r="M471" s="0" t="s">
        <v>2256</v>
      </c>
      <c r="N471" s="0" t="s">
        <v>2256</v>
      </c>
      <c r="O471" s="0" t="s">
        <v>2257</v>
      </c>
      <c r="P471" s="0" t="s">
        <v>2258</v>
      </c>
      <c r="R471" s="0" t="s">
        <v>284</v>
      </c>
      <c r="S471" s="0" t="s">
        <v>290</v>
      </c>
      <c r="T471" s="0" t="s">
        <v>276</v>
      </c>
      <c r="U471" s="0" t="s">
        <v>277</v>
      </c>
    </row>
    <row r="472" customFormat="false" ht="15" hidden="false" customHeight="false" outlineLevel="0" collapsed="false">
      <c r="A472" s="0" t="n">
        <v>34</v>
      </c>
      <c r="B472" s="0" t="s">
        <v>75</v>
      </c>
      <c r="C472" s="0" t="s">
        <v>278</v>
      </c>
      <c r="D472" s="0" t="s">
        <v>2259</v>
      </c>
      <c r="E472" s="0" t="n">
        <v>2021</v>
      </c>
      <c r="H472" s="0" t="n">
        <v>20</v>
      </c>
      <c r="I472" s="0" t="n">
        <v>4534</v>
      </c>
      <c r="J472" s="0" t="s">
        <v>290</v>
      </c>
      <c r="K472" s="0" t="s">
        <v>292</v>
      </c>
      <c r="L472" s="0" t="s">
        <v>293</v>
      </c>
      <c r="M472" s="0" t="s">
        <v>2260</v>
      </c>
      <c r="N472" s="0" t="s">
        <v>2260</v>
      </c>
      <c r="O472" s="0" t="s">
        <v>2261</v>
      </c>
      <c r="P472" s="0" t="s">
        <v>2262</v>
      </c>
      <c r="R472" s="0" t="s">
        <v>284</v>
      </c>
      <c r="S472" s="0" t="s">
        <v>290</v>
      </c>
      <c r="T472" s="0" t="s">
        <v>276</v>
      </c>
      <c r="U472" s="0" t="s">
        <v>277</v>
      </c>
    </row>
    <row r="473" customFormat="false" ht="15" hidden="false" customHeight="false" outlineLevel="0" collapsed="false">
      <c r="A473" s="0" t="n">
        <v>35</v>
      </c>
      <c r="B473" s="0" t="s">
        <v>76</v>
      </c>
      <c r="C473" s="0" t="s">
        <v>56</v>
      </c>
      <c r="D473" s="0" t="s">
        <v>2263</v>
      </c>
      <c r="E473" s="0" t="n">
        <v>2026</v>
      </c>
      <c r="H473" s="0" t="n">
        <v>9</v>
      </c>
      <c r="I473" s="0" t="n">
        <v>6257</v>
      </c>
      <c r="J473" s="0" t="s">
        <v>268</v>
      </c>
      <c r="K473" s="0" t="s">
        <v>2264</v>
      </c>
      <c r="L473" s="0" t="s">
        <v>293</v>
      </c>
      <c r="M473" s="0" t="s">
        <v>2265</v>
      </c>
      <c r="N473" s="0" t="s">
        <v>2265</v>
      </c>
      <c r="O473" s="0" t="s">
        <v>2266</v>
      </c>
      <c r="P473" s="0" t="s">
        <v>2267</v>
      </c>
      <c r="R473" s="0" t="s">
        <v>275</v>
      </c>
      <c r="S473" s="0" t="s">
        <v>268</v>
      </c>
      <c r="T473" s="0" t="s">
        <v>276</v>
      </c>
      <c r="U473" s="0" t="s">
        <v>277</v>
      </c>
    </row>
    <row r="474" customFormat="false" ht="15" hidden="false" customHeight="false" outlineLevel="0" collapsed="false">
      <c r="A474" s="0" t="n">
        <v>35</v>
      </c>
      <c r="B474" s="0" t="s">
        <v>76</v>
      </c>
      <c r="C474" s="0" t="s">
        <v>56</v>
      </c>
      <c r="D474" s="0" t="s">
        <v>2268</v>
      </c>
      <c r="E474" s="0" t="n">
        <v>2025</v>
      </c>
      <c r="H474" s="0" t="n">
        <v>9</v>
      </c>
      <c r="I474" s="0" t="n">
        <v>6655</v>
      </c>
      <c r="J474" s="0" t="s">
        <v>268</v>
      </c>
      <c r="K474" s="0" t="s">
        <v>2264</v>
      </c>
      <c r="L474" s="0" t="s">
        <v>293</v>
      </c>
      <c r="M474" s="0" t="s">
        <v>2269</v>
      </c>
      <c r="N474" s="0" t="s">
        <v>2269</v>
      </c>
      <c r="O474" s="0" t="s">
        <v>2270</v>
      </c>
      <c r="P474" s="0" t="s">
        <v>2271</v>
      </c>
      <c r="R474" s="0" t="s">
        <v>275</v>
      </c>
      <c r="S474" s="0" t="s">
        <v>290</v>
      </c>
      <c r="T474" s="0" t="s">
        <v>276</v>
      </c>
      <c r="U474" s="0" t="s">
        <v>277</v>
      </c>
    </row>
    <row r="475" customFormat="false" ht="15" hidden="false" customHeight="false" outlineLevel="0" collapsed="false">
      <c r="A475" s="0" t="n">
        <v>35</v>
      </c>
      <c r="B475" s="0" t="s">
        <v>76</v>
      </c>
      <c r="C475" s="0" t="s">
        <v>56</v>
      </c>
      <c r="D475" s="0" t="s">
        <v>2272</v>
      </c>
      <c r="E475" s="0" t="n">
        <v>2023</v>
      </c>
      <c r="H475" s="0" t="n">
        <v>8</v>
      </c>
      <c r="I475" s="0" t="n">
        <v>1695</v>
      </c>
      <c r="J475" s="0" t="s">
        <v>268</v>
      </c>
      <c r="K475" s="0" t="s">
        <v>2264</v>
      </c>
      <c r="L475" s="0" t="s">
        <v>293</v>
      </c>
      <c r="M475" s="0" t="s">
        <v>2273</v>
      </c>
      <c r="N475" s="0" t="s">
        <v>2273</v>
      </c>
      <c r="O475" s="0" t="s">
        <v>2274</v>
      </c>
      <c r="P475" s="0" t="s">
        <v>2275</v>
      </c>
      <c r="R475" s="0" t="s">
        <v>284</v>
      </c>
      <c r="S475" s="0" t="s">
        <v>290</v>
      </c>
      <c r="T475" s="0" t="s">
        <v>276</v>
      </c>
      <c r="U475" s="0" t="s">
        <v>277</v>
      </c>
    </row>
    <row r="476" customFormat="false" ht="15" hidden="false" customHeight="false" outlineLevel="0" collapsed="false">
      <c r="A476" s="0" t="n">
        <v>35</v>
      </c>
      <c r="B476" s="0" t="s">
        <v>76</v>
      </c>
      <c r="C476" s="0" t="s">
        <v>56</v>
      </c>
      <c r="D476" s="0" t="s">
        <v>2276</v>
      </c>
      <c r="E476" s="0" t="n">
        <v>2020</v>
      </c>
      <c r="H476" s="0" t="n">
        <v>6</v>
      </c>
      <c r="I476" s="0" t="n">
        <v>1721</v>
      </c>
      <c r="J476" s="0" t="s">
        <v>268</v>
      </c>
      <c r="K476" s="0" t="s">
        <v>298</v>
      </c>
      <c r="L476" s="0" t="s">
        <v>270</v>
      </c>
      <c r="M476" s="0" t="s">
        <v>2277</v>
      </c>
      <c r="N476" s="0" t="s">
        <v>2277</v>
      </c>
      <c r="O476" s="0" t="s">
        <v>2278</v>
      </c>
      <c r="P476" s="0" t="s">
        <v>2279</v>
      </c>
      <c r="R476" s="0" t="s">
        <v>284</v>
      </c>
      <c r="S476" s="0" t="s">
        <v>290</v>
      </c>
      <c r="T476" s="0" t="s">
        <v>276</v>
      </c>
      <c r="U476" s="0" t="s">
        <v>277</v>
      </c>
    </row>
    <row r="477" customFormat="false" ht="15" hidden="false" customHeight="false" outlineLevel="0" collapsed="false">
      <c r="A477" s="0" t="n">
        <v>35</v>
      </c>
      <c r="B477" s="0" t="s">
        <v>76</v>
      </c>
      <c r="C477" s="0" t="s">
        <v>56</v>
      </c>
      <c r="D477" s="0" t="s">
        <v>2280</v>
      </c>
      <c r="E477" s="0" t="n">
        <v>2020</v>
      </c>
      <c r="H477" s="0" t="n">
        <v>2</v>
      </c>
      <c r="I477" s="0" t="n">
        <v>777</v>
      </c>
      <c r="J477" s="0" t="s">
        <v>268</v>
      </c>
      <c r="K477" s="0" t="s">
        <v>2264</v>
      </c>
      <c r="L477" s="0" t="s">
        <v>293</v>
      </c>
      <c r="M477" s="0" t="s">
        <v>2281</v>
      </c>
      <c r="N477" s="0" t="s">
        <v>2281</v>
      </c>
      <c r="O477" s="0" t="s">
        <v>2282</v>
      </c>
      <c r="P477" s="0" t="s">
        <v>2283</v>
      </c>
      <c r="R477" s="0" t="s">
        <v>284</v>
      </c>
      <c r="S477" s="0" t="s">
        <v>290</v>
      </c>
      <c r="T477" s="0" t="s">
        <v>276</v>
      </c>
      <c r="U477" s="0" t="s">
        <v>277</v>
      </c>
    </row>
    <row r="478" customFormat="false" ht="15" hidden="false" customHeight="false" outlineLevel="0" collapsed="false">
      <c r="A478" s="0" t="n">
        <v>35</v>
      </c>
      <c r="B478" s="0" t="s">
        <v>76</v>
      </c>
      <c r="C478" s="0" t="s">
        <v>56</v>
      </c>
      <c r="D478" s="0" t="s">
        <v>2284</v>
      </c>
      <c r="E478" s="0" t="n">
        <v>2020</v>
      </c>
      <c r="H478" s="0" t="n">
        <v>2</v>
      </c>
      <c r="I478" s="0" t="n">
        <v>963</v>
      </c>
      <c r="J478" s="0" t="s">
        <v>268</v>
      </c>
      <c r="K478" s="0" t="s">
        <v>2264</v>
      </c>
      <c r="L478" s="0" t="s">
        <v>293</v>
      </c>
      <c r="M478" s="0" t="s">
        <v>2285</v>
      </c>
      <c r="N478" s="0" t="s">
        <v>2285</v>
      </c>
      <c r="O478" s="0" t="s">
        <v>2286</v>
      </c>
      <c r="P478" s="0" t="s">
        <v>2287</v>
      </c>
      <c r="R478" s="0" t="s">
        <v>284</v>
      </c>
      <c r="S478" s="0" t="s">
        <v>290</v>
      </c>
      <c r="T478" s="0" t="s">
        <v>276</v>
      </c>
      <c r="U478" s="0" t="s">
        <v>277</v>
      </c>
    </row>
    <row r="479" customFormat="false" ht="15" hidden="false" customHeight="false" outlineLevel="0" collapsed="false">
      <c r="A479" s="0" t="n">
        <v>35</v>
      </c>
      <c r="B479" s="0" t="s">
        <v>76</v>
      </c>
      <c r="C479" s="0" t="s">
        <v>56</v>
      </c>
      <c r="D479" s="0" t="s">
        <v>2288</v>
      </c>
      <c r="E479" s="0" t="n">
        <v>2020</v>
      </c>
      <c r="H479" s="0" t="n">
        <v>2</v>
      </c>
      <c r="I479" s="0" t="n">
        <v>1255</v>
      </c>
      <c r="J479" s="0" t="s">
        <v>268</v>
      </c>
      <c r="K479" s="0" t="s">
        <v>2264</v>
      </c>
      <c r="L479" s="0" t="s">
        <v>293</v>
      </c>
      <c r="M479" s="0" t="s">
        <v>2289</v>
      </c>
      <c r="N479" s="0" t="s">
        <v>2289</v>
      </c>
      <c r="O479" s="0" t="s">
        <v>2290</v>
      </c>
      <c r="P479" s="0" t="s">
        <v>2291</v>
      </c>
      <c r="R479" s="0" t="s">
        <v>284</v>
      </c>
      <c r="S479" s="0" t="s">
        <v>290</v>
      </c>
      <c r="T479" s="0" t="s">
        <v>276</v>
      </c>
      <c r="U479" s="0" t="s">
        <v>277</v>
      </c>
    </row>
    <row r="480" customFormat="false" ht="15" hidden="false" customHeight="false" outlineLevel="0" collapsed="false">
      <c r="A480" s="0" t="n">
        <v>35</v>
      </c>
      <c r="B480" s="0" t="s">
        <v>76</v>
      </c>
      <c r="C480" s="0" t="s">
        <v>56</v>
      </c>
      <c r="D480" s="0" t="s">
        <v>2292</v>
      </c>
      <c r="E480" s="0" t="n">
        <v>2020</v>
      </c>
      <c r="H480" s="0" t="n">
        <v>2</v>
      </c>
      <c r="I480" s="0" t="n">
        <v>560</v>
      </c>
      <c r="J480" s="0" t="s">
        <v>268</v>
      </c>
      <c r="K480" s="0" t="s">
        <v>2264</v>
      </c>
      <c r="L480" s="0" t="s">
        <v>293</v>
      </c>
      <c r="M480" s="0" t="s">
        <v>2293</v>
      </c>
      <c r="N480" s="0" t="s">
        <v>2293</v>
      </c>
      <c r="O480" s="0" t="s">
        <v>2294</v>
      </c>
      <c r="P480" s="0" t="s">
        <v>2295</v>
      </c>
      <c r="R480" s="0" t="s">
        <v>284</v>
      </c>
      <c r="S480" s="0" t="s">
        <v>290</v>
      </c>
      <c r="T480" s="0" t="s">
        <v>276</v>
      </c>
      <c r="U480" s="0" t="s">
        <v>277</v>
      </c>
    </row>
    <row r="481" customFormat="false" ht="15" hidden="false" customHeight="false" outlineLevel="0" collapsed="false">
      <c r="A481" s="0" t="n">
        <v>35</v>
      </c>
      <c r="B481" s="0" t="s">
        <v>76</v>
      </c>
      <c r="C481" s="0" t="s">
        <v>56</v>
      </c>
      <c r="D481" s="0" t="s">
        <v>2296</v>
      </c>
      <c r="E481" s="0" t="n">
        <v>2020</v>
      </c>
      <c r="H481" s="0" t="n">
        <v>2</v>
      </c>
      <c r="I481" s="0" t="n">
        <v>590</v>
      </c>
      <c r="J481" s="0" t="s">
        <v>268</v>
      </c>
      <c r="K481" s="0" t="s">
        <v>2264</v>
      </c>
      <c r="L481" s="0" t="s">
        <v>293</v>
      </c>
      <c r="M481" s="0" t="s">
        <v>2297</v>
      </c>
      <c r="N481" s="0" t="s">
        <v>2297</v>
      </c>
      <c r="O481" s="0" t="s">
        <v>2298</v>
      </c>
      <c r="P481" s="0" t="s">
        <v>2299</v>
      </c>
      <c r="R481" s="0" t="s">
        <v>284</v>
      </c>
      <c r="S481" s="0" t="s">
        <v>290</v>
      </c>
      <c r="T481" s="0" t="s">
        <v>276</v>
      </c>
      <c r="U481" s="0" t="s">
        <v>277</v>
      </c>
    </row>
    <row r="482" customFormat="false" ht="15" hidden="false" customHeight="false" outlineLevel="0" collapsed="false">
      <c r="A482" s="0" t="n">
        <v>35</v>
      </c>
      <c r="B482" s="0" t="s">
        <v>76</v>
      </c>
      <c r="C482" s="0" t="s">
        <v>91</v>
      </c>
      <c r="D482" s="0" t="s">
        <v>2300</v>
      </c>
      <c r="E482" s="0" t="n">
        <v>2026</v>
      </c>
      <c r="H482" s="0" t="n">
        <v>1</v>
      </c>
      <c r="I482" s="0" t="n">
        <v>4614</v>
      </c>
      <c r="J482" s="0" t="s">
        <v>268</v>
      </c>
      <c r="K482" s="0" t="s">
        <v>2264</v>
      </c>
      <c r="L482" s="0" t="s">
        <v>293</v>
      </c>
      <c r="M482" s="0" t="s">
        <v>2301</v>
      </c>
      <c r="N482" s="0" t="s">
        <v>2301</v>
      </c>
      <c r="O482" s="0" t="s">
        <v>2302</v>
      </c>
      <c r="P482" s="0" t="s">
        <v>2303</v>
      </c>
      <c r="R482" s="0" t="s">
        <v>275</v>
      </c>
      <c r="S482" s="0" t="s">
        <v>290</v>
      </c>
      <c r="T482" s="0" t="s">
        <v>276</v>
      </c>
      <c r="U482" s="0" t="s">
        <v>277</v>
      </c>
    </row>
    <row r="483" customFormat="false" ht="15" hidden="false" customHeight="false" outlineLevel="0" collapsed="false">
      <c r="A483" s="0" t="n">
        <v>35</v>
      </c>
      <c r="B483" s="0" t="s">
        <v>76</v>
      </c>
      <c r="C483" s="0" t="s">
        <v>91</v>
      </c>
      <c r="D483" s="0" t="s">
        <v>2304</v>
      </c>
      <c r="E483" s="0" t="n">
        <v>2026</v>
      </c>
      <c r="H483" s="0" t="n">
        <v>9</v>
      </c>
      <c r="I483" s="0" t="n">
        <v>4522</v>
      </c>
      <c r="J483" s="0" t="s">
        <v>268</v>
      </c>
      <c r="K483" s="0" t="s">
        <v>2264</v>
      </c>
      <c r="L483" s="0" t="s">
        <v>293</v>
      </c>
      <c r="M483" s="0" t="s">
        <v>2305</v>
      </c>
      <c r="N483" s="0" t="s">
        <v>2305</v>
      </c>
      <c r="O483" s="0" t="s">
        <v>2306</v>
      </c>
      <c r="P483" s="0" t="s">
        <v>2307</v>
      </c>
      <c r="R483" s="0" t="s">
        <v>275</v>
      </c>
      <c r="S483" s="0" t="s">
        <v>268</v>
      </c>
      <c r="T483" s="0" t="s">
        <v>276</v>
      </c>
      <c r="U483" s="0" t="s">
        <v>277</v>
      </c>
    </row>
    <row r="484" customFormat="false" ht="15" hidden="false" customHeight="false" outlineLevel="0" collapsed="false">
      <c r="A484" s="0" t="n">
        <v>35</v>
      </c>
      <c r="B484" s="0" t="s">
        <v>76</v>
      </c>
      <c r="C484" s="0" t="s">
        <v>91</v>
      </c>
      <c r="D484" s="0" t="s">
        <v>2308</v>
      </c>
      <c r="E484" s="0" t="n">
        <v>2025</v>
      </c>
      <c r="H484" s="0" t="n">
        <v>9</v>
      </c>
      <c r="I484" s="0" t="n">
        <v>2757</v>
      </c>
      <c r="J484" s="0" t="s">
        <v>268</v>
      </c>
      <c r="K484" s="0" t="s">
        <v>2264</v>
      </c>
      <c r="L484" s="0" t="s">
        <v>293</v>
      </c>
      <c r="M484" s="0" t="s">
        <v>2309</v>
      </c>
      <c r="N484" s="0" t="s">
        <v>2309</v>
      </c>
      <c r="O484" s="0" t="s">
        <v>2310</v>
      </c>
      <c r="P484" s="0" t="s">
        <v>2311</v>
      </c>
      <c r="R484" s="0" t="s">
        <v>275</v>
      </c>
      <c r="S484" s="0" t="s">
        <v>290</v>
      </c>
      <c r="T484" s="0" t="s">
        <v>276</v>
      </c>
      <c r="U484" s="0" t="s">
        <v>277</v>
      </c>
    </row>
    <row r="485" customFormat="false" ht="15" hidden="false" customHeight="false" outlineLevel="0" collapsed="false">
      <c r="A485" s="0" t="n">
        <v>35</v>
      </c>
      <c r="B485" s="0" t="s">
        <v>76</v>
      </c>
      <c r="C485" s="0" t="s">
        <v>91</v>
      </c>
      <c r="D485" s="0" t="s">
        <v>2312</v>
      </c>
      <c r="E485" s="0" t="n">
        <v>2024</v>
      </c>
      <c r="H485" s="0" t="n">
        <v>14</v>
      </c>
      <c r="I485" s="0" t="n">
        <v>1317</v>
      </c>
      <c r="J485" s="0" t="s">
        <v>268</v>
      </c>
      <c r="K485" s="0" t="s">
        <v>2264</v>
      </c>
      <c r="L485" s="0" t="s">
        <v>293</v>
      </c>
      <c r="M485" s="0" t="s">
        <v>2313</v>
      </c>
      <c r="N485" s="0" t="s">
        <v>2313</v>
      </c>
      <c r="O485" s="0" t="s">
        <v>2314</v>
      </c>
      <c r="P485" s="0" t="s">
        <v>2315</v>
      </c>
      <c r="R485" s="0" t="s">
        <v>284</v>
      </c>
      <c r="S485" s="0" t="s">
        <v>290</v>
      </c>
      <c r="T485" s="0" t="s">
        <v>276</v>
      </c>
      <c r="U485" s="0" t="s">
        <v>277</v>
      </c>
    </row>
    <row r="486" customFormat="false" ht="15" hidden="false" customHeight="false" outlineLevel="0" collapsed="false">
      <c r="A486" s="0" t="n">
        <v>35</v>
      </c>
      <c r="B486" s="0" t="s">
        <v>76</v>
      </c>
      <c r="C486" s="0" t="s">
        <v>309</v>
      </c>
      <c r="D486" s="0" t="s">
        <v>2316</v>
      </c>
      <c r="E486" s="0" t="n">
        <v>2020</v>
      </c>
      <c r="H486" s="0" t="n">
        <v>1</v>
      </c>
      <c r="I486" s="0" t="n">
        <v>87</v>
      </c>
      <c r="J486" s="0" t="s">
        <v>290</v>
      </c>
      <c r="K486" s="0" t="s">
        <v>298</v>
      </c>
      <c r="L486" s="0" t="s">
        <v>270</v>
      </c>
      <c r="M486" s="0" t="s">
        <v>2317</v>
      </c>
      <c r="N486" s="0" t="s">
        <v>2317</v>
      </c>
      <c r="O486" s="0" t="s">
        <v>2318</v>
      </c>
      <c r="P486" s="0" t="s">
        <v>2319</v>
      </c>
      <c r="R486" s="0" t="s">
        <v>284</v>
      </c>
      <c r="S486" s="0" t="s">
        <v>268</v>
      </c>
      <c r="T486" s="0" t="s">
        <v>276</v>
      </c>
      <c r="U486" s="0" t="s">
        <v>277</v>
      </c>
    </row>
    <row r="487" customFormat="false" ht="15" hidden="false" customHeight="false" outlineLevel="0" collapsed="false">
      <c r="A487" s="0" t="n">
        <v>35</v>
      </c>
      <c r="B487" s="0" t="s">
        <v>76</v>
      </c>
      <c r="C487" s="0" t="s">
        <v>586</v>
      </c>
      <c r="D487" s="0" t="s">
        <v>2320</v>
      </c>
      <c r="E487" s="0" t="n">
        <v>2025</v>
      </c>
      <c r="H487" s="0" t="n">
        <v>2</v>
      </c>
      <c r="I487" s="0" t="n">
        <v>287</v>
      </c>
      <c r="J487" s="0" t="s">
        <v>268</v>
      </c>
      <c r="K487" s="0" t="s">
        <v>2264</v>
      </c>
      <c r="L487" s="0" t="s">
        <v>293</v>
      </c>
      <c r="M487" s="0" t="s">
        <v>2321</v>
      </c>
      <c r="N487" s="0" t="s">
        <v>2321</v>
      </c>
      <c r="O487" s="0" t="s">
        <v>2322</v>
      </c>
      <c r="P487" s="0" t="s">
        <v>2323</v>
      </c>
      <c r="R487" s="0" t="s">
        <v>275</v>
      </c>
      <c r="S487" s="0" t="s">
        <v>268</v>
      </c>
      <c r="T487" s="0" t="s">
        <v>314</v>
      </c>
      <c r="U487" s="0" t="s">
        <v>277</v>
      </c>
      <c r="V487" s="0" t="s">
        <v>2324</v>
      </c>
    </row>
    <row r="488" customFormat="false" ht="15" hidden="false" customHeight="false" outlineLevel="0" collapsed="false">
      <c r="A488" s="0" t="n">
        <v>35</v>
      </c>
      <c r="B488" s="0" t="s">
        <v>76</v>
      </c>
      <c r="C488" s="0" t="s">
        <v>586</v>
      </c>
      <c r="D488" s="0" t="s">
        <v>2325</v>
      </c>
      <c r="E488" s="0" t="n">
        <v>2025</v>
      </c>
      <c r="H488" s="0" t="n">
        <v>1</v>
      </c>
      <c r="I488" s="0" t="n">
        <v>345</v>
      </c>
      <c r="J488" s="0" t="s">
        <v>268</v>
      </c>
      <c r="K488" s="0" t="s">
        <v>2264</v>
      </c>
      <c r="L488" s="0" t="s">
        <v>293</v>
      </c>
      <c r="M488" s="0" t="s">
        <v>2326</v>
      </c>
      <c r="N488" s="0" t="s">
        <v>2326</v>
      </c>
      <c r="O488" s="0" t="s">
        <v>2327</v>
      </c>
      <c r="P488" s="0" t="s">
        <v>2328</v>
      </c>
      <c r="R488" s="0" t="s">
        <v>275</v>
      </c>
      <c r="S488" s="0" t="s">
        <v>290</v>
      </c>
      <c r="T488" s="0" t="s">
        <v>314</v>
      </c>
      <c r="U488" s="0" t="s">
        <v>277</v>
      </c>
      <c r="V488" s="0" t="s">
        <v>2324</v>
      </c>
    </row>
    <row r="489" customFormat="false" ht="15" hidden="false" customHeight="false" outlineLevel="0" collapsed="false">
      <c r="A489" s="0" t="n">
        <v>35</v>
      </c>
      <c r="B489" s="0" t="s">
        <v>76</v>
      </c>
      <c r="C489" s="0" t="s">
        <v>586</v>
      </c>
      <c r="D489" s="0" t="s">
        <v>2329</v>
      </c>
      <c r="E489" s="0" t="n">
        <v>2022</v>
      </c>
      <c r="H489" s="0" t="n">
        <v>5</v>
      </c>
      <c r="I489" s="0" t="n">
        <v>179</v>
      </c>
      <c r="J489" s="0" t="s">
        <v>268</v>
      </c>
      <c r="K489" s="0" t="s">
        <v>2264</v>
      </c>
      <c r="L489" s="0" t="s">
        <v>293</v>
      </c>
      <c r="M489" s="0" t="s">
        <v>2330</v>
      </c>
      <c r="N489" s="0" t="s">
        <v>2330</v>
      </c>
      <c r="O489" s="0" t="s">
        <v>2331</v>
      </c>
      <c r="P489" s="0" t="s">
        <v>2332</v>
      </c>
      <c r="R489" s="0" t="s">
        <v>284</v>
      </c>
      <c r="S489" s="0" t="s">
        <v>290</v>
      </c>
      <c r="T489" s="0" t="s">
        <v>276</v>
      </c>
      <c r="U489" s="0" t="s">
        <v>277</v>
      </c>
    </row>
    <row r="490" customFormat="false" ht="15" hidden="false" customHeight="false" outlineLevel="0" collapsed="false">
      <c r="A490" s="0" t="n">
        <v>35</v>
      </c>
      <c r="B490" s="0" t="s">
        <v>76</v>
      </c>
      <c r="C490" s="0" t="s">
        <v>586</v>
      </c>
      <c r="D490" s="0" t="s">
        <v>2333</v>
      </c>
      <c r="E490" s="0" t="n">
        <v>2022</v>
      </c>
      <c r="H490" s="0" t="n">
        <v>20</v>
      </c>
      <c r="I490" s="0" t="n">
        <v>1006</v>
      </c>
      <c r="J490" s="0" t="s">
        <v>268</v>
      </c>
      <c r="K490" s="0" t="s">
        <v>2264</v>
      </c>
      <c r="L490" s="0" t="s">
        <v>293</v>
      </c>
      <c r="M490" s="0" t="s">
        <v>2334</v>
      </c>
      <c r="N490" s="0" t="s">
        <v>2334</v>
      </c>
      <c r="O490" s="0" t="s">
        <v>2335</v>
      </c>
      <c r="P490" s="0" t="s">
        <v>2336</v>
      </c>
      <c r="R490" s="0" t="s">
        <v>284</v>
      </c>
      <c r="S490" s="0" t="s">
        <v>290</v>
      </c>
      <c r="T490" s="0" t="s">
        <v>314</v>
      </c>
      <c r="U490" s="0" t="s">
        <v>277</v>
      </c>
      <c r="V490" s="0" t="s">
        <v>2324</v>
      </c>
    </row>
    <row r="491" customFormat="false" ht="15" hidden="false" customHeight="false" outlineLevel="0" collapsed="false">
      <c r="A491" s="0" t="n">
        <v>35</v>
      </c>
      <c r="B491" s="0" t="s">
        <v>76</v>
      </c>
      <c r="C491" s="0" t="s">
        <v>266</v>
      </c>
      <c r="D491" s="0" t="s">
        <v>2337</v>
      </c>
      <c r="E491" s="0" t="n">
        <v>2026</v>
      </c>
      <c r="H491" s="0" t="n">
        <v>1</v>
      </c>
      <c r="I491" s="0" t="n">
        <v>354</v>
      </c>
      <c r="J491" s="0" t="s">
        <v>268</v>
      </c>
      <c r="K491" s="0" t="s">
        <v>2264</v>
      </c>
      <c r="L491" s="0" t="s">
        <v>293</v>
      </c>
      <c r="M491" s="0" t="s">
        <v>2338</v>
      </c>
      <c r="N491" s="0" t="s">
        <v>2338</v>
      </c>
      <c r="O491" s="0" t="s">
        <v>2339</v>
      </c>
      <c r="P491" s="0" t="s">
        <v>2340</v>
      </c>
      <c r="R491" s="0" t="s">
        <v>275</v>
      </c>
      <c r="S491" s="0" t="s">
        <v>290</v>
      </c>
      <c r="T491" s="0" t="s">
        <v>314</v>
      </c>
      <c r="U491" s="0" t="s">
        <v>277</v>
      </c>
      <c r="V491" s="0" t="s">
        <v>2324</v>
      </c>
    </row>
    <row r="492" customFormat="false" ht="15" hidden="false" customHeight="false" outlineLevel="0" collapsed="false">
      <c r="A492" s="0" t="n">
        <v>35</v>
      </c>
      <c r="B492" s="0" t="s">
        <v>76</v>
      </c>
      <c r="C492" s="0" t="s">
        <v>266</v>
      </c>
      <c r="D492" s="0" t="s">
        <v>2341</v>
      </c>
      <c r="E492" s="0" t="n">
        <v>2026</v>
      </c>
      <c r="H492" s="0" t="n">
        <v>1</v>
      </c>
      <c r="I492" s="0" t="n">
        <v>364</v>
      </c>
      <c r="J492" s="0" t="s">
        <v>268</v>
      </c>
      <c r="K492" s="0" t="s">
        <v>2264</v>
      </c>
      <c r="L492" s="0" t="s">
        <v>293</v>
      </c>
      <c r="M492" s="0" t="s">
        <v>2342</v>
      </c>
      <c r="N492" s="0" t="s">
        <v>2342</v>
      </c>
      <c r="O492" s="0" t="s">
        <v>2343</v>
      </c>
      <c r="P492" s="0" t="s">
        <v>2344</v>
      </c>
      <c r="R492" s="0" t="s">
        <v>275</v>
      </c>
      <c r="S492" s="0" t="s">
        <v>290</v>
      </c>
      <c r="T492" s="0" t="s">
        <v>314</v>
      </c>
      <c r="U492" s="0" t="s">
        <v>277</v>
      </c>
      <c r="V492" s="0" t="s">
        <v>2324</v>
      </c>
    </row>
    <row r="493" customFormat="false" ht="15" hidden="false" customHeight="false" outlineLevel="0" collapsed="false">
      <c r="A493" s="0" t="n">
        <v>35</v>
      </c>
      <c r="B493" s="0" t="s">
        <v>76</v>
      </c>
      <c r="C493" s="0" t="s">
        <v>266</v>
      </c>
      <c r="D493" s="0" t="s">
        <v>2345</v>
      </c>
      <c r="E493" s="0" t="n">
        <v>2026</v>
      </c>
      <c r="H493" s="0" t="n">
        <v>1</v>
      </c>
      <c r="I493" s="0" t="n">
        <v>399</v>
      </c>
      <c r="J493" s="0" t="s">
        <v>268</v>
      </c>
      <c r="K493" s="0" t="s">
        <v>2264</v>
      </c>
      <c r="L493" s="0" t="s">
        <v>293</v>
      </c>
      <c r="M493" s="0" t="s">
        <v>2346</v>
      </c>
      <c r="N493" s="0" t="s">
        <v>2347</v>
      </c>
      <c r="O493" s="0" t="s">
        <v>2348</v>
      </c>
      <c r="P493" s="0" t="s">
        <v>2349</v>
      </c>
      <c r="R493" s="0" t="s">
        <v>275</v>
      </c>
      <c r="S493" s="0" t="s">
        <v>290</v>
      </c>
      <c r="T493" s="0" t="s">
        <v>314</v>
      </c>
      <c r="U493" s="0" t="s">
        <v>277</v>
      </c>
      <c r="V493" s="0" t="s">
        <v>2324</v>
      </c>
    </row>
    <row r="494" customFormat="false" ht="15" hidden="false" customHeight="false" outlineLevel="0" collapsed="false">
      <c r="A494" s="0" t="n">
        <v>35</v>
      </c>
      <c r="B494" s="0" t="s">
        <v>76</v>
      </c>
      <c r="C494" s="0" t="s">
        <v>266</v>
      </c>
      <c r="D494" s="0" t="s">
        <v>2350</v>
      </c>
      <c r="E494" s="0" t="n">
        <v>2026</v>
      </c>
      <c r="H494" s="0" t="n">
        <v>2</v>
      </c>
      <c r="I494" s="0" t="n">
        <v>353</v>
      </c>
      <c r="J494" s="0" t="s">
        <v>268</v>
      </c>
      <c r="K494" s="0" t="s">
        <v>2264</v>
      </c>
      <c r="L494" s="0" t="s">
        <v>293</v>
      </c>
      <c r="M494" s="0" t="s">
        <v>2351</v>
      </c>
      <c r="N494" s="0" t="s">
        <v>2352</v>
      </c>
      <c r="O494" s="0" t="s">
        <v>2353</v>
      </c>
      <c r="P494" s="0" t="s">
        <v>2354</v>
      </c>
      <c r="R494" s="0" t="s">
        <v>275</v>
      </c>
      <c r="S494" s="0" t="s">
        <v>290</v>
      </c>
      <c r="T494" s="0" t="s">
        <v>314</v>
      </c>
      <c r="U494" s="0" t="s">
        <v>277</v>
      </c>
      <c r="V494" s="0" t="s">
        <v>2324</v>
      </c>
    </row>
    <row r="495" customFormat="false" ht="15" hidden="false" customHeight="false" outlineLevel="0" collapsed="false">
      <c r="A495" s="0" t="n">
        <v>35</v>
      </c>
      <c r="B495" s="0" t="s">
        <v>76</v>
      </c>
      <c r="C495" s="0" t="s">
        <v>266</v>
      </c>
      <c r="D495" s="0" t="s">
        <v>2355</v>
      </c>
      <c r="E495" s="0" t="n">
        <v>2026</v>
      </c>
      <c r="H495" s="0" t="n">
        <v>1</v>
      </c>
      <c r="I495" s="0" t="n">
        <v>432</v>
      </c>
      <c r="J495" s="0" t="s">
        <v>268</v>
      </c>
      <c r="K495" s="0" t="s">
        <v>2264</v>
      </c>
      <c r="L495" s="0" t="s">
        <v>293</v>
      </c>
      <c r="M495" s="0" t="s">
        <v>2356</v>
      </c>
      <c r="N495" s="0" t="s">
        <v>2357</v>
      </c>
      <c r="O495" s="0" t="s">
        <v>2358</v>
      </c>
      <c r="P495" s="0" t="s">
        <v>2359</v>
      </c>
      <c r="R495" s="0" t="s">
        <v>275</v>
      </c>
      <c r="S495" s="0" t="s">
        <v>290</v>
      </c>
      <c r="T495" s="0" t="s">
        <v>314</v>
      </c>
      <c r="U495" s="0" t="s">
        <v>277</v>
      </c>
      <c r="V495" s="0" t="s">
        <v>2324</v>
      </c>
    </row>
    <row r="496" customFormat="false" ht="15" hidden="false" customHeight="false" outlineLevel="0" collapsed="false">
      <c r="A496" s="0" t="n">
        <v>35</v>
      </c>
      <c r="B496" s="0" t="s">
        <v>76</v>
      </c>
      <c r="C496" s="0" t="s">
        <v>266</v>
      </c>
      <c r="D496" s="0" t="s">
        <v>2360</v>
      </c>
      <c r="E496" s="0" t="n">
        <v>2026</v>
      </c>
      <c r="H496" s="0" t="n">
        <v>2</v>
      </c>
      <c r="I496" s="0" t="n">
        <v>905</v>
      </c>
      <c r="J496" s="0" t="s">
        <v>268</v>
      </c>
      <c r="K496" s="0" t="s">
        <v>2264</v>
      </c>
      <c r="L496" s="0" t="s">
        <v>293</v>
      </c>
      <c r="M496" s="0" t="s">
        <v>2361</v>
      </c>
      <c r="N496" s="0" t="s">
        <v>2362</v>
      </c>
      <c r="O496" s="0" t="s">
        <v>2363</v>
      </c>
      <c r="P496" s="0" t="s">
        <v>2364</v>
      </c>
      <c r="R496" s="0" t="s">
        <v>275</v>
      </c>
      <c r="S496" s="0" t="s">
        <v>290</v>
      </c>
      <c r="T496" s="0" t="s">
        <v>276</v>
      </c>
      <c r="U496" s="0" t="s">
        <v>277</v>
      </c>
    </row>
    <row r="497" customFormat="false" ht="15" hidden="false" customHeight="false" outlineLevel="0" collapsed="false">
      <c r="A497" s="0" t="n">
        <v>35</v>
      </c>
      <c r="B497" s="0" t="s">
        <v>76</v>
      </c>
      <c r="C497" s="0" t="s">
        <v>266</v>
      </c>
      <c r="D497" s="0" t="s">
        <v>2365</v>
      </c>
      <c r="E497" s="0" t="n">
        <v>2026</v>
      </c>
      <c r="H497" s="0" t="n">
        <v>1</v>
      </c>
      <c r="I497" s="0" t="n">
        <v>523</v>
      </c>
      <c r="J497" s="0" t="s">
        <v>268</v>
      </c>
      <c r="K497" s="0" t="s">
        <v>2264</v>
      </c>
      <c r="L497" s="0" t="s">
        <v>293</v>
      </c>
      <c r="M497" s="0" t="s">
        <v>2366</v>
      </c>
      <c r="N497" s="0" t="s">
        <v>2367</v>
      </c>
      <c r="O497" s="0" t="s">
        <v>2368</v>
      </c>
      <c r="P497" s="0" t="s">
        <v>2369</v>
      </c>
      <c r="R497" s="0" t="s">
        <v>275</v>
      </c>
      <c r="S497" s="0" t="s">
        <v>290</v>
      </c>
      <c r="T497" s="0" t="s">
        <v>314</v>
      </c>
      <c r="U497" s="0" t="s">
        <v>277</v>
      </c>
      <c r="V497" s="0" t="s">
        <v>2324</v>
      </c>
    </row>
    <row r="498" customFormat="false" ht="15" hidden="false" customHeight="false" outlineLevel="0" collapsed="false">
      <c r="A498" s="0" t="n">
        <v>35</v>
      </c>
      <c r="B498" s="0" t="s">
        <v>76</v>
      </c>
      <c r="C498" s="0" t="s">
        <v>266</v>
      </c>
      <c r="D498" s="0" t="s">
        <v>2370</v>
      </c>
      <c r="E498" s="0" t="n">
        <v>2026</v>
      </c>
      <c r="H498" s="0" t="n">
        <v>1</v>
      </c>
      <c r="I498" s="0" t="n">
        <v>489</v>
      </c>
      <c r="J498" s="0" t="s">
        <v>268</v>
      </c>
      <c r="K498" s="0" t="s">
        <v>2264</v>
      </c>
      <c r="L498" s="0" t="s">
        <v>293</v>
      </c>
      <c r="M498" s="0" t="s">
        <v>2371</v>
      </c>
      <c r="N498" s="0" t="s">
        <v>2372</v>
      </c>
      <c r="O498" s="0" t="s">
        <v>2373</v>
      </c>
      <c r="P498" s="0" t="s">
        <v>2374</v>
      </c>
      <c r="R498" s="0" t="s">
        <v>275</v>
      </c>
      <c r="S498" s="0" t="s">
        <v>290</v>
      </c>
      <c r="T498" s="0" t="s">
        <v>314</v>
      </c>
      <c r="U498" s="0" t="s">
        <v>277</v>
      </c>
      <c r="V498" s="0" t="s">
        <v>2324</v>
      </c>
    </row>
    <row r="499" customFormat="false" ht="15" hidden="false" customHeight="false" outlineLevel="0" collapsed="false">
      <c r="A499" s="0" t="n">
        <v>35</v>
      </c>
      <c r="B499" s="0" t="s">
        <v>76</v>
      </c>
      <c r="C499" s="0" t="s">
        <v>266</v>
      </c>
      <c r="D499" s="0" t="s">
        <v>2375</v>
      </c>
      <c r="E499" s="0" t="n">
        <v>2026</v>
      </c>
      <c r="H499" s="0" t="n">
        <v>1</v>
      </c>
      <c r="I499" s="0" t="n">
        <v>208</v>
      </c>
      <c r="J499" s="0" t="s">
        <v>268</v>
      </c>
      <c r="K499" s="0" t="s">
        <v>2264</v>
      </c>
      <c r="L499" s="0" t="s">
        <v>293</v>
      </c>
      <c r="M499" s="0" t="s">
        <v>2376</v>
      </c>
      <c r="N499" s="0" t="s">
        <v>2377</v>
      </c>
      <c r="O499" s="0" t="s">
        <v>2378</v>
      </c>
      <c r="P499" s="0" t="s">
        <v>2379</v>
      </c>
      <c r="R499" s="0" t="s">
        <v>275</v>
      </c>
      <c r="S499" s="0" t="s">
        <v>290</v>
      </c>
      <c r="T499" s="0" t="s">
        <v>314</v>
      </c>
      <c r="U499" s="0" t="s">
        <v>277</v>
      </c>
      <c r="V499" s="0" t="s">
        <v>2324</v>
      </c>
    </row>
    <row r="500" customFormat="false" ht="15" hidden="false" customHeight="false" outlineLevel="0" collapsed="false">
      <c r="A500" s="0" t="n">
        <v>35</v>
      </c>
      <c r="B500" s="0" t="s">
        <v>76</v>
      </c>
      <c r="C500" s="0" t="s">
        <v>266</v>
      </c>
      <c r="D500" s="0" t="s">
        <v>2380</v>
      </c>
      <c r="E500" s="0" t="n">
        <v>2026</v>
      </c>
      <c r="H500" s="0" t="n">
        <v>4</v>
      </c>
      <c r="I500" s="0" t="n">
        <v>178</v>
      </c>
      <c r="J500" s="0" t="s">
        <v>268</v>
      </c>
      <c r="K500" s="0" t="s">
        <v>2264</v>
      </c>
      <c r="L500" s="0" t="s">
        <v>293</v>
      </c>
      <c r="M500" s="0" t="s">
        <v>2381</v>
      </c>
      <c r="N500" s="0" t="s">
        <v>2381</v>
      </c>
      <c r="O500" s="0" t="s">
        <v>2382</v>
      </c>
      <c r="P500" s="0" t="s">
        <v>2383</v>
      </c>
      <c r="R500" s="0" t="s">
        <v>275</v>
      </c>
      <c r="S500" s="0" t="s">
        <v>290</v>
      </c>
      <c r="T500" s="0" t="s">
        <v>314</v>
      </c>
      <c r="U500" s="0" t="s">
        <v>277</v>
      </c>
      <c r="V500" s="0" t="s">
        <v>2324</v>
      </c>
    </row>
    <row r="501" customFormat="false" ht="15" hidden="false" customHeight="false" outlineLevel="0" collapsed="false">
      <c r="A501" s="0" t="n">
        <v>35</v>
      </c>
      <c r="B501" s="0" t="s">
        <v>76</v>
      </c>
      <c r="C501" s="0" t="s">
        <v>266</v>
      </c>
      <c r="D501" s="0" t="s">
        <v>2384</v>
      </c>
      <c r="E501" s="0" t="n">
        <v>2026</v>
      </c>
      <c r="H501" s="0" t="n">
        <v>4</v>
      </c>
      <c r="I501" s="0" t="n">
        <v>270</v>
      </c>
      <c r="J501" s="0" t="s">
        <v>268</v>
      </c>
      <c r="K501" s="0" t="s">
        <v>2264</v>
      </c>
      <c r="L501" s="0" t="s">
        <v>293</v>
      </c>
      <c r="M501" s="0" t="s">
        <v>2385</v>
      </c>
      <c r="N501" s="0" t="s">
        <v>2385</v>
      </c>
      <c r="O501" s="0" t="s">
        <v>2386</v>
      </c>
      <c r="P501" s="0" t="s">
        <v>2387</v>
      </c>
      <c r="R501" s="0" t="s">
        <v>275</v>
      </c>
      <c r="S501" s="0" t="s">
        <v>290</v>
      </c>
      <c r="T501" s="0" t="s">
        <v>314</v>
      </c>
      <c r="U501" s="0" t="s">
        <v>277</v>
      </c>
      <c r="V501" s="0" t="s">
        <v>2324</v>
      </c>
    </row>
    <row r="502" customFormat="false" ht="15" hidden="false" customHeight="false" outlineLevel="0" collapsed="false">
      <c r="A502" s="0" t="n">
        <v>35</v>
      </c>
      <c r="B502" s="0" t="s">
        <v>76</v>
      </c>
      <c r="C502" s="0" t="s">
        <v>266</v>
      </c>
      <c r="D502" s="0" t="s">
        <v>2388</v>
      </c>
      <c r="E502" s="0" t="n">
        <v>2026</v>
      </c>
      <c r="H502" s="0" t="n">
        <v>1</v>
      </c>
      <c r="I502" s="0" t="n">
        <v>195</v>
      </c>
      <c r="J502" s="0" t="s">
        <v>268</v>
      </c>
      <c r="K502" s="0" t="s">
        <v>2264</v>
      </c>
      <c r="L502" s="0" t="s">
        <v>293</v>
      </c>
      <c r="M502" s="0" t="s">
        <v>2389</v>
      </c>
      <c r="N502" s="0" t="s">
        <v>2389</v>
      </c>
      <c r="O502" s="0" t="s">
        <v>2390</v>
      </c>
      <c r="P502" s="0" t="s">
        <v>2391</v>
      </c>
      <c r="R502" s="0" t="s">
        <v>275</v>
      </c>
      <c r="S502" s="0" t="s">
        <v>290</v>
      </c>
      <c r="T502" s="0" t="s">
        <v>314</v>
      </c>
      <c r="U502" s="0" t="s">
        <v>277</v>
      </c>
      <c r="V502" s="0" t="s">
        <v>2324</v>
      </c>
    </row>
    <row r="503" customFormat="false" ht="15" hidden="false" customHeight="false" outlineLevel="0" collapsed="false">
      <c r="A503" s="0" t="n">
        <v>35</v>
      </c>
      <c r="B503" s="0" t="s">
        <v>76</v>
      </c>
      <c r="C503" s="0" t="s">
        <v>266</v>
      </c>
      <c r="D503" s="0" t="s">
        <v>2392</v>
      </c>
      <c r="E503" s="0" t="n">
        <v>2026</v>
      </c>
      <c r="H503" s="0" t="n">
        <v>1</v>
      </c>
      <c r="I503" s="0" t="n">
        <v>196</v>
      </c>
      <c r="J503" s="0" t="s">
        <v>268</v>
      </c>
      <c r="K503" s="0" t="s">
        <v>2264</v>
      </c>
      <c r="L503" s="0" t="s">
        <v>293</v>
      </c>
      <c r="M503" s="0" t="s">
        <v>2393</v>
      </c>
      <c r="N503" s="0" t="s">
        <v>2393</v>
      </c>
      <c r="O503" s="0" t="s">
        <v>2394</v>
      </c>
      <c r="P503" s="0" t="s">
        <v>2395</v>
      </c>
      <c r="R503" s="0" t="s">
        <v>275</v>
      </c>
      <c r="S503" s="0" t="s">
        <v>290</v>
      </c>
      <c r="T503" s="0" t="s">
        <v>314</v>
      </c>
      <c r="U503" s="0" t="s">
        <v>277</v>
      </c>
      <c r="V503" s="0" t="s">
        <v>2324</v>
      </c>
    </row>
    <row r="504" customFormat="false" ht="15" hidden="false" customHeight="false" outlineLevel="0" collapsed="false">
      <c r="A504" s="0" t="n">
        <v>35</v>
      </c>
      <c r="B504" s="0" t="s">
        <v>76</v>
      </c>
      <c r="C504" s="0" t="s">
        <v>266</v>
      </c>
      <c r="D504" s="0" t="s">
        <v>2396</v>
      </c>
      <c r="E504" s="0" t="n">
        <v>2026</v>
      </c>
      <c r="H504" s="0" t="n">
        <v>1</v>
      </c>
      <c r="I504" s="0" t="n">
        <v>362</v>
      </c>
      <c r="J504" s="0" t="s">
        <v>268</v>
      </c>
      <c r="K504" s="0" t="s">
        <v>2264</v>
      </c>
      <c r="L504" s="0" t="s">
        <v>293</v>
      </c>
      <c r="M504" s="0" t="s">
        <v>2397</v>
      </c>
      <c r="N504" s="0" t="s">
        <v>2397</v>
      </c>
      <c r="O504" s="0" t="s">
        <v>2398</v>
      </c>
      <c r="P504" s="0" t="s">
        <v>2399</v>
      </c>
      <c r="R504" s="0" t="s">
        <v>275</v>
      </c>
      <c r="S504" s="0" t="s">
        <v>290</v>
      </c>
      <c r="T504" s="0" t="s">
        <v>314</v>
      </c>
      <c r="U504" s="0" t="s">
        <v>277</v>
      </c>
      <c r="V504" s="0" t="s">
        <v>2324</v>
      </c>
    </row>
    <row r="505" customFormat="false" ht="15" hidden="false" customHeight="false" outlineLevel="0" collapsed="false">
      <c r="A505" s="0" t="n">
        <v>35</v>
      </c>
      <c r="B505" s="0" t="s">
        <v>76</v>
      </c>
      <c r="C505" s="0" t="s">
        <v>266</v>
      </c>
      <c r="D505" s="0" t="s">
        <v>2400</v>
      </c>
      <c r="E505" s="0" t="n">
        <v>2026</v>
      </c>
      <c r="H505" s="0" t="n">
        <v>6</v>
      </c>
      <c r="I505" s="0" t="n">
        <v>2069</v>
      </c>
      <c r="J505" s="0" t="s">
        <v>268</v>
      </c>
      <c r="K505" s="0" t="s">
        <v>2264</v>
      </c>
      <c r="L505" s="0" t="s">
        <v>293</v>
      </c>
      <c r="M505" s="0" t="s">
        <v>2401</v>
      </c>
      <c r="N505" s="0" t="s">
        <v>2401</v>
      </c>
      <c r="O505" s="0" t="s">
        <v>2402</v>
      </c>
      <c r="P505" s="0" t="s">
        <v>2403</v>
      </c>
      <c r="R505" s="0" t="s">
        <v>275</v>
      </c>
      <c r="S505" s="0" t="s">
        <v>290</v>
      </c>
      <c r="T505" s="0" t="s">
        <v>314</v>
      </c>
      <c r="U505" s="0" t="s">
        <v>277</v>
      </c>
      <c r="V505" s="0" t="s">
        <v>2324</v>
      </c>
    </row>
    <row r="506" customFormat="false" ht="15" hidden="false" customHeight="false" outlineLevel="0" collapsed="false">
      <c r="A506" s="0" t="n">
        <v>35</v>
      </c>
      <c r="B506" s="0" t="s">
        <v>76</v>
      </c>
      <c r="C506" s="0" t="s">
        <v>266</v>
      </c>
      <c r="D506" s="0" t="s">
        <v>2404</v>
      </c>
      <c r="E506" s="0" t="n">
        <v>2026</v>
      </c>
      <c r="H506" s="0" t="n">
        <v>4</v>
      </c>
      <c r="I506" s="0" t="n">
        <v>715</v>
      </c>
      <c r="J506" s="0" t="s">
        <v>268</v>
      </c>
      <c r="K506" s="0" t="s">
        <v>2264</v>
      </c>
      <c r="L506" s="0" t="s">
        <v>293</v>
      </c>
      <c r="M506" s="0" t="s">
        <v>2405</v>
      </c>
      <c r="N506" s="0" t="s">
        <v>2405</v>
      </c>
      <c r="O506" s="0" t="s">
        <v>2406</v>
      </c>
      <c r="P506" s="0" t="s">
        <v>2407</v>
      </c>
      <c r="R506" s="0" t="s">
        <v>275</v>
      </c>
      <c r="S506" s="0" t="s">
        <v>290</v>
      </c>
      <c r="T506" s="0" t="s">
        <v>314</v>
      </c>
      <c r="U506" s="0" t="s">
        <v>277</v>
      </c>
      <c r="V506" s="0" t="s">
        <v>2324</v>
      </c>
    </row>
    <row r="507" customFormat="false" ht="15" hidden="false" customHeight="false" outlineLevel="0" collapsed="false">
      <c r="A507" s="0" t="n">
        <v>35</v>
      </c>
      <c r="B507" s="0" t="s">
        <v>76</v>
      </c>
      <c r="C507" s="0" t="s">
        <v>266</v>
      </c>
      <c r="D507" s="0" t="s">
        <v>2408</v>
      </c>
      <c r="E507" s="0" t="n">
        <v>2026</v>
      </c>
      <c r="H507" s="0" t="n">
        <v>6</v>
      </c>
      <c r="I507" s="0" t="n">
        <v>2281</v>
      </c>
      <c r="J507" s="0" t="s">
        <v>268</v>
      </c>
      <c r="K507" s="0" t="s">
        <v>2264</v>
      </c>
      <c r="L507" s="0" t="s">
        <v>293</v>
      </c>
      <c r="M507" s="0" t="s">
        <v>2409</v>
      </c>
      <c r="N507" s="0" t="s">
        <v>2409</v>
      </c>
      <c r="O507" s="0" t="s">
        <v>2410</v>
      </c>
      <c r="P507" s="0" t="s">
        <v>2411</v>
      </c>
      <c r="R507" s="0" t="s">
        <v>275</v>
      </c>
      <c r="S507" s="0" t="s">
        <v>290</v>
      </c>
      <c r="T507" s="0" t="s">
        <v>314</v>
      </c>
      <c r="U507" s="0" t="s">
        <v>277</v>
      </c>
      <c r="V507" s="0" t="s">
        <v>2324</v>
      </c>
    </row>
    <row r="508" customFormat="false" ht="15" hidden="false" customHeight="false" outlineLevel="0" collapsed="false">
      <c r="A508" s="0" t="n">
        <v>35</v>
      </c>
      <c r="B508" s="0" t="s">
        <v>76</v>
      </c>
      <c r="C508" s="0" t="s">
        <v>266</v>
      </c>
      <c r="D508" s="0" t="s">
        <v>2412</v>
      </c>
      <c r="E508" s="0" t="n">
        <v>2026</v>
      </c>
      <c r="H508" s="0" t="n">
        <v>4</v>
      </c>
      <c r="I508" s="0" t="n">
        <v>2972</v>
      </c>
      <c r="J508" s="0" t="s">
        <v>268</v>
      </c>
      <c r="K508" s="0" t="s">
        <v>2264</v>
      </c>
      <c r="L508" s="0" t="s">
        <v>293</v>
      </c>
      <c r="M508" s="0" t="s">
        <v>2413</v>
      </c>
      <c r="N508" s="0" t="s">
        <v>2413</v>
      </c>
      <c r="O508" s="0" t="s">
        <v>2414</v>
      </c>
      <c r="P508" s="0" t="s">
        <v>2415</v>
      </c>
      <c r="R508" s="0" t="s">
        <v>275</v>
      </c>
      <c r="S508" s="0" t="s">
        <v>290</v>
      </c>
      <c r="T508" s="0" t="s">
        <v>314</v>
      </c>
      <c r="U508" s="0" t="s">
        <v>277</v>
      </c>
      <c r="V508" s="0" t="s">
        <v>2324</v>
      </c>
    </row>
    <row r="509" customFormat="false" ht="15" hidden="false" customHeight="false" outlineLevel="0" collapsed="false">
      <c r="A509" s="0" t="n">
        <v>35</v>
      </c>
      <c r="B509" s="0" t="s">
        <v>76</v>
      </c>
      <c r="C509" s="0" t="s">
        <v>266</v>
      </c>
      <c r="D509" s="0" t="s">
        <v>2416</v>
      </c>
      <c r="E509" s="0" t="n">
        <v>2026</v>
      </c>
      <c r="H509" s="0" t="n">
        <v>1</v>
      </c>
      <c r="I509" s="0" t="n">
        <v>230</v>
      </c>
      <c r="J509" s="0" t="s">
        <v>268</v>
      </c>
      <c r="K509" s="0" t="s">
        <v>2264</v>
      </c>
      <c r="L509" s="0" t="s">
        <v>293</v>
      </c>
      <c r="M509" s="0" t="s">
        <v>2417</v>
      </c>
      <c r="N509" s="0" t="s">
        <v>2417</v>
      </c>
      <c r="O509" s="0" t="s">
        <v>2418</v>
      </c>
      <c r="P509" s="0" t="s">
        <v>2419</v>
      </c>
      <c r="R509" s="0" t="s">
        <v>275</v>
      </c>
      <c r="S509" s="0" t="s">
        <v>290</v>
      </c>
      <c r="T509" s="0" t="s">
        <v>314</v>
      </c>
      <c r="U509" s="0" t="s">
        <v>277</v>
      </c>
      <c r="V509" s="0" t="s">
        <v>2324</v>
      </c>
    </row>
    <row r="510" customFormat="false" ht="15" hidden="false" customHeight="false" outlineLevel="0" collapsed="false">
      <c r="A510" s="0" t="n">
        <v>35</v>
      </c>
      <c r="B510" s="0" t="s">
        <v>76</v>
      </c>
      <c r="C510" s="0" t="s">
        <v>266</v>
      </c>
      <c r="D510" s="0" t="s">
        <v>2420</v>
      </c>
      <c r="E510" s="0" t="n">
        <v>2026</v>
      </c>
      <c r="H510" s="0" t="n">
        <v>1</v>
      </c>
      <c r="I510" s="0" t="n">
        <v>187</v>
      </c>
      <c r="J510" s="0" t="s">
        <v>268</v>
      </c>
      <c r="K510" s="0" t="s">
        <v>2264</v>
      </c>
      <c r="L510" s="0" t="s">
        <v>293</v>
      </c>
      <c r="M510" s="0" t="s">
        <v>2421</v>
      </c>
      <c r="N510" s="0" t="s">
        <v>2421</v>
      </c>
      <c r="O510" s="0" t="s">
        <v>2422</v>
      </c>
      <c r="P510" s="0" t="s">
        <v>2423</v>
      </c>
      <c r="R510" s="0" t="s">
        <v>275</v>
      </c>
      <c r="S510" s="0" t="s">
        <v>290</v>
      </c>
      <c r="T510" s="0" t="s">
        <v>314</v>
      </c>
      <c r="U510" s="0" t="s">
        <v>277</v>
      </c>
      <c r="V510" s="0" t="s">
        <v>2324</v>
      </c>
    </row>
    <row r="511" customFormat="false" ht="15" hidden="false" customHeight="false" outlineLevel="0" collapsed="false">
      <c r="A511" s="0" t="n">
        <v>35</v>
      </c>
      <c r="B511" s="0" t="s">
        <v>76</v>
      </c>
      <c r="C511" s="0" t="s">
        <v>266</v>
      </c>
      <c r="D511" s="0" t="s">
        <v>2424</v>
      </c>
      <c r="E511" s="0" t="n">
        <v>2026</v>
      </c>
      <c r="H511" s="0" t="n">
        <v>2</v>
      </c>
      <c r="I511" s="0" t="n">
        <v>259</v>
      </c>
      <c r="J511" s="0" t="s">
        <v>268</v>
      </c>
      <c r="K511" s="0" t="s">
        <v>2264</v>
      </c>
      <c r="L511" s="0" t="s">
        <v>293</v>
      </c>
      <c r="M511" s="0" t="s">
        <v>2425</v>
      </c>
      <c r="N511" s="0" t="s">
        <v>2425</v>
      </c>
      <c r="O511" s="0" t="s">
        <v>2426</v>
      </c>
      <c r="P511" s="0" t="s">
        <v>2427</v>
      </c>
      <c r="R511" s="0" t="s">
        <v>275</v>
      </c>
      <c r="S511" s="0" t="s">
        <v>290</v>
      </c>
      <c r="T511" s="0" t="s">
        <v>314</v>
      </c>
      <c r="U511" s="0" t="s">
        <v>277</v>
      </c>
      <c r="V511" s="0" t="s">
        <v>2324</v>
      </c>
    </row>
    <row r="512" customFormat="false" ht="15" hidden="false" customHeight="false" outlineLevel="0" collapsed="false">
      <c r="A512" s="0" t="n">
        <v>35</v>
      </c>
      <c r="B512" s="0" t="s">
        <v>76</v>
      </c>
      <c r="C512" s="0" t="s">
        <v>266</v>
      </c>
      <c r="D512" s="0" t="s">
        <v>2428</v>
      </c>
      <c r="E512" s="0" t="n">
        <v>2026</v>
      </c>
      <c r="H512" s="0" t="n">
        <v>1</v>
      </c>
      <c r="I512" s="0" t="n">
        <v>140</v>
      </c>
      <c r="J512" s="0" t="s">
        <v>268</v>
      </c>
      <c r="K512" s="0" t="s">
        <v>2264</v>
      </c>
      <c r="L512" s="0" t="s">
        <v>293</v>
      </c>
      <c r="M512" s="0" t="s">
        <v>2429</v>
      </c>
      <c r="N512" s="0" t="s">
        <v>2429</v>
      </c>
      <c r="O512" s="0" t="s">
        <v>2430</v>
      </c>
      <c r="P512" s="0" t="s">
        <v>2431</v>
      </c>
      <c r="R512" s="0" t="s">
        <v>275</v>
      </c>
      <c r="S512" s="0" t="s">
        <v>290</v>
      </c>
      <c r="T512" s="0" t="s">
        <v>314</v>
      </c>
      <c r="U512" s="0" t="s">
        <v>277</v>
      </c>
      <c r="V512" s="0" t="s">
        <v>2324</v>
      </c>
    </row>
    <row r="513" customFormat="false" ht="15" hidden="false" customHeight="false" outlineLevel="0" collapsed="false">
      <c r="A513" s="0" t="n">
        <v>35</v>
      </c>
      <c r="B513" s="0" t="s">
        <v>76</v>
      </c>
      <c r="C513" s="0" t="s">
        <v>266</v>
      </c>
      <c r="D513" s="0" t="s">
        <v>2432</v>
      </c>
      <c r="E513" s="0" t="n">
        <v>2026</v>
      </c>
      <c r="H513" s="0" t="n">
        <v>2</v>
      </c>
      <c r="I513" s="0" t="n">
        <v>209</v>
      </c>
      <c r="J513" s="0" t="s">
        <v>268</v>
      </c>
      <c r="K513" s="0" t="s">
        <v>2264</v>
      </c>
      <c r="L513" s="0" t="s">
        <v>293</v>
      </c>
      <c r="M513" s="0" t="s">
        <v>2433</v>
      </c>
      <c r="N513" s="0" t="s">
        <v>2433</v>
      </c>
      <c r="O513" s="0" t="s">
        <v>2434</v>
      </c>
      <c r="P513" s="0" t="s">
        <v>2435</v>
      </c>
      <c r="R513" s="0" t="s">
        <v>275</v>
      </c>
      <c r="S513" s="0" t="s">
        <v>290</v>
      </c>
      <c r="T513" s="0" t="s">
        <v>314</v>
      </c>
      <c r="U513" s="0" t="s">
        <v>277</v>
      </c>
      <c r="V513" s="0" t="s">
        <v>2324</v>
      </c>
    </row>
    <row r="514" customFormat="false" ht="15" hidden="false" customHeight="false" outlineLevel="0" collapsed="false">
      <c r="A514" s="0" t="n">
        <v>35</v>
      </c>
      <c r="B514" s="0" t="s">
        <v>76</v>
      </c>
      <c r="C514" s="0" t="s">
        <v>266</v>
      </c>
      <c r="D514" s="0" t="s">
        <v>2436</v>
      </c>
      <c r="E514" s="0" t="n">
        <v>2026</v>
      </c>
      <c r="H514" s="0" t="n">
        <v>2</v>
      </c>
      <c r="I514" s="0" t="n">
        <v>306</v>
      </c>
      <c r="J514" s="0" t="s">
        <v>268</v>
      </c>
      <c r="K514" s="0" t="s">
        <v>2264</v>
      </c>
      <c r="L514" s="0" t="s">
        <v>293</v>
      </c>
      <c r="M514" s="0" t="s">
        <v>2437</v>
      </c>
      <c r="N514" s="0" t="s">
        <v>2437</v>
      </c>
      <c r="O514" s="0" t="s">
        <v>2438</v>
      </c>
      <c r="P514" s="0" t="s">
        <v>2439</v>
      </c>
      <c r="R514" s="0" t="s">
        <v>275</v>
      </c>
      <c r="S514" s="0" t="s">
        <v>290</v>
      </c>
      <c r="T514" s="0" t="s">
        <v>314</v>
      </c>
      <c r="U514" s="0" t="s">
        <v>277</v>
      </c>
      <c r="V514" s="0" t="s">
        <v>2324</v>
      </c>
    </row>
    <row r="515" customFormat="false" ht="15" hidden="false" customHeight="false" outlineLevel="0" collapsed="false">
      <c r="A515" s="0" t="n">
        <v>35</v>
      </c>
      <c r="B515" s="0" t="s">
        <v>76</v>
      </c>
      <c r="C515" s="0" t="s">
        <v>266</v>
      </c>
      <c r="D515" s="0" t="s">
        <v>2440</v>
      </c>
      <c r="E515" s="0" t="n">
        <v>2026</v>
      </c>
      <c r="H515" s="0" t="n">
        <v>2</v>
      </c>
      <c r="I515" s="0" t="n">
        <v>336</v>
      </c>
      <c r="J515" s="0" t="s">
        <v>268</v>
      </c>
      <c r="K515" s="0" t="s">
        <v>2264</v>
      </c>
      <c r="L515" s="0" t="s">
        <v>293</v>
      </c>
      <c r="M515" s="0" t="s">
        <v>2441</v>
      </c>
      <c r="N515" s="0" t="s">
        <v>2441</v>
      </c>
      <c r="O515" s="0" t="s">
        <v>2442</v>
      </c>
      <c r="P515" s="0" t="s">
        <v>2443</v>
      </c>
      <c r="R515" s="0" t="s">
        <v>275</v>
      </c>
      <c r="S515" s="0" t="s">
        <v>290</v>
      </c>
      <c r="T515" s="0" t="s">
        <v>314</v>
      </c>
      <c r="U515" s="0" t="s">
        <v>277</v>
      </c>
      <c r="V515" s="0" t="s">
        <v>2324</v>
      </c>
    </row>
    <row r="516" customFormat="false" ht="15" hidden="false" customHeight="false" outlineLevel="0" collapsed="false">
      <c r="A516" s="0" t="n">
        <v>35</v>
      </c>
      <c r="B516" s="0" t="s">
        <v>76</v>
      </c>
      <c r="C516" s="0" t="s">
        <v>266</v>
      </c>
      <c r="D516" s="0" t="s">
        <v>2444</v>
      </c>
      <c r="E516" s="0" t="n">
        <v>2026</v>
      </c>
      <c r="H516" s="0" t="n">
        <v>1</v>
      </c>
      <c r="I516" s="0" t="n">
        <v>194</v>
      </c>
      <c r="J516" s="0" t="s">
        <v>268</v>
      </c>
      <c r="K516" s="0" t="s">
        <v>2264</v>
      </c>
      <c r="L516" s="0" t="s">
        <v>293</v>
      </c>
      <c r="M516" s="0" t="s">
        <v>2445</v>
      </c>
      <c r="N516" s="0" t="s">
        <v>2445</v>
      </c>
      <c r="O516" s="0" t="s">
        <v>2446</v>
      </c>
      <c r="P516" s="0" t="s">
        <v>2447</v>
      </c>
      <c r="R516" s="0" t="s">
        <v>275</v>
      </c>
      <c r="S516" s="0" t="s">
        <v>290</v>
      </c>
      <c r="T516" s="0" t="s">
        <v>314</v>
      </c>
      <c r="U516" s="0" t="s">
        <v>277</v>
      </c>
      <c r="V516" s="0" t="s">
        <v>2324</v>
      </c>
    </row>
    <row r="517" customFormat="false" ht="15" hidden="false" customHeight="false" outlineLevel="0" collapsed="false">
      <c r="A517" s="0" t="n">
        <v>35</v>
      </c>
      <c r="B517" s="0" t="s">
        <v>76</v>
      </c>
      <c r="C517" s="0" t="s">
        <v>266</v>
      </c>
      <c r="D517" s="0" t="s">
        <v>2448</v>
      </c>
      <c r="E517" s="0" t="n">
        <v>2026</v>
      </c>
      <c r="H517" s="0" t="n">
        <v>1</v>
      </c>
      <c r="I517" s="0" t="n">
        <v>86</v>
      </c>
      <c r="J517" s="0" t="s">
        <v>268</v>
      </c>
      <c r="K517" s="0" t="s">
        <v>2264</v>
      </c>
      <c r="L517" s="0" t="s">
        <v>293</v>
      </c>
      <c r="M517" s="0" t="s">
        <v>2449</v>
      </c>
      <c r="N517" s="0" t="s">
        <v>2449</v>
      </c>
      <c r="O517" s="0" t="s">
        <v>2450</v>
      </c>
      <c r="P517" s="0" t="s">
        <v>2451</v>
      </c>
      <c r="R517" s="0" t="s">
        <v>275</v>
      </c>
      <c r="S517" s="0" t="s">
        <v>290</v>
      </c>
      <c r="T517" s="0" t="s">
        <v>314</v>
      </c>
      <c r="U517" s="0" t="s">
        <v>277</v>
      </c>
      <c r="V517" s="0" t="s">
        <v>2324</v>
      </c>
    </row>
    <row r="518" customFormat="false" ht="15" hidden="false" customHeight="false" outlineLevel="0" collapsed="false">
      <c r="A518" s="0" t="n">
        <v>35</v>
      </c>
      <c r="B518" s="0" t="s">
        <v>76</v>
      </c>
      <c r="C518" s="0" t="s">
        <v>266</v>
      </c>
      <c r="D518" s="0" t="s">
        <v>2452</v>
      </c>
      <c r="E518" s="0" t="n">
        <v>2026</v>
      </c>
      <c r="H518" s="0" t="n">
        <v>2</v>
      </c>
      <c r="I518" s="0" t="n">
        <v>154</v>
      </c>
      <c r="J518" s="0" t="s">
        <v>268</v>
      </c>
      <c r="K518" s="0" t="s">
        <v>2264</v>
      </c>
      <c r="L518" s="0" t="s">
        <v>293</v>
      </c>
      <c r="M518" s="0" t="s">
        <v>2453</v>
      </c>
      <c r="N518" s="0" t="s">
        <v>2453</v>
      </c>
      <c r="O518" s="0" t="s">
        <v>2454</v>
      </c>
      <c r="P518" s="0" t="s">
        <v>2455</v>
      </c>
      <c r="R518" s="0" t="s">
        <v>275</v>
      </c>
      <c r="S518" s="0" t="s">
        <v>290</v>
      </c>
      <c r="T518" s="0" t="s">
        <v>314</v>
      </c>
      <c r="U518" s="0" t="s">
        <v>277</v>
      </c>
      <c r="V518" s="0" t="s">
        <v>2324</v>
      </c>
    </row>
    <row r="519" customFormat="false" ht="15" hidden="false" customHeight="false" outlineLevel="0" collapsed="false">
      <c r="A519" s="0" t="n">
        <v>35</v>
      </c>
      <c r="B519" s="0" t="s">
        <v>76</v>
      </c>
      <c r="C519" s="0" t="s">
        <v>266</v>
      </c>
      <c r="D519" s="0" t="s">
        <v>2456</v>
      </c>
      <c r="E519" s="0" t="n">
        <v>2026</v>
      </c>
      <c r="H519" s="0" t="n">
        <v>2</v>
      </c>
      <c r="I519" s="0" t="n">
        <v>189</v>
      </c>
      <c r="J519" s="0" t="s">
        <v>268</v>
      </c>
      <c r="K519" s="0" t="s">
        <v>2264</v>
      </c>
      <c r="L519" s="0" t="s">
        <v>293</v>
      </c>
      <c r="M519" s="0" t="s">
        <v>2457</v>
      </c>
      <c r="N519" s="0" t="s">
        <v>2457</v>
      </c>
      <c r="O519" s="0" t="s">
        <v>2458</v>
      </c>
      <c r="P519" s="0" t="s">
        <v>2459</v>
      </c>
      <c r="R519" s="0" t="s">
        <v>275</v>
      </c>
      <c r="S519" s="0" t="s">
        <v>290</v>
      </c>
      <c r="T519" s="0" t="s">
        <v>314</v>
      </c>
      <c r="U519" s="0" t="s">
        <v>277</v>
      </c>
      <c r="V519" s="0" t="s">
        <v>2324</v>
      </c>
    </row>
    <row r="520" customFormat="false" ht="15" hidden="false" customHeight="false" outlineLevel="0" collapsed="false">
      <c r="A520" s="0" t="n">
        <v>35</v>
      </c>
      <c r="B520" s="0" t="s">
        <v>76</v>
      </c>
      <c r="C520" s="0" t="s">
        <v>266</v>
      </c>
      <c r="D520" s="0" t="s">
        <v>2460</v>
      </c>
      <c r="E520" s="0" t="n">
        <v>2026</v>
      </c>
      <c r="H520" s="0" t="n">
        <v>16</v>
      </c>
      <c r="I520" s="0" t="n">
        <v>424</v>
      </c>
      <c r="J520" s="0" t="s">
        <v>268</v>
      </c>
      <c r="K520" s="0" t="s">
        <v>2264</v>
      </c>
      <c r="L520" s="0" t="s">
        <v>293</v>
      </c>
      <c r="M520" s="0" t="s">
        <v>2461</v>
      </c>
      <c r="N520" s="0" t="s">
        <v>2461</v>
      </c>
      <c r="O520" s="0" t="s">
        <v>2462</v>
      </c>
      <c r="P520" s="0" t="s">
        <v>2463</v>
      </c>
      <c r="R520" s="0" t="s">
        <v>275</v>
      </c>
      <c r="S520" s="0" t="s">
        <v>268</v>
      </c>
      <c r="T520" s="0" t="s">
        <v>314</v>
      </c>
      <c r="U520" s="0" t="s">
        <v>277</v>
      </c>
      <c r="V520" s="0" t="s">
        <v>2324</v>
      </c>
    </row>
    <row r="521" customFormat="false" ht="15" hidden="false" customHeight="false" outlineLevel="0" collapsed="false">
      <c r="A521" s="0" t="n">
        <v>35</v>
      </c>
      <c r="B521" s="0" t="s">
        <v>76</v>
      </c>
      <c r="C521" s="0" t="s">
        <v>266</v>
      </c>
      <c r="D521" s="0" t="s">
        <v>2464</v>
      </c>
      <c r="E521" s="0" t="n">
        <v>2026</v>
      </c>
      <c r="H521" s="0" t="n">
        <v>6</v>
      </c>
      <c r="I521" s="0" t="n">
        <v>1759</v>
      </c>
      <c r="J521" s="0" t="s">
        <v>268</v>
      </c>
      <c r="K521" s="0" t="s">
        <v>2264</v>
      </c>
      <c r="L521" s="0" t="s">
        <v>293</v>
      </c>
      <c r="M521" s="0" t="s">
        <v>2465</v>
      </c>
      <c r="N521" s="0" t="s">
        <v>2465</v>
      </c>
      <c r="O521" s="0" t="s">
        <v>2466</v>
      </c>
      <c r="P521" s="0" t="s">
        <v>2467</v>
      </c>
      <c r="R521" s="0" t="s">
        <v>275</v>
      </c>
      <c r="S521" s="0" t="s">
        <v>290</v>
      </c>
      <c r="T521" s="0" t="s">
        <v>314</v>
      </c>
      <c r="U521" s="0" t="s">
        <v>277</v>
      </c>
      <c r="V521" s="0" t="s">
        <v>2324</v>
      </c>
    </row>
    <row r="522" customFormat="false" ht="15" hidden="false" customHeight="false" outlineLevel="0" collapsed="false">
      <c r="A522" s="0" t="n">
        <v>35</v>
      </c>
      <c r="B522" s="0" t="s">
        <v>76</v>
      </c>
      <c r="C522" s="0" t="s">
        <v>266</v>
      </c>
      <c r="D522" s="0" t="s">
        <v>2468</v>
      </c>
      <c r="E522" s="0" t="n">
        <v>2026</v>
      </c>
      <c r="H522" s="0" t="n">
        <v>1</v>
      </c>
      <c r="I522" s="0" t="n">
        <v>313</v>
      </c>
      <c r="J522" s="0" t="s">
        <v>268</v>
      </c>
      <c r="K522" s="0" t="s">
        <v>2264</v>
      </c>
      <c r="L522" s="0" t="s">
        <v>293</v>
      </c>
      <c r="M522" s="0" t="s">
        <v>2469</v>
      </c>
      <c r="N522" s="0" t="s">
        <v>2469</v>
      </c>
      <c r="O522" s="0" t="s">
        <v>2470</v>
      </c>
      <c r="P522" s="0" t="s">
        <v>2471</v>
      </c>
      <c r="R522" s="0" t="s">
        <v>275</v>
      </c>
      <c r="S522" s="0" t="s">
        <v>290</v>
      </c>
      <c r="T522" s="0" t="s">
        <v>314</v>
      </c>
      <c r="U522" s="0" t="s">
        <v>277</v>
      </c>
      <c r="V522" s="0" t="s">
        <v>2324</v>
      </c>
    </row>
    <row r="523" customFormat="false" ht="15" hidden="false" customHeight="false" outlineLevel="0" collapsed="false">
      <c r="A523" s="0" t="n">
        <v>35</v>
      </c>
      <c r="B523" s="0" t="s">
        <v>76</v>
      </c>
      <c r="C523" s="0" t="s">
        <v>266</v>
      </c>
      <c r="D523" s="0" t="s">
        <v>2472</v>
      </c>
      <c r="E523" s="0" t="n">
        <v>2026</v>
      </c>
      <c r="H523" s="0" t="n">
        <v>1</v>
      </c>
      <c r="I523" s="0" t="n">
        <v>330</v>
      </c>
      <c r="J523" s="0" t="s">
        <v>268</v>
      </c>
      <c r="K523" s="0" t="s">
        <v>2264</v>
      </c>
      <c r="L523" s="0" t="s">
        <v>293</v>
      </c>
      <c r="M523" s="0" t="s">
        <v>2473</v>
      </c>
      <c r="N523" s="0" t="s">
        <v>2473</v>
      </c>
      <c r="O523" s="0" t="s">
        <v>2474</v>
      </c>
      <c r="P523" s="0" t="s">
        <v>2475</v>
      </c>
      <c r="R523" s="0" t="s">
        <v>275</v>
      </c>
      <c r="S523" s="0" t="s">
        <v>290</v>
      </c>
      <c r="T523" s="0" t="s">
        <v>314</v>
      </c>
      <c r="U523" s="0" t="s">
        <v>277</v>
      </c>
      <c r="V523" s="0" t="s">
        <v>2324</v>
      </c>
    </row>
    <row r="524" customFormat="false" ht="15" hidden="false" customHeight="false" outlineLevel="0" collapsed="false">
      <c r="A524" s="0" t="n">
        <v>35</v>
      </c>
      <c r="B524" s="0" t="s">
        <v>76</v>
      </c>
      <c r="C524" s="0" t="s">
        <v>266</v>
      </c>
      <c r="D524" s="0" t="s">
        <v>2476</v>
      </c>
      <c r="E524" s="0" t="n">
        <v>2026</v>
      </c>
      <c r="H524" s="0" t="n">
        <v>1</v>
      </c>
      <c r="I524" s="0" t="n">
        <v>262</v>
      </c>
      <c r="J524" s="0" t="s">
        <v>268</v>
      </c>
      <c r="K524" s="0" t="s">
        <v>2264</v>
      </c>
      <c r="L524" s="0" t="s">
        <v>293</v>
      </c>
      <c r="M524" s="0" t="s">
        <v>2477</v>
      </c>
      <c r="N524" s="0" t="s">
        <v>2477</v>
      </c>
      <c r="O524" s="0" t="s">
        <v>2478</v>
      </c>
      <c r="P524" s="0" t="s">
        <v>2479</v>
      </c>
      <c r="R524" s="0" t="s">
        <v>275</v>
      </c>
      <c r="S524" s="0" t="s">
        <v>290</v>
      </c>
      <c r="T524" s="0" t="s">
        <v>314</v>
      </c>
      <c r="U524" s="0" t="s">
        <v>277</v>
      </c>
      <c r="V524" s="0" t="s">
        <v>2324</v>
      </c>
    </row>
    <row r="525" customFormat="false" ht="15" hidden="false" customHeight="false" outlineLevel="0" collapsed="false">
      <c r="A525" s="0" t="n">
        <v>35</v>
      </c>
      <c r="B525" s="0" t="s">
        <v>76</v>
      </c>
      <c r="C525" s="0" t="s">
        <v>266</v>
      </c>
      <c r="D525" s="0" t="s">
        <v>2480</v>
      </c>
      <c r="E525" s="0" t="n">
        <v>2026</v>
      </c>
      <c r="H525" s="0" t="n">
        <v>1</v>
      </c>
      <c r="I525" s="0" t="n">
        <v>482</v>
      </c>
      <c r="J525" s="0" t="s">
        <v>268</v>
      </c>
      <c r="K525" s="0" t="s">
        <v>2264</v>
      </c>
      <c r="L525" s="0" t="s">
        <v>293</v>
      </c>
      <c r="M525" s="0" t="s">
        <v>2481</v>
      </c>
      <c r="N525" s="0" t="s">
        <v>2481</v>
      </c>
      <c r="O525" s="0" t="s">
        <v>2482</v>
      </c>
      <c r="P525" s="0" t="s">
        <v>2483</v>
      </c>
      <c r="R525" s="0" t="s">
        <v>275</v>
      </c>
      <c r="S525" s="0" t="s">
        <v>290</v>
      </c>
      <c r="T525" s="0" t="s">
        <v>314</v>
      </c>
      <c r="U525" s="0" t="s">
        <v>277</v>
      </c>
      <c r="V525" s="0" t="s">
        <v>2324</v>
      </c>
    </row>
    <row r="526" customFormat="false" ht="15" hidden="false" customHeight="false" outlineLevel="0" collapsed="false">
      <c r="A526" s="0" t="n">
        <v>35</v>
      </c>
      <c r="B526" s="0" t="s">
        <v>76</v>
      </c>
      <c r="C526" s="0" t="s">
        <v>266</v>
      </c>
      <c r="D526" s="0" t="s">
        <v>2484</v>
      </c>
      <c r="E526" s="0" t="n">
        <v>2026</v>
      </c>
      <c r="H526" s="0" t="n">
        <v>2</v>
      </c>
      <c r="I526" s="0" t="n">
        <v>961</v>
      </c>
      <c r="J526" s="0" t="s">
        <v>268</v>
      </c>
      <c r="K526" s="0" t="s">
        <v>2264</v>
      </c>
      <c r="L526" s="0" t="s">
        <v>293</v>
      </c>
      <c r="M526" s="0" t="s">
        <v>2485</v>
      </c>
      <c r="N526" s="0" t="s">
        <v>2485</v>
      </c>
      <c r="O526" s="0" t="s">
        <v>2486</v>
      </c>
      <c r="P526" s="0" t="s">
        <v>2487</v>
      </c>
      <c r="R526" s="0" t="s">
        <v>275</v>
      </c>
      <c r="S526" s="0" t="s">
        <v>290</v>
      </c>
      <c r="T526" s="0" t="s">
        <v>314</v>
      </c>
      <c r="U526" s="0" t="s">
        <v>277</v>
      </c>
      <c r="V526" s="0" t="s">
        <v>2324</v>
      </c>
    </row>
    <row r="527" customFormat="false" ht="15" hidden="false" customHeight="false" outlineLevel="0" collapsed="false">
      <c r="A527" s="0" t="n">
        <v>35</v>
      </c>
      <c r="B527" s="0" t="s">
        <v>76</v>
      </c>
      <c r="C527" s="0" t="s">
        <v>266</v>
      </c>
      <c r="D527" s="0" t="s">
        <v>2488</v>
      </c>
      <c r="E527" s="0" t="n">
        <v>2026</v>
      </c>
      <c r="H527" s="0" t="n">
        <v>1</v>
      </c>
      <c r="I527" s="0" t="n">
        <v>422</v>
      </c>
      <c r="J527" s="0" t="s">
        <v>268</v>
      </c>
      <c r="K527" s="0" t="s">
        <v>2264</v>
      </c>
      <c r="L527" s="0" t="s">
        <v>293</v>
      </c>
      <c r="M527" s="0" t="s">
        <v>2489</v>
      </c>
      <c r="N527" s="0" t="s">
        <v>2489</v>
      </c>
      <c r="O527" s="0" t="s">
        <v>2490</v>
      </c>
      <c r="P527" s="0" t="s">
        <v>2491</v>
      </c>
      <c r="R527" s="0" t="s">
        <v>275</v>
      </c>
      <c r="S527" s="0" t="s">
        <v>290</v>
      </c>
      <c r="T527" s="0" t="s">
        <v>314</v>
      </c>
      <c r="U527" s="0" t="s">
        <v>277</v>
      </c>
      <c r="V527" s="0" t="s">
        <v>2324</v>
      </c>
    </row>
    <row r="528" customFormat="false" ht="15" hidden="false" customHeight="false" outlineLevel="0" collapsed="false">
      <c r="A528" s="0" t="n">
        <v>35</v>
      </c>
      <c r="B528" s="0" t="s">
        <v>76</v>
      </c>
      <c r="C528" s="0" t="s">
        <v>266</v>
      </c>
      <c r="D528" s="0" t="s">
        <v>2492</v>
      </c>
      <c r="E528" s="0" t="n">
        <v>2026</v>
      </c>
      <c r="H528" s="0" t="n">
        <v>1</v>
      </c>
      <c r="I528" s="0" t="n">
        <v>149</v>
      </c>
      <c r="J528" s="0" t="s">
        <v>268</v>
      </c>
      <c r="K528" s="0" t="s">
        <v>2264</v>
      </c>
      <c r="L528" s="0" t="s">
        <v>293</v>
      </c>
      <c r="M528" s="0" t="s">
        <v>2493</v>
      </c>
      <c r="N528" s="0" t="s">
        <v>2493</v>
      </c>
      <c r="O528" s="0" t="s">
        <v>2494</v>
      </c>
      <c r="P528" s="0" t="s">
        <v>2495</v>
      </c>
      <c r="R528" s="0" t="s">
        <v>275</v>
      </c>
      <c r="S528" s="0" t="s">
        <v>290</v>
      </c>
      <c r="T528" s="0" t="s">
        <v>314</v>
      </c>
      <c r="U528" s="0" t="s">
        <v>277</v>
      </c>
      <c r="V528" s="0" t="s">
        <v>2324</v>
      </c>
    </row>
    <row r="529" customFormat="false" ht="15" hidden="false" customHeight="false" outlineLevel="0" collapsed="false">
      <c r="A529" s="0" t="n">
        <v>35</v>
      </c>
      <c r="B529" s="0" t="s">
        <v>76</v>
      </c>
      <c r="C529" s="0" t="s">
        <v>266</v>
      </c>
      <c r="D529" s="0" t="s">
        <v>2496</v>
      </c>
      <c r="E529" s="0" t="n">
        <v>2026</v>
      </c>
      <c r="H529" s="0" t="n">
        <v>1</v>
      </c>
      <c r="I529" s="0" t="n">
        <v>83</v>
      </c>
      <c r="J529" s="0" t="s">
        <v>268</v>
      </c>
      <c r="K529" s="0" t="s">
        <v>2264</v>
      </c>
      <c r="L529" s="0" t="s">
        <v>293</v>
      </c>
      <c r="M529" s="0" t="s">
        <v>2497</v>
      </c>
      <c r="N529" s="0" t="s">
        <v>2497</v>
      </c>
      <c r="O529" s="0" t="s">
        <v>2498</v>
      </c>
      <c r="P529" s="0" t="s">
        <v>2499</v>
      </c>
      <c r="R529" s="0" t="s">
        <v>275</v>
      </c>
      <c r="S529" s="0" t="s">
        <v>290</v>
      </c>
      <c r="T529" s="0" t="s">
        <v>314</v>
      </c>
      <c r="U529" s="0" t="s">
        <v>277</v>
      </c>
      <c r="V529" s="0" t="s">
        <v>2324</v>
      </c>
    </row>
    <row r="530" customFormat="false" ht="15" hidden="false" customHeight="false" outlineLevel="0" collapsed="false">
      <c r="A530" s="0" t="n">
        <v>35</v>
      </c>
      <c r="B530" s="0" t="s">
        <v>76</v>
      </c>
      <c r="C530" s="0" t="s">
        <v>266</v>
      </c>
      <c r="D530" s="0" t="s">
        <v>2500</v>
      </c>
      <c r="E530" s="0" t="n">
        <v>2026</v>
      </c>
      <c r="H530" s="0" t="n">
        <v>2</v>
      </c>
      <c r="I530" s="0" t="n">
        <v>374</v>
      </c>
      <c r="J530" s="0" t="s">
        <v>268</v>
      </c>
      <c r="K530" s="0" t="s">
        <v>2264</v>
      </c>
      <c r="L530" s="0" t="s">
        <v>293</v>
      </c>
      <c r="M530" s="0" t="s">
        <v>2501</v>
      </c>
      <c r="N530" s="0" t="s">
        <v>2501</v>
      </c>
      <c r="O530" s="0" t="s">
        <v>2502</v>
      </c>
      <c r="P530" s="0" t="s">
        <v>2503</v>
      </c>
      <c r="R530" s="0" t="s">
        <v>275</v>
      </c>
      <c r="S530" s="0" t="s">
        <v>290</v>
      </c>
      <c r="T530" s="0" t="s">
        <v>314</v>
      </c>
      <c r="U530" s="0" t="s">
        <v>277</v>
      </c>
      <c r="V530" s="0" t="s">
        <v>2324</v>
      </c>
    </row>
    <row r="531" customFormat="false" ht="15" hidden="false" customHeight="false" outlineLevel="0" collapsed="false">
      <c r="A531" s="0" t="n">
        <v>35</v>
      </c>
      <c r="B531" s="0" t="s">
        <v>76</v>
      </c>
      <c r="C531" s="0" t="s">
        <v>266</v>
      </c>
      <c r="D531" s="0" t="s">
        <v>2504</v>
      </c>
      <c r="E531" s="0" t="n">
        <v>2026</v>
      </c>
      <c r="H531" s="0" t="n">
        <v>2</v>
      </c>
      <c r="I531" s="0" t="n">
        <v>228</v>
      </c>
      <c r="J531" s="0" t="s">
        <v>268</v>
      </c>
      <c r="K531" s="0" t="s">
        <v>2264</v>
      </c>
      <c r="L531" s="0" t="s">
        <v>293</v>
      </c>
      <c r="M531" s="0" t="s">
        <v>2505</v>
      </c>
      <c r="N531" s="0" t="s">
        <v>2505</v>
      </c>
      <c r="O531" s="0" t="s">
        <v>2506</v>
      </c>
      <c r="P531" s="0" t="s">
        <v>2507</v>
      </c>
      <c r="R531" s="0" t="s">
        <v>275</v>
      </c>
      <c r="S531" s="0" t="s">
        <v>290</v>
      </c>
      <c r="T531" s="0" t="s">
        <v>314</v>
      </c>
      <c r="U531" s="0" t="s">
        <v>277</v>
      </c>
      <c r="V531" s="0" t="s">
        <v>2324</v>
      </c>
    </row>
    <row r="532" customFormat="false" ht="15" hidden="false" customHeight="false" outlineLevel="0" collapsed="false">
      <c r="A532" s="0" t="n">
        <v>35</v>
      </c>
      <c r="B532" s="0" t="s">
        <v>76</v>
      </c>
      <c r="C532" s="0" t="s">
        <v>266</v>
      </c>
      <c r="D532" s="0" t="s">
        <v>2508</v>
      </c>
      <c r="E532" s="0" t="n">
        <v>2026</v>
      </c>
      <c r="H532" s="0" t="n">
        <v>1</v>
      </c>
      <c r="I532" s="0" t="n">
        <v>158</v>
      </c>
      <c r="J532" s="0" t="s">
        <v>268</v>
      </c>
      <c r="K532" s="0" t="s">
        <v>2264</v>
      </c>
      <c r="L532" s="0" t="s">
        <v>293</v>
      </c>
      <c r="M532" s="0" t="s">
        <v>2509</v>
      </c>
      <c r="N532" s="0" t="s">
        <v>2509</v>
      </c>
      <c r="O532" s="0" t="s">
        <v>2510</v>
      </c>
      <c r="P532" s="0" t="s">
        <v>2511</v>
      </c>
      <c r="R532" s="0" t="s">
        <v>275</v>
      </c>
      <c r="S532" s="0" t="s">
        <v>290</v>
      </c>
      <c r="T532" s="0" t="s">
        <v>314</v>
      </c>
      <c r="U532" s="0" t="s">
        <v>277</v>
      </c>
      <c r="V532" s="0" t="s">
        <v>2324</v>
      </c>
    </row>
    <row r="533" customFormat="false" ht="15" hidden="false" customHeight="false" outlineLevel="0" collapsed="false">
      <c r="A533" s="0" t="n">
        <v>35</v>
      </c>
      <c r="B533" s="0" t="s">
        <v>76</v>
      </c>
      <c r="C533" s="0" t="s">
        <v>266</v>
      </c>
      <c r="D533" s="0" t="s">
        <v>2512</v>
      </c>
      <c r="E533" s="0" t="n">
        <v>2026</v>
      </c>
      <c r="H533" s="0" t="n">
        <v>4</v>
      </c>
      <c r="I533" s="0" t="n">
        <v>1591</v>
      </c>
      <c r="J533" s="0" t="s">
        <v>268</v>
      </c>
      <c r="K533" s="0" t="s">
        <v>2264</v>
      </c>
      <c r="L533" s="0" t="s">
        <v>293</v>
      </c>
      <c r="M533" s="0" t="s">
        <v>2513</v>
      </c>
      <c r="N533" s="0" t="s">
        <v>2513</v>
      </c>
      <c r="O533" s="0" t="s">
        <v>2514</v>
      </c>
      <c r="P533" s="0" t="s">
        <v>2515</v>
      </c>
      <c r="R533" s="0" t="s">
        <v>275</v>
      </c>
      <c r="S533" s="0" t="s">
        <v>290</v>
      </c>
      <c r="T533" s="0" t="s">
        <v>314</v>
      </c>
      <c r="U533" s="0" t="s">
        <v>277</v>
      </c>
      <c r="V533" s="0" t="s">
        <v>2324</v>
      </c>
    </row>
    <row r="534" customFormat="false" ht="15" hidden="false" customHeight="false" outlineLevel="0" collapsed="false">
      <c r="A534" s="0" t="n">
        <v>35</v>
      </c>
      <c r="B534" s="0" t="s">
        <v>76</v>
      </c>
      <c r="C534" s="0" t="s">
        <v>266</v>
      </c>
      <c r="D534" s="0" t="s">
        <v>2516</v>
      </c>
      <c r="E534" s="0" t="n">
        <v>2026</v>
      </c>
      <c r="H534" s="0" t="n">
        <v>3</v>
      </c>
      <c r="I534" s="0" t="n">
        <v>3567</v>
      </c>
      <c r="J534" s="0" t="s">
        <v>268</v>
      </c>
      <c r="K534" s="0" t="s">
        <v>2264</v>
      </c>
      <c r="L534" s="0" t="s">
        <v>293</v>
      </c>
      <c r="M534" s="0" t="s">
        <v>2517</v>
      </c>
      <c r="N534" s="0" t="s">
        <v>2517</v>
      </c>
      <c r="O534" s="0" t="s">
        <v>2518</v>
      </c>
      <c r="P534" s="0" t="s">
        <v>2519</v>
      </c>
      <c r="R534" s="0" t="s">
        <v>275</v>
      </c>
      <c r="S534" s="0" t="s">
        <v>290</v>
      </c>
      <c r="T534" s="0" t="s">
        <v>314</v>
      </c>
      <c r="U534" s="0" t="s">
        <v>277</v>
      </c>
      <c r="V534" s="0" t="s">
        <v>2324</v>
      </c>
    </row>
    <row r="535" customFormat="false" ht="15" hidden="false" customHeight="false" outlineLevel="0" collapsed="false">
      <c r="A535" s="0" t="n">
        <v>35</v>
      </c>
      <c r="B535" s="0" t="s">
        <v>76</v>
      </c>
      <c r="C535" s="0" t="s">
        <v>266</v>
      </c>
      <c r="D535" s="0" t="s">
        <v>2520</v>
      </c>
      <c r="E535" s="0" t="n">
        <v>2026</v>
      </c>
      <c r="H535" s="0" t="n">
        <v>4</v>
      </c>
      <c r="I535" s="0" t="n">
        <v>229</v>
      </c>
      <c r="J535" s="0" t="s">
        <v>268</v>
      </c>
      <c r="K535" s="0" t="s">
        <v>2264</v>
      </c>
      <c r="L535" s="0" t="s">
        <v>293</v>
      </c>
      <c r="M535" s="0" t="s">
        <v>2521</v>
      </c>
      <c r="N535" s="0" t="s">
        <v>2521</v>
      </c>
      <c r="O535" s="0" t="s">
        <v>2522</v>
      </c>
      <c r="P535" s="0" t="s">
        <v>2523</v>
      </c>
      <c r="R535" s="0" t="s">
        <v>275</v>
      </c>
      <c r="S535" s="0" t="s">
        <v>290</v>
      </c>
      <c r="T535" s="0" t="s">
        <v>314</v>
      </c>
      <c r="U535" s="0" t="s">
        <v>277</v>
      </c>
      <c r="V535" s="0" t="s">
        <v>2324</v>
      </c>
    </row>
    <row r="536" customFormat="false" ht="15" hidden="false" customHeight="false" outlineLevel="0" collapsed="false">
      <c r="A536" s="0" t="n">
        <v>35</v>
      </c>
      <c r="B536" s="0" t="s">
        <v>76</v>
      </c>
      <c r="C536" s="0" t="s">
        <v>266</v>
      </c>
      <c r="D536" s="0" t="s">
        <v>2524</v>
      </c>
      <c r="E536" s="0" t="n">
        <v>2026</v>
      </c>
      <c r="H536" s="0" t="n">
        <v>6</v>
      </c>
      <c r="I536" s="0" t="n">
        <v>285</v>
      </c>
      <c r="J536" s="0" t="s">
        <v>268</v>
      </c>
      <c r="K536" s="0" t="s">
        <v>2264</v>
      </c>
      <c r="L536" s="0" t="s">
        <v>293</v>
      </c>
      <c r="M536" s="0" t="s">
        <v>2525</v>
      </c>
      <c r="N536" s="0" t="s">
        <v>2525</v>
      </c>
      <c r="O536" s="0" t="s">
        <v>2526</v>
      </c>
      <c r="P536" s="0" t="s">
        <v>2527</v>
      </c>
      <c r="R536" s="0" t="s">
        <v>275</v>
      </c>
      <c r="S536" s="0" t="s">
        <v>290</v>
      </c>
      <c r="T536" s="0" t="s">
        <v>314</v>
      </c>
      <c r="U536" s="0" t="s">
        <v>277</v>
      </c>
      <c r="V536" s="0" t="s">
        <v>2324</v>
      </c>
    </row>
    <row r="537" customFormat="false" ht="15" hidden="false" customHeight="false" outlineLevel="0" collapsed="false">
      <c r="A537" s="0" t="n">
        <v>35</v>
      </c>
      <c r="B537" s="0" t="s">
        <v>76</v>
      </c>
      <c r="C537" s="0" t="s">
        <v>266</v>
      </c>
      <c r="D537" s="0" t="s">
        <v>2528</v>
      </c>
      <c r="E537" s="0" t="n">
        <v>2026</v>
      </c>
      <c r="H537" s="0" t="n">
        <v>4</v>
      </c>
      <c r="I537" s="0" t="n">
        <v>5965</v>
      </c>
      <c r="J537" s="0" t="s">
        <v>268</v>
      </c>
      <c r="K537" s="0" t="s">
        <v>2264</v>
      </c>
      <c r="L537" s="0" t="s">
        <v>293</v>
      </c>
      <c r="M537" s="0" t="s">
        <v>2529</v>
      </c>
      <c r="N537" s="0" t="s">
        <v>2529</v>
      </c>
      <c r="O537" s="0" t="s">
        <v>2530</v>
      </c>
      <c r="P537" s="0" t="s">
        <v>2531</v>
      </c>
      <c r="R537" s="0" t="s">
        <v>275</v>
      </c>
      <c r="S537" s="0" t="s">
        <v>290</v>
      </c>
      <c r="T537" s="0" t="s">
        <v>314</v>
      </c>
      <c r="U537" s="0" t="s">
        <v>277</v>
      </c>
      <c r="V537" s="0" t="s">
        <v>2324</v>
      </c>
    </row>
    <row r="538" customFormat="false" ht="15" hidden="false" customHeight="false" outlineLevel="0" collapsed="false">
      <c r="A538" s="0" t="n">
        <v>35</v>
      </c>
      <c r="B538" s="0" t="s">
        <v>76</v>
      </c>
      <c r="C538" s="0" t="s">
        <v>266</v>
      </c>
      <c r="D538" s="0" t="s">
        <v>2532</v>
      </c>
      <c r="E538" s="0" t="n">
        <v>2026</v>
      </c>
      <c r="H538" s="0" t="n">
        <v>4</v>
      </c>
      <c r="I538" s="0" t="n">
        <v>2496</v>
      </c>
      <c r="J538" s="0" t="s">
        <v>268</v>
      </c>
      <c r="K538" s="0" t="s">
        <v>2264</v>
      </c>
      <c r="L538" s="0" t="s">
        <v>293</v>
      </c>
      <c r="M538" s="0" t="s">
        <v>2533</v>
      </c>
      <c r="N538" s="0" t="s">
        <v>2533</v>
      </c>
      <c r="O538" s="0" t="s">
        <v>2534</v>
      </c>
      <c r="P538" s="0" t="s">
        <v>2535</v>
      </c>
      <c r="R538" s="0" t="s">
        <v>275</v>
      </c>
      <c r="S538" s="0" t="s">
        <v>290</v>
      </c>
      <c r="T538" s="0" t="s">
        <v>314</v>
      </c>
      <c r="U538" s="0" t="s">
        <v>277</v>
      </c>
      <c r="V538" s="0" t="s">
        <v>2324</v>
      </c>
    </row>
    <row r="539" customFormat="false" ht="15" hidden="false" customHeight="false" outlineLevel="0" collapsed="false">
      <c r="A539" s="0" t="n">
        <v>35</v>
      </c>
      <c r="B539" s="0" t="s">
        <v>76</v>
      </c>
      <c r="C539" s="0" t="s">
        <v>266</v>
      </c>
      <c r="D539" s="0" t="s">
        <v>2536</v>
      </c>
      <c r="E539" s="0" t="n">
        <v>2026</v>
      </c>
      <c r="H539" s="0" t="n">
        <v>1</v>
      </c>
      <c r="I539" s="0" t="n">
        <v>1195</v>
      </c>
      <c r="J539" s="0" t="s">
        <v>268</v>
      </c>
      <c r="K539" s="0" t="s">
        <v>2264</v>
      </c>
      <c r="L539" s="0" t="s">
        <v>293</v>
      </c>
      <c r="M539" s="0" t="s">
        <v>2537</v>
      </c>
      <c r="N539" s="0" t="s">
        <v>2537</v>
      </c>
      <c r="O539" s="0" t="s">
        <v>2538</v>
      </c>
      <c r="P539" s="0" t="s">
        <v>2539</v>
      </c>
      <c r="R539" s="0" t="s">
        <v>275</v>
      </c>
      <c r="S539" s="0" t="s">
        <v>290</v>
      </c>
      <c r="T539" s="0" t="s">
        <v>314</v>
      </c>
      <c r="U539" s="0" t="s">
        <v>277</v>
      </c>
      <c r="V539" s="0" t="s">
        <v>2324</v>
      </c>
    </row>
    <row r="540" customFormat="false" ht="15" hidden="false" customHeight="false" outlineLevel="0" collapsed="false">
      <c r="A540" s="0" t="n">
        <v>35</v>
      </c>
      <c r="B540" s="0" t="s">
        <v>76</v>
      </c>
      <c r="C540" s="0" t="s">
        <v>266</v>
      </c>
      <c r="D540" s="0" t="s">
        <v>2540</v>
      </c>
      <c r="E540" s="0" t="n">
        <v>2026</v>
      </c>
      <c r="H540" s="0" t="n">
        <v>1</v>
      </c>
      <c r="I540" s="0" t="n">
        <v>947</v>
      </c>
      <c r="J540" s="0" t="s">
        <v>268</v>
      </c>
      <c r="K540" s="0" t="s">
        <v>2264</v>
      </c>
      <c r="L540" s="0" t="s">
        <v>293</v>
      </c>
      <c r="M540" s="0" t="s">
        <v>2541</v>
      </c>
      <c r="N540" s="0" t="s">
        <v>2541</v>
      </c>
      <c r="O540" s="0" t="s">
        <v>2542</v>
      </c>
      <c r="P540" s="0" t="s">
        <v>2543</v>
      </c>
      <c r="R540" s="0" t="s">
        <v>275</v>
      </c>
      <c r="S540" s="0" t="s">
        <v>290</v>
      </c>
      <c r="T540" s="0" t="s">
        <v>314</v>
      </c>
      <c r="U540" s="0" t="s">
        <v>277</v>
      </c>
      <c r="V540" s="0" t="s">
        <v>2324</v>
      </c>
    </row>
    <row r="541" customFormat="false" ht="15" hidden="false" customHeight="false" outlineLevel="0" collapsed="false">
      <c r="A541" s="0" t="n">
        <v>35</v>
      </c>
      <c r="B541" s="0" t="s">
        <v>76</v>
      </c>
      <c r="C541" s="0" t="s">
        <v>266</v>
      </c>
      <c r="D541" s="0" t="s">
        <v>2544</v>
      </c>
      <c r="E541" s="0" t="n">
        <v>2026</v>
      </c>
      <c r="H541" s="0" t="n">
        <v>1</v>
      </c>
      <c r="I541" s="0" t="n">
        <v>5078</v>
      </c>
      <c r="J541" s="0" t="s">
        <v>268</v>
      </c>
      <c r="K541" s="0" t="s">
        <v>2264</v>
      </c>
      <c r="L541" s="0" t="s">
        <v>293</v>
      </c>
      <c r="M541" s="0" t="s">
        <v>2545</v>
      </c>
      <c r="N541" s="0" t="s">
        <v>2545</v>
      </c>
      <c r="O541" s="0" t="s">
        <v>2546</v>
      </c>
      <c r="P541" s="0" t="s">
        <v>2547</v>
      </c>
      <c r="R541" s="0" t="s">
        <v>275</v>
      </c>
      <c r="S541" s="0" t="s">
        <v>290</v>
      </c>
      <c r="T541" s="0" t="s">
        <v>314</v>
      </c>
      <c r="U541" s="0" t="s">
        <v>277</v>
      </c>
      <c r="V541" s="0" t="s">
        <v>2324</v>
      </c>
    </row>
    <row r="542" customFormat="false" ht="15" hidden="false" customHeight="false" outlineLevel="0" collapsed="false">
      <c r="A542" s="0" t="n">
        <v>35</v>
      </c>
      <c r="B542" s="0" t="s">
        <v>76</v>
      </c>
      <c r="C542" s="0" t="s">
        <v>266</v>
      </c>
      <c r="D542" s="0" t="s">
        <v>2548</v>
      </c>
      <c r="E542" s="0" t="n">
        <v>2026</v>
      </c>
      <c r="H542" s="0" t="n">
        <v>8</v>
      </c>
      <c r="I542" s="0" t="n">
        <v>1235</v>
      </c>
      <c r="J542" s="0" t="s">
        <v>268</v>
      </c>
      <c r="K542" s="0" t="s">
        <v>2264</v>
      </c>
      <c r="L542" s="0" t="s">
        <v>293</v>
      </c>
      <c r="M542" s="0" t="s">
        <v>2549</v>
      </c>
      <c r="N542" s="0" t="s">
        <v>2549</v>
      </c>
      <c r="O542" s="0" t="s">
        <v>2550</v>
      </c>
      <c r="P542" s="0" t="s">
        <v>2551</v>
      </c>
      <c r="R542" s="0" t="s">
        <v>275</v>
      </c>
      <c r="S542" s="0" t="s">
        <v>290</v>
      </c>
      <c r="T542" s="0" t="s">
        <v>314</v>
      </c>
      <c r="U542" s="0" t="s">
        <v>277</v>
      </c>
      <c r="V542" s="0" t="s">
        <v>2324</v>
      </c>
    </row>
    <row r="543" customFormat="false" ht="15" hidden="false" customHeight="false" outlineLevel="0" collapsed="false">
      <c r="A543" s="0" t="n">
        <v>35</v>
      </c>
      <c r="B543" s="0" t="s">
        <v>76</v>
      </c>
      <c r="C543" s="0" t="s">
        <v>266</v>
      </c>
      <c r="D543" s="0" t="s">
        <v>2552</v>
      </c>
      <c r="E543" s="0" t="n">
        <v>2026</v>
      </c>
      <c r="H543" s="0" t="n">
        <v>16</v>
      </c>
      <c r="I543" s="0" t="n">
        <v>1640</v>
      </c>
      <c r="J543" s="0" t="s">
        <v>268</v>
      </c>
      <c r="K543" s="0" t="s">
        <v>2264</v>
      </c>
      <c r="L543" s="0" t="s">
        <v>293</v>
      </c>
      <c r="M543" s="0" t="s">
        <v>2553</v>
      </c>
      <c r="N543" s="0" t="s">
        <v>2553</v>
      </c>
      <c r="O543" s="0" t="s">
        <v>2554</v>
      </c>
      <c r="P543" s="0" t="s">
        <v>2555</v>
      </c>
      <c r="R543" s="0" t="s">
        <v>275</v>
      </c>
      <c r="S543" s="0" t="s">
        <v>290</v>
      </c>
      <c r="T543" s="0" t="s">
        <v>314</v>
      </c>
      <c r="U543" s="0" t="s">
        <v>277</v>
      </c>
      <c r="V543" s="0" t="s">
        <v>2324</v>
      </c>
    </row>
    <row r="544" customFormat="false" ht="15" hidden="false" customHeight="false" outlineLevel="0" collapsed="false">
      <c r="A544" s="0" t="n">
        <v>35</v>
      </c>
      <c r="B544" s="0" t="s">
        <v>76</v>
      </c>
      <c r="C544" s="0" t="s">
        <v>266</v>
      </c>
      <c r="D544" s="0" t="s">
        <v>2556</v>
      </c>
      <c r="E544" s="0" t="n">
        <v>2026</v>
      </c>
      <c r="H544" s="0" t="n">
        <v>6</v>
      </c>
      <c r="I544" s="0" t="n">
        <v>104</v>
      </c>
      <c r="J544" s="0" t="s">
        <v>268</v>
      </c>
      <c r="K544" s="0" t="s">
        <v>2264</v>
      </c>
      <c r="L544" s="0" t="s">
        <v>293</v>
      </c>
      <c r="M544" s="0" t="s">
        <v>2557</v>
      </c>
      <c r="N544" s="0" t="s">
        <v>2557</v>
      </c>
      <c r="O544" s="0" t="s">
        <v>2558</v>
      </c>
      <c r="P544" s="0" t="s">
        <v>2559</v>
      </c>
      <c r="R544" s="0" t="s">
        <v>275</v>
      </c>
      <c r="S544" s="0" t="s">
        <v>290</v>
      </c>
      <c r="T544" s="0" t="s">
        <v>314</v>
      </c>
      <c r="U544" s="0" t="s">
        <v>277</v>
      </c>
      <c r="V544" s="0" t="s">
        <v>2324</v>
      </c>
    </row>
    <row r="545" customFormat="false" ht="15" hidden="false" customHeight="false" outlineLevel="0" collapsed="false">
      <c r="A545" s="0" t="n">
        <v>35</v>
      </c>
      <c r="B545" s="0" t="s">
        <v>76</v>
      </c>
      <c r="C545" s="0" t="s">
        <v>266</v>
      </c>
      <c r="D545" s="0" t="s">
        <v>2560</v>
      </c>
      <c r="E545" s="0" t="n">
        <v>2026</v>
      </c>
      <c r="H545" s="0" t="n">
        <v>5</v>
      </c>
      <c r="I545" s="0" t="n">
        <v>12246</v>
      </c>
      <c r="J545" s="0" t="s">
        <v>268</v>
      </c>
      <c r="K545" s="0" t="s">
        <v>2264</v>
      </c>
      <c r="L545" s="0" t="s">
        <v>293</v>
      </c>
      <c r="M545" s="0" t="s">
        <v>2561</v>
      </c>
      <c r="N545" s="0" t="s">
        <v>2561</v>
      </c>
      <c r="O545" s="0" t="s">
        <v>2562</v>
      </c>
      <c r="P545" s="0" t="s">
        <v>2563</v>
      </c>
      <c r="R545" s="0" t="s">
        <v>275</v>
      </c>
      <c r="S545" s="0" t="s">
        <v>290</v>
      </c>
      <c r="T545" s="0" t="s">
        <v>314</v>
      </c>
      <c r="U545" s="0" t="s">
        <v>277</v>
      </c>
      <c r="V545" s="0" t="s">
        <v>2324</v>
      </c>
    </row>
    <row r="546" customFormat="false" ht="15" hidden="false" customHeight="false" outlineLevel="0" collapsed="false">
      <c r="A546" s="0" t="n">
        <v>35</v>
      </c>
      <c r="B546" s="0" t="s">
        <v>76</v>
      </c>
      <c r="C546" s="0" t="s">
        <v>266</v>
      </c>
      <c r="D546" s="0" t="s">
        <v>2564</v>
      </c>
      <c r="E546" s="0" t="n">
        <v>2026</v>
      </c>
      <c r="H546" s="0" t="n">
        <v>5</v>
      </c>
      <c r="I546" s="0" t="n">
        <v>12244</v>
      </c>
      <c r="J546" s="0" t="s">
        <v>268</v>
      </c>
      <c r="K546" s="0" t="s">
        <v>2264</v>
      </c>
      <c r="L546" s="0" t="s">
        <v>293</v>
      </c>
      <c r="M546" s="0" t="s">
        <v>2565</v>
      </c>
      <c r="N546" s="0" t="s">
        <v>2565</v>
      </c>
      <c r="O546" s="0" t="s">
        <v>2566</v>
      </c>
      <c r="P546" s="0" t="s">
        <v>2567</v>
      </c>
      <c r="R546" s="0" t="s">
        <v>275</v>
      </c>
      <c r="S546" s="0" t="s">
        <v>290</v>
      </c>
      <c r="T546" s="0" t="s">
        <v>314</v>
      </c>
      <c r="U546" s="0" t="s">
        <v>277</v>
      </c>
      <c r="V546" s="0" t="s">
        <v>2324</v>
      </c>
    </row>
    <row r="547" customFormat="false" ht="15" hidden="false" customHeight="false" outlineLevel="0" collapsed="false">
      <c r="A547" s="0" t="n">
        <v>35</v>
      </c>
      <c r="B547" s="0" t="s">
        <v>76</v>
      </c>
      <c r="C547" s="0" t="s">
        <v>266</v>
      </c>
      <c r="D547" s="0" t="s">
        <v>2568</v>
      </c>
      <c r="E547" s="0" t="n">
        <v>2026</v>
      </c>
      <c r="H547" s="0" t="n">
        <v>5</v>
      </c>
      <c r="I547" s="0" t="n">
        <v>3249</v>
      </c>
      <c r="J547" s="0" t="s">
        <v>268</v>
      </c>
      <c r="K547" s="0" t="s">
        <v>2264</v>
      </c>
      <c r="L547" s="0" t="s">
        <v>293</v>
      </c>
      <c r="M547" s="0" t="s">
        <v>2569</v>
      </c>
      <c r="N547" s="0" t="s">
        <v>2569</v>
      </c>
      <c r="O547" s="0" t="s">
        <v>2570</v>
      </c>
      <c r="P547" s="0" t="s">
        <v>2571</v>
      </c>
      <c r="R547" s="0" t="s">
        <v>275</v>
      </c>
      <c r="S547" s="0" t="s">
        <v>290</v>
      </c>
      <c r="T547" s="0" t="s">
        <v>314</v>
      </c>
      <c r="U547" s="0" t="s">
        <v>277</v>
      </c>
      <c r="V547" s="0" t="s">
        <v>2324</v>
      </c>
    </row>
    <row r="548" customFormat="false" ht="15" hidden="false" customHeight="false" outlineLevel="0" collapsed="false">
      <c r="A548" s="0" t="n">
        <v>35</v>
      </c>
      <c r="B548" s="0" t="s">
        <v>76</v>
      </c>
      <c r="C548" s="0" t="s">
        <v>266</v>
      </c>
      <c r="D548" s="0" t="s">
        <v>2572</v>
      </c>
      <c r="E548" s="0" t="n">
        <v>2026</v>
      </c>
      <c r="H548" s="0" t="n">
        <v>8</v>
      </c>
      <c r="I548" s="0" t="n">
        <v>273</v>
      </c>
      <c r="J548" s="0" t="s">
        <v>268</v>
      </c>
      <c r="K548" s="0" t="s">
        <v>2264</v>
      </c>
      <c r="L548" s="0" t="s">
        <v>293</v>
      </c>
      <c r="M548" s="0" t="s">
        <v>2573</v>
      </c>
      <c r="N548" s="0" t="s">
        <v>2573</v>
      </c>
      <c r="O548" s="0" t="s">
        <v>2574</v>
      </c>
      <c r="P548" s="0" t="s">
        <v>2575</v>
      </c>
      <c r="R548" s="0" t="s">
        <v>275</v>
      </c>
      <c r="S548" s="0" t="s">
        <v>290</v>
      </c>
      <c r="T548" s="0" t="s">
        <v>314</v>
      </c>
      <c r="U548" s="0" t="s">
        <v>277</v>
      </c>
      <c r="V548" s="0" t="s">
        <v>2324</v>
      </c>
    </row>
    <row r="549" customFormat="false" ht="15" hidden="false" customHeight="false" outlineLevel="0" collapsed="false">
      <c r="A549" s="0" t="n">
        <v>35</v>
      </c>
      <c r="B549" s="0" t="s">
        <v>76</v>
      </c>
      <c r="C549" s="0" t="s">
        <v>266</v>
      </c>
      <c r="D549" s="0" t="s">
        <v>2576</v>
      </c>
      <c r="E549" s="0" t="n">
        <v>2026</v>
      </c>
      <c r="H549" s="0" t="n">
        <v>2</v>
      </c>
      <c r="I549" s="0" t="n">
        <v>186</v>
      </c>
      <c r="J549" s="0" t="s">
        <v>268</v>
      </c>
      <c r="K549" s="0" t="s">
        <v>2264</v>
      </c>
      <c r="L549" s="0" t="s">
        <v>293</v>
      </c>
      <c r="M549" s="0" t="s">
        <v>2577</v>
      </c>
      <c r="N549" s="0" t="s">
        <v>2577</v>
      </c>
      <c r="O549" s="0" t="s">
        <v>2578</v>
      </c>
      <c r="P549" s="0" t="s">
        <v>2579</v>
      </c>
      <c r="R549" s="0" t="s">
        <v>275</v>
      </c>
      <c r="S549" s="0" t="s">
        <v>290</v>
      </c>
      <c r="T549" s="0" t="s">
        <v>314</v>
      </c>
      <c r="U549" s="0" t="s">
        <v>277</v>
      </c>
      <c r="V549" s="0" t="s">
        <v>2324</v>
      </c>
    </row>
    <row r="550" customFormat="false" ht="15" hidden="false" customHeight="false" outlineLevel="0" collapsed="false">
      <c r="A550" s="0" t="n">
        <v>35</v>
      </c>
      <c r="B550" s="0" t="s">
        <v>76</v>
      </c>
      <c r="C550" s="0" t="s">
        <v>266</v>
      </c>
      <c r="D550" s="0" t="s">
        <v>2580</v>
      </c>
      <c r="E550" s="0" t="n">
        <v>2026</v>
      </c>
      <c r="H550" s="0" t="n">
        <v>5</v>
      </c>
      <c r="I550" s="0" t="n">
        <v>181</v>
      </c>
      <c r="J550" s="0" t="s">
        <v>268</v>
      </c>
      <c r="K550" s="0" t="s">
        <v>2264</v>
      </c>
      <c r="L550" s="0" t="s">
        <v>293</v>
      </c>
      <c r="M550" s="0" t="s">
        <v>2581</v>
      </c>
      <c r="N550" s="0" t="s">
        <v>2581</v>
      </c>
      <c r="O550" s="0" t="s">
        <v>2582</v>
      </c>
      <c r="P550" s="0" t="s">
        <v>2583</v>
      </c>
      <c r="R550" s="0" t="s">
        <v>275</v>
      </c>
      <c r="S550" s="0" t="s">
        <v>290</v>
      </c>
      <c r="T550" s="0" t="s">
        <v>314</v>
      </c>
      <c r="U550" s="0" t="s">
        <v>277</v>
      </c>
      <c r="V550" s="0" t="s">
        <v>2324</v>
      </c>
    </row>
    <row r="551" customFormat="false" ht="15" hidden="false" customHeight="false" outlineLevel="0" collapsed="false">
      <c r="A551" s="0" t="n">
        <v>35</v>
      </c>
      <c r="B551" s="0" t="s">
        <v>76</v>
      </c>
      <c r="C551" s="0" t="s">
        <v>266</v>
      </c>
      <c r="D551" s="0" t="s">
        <v>2584</v>
      </c>
      <c r="E551" s="0" t="n">
        <v>2026</v>
      </c>
      <c r="H551" s="0" t="n">
        <v>1</v>
      </c>
      <c r="I551" s="0" t="n">
        <v>329</v>
      </c>
      <c r="J551" s="0" t="s">
        <v>268</v>
      </c>
      <c r="K551" s="0" t="s">
        <v>2264</v>
      </c>
      <c r="L551" s="0" t="s">
        <v>293</v>
      </c>
      <c r="M551" s="0" t="s">
        <v>2585</v>
      </c>
      <c r="N551" s="0" t="s">
        <v>2585</v>
      </c>
      <c r="O551" s="0" t="s">
        <v>2586</v>
      </c>
      <c r="P551" s="0" t="s">
        <v>2587</v>
      </c>
      <c r="R551" s="0" t="s">
        <v>275</v>
      </c>
      <c r="S551" s="0" t="s">
        <v>290</v>
      </c>
      <c r="T551" s="0" t="s">
        <v>314</v>
      </c>
      <c r="U551" s="0" t="s">
        <v>277</v>
      </c>
      <c r="V551" s="0" t="s">
        <v>2324</v>
      </c>
    </row>
    <row r="552" customFormat="false" ht="15" hidden="false" customHeight="false" outlineLevel="0" collapsed="false">
      <c r="A552" s="0" t="n">
        <v>35</v>
      </c>
      <c r="B552" s="0" t="s">
        <v>76</v>
      </c>
      <c r="C552" s="0" t="s">
        <v>266</v>
      </c>
      <c r="D552" s="0" t="s">
        <v>2588</v>
      </c>
      <c r="E552" s="0" t="n">
        <v>2026</v>
      </c>
      <c r="H552" s="0" t="n">
        <v>1</v>
      </c>
      <c r="I552" s="0" t="n">
        <v>340</v>
      </c>
      <c r="J552" s="0" t="s">
        <v>268</v>
      </c>
      <c r="K552" s="0" t="s">
        <v>2264</v>
      </c>
      <c r="L552" s="0" t="s">
        <v>293</v>
      </c>
      <c r="M552" s="0" t="s">
        <v>2589</v>
      </c>
      <c r="N552" s="0" t="s">
        <v>2589</v>
      </c>
      <c r="O552" s="0" t="s">
        <v>2590</v>
      </c>
      <c r="P552" s="0" t="s">
        <v>2591</v>
      </c>
      <c r="R552" s="0" t="s">
        <v>275</v>
      </c>
      <c r="S552" s="0" t="s">
        <v>290</v>
      </c>
      <c r="T552" s="0" t="s">
        <v>314</v>
      </c>
      <c r="U552" s="0" t="s">
        <v>277</v>
      </c>
      <c r="V552" s="0" t="s">
        <v>2324</v>
      </c>
    </row>
    <row r="553" customFormat="false" ht="15" hidden="false" customHeight="false" outlineLevel="0" collapsed="false">
      <c r="A553" s="0" t="n">
        <v>35</v>
      </c>
      <c r="B553" s="0" t="s">
        <v>76</v>
      </c>
      <c r="C553" s="0" t="s">
        <v>266</v>
      </c>
      <c r="D553" s="0" t="s">
        <v>2592</v>
      </c>
      <c r="E553" s="0" t="n">
        <v>2026</v>
      </c>
      <c r="H553" s="0" t="n">
        <v>1</v>
      </c>
      <c r="I553" s="0" t="n">
        <v>202</v>
      </c>
      <c r="J553" s="0" t="s">
        <v>268</v>
      </c>
      <c r="K553" s="0" t="s">
        <v>2264</v>
      </c>
      <c r="L553" s="0" t="s">
        <v>293</v>
      </c>
      <c r="M553" s="0" t="s">
        <v>2593</v>
      </c>
      <c r="N553" s="0" t="s">
        <v>2593</v>
      </c>
      <c r="O553" s="0" t="s">
        <v>2594</v>
      </c>
      <c r="P553" s="0" t="s">
        <v>2595</v>
      </c>
      <c r="R553" s="0" t="s">
        <v>275</v>
      </c>
      <c r="S553" s="0" t="s">
        <v>290</v>
      </c>
      <c r="T553" s="0" t="s">
        <v>314</v>
      </c>
      <c r="U553" s="0" t="s">
        <v>277</v>
      </c>
      <c r="V553" s="0" t="s">
        <v>2324</v>
      </c>
    </row>
    <row r="554" customFormat="false" ht="15" hidden="false" customHeight="false" outlineLevel="0" collapsed="false">
      <c r="A554" s="0" t="n">
        <v>35</v>
      </c>
      <c r="B554" s="0" t="s">
        <v>76</v>
      </c>
      <c r="C554" s="0" t="s">
        <v>266</v>
      </c>
      <c r="D554" s="0" t="s">
        <v>2596</v>
      </c>
      <c r="E554" s="0" t="n">
        <v>2026</v>
      </c>
      <c r="H554" s="0" t="n">
        <v>13</v>
      </c>
      <c r="I554" s="0" t="n">
        <v>4680</v>
      </c>
      <c r="J554" s="0" t="s">
        <v>268</v>
      </c>
      <c r="K554" s="0" t="s">
        <v>2264</v>
      </c>
      <c r="L554" s="0" t="s">
        <v>293</v>
      </c>
      <c r="M554" s="0" t="s">
        <v>2597</v>
      </c>
      <c r="N554" s="0" t="s">
        <v>2597</v>
      </c>
      <c r="O554" s="0" t="s">
        <v>2598</v>
      </c>
      <c r="P554" s="0" t="s">
        <v>2599</v>
      </c>
      <c r="R554" s="0" t="s">
        <v>275</v>
      </c>
      <c r="S554" s="0" t="s">
        <v>290</v>
      </c>
      <c r="T554" s="0" t="s">
        <v>276</v>
      </c>
      <c r="U554" s="0" t="s">
        <v>277</v>
      </c>
    </row>
    <row r="555" customFormat="false" ht="15" hidden="false" customHeight="false" outlineLevel="0" collapsed="false">
      <c r="A555" s="0" t="n">
        <v>35</v>
      </c>
      <c r="B555" s="0" t="s">
        <v>76</v>
      </c>
      <c r="C555" s="0" t="s">
        <v>266</v>
      </c>
      <c r="D555" s="0" t="s">
        <v>2600</v>
      </c>
      <c r="E555" s="0" t="n">
        <v>2026</v>
      </c>
      <c r="H555" s="0" t="n">
        <v>13</v>
      </c>
      <c r="I555" s="0" t="n">
        <v>3895</v>
      </c>
      <c r="J555" s="0" t="s">
        <v>268</v>
      </c>
      <c r="K555" s="0" t="s">
        <v>2264</v>
      </c>
      <c r="L555" s="0" t="s">
        <v>293</v>
      </c>
      <c r="M555" s="0" t="s">
        <v>2601</v>
      </c>
      <c r="N555" s="0" t="s">
        <v>2601</v>
      </c>
      <c r="O555" s="0" t="s">
        <v>2602</v>
      </c>
      <c r="P555" s="0" t="s">
        <v>2603</v>
      </c>
      <c r="R555" s="0" t="s">
        <v>275</v>
      </c>
      <c r="S555" s="0" t="s">
        <v>290</v>
      </c>
      <c r="T555" s="0" t="s">
        <v>276</v>
      </c>
      <c r="U555" s="0" t="s">
        <v>277</v>
      </c>
    </row>
    <row r="556" customFormat="false" ht="15" hidden="false" customHeight="false" outlineLevel="0" collapsed="false">
      <c r="A556" s="0" t="n">
        <v>35</v>
      </c>
      <c r="B556" s="0" t="s">
        <v>76</v>
      </c>
      <c r="C556" s="0" t="s">
        <v>266</v>
      </c>
      <c r="D556" s="0" t="s">
        <v>2604</v>
      </c>
      <c r="E556" s="0" t="n">
        <v>2026</v>
      </c>
      <c r="H556" s="0" t="n">
        <v>2</v>
      </c>
      <c r="I556" s="0" t="n">
        <v>226</v>
      </c>
      <c r="J556" s="0" t="s">
        <v>268</v>
      </c>
      <c r="K556" s="0" t="s">
        <v>2264</v>
      </c>
      <c r="L556" s="0" t="s">
        <v>293</v>
      </c>
      <c r="M556" s="0" t="s">
        <v>2605</v>
      </c>
      <c r="N556" s="0" t="s">
        <v>2605</v>
      </c>
      <c r="O556" s="0" t="s">
        <v>2606</v>
      </c>
      <c r="P556" s="0" t="s">
        <v>2607</v>
      </c>
      <c r="R556" s="0" t="s">
        <v>275</v>
      </c>
      <c r="S556" s="0" t="s">
        <v>290</v>
      </c>
      <c r="T556" s="0" t="s">
        <v>276</v>
      </c>
      <c r="U556" s="0" t="s">
        <v>277</v>
      </c>
    </row>
    <row r="557" customFormat="false" ht="15" hidden="false" customHeight="false" outlineLevel="0" collapsed="false">
      <c r="A557" s="0" t="n">
        <v>35</v>
      </c>
      <c r="B557" s="0" t="s">
        <v>76</v>
      </c>
      <c r="C557" s="0" t="s">
        <v>266</v>
      </c>
      <c r="D557" s="0" t="s">
        <v>2608</v>
      </c>
      <c r="E557" s="0" t="n">
        <v>2026</v>
      </c>
      <c r="H557" s="0" t="n">
        <v>4</v>
      </c>
      <c r="I557" s="0" t="n">
        <v>289</v>
      </c>
      <c r="J557" s="0" t="s">
        <v>268</v>
      </c>
      <c r="K557" s="0" t="s">
        <v>2264</v>
      </c>
      <c r="L557" s="0" t="s">
        <v>293</v>
      </c>
      <c r="M557" s="0" t="s">
        <v>2609</v>
      </c>
      <c r="N557" s="0" t="s">
        <v>2609</v>
      </c>
      <c r="O557" s="0" t="s">
        <v>2610</v>
      </c>
      <c r="P557" s="0" t="s">
        <v>2611</v>
      </c>
      <c r="R557" s="0" t="s">
        <v>275</v>
      </c>
      <c r="S557" s="0" t="s">
        <v>290</v>
      </c>
      <c r="T557" s="0" t="s">
        <v>314</v>
      </c>
      <c r="U557" s="0" t="s">
        <v>277</v>
      </c>
      <c r="V557" s="0" t="s">
        <v>2324</v>
      </c>
    </row>
    <row r="558" customFormat="false" ht="15" hidden="false" customHeight="false" outlineLevel="0" collapsed="false">
      <c r="A558" s="0" t="n">
        <v>35</v>
      </c>
      <c r="B558" s="0" t="s">
        <v>76</v>
      </c>
      <c r="C558" s="0" t="s">
        <v>266</v>
      </c>
      <c r="D558" s="0" t="s">
        <v>2612</v>
      </c>
      <c r="E558" s="0" t="n">
        <v>2026</v>
      </c>
      <c r="H558" s="0" t="n">
        <v>6</v>
      </c>
      <c r="I558" s="0" t="n">
        <v>300</v>
      </c>
      <c r="J558" s="0" t="s">
        <v>268</v>
      </c>
      <c r="K558" s="0" t="s">
        <v>2264</v>
      </c>
      <c r="L558" s="0" t="s">
        <v>293</v>
      </c>
      <c r="M558" s="0" t="s">
        <v>2613</v>
      </c>
      <c r="N558" s="0" t="s">
        <v>2613</v>
      </c>
      <c r="O558" s="0" t="s">
        <v>2614</v>
      </c>
      <c r="P558" s="0" t="s">
        <v>2615</v>
      </c>
      <c r="R558" s="0" t="s">
        <v>275</v>
      </c>
      <c r="S558" s="0" t="s">
        <v>290</v>
      </c>
      <c r="T558" s="0" t="s">
        <v>314</v>
      </c>
      <c r="U558" s="0" t="s">
        <v>277</v>
      </c>
      <c r="V558" s="0" t="s">
        <v>2324</v>
      </c>
    </row>
    <row r="559" customFormat="false" ht="15" hidden="false" customHeight="false" outlineLevel="0" collapsed="false">
      <c r="A559" s="0" t="n">
        <v>35</v>
      </c>
      <c r="B559" s="0" t="s">
        <v>76</v>
      </c>
      <c r="C559" s="0" t="s">
        <v>266</v>
      </c>
      <c r="D559" s="0" t="s">
        <v>2616</v>
      </c>
      <c r="E559" s="0" t="n">
        <v>2026</v>
      </c>
      <c r="H559" s="0" t="n">
        <v>5</v>
      </c>
      <c r="I559" s="0" t="n">
        <v>639</v>
      </c>
      <c r="J559" s="0" t="s">
        <v>268</v>
      </c>
      <c r="K559" s="0" t="s">
        <v>2264</v>
      </c>
      <c r="L559" s="0" t="s">
        <v>293</v>
      </c>
      <c r="M559" s="0" t="s">
        <v>2617</v>
      </c>
      <c r="N559" s="0" t="s">
        <v>2617</v>
      </c>
      <c r="O559" s="0" t="s">
        <v>2618</v>
      </c>
      <c r="P559" s="0" t="s">
        <v>2619</v>
      </c>
      <c r="R559" s="0" t="s">
        <v>275</v>
      </c>
      <c r="S559" s="0" t="s">
        <v>290</v>
      </c>
      <c r="T559" s="0" t="s">
        <v>314</v>
      </c>
      <c r="U559" s="0" t="s">
        <v>277</v>
      </c>
      <c r="V559" s="0" t="s">
        <v>2324</v>
      </c>
    </row>
    <row r="560" customFormat="false" ht="15" hidden="false" customHeight="false" outlineLevel="0" collapsed="false">
      <c r="A560" s="0" t="n">
        <v>35</v>
      </c>
      <c r="B560" s="0" t="s">
        <v>76</v>
      </c>
      <c r="C560" s="0" t="s">
        <v>266</v>
      </c>
      <c r="D560" s="0" t="s">
        <v>2620</v>
      </c>
      <c r="E560" s="0" t="n">
        <v>2026</v>
      </c>
      <c r="H560" s="0" t="n">
        <v>1</v>
      </c>
      <c r="I560" s="0" t="n">
        <v>593</v>
      </c>
      <c r="J560" s="0" t="s">
        <v>290</v>
      </c>
      <c r="K560" s="0" t="s">
        <v>2264</v>
      </c>
      <c r="L560" s="0" t="s">
        <v>293</v>
      </c>
      <c r="M560" s="0" t="s">
        <v>2621</v>
      </c>
      <c r="N560" s="0" t="s">
        <v>2621</v>
      </c>
      <c r="O560" s="0" t="s">
        <v>2622</v>
      </c>
      <c r="P560" s="0" t="s">
        <v>2623</v>
      </c>
      <c r="R560" s="0" t="s">
        <v>275</v>
      </c>
      <c r="S560" s="0" t="s">
        <v>290</v>
      </c>
      <c r="T560" s="0" t="s">
        <v>314</v>
      </c>
      <c r="U560" s="0" t="s">
        <v>277</v>
      </c>
      <c r="V560" s="0" t="s">
        <v>2324</v>
      </c>
    </row>
    <row r="561" customFormat="false" ht="15" hidden="false" customHeight="false" outlineLevel="0" collapsed="false">
      <c r="A561" s="0" t="n">
        <v>35</v>
      </c>
      <c r="B561" s="0" t="s">
        <v>76</v>
      </c>
      <c r="C561" s="0" t="s">
        <v>266</v>
      </c>
      <c r="D561" s="0" t="s">
        <v>2624</v>
      </c>
      <c r="E561" s="0" t="n">
        <v>2026</v>
      </c>
      <c r="H561" s="0" t="n">
        <v>3</v>
      </c>
      <c r="I561" s="0" t="n">
        <v>1536</v>
      </c>
      <c r="J561" s="0" t="s">
        <v>290</v>
      </c>
      <c r="K561" s="0" t="s">
        <v>2264</v>
      </c>
      <c r="L561" s="0" t="s">
        <v>293</v>
      </c>
      <c r="M561" s="0" t="s">
        <v>2625</v>
      </c>
      <c r="N561" s="0" t="s">
        <v>2625</v>
      </c>
      <c r="O561" s="0" t="s">
        <v>2626</v>
      </c>
      <c r="P561" s="0" t="s">
        <v>2627</v>
      </c>
      <c r="R561" s="0" t="s">
        <v>275</v>
      </c>
      <c r="S561" s="0" t="s">
        <v>290</v>
      </c>
      <c r="T561" s="0" t="s">
        <v>314</v>
      </c>
      <c r="U561" s="0" t="s">
        <v>277</v>
      </c>
      <c r="V561" s="0" t="s">
        <v>2324</v>
      </c>
    </row>
    <row r="562" customFormat="false" ht="15" hidden="false" customHeight="false" outlineLevel="0" collapsed="false">
      <c r="A562" s="0" t="n">
        <v>35</v>
      </c>
      <c r="B562" s="0" t="s">
        <v>76</v>
      </c>
      <c r="C562" s="0" t="s">
        <v>266</v>
      </c>
      <c r="D562" s="0" t="s">
        <v>2628</v>
      </c>
      <c r="E562" s="0" t="n">
        <v>2026</v>
      </c>
      <c r="H562" s="0" t="n">
        <v>3</v>
      </c>
      <c r="I562" s="0" t="n">
        <v>268</v>
      </c>
      <c r="J562" s="0" t="s">
        <v>268</v>
      </c>
      <c r="K562" s="0" t="s">
        <v>2264</v>
      </c>
      <c r="L562" s="0" t="s">
        <v>293</v>
      </c>
      <c r="M562" s="0" t="s">
        <v>2629</v>
      </c>
      <c r="N562" s="0" t="s">
        <v>2629</v>
      </c>
      <c r="O562" s="0" t="s">
        <v>2630</v>
      </c>
      <c r="P562" s="0" t="s">
        <v>2631</v>
      </c>
      <c r="R562" s="0" t="s">
        <v>275</v>
      </c>
      <c r="S562" s="0" t="s">
        <v>290</v>
      </c>
      <c r="T562" s="0" t="s">
        <v>314</v>
      </c>
      <c r="U562" s="0" t="s">
        <v>277</v>
      </c>
      <c r="V562" s="0" t="s">
        <v>2324</v>
      </c>
    </row>
    <row r="563" customFormat="false" ht="15" hidden="false" customHeight="false" outlineLevel="0" collapsed="false">
      <c r="A563" s="0" t="n">
        <v>35</v>
      </c>
      <c r="B563" s="0" t="s">
        <v>76</v>
      </c>
      <c r="C563" s="0" t="s">
        <v>266</v>
      </c>
      <c r="D563" s="0" t="s">
        <v>2632</v>
      </c>
      <c r="E563" s="0" t="n">
        <v>2026</v>
      </c>
      <c r="H563" s="0" t="n">
        <v>1</v>
      </c>
      <c r="I563" s="0" t="n">
        <v>107</v>
      </c>
      <c r="J563" s="0" t="s">
        <v>268</v>
      </c>
      <c r="K563" s="0" t="s">
        <v>2264</v>
      </c>
      <c r="L563" s="0" t="s">
        <v>293</v>
      </c>
      <c r="M563" s="0" t="s">
        <v>2633</v>
      </c>
      <c r="N563" s="0" t="s">
        <v>2633</v>
      </c>
      <c r="O563" s="0" t="s">
        <v>2634</v>
      </c>
      <c r="P563" s="0" t="s">
        <v>2635</v>
      </c>
      <c r="R563" s="0" t="s">
        <v>275</v>
      </c>
      <c r="S563" s="0" t="s">
        <v>290</v>
      </c>
      <c r="T563" s="0" t="s">
        <v>314</v>
      </c>
      <c r="U563" s="0" t="s">
        <v>277</v>
      </c>
      <c r="V563" s="0" t="s">
        <v>2324</v>
      </c>
    </row>
    <row r="564" customFormat="false" ht="15" hidden="false" customHeight="false" outlineLevel="0" collapsed="false">
      <c r="A564" s="0" t="n">
        <v>35</v>
      </c>
      <c r="B564" s="0" t="s">
        <v>76</v>
      </c>
      <c r="C564" s="0" t="s">
        <v>266</v>
      </c>
      <c r="D564" s="0" t="s">
        <v>2636</v>
      </c>
      <c r="E564" s="0" t="n">
        <v>2026</v>
      </c>
      <c r="H564" s="0" t="n">
        <v>3</v>
      </c>
      <c r="I564" s="0" t="n">
        <v>322</v>
      </c>
      <c r="J564" s="0" t="s">
        <v>268</v>
      </c>
      <c r="K564" s="0" t="s">
        <v>2264</v>
      </c>
      <c r="L564" s="0" t="s">
        <v>293</v>
      </c>
      <c r="M564" s="0" t="s">
        <v>2637</v>
      </c>
      <c r="N564" s="0" t="s">
        <v>2637</v>
      </c>
      <c r="O564" s="0" t="s">
        <v>2638</v>
      </c>
      <c r="P564" s="0" t="s">
        <v>2639</v>
      </c>
      <c r="R564" s="0" t="s">
        <v>275</v>
      </c>
      <c r="S564" s="0" t="s">
        <v>290</v>
      </c>
      <c r="T564" s="0" t="s">
        <v>314</v>
      </c>
      <c r="U564" s="0" t="s">
        <v>277</v>
      </c>
      <c r="V564" s="0" t="s">
        <v>2324</v>
      </c>
    </row>
    <row r="565" customFormat="false" ht="15" hidden="false" customHeight="false" outlineLevel="0" collapsed="false">
      <c r="A565" s="0" t="n">
        <v>35</v>
      </c>
      <c r="B565" s="0" t="s">
        <v>76</v>
      </c>
      <c r="C565" s="0" t="s">
        <v>266</v>
      </c>
      <c r="D565" s="0" t="s">
        <v>2640</v>
      </c>
      <c r="E565" s="0" t="n">
        <v>2026</v>
      </c>
      <c r="H565" s="0" t="n">
        <v>5</v>
      </c>
      <c r="I565" s="0" t="n">
        <v>281</v>
      </c>
      <c r="J565" s="0" t="s">
        <v>268</v>
      </c>
      <c r="K565" s="0" t="s">
        <v>2264</v>
      </c>
      <c r="L565" s="0" t="s">
        <v>293</v>
      </c>
      <c r="M565" s="0" t="s">
        <v>2641</v>
      </c>
      <c r="N565" s="0" t="s">
        <v>2641</v>
      </c>
      <c r="O565" s="0" t="s">
        <v>2642</v>
      </c>
      <c r="P565" s="0" t="s">
        <v>2643</v>
      </c>
      <c r="R565" s="0" t="s">
        <v>275</v>
      </c>
      <c r="S565" s="0" t="s">
        <v>290</v>
      </c>
      <c r="T565" s="0" t="s">
        <v>314</v>
      </c>
      <c r="U565" s="0" t="s">
        <v>277</v>
      </c>
      <c r="V565" s="0" t="s">
        <v>2324</v>
      </c>
    </row>
    <row r="566" customFormat="false" ht="15" hidden="false" customHeight="false" outlineLevel="0" collapsed="false">
      <c r="A566" s="0" t="n">
        <v>35</v>
      </c>
      <c r="B566" s="0" t="s">
        <v>76</v>
      </c>
      <c r="C566" s="0" t="s">
        <v>266</v>
      </c>
      <c r="D566" s="0" t="s">
        <v>2644</v>
      </c>
      <c r="E566" s="0" t="n">
        <v>2025</v>
      </c>
      <c r="H566" s="0" t="n">
        <v>2</v>
      </c>
      <c r="I566" s="0" t="n">
        <v>350</v>
      </c>
      <c r="J566" s="0" t="s">
        <v>268</v>
      </c>
      <c r="K566" s="0" t="s">
        <v>2264</v>
      </c>
      <c r="L566" s="0" t="s">
        <v>293</v>
      </c>
      <c r="M566" s="0" t="s">
        <v>2645</v>
      </c>
      <c r="N566" s="0" t="s">
        <v>2645</v>
      </c>
      <c r="O566" s="0" t="s">
        <v>2646</v>
      </c>
      <c r="P566" s="0" t="s">
        <v>2647</v>
      </c>
      <c r="R566" s="0" t="s">
        <v>275</v>
      </c>
      <c r="S566" s="0" t="s">
        <v>290</v>
      </c>
      <c r="T566" s="0" t="s">
        <v>276</v>
      </c>
      <c r="U566" s="0" t="s">
        <v>277</v>
      </c>
    </row>
    <row r="567" customFormat="false" ht="15" hidden="false" customHeight="false" outlineLevel="0" collapsed="false">
      <c r="A567" s="0" t="n">
        <v>35</v>
      </c>
      <c r="B567" s="0" t="s">
        <v>76</v>
      </c>
      <c r="C567" s="0" t="s">
        <v>266</v>
      </c>
      <c r="D567" s="0" t="s">
        <v>2648</v>
      </c>
      <c r="E567" s="0" t="n">
        <v>2025</v>
      </c>
      <c r="H567" s="0" t="n">
        <v>2</v>
      </c>
      <c r="I567" s="0" t="n">
        <v>211</v>
      </c>
      <c r="J567" s="0" t="s">
        <v>268</v>
      </c>
      <c r="K567" s="0" t="s">
        <v>2264</v>
      </c>
      <c r="L567" s="0" t="s">
        <v>293</v>
      </c>
      <c r="M567" s="0" t="s">
        <v>2649</v>
      </c>
      <c r="N567" s="0" t="s">
        <v>2649</v>
      </c>
      <c r="O567" s="0" t="s">
        <v>2650</v>
      </c>
      <c r="P567" s="0" t="s">
        <v>2651</v>
      </c>
      <c r="R567" s="0" t="s">
        <v>275</v>
      </c>
      <c r="S567" s="0" t="s">
        <v>290</v>
      </c>
      <c r="T567" s="0" t="s">
        <v>314</v>
      </c>
      <c r="U567" s="0" t="s">
        <v>277</v>
      </c>
      <c r="V567" s="0" t="s">
        <v>2324</v>
      </c>
    </row>
    <row r="568" customFormat="false" ht="15" hidden="false" customHeight="false" outlineLevel="0" collapsed="false">
      <c r="A568" s="0" t="n">
        <v>35</v>
      </c>
      <c r="B568" s="0" t="s">
        <v>76</v>
      </c>
      <c r="C568" s="0" t="s">
        <v>266</v>
      </c>
      <c r="D568" s="0" t="s">
        <v>2652</v>
      </c>
      <c r="E568" s="0" t="n">
        <v>2025</v>
      </c>
      <c r="H568" s="0" t="n">
        <v>5</v>
      </c>
      <c r="I568" s="0" t="n">
        <v>12097</v>
      </c>
      <c r="J568" s="0" t="s">
        <v>268</v>
      </c>
      <c r="K568" s="0" t="s">
        <v>2264</v>
      </c>
      <c r="L568" s="0" t="s">
        <v>293</v>
      </c>
      <c r="M568" s="0" t="s">
        <v>2653</v>
      </c>
      <c r="N568" s="0" t="s">
        <v>2653</v>
      </c>
      <c r="O568" s="0" t="s">
        <v>2654</v>
      </c>
      <c r="P568" s="0" t="s">
        <v>2655</v>
      </c>
      <c r="R568" s="0" t="s">
        <v>275</v>
      </c>
      <c r="S568" s="0" t="s">
        <v>290</v>
      </c>
      <c r="T568" s="0" t="s">
        <v>314</v>
      </c>
      <c r="U568" s="0" t="s">
        <v>277</v>
      </c>
      <c r="V568" s="0" t="s">
        <v>2324</v>
      </c>
    </row>
    <row r="569" customFormat="false" ht="15" hidden="false" customHeight="false" outlineLevel="0" collapsed="false">
      <c r="A569" s="0" t="n">
        <v>35</v>
      </c>
      <c r="B569" s="0" t="s">
        <v>76</v>
      </c>
      <c r="C569" s="0" t="s">
        <v>266</v>
      </c>
      <c r="D569" s="0" t="s">
        <v>2656</v>
      </c>
      <c r="E569" s="0" t="n">
        <v>2025</v>
      </c>
      <c r="H569" s="0" t="n">
        <v>16</v>
      </c>
      <c r="I569" s="0" t="n">
        <v>487</v>
      </c>
      <c r="J569" s="0" t="s">
        <v>268</v>
      </c>
      <c r="K569" s="0" t="s">
        <v>2264</v>
      </c>
      <c r="L569" s="0" t="s">
        <v>293</v>
      </c>
      <c r="M569" s="0" t="s">
        <v>2657</v>
      </c>
      <c r="N569" s="0" t="s">
        <v>2657</v>
      </c>
      <c r="O569" s="0" t="s">
        <v>2658</v>
      </c>
      <c r="P569" s="0" t="s">
        <v>2659</v>
      </c>
      <c r="R569" s="0" t="s">
        <v>275</v>
      </c>
      <c r="S569" s="0" t="s">
        <v>290</v>
      </c>
      <c r="T569" s="0" t="s">
        <v>276</v>
      </c>
      <c r="U569" s="0" t="s">
        <v>277</v>
      </c>
    </row>
    <row r="570" customFormat="false" ht="15" hidden="false" customHeight="false" outlineLevel="0" collapsed="false">
      <c r="A570" s="0" t="n">
        <v>35</v>
      </c>
      <c r="B570" s="0" t="s">
        <v>76</v>
      </c>
      <c r="C570" s="0" t="s">
        <v>266</v>
      </c>
      <c r="D570" s="0" t="s">
        <v>2660</v>
      </c>
      <c r="E570" s="0" t="n">
        <v>2025</v>
      </c>
      <c r="H570" s="0" t="n">
        <v>9</v>
      </c>
      <c r="I570" s="0" t="n">
        <v>304</v>
      </c>
      <c r="J570" s="0" t="s">
        <v>268</v>
      </c>
      <c r="K570" s="0" t="s">
        <v>2264</v>
      </c>
      <c r="L570" s="0" t="s">
        <v>293</v>
      </c>
      <c r="M570" s="0" t="s">
        <v>2661</v>
      </c>
      <c r="N570" s="0" t="s">
        <v>2661</v>
      </c>
      <c r="O570" s="0" t="s">
        <v>2662</v>
      </c>
      <c r="P570" s="0" t="s">
        <v>2663</v>
      </c>
      <c r="R570" s="0" t="s">
        <v>275</v>
      </c>
      <c r="S570" s="0" t="s">
        <v>290</v>
      </c>
      <c r="T570" s="0" t="s">
        <v>276</v>
      </c>
      <c r="U570" s="0" t="s">
        <v>277</v>
      </c>
    </row>
    <row r="571" customFormat="false" ht="15" hidden="false" customHeight="false" outlineLevel="0" collapsed="false">
      <c r="A571" s="0" t="n">
        <v>35</v>
      </c>
      <c r="B571" s="0" t="s">
        <v>76</v>
      </c>
      <c r="C571" s="0" t="s">
        <v>266</v>
      </c>
      <c r="D571" s="0" t="s">
        <v>2664</v>
      </c>
      <c r="E571" s="0" t="n">
        <v>2025</v>
      </c>
      <c r="H571" s="0" t="n">
        <v>3</v>
      </c>
      <c r="I571" s="0" t="n">
        <v>124</v>
      </c>
      <c r="J571" s="0" t="s">
        <v>268</v>
      </c>
      <c r="K571" s="0" t="s">
        <v>2264</v>
      </c>
      <c r="L571" s="0" t="s">
        <v>293</v>
      </c>
      <c r="M571" s="0" t="s">
        <v>2665</v>
      </c>
      <c r="N571" s="0" t="s">
        <v>2665</v>
      </c>
      <c r="O571" s="0" t="s">
        <v>2666</v>
      </c>
      <c r="P571" s="0" t="s">
        <v>2667</v>
      </c>
      <c r="R571" s="0" t="s">
        <v>275</v>
      </c>
      <c r="S571" s="0" t="s">
        <v>290</v>
      </c>
      <c r="T571" s="0" t="s">
        <v>314</v>
      </c>
      <c r="U571" s="0" t="s">
        <v>277</v>
      </c>
      <c r="V571" s="0" t="s">
        <v>2324</v>
      </c>
    </row>
    <row r="572" customFormat="false" ht="15" hidden="false" customHeight="false" outlineLevel="0" collapsed="false">
      <c r="A572" s="0" t="n">
        <v>35</v>
      </c>
      <c r="B572" s="0" t="s">
        <v>76</v>
      </c>
      <c r="C572" s="0" t="s">
        <v>266</v>
      </c>
      <c r="D572" s="0" t="s">
        <v>2668</v>
      </c>
      <c r="E572" s="0" t="n">
        <v>2025</v>
      </c>
      <c r="H572" s="0" t="n">
        <v>4</v>
      </c>
      <c r="I572" s="0" t="n">
        <v>146</v>
      </c>
      <c r="J572" s="0" t="s">
        <v>268</v>
      </c>
      <c r="K572" s="0" t="s">
        <v>2264</v>
      </c>
      <c r="L572" s="0" t="s">
        <v>293</v>
      </c>
      <c r="M572" s="0" t="s">
        <v>2669</v>
      </c>
      <c r="N572" s="0" t="s">
        <v>2669</v>
      </c>
      <c r="O572" s="0" t="s">
        <v>2670</v>
      </c>
      <c r="P572" s="0" t="s">
        <v>2671</v>
      </c>
      <c r="R572" s="0" t="s">
        <v>275</v>
      </c>
      <c r="S572" s="0" t="s">
        <v>290</v>
      </c>
      <c r="T572" s="0" t="s">
        <v>314</v>
      </c>
      <c r="U572" s="0" t="s">
        <v>277</v>
      </c>
      <c r="V572" s="0" t="s">
        <v>2324</v>
      </c>
    </row>
    <row r="573" customFormat="false" ht="15" hidden="false" customHeight="false" outlineLevel="0" collapsed="false">
      <c r="A573" s="0" t="n">
        <v>35</v>
      </c>
      <c r="B573" s="0" t="s">
        <v>76</v>
      </c>
      <c r="C573" s="0" t="s">
        <v>266</v>
      </c>
      <c r="D573" s="0" t="s">
        <v>2672</v>
      </c>
      <c r="E573" s="0" t="n">
        <v>2025</v>
      </c>
      <c r="H573" s="0" t="n">
        <v>3</v>
      </c>
      <c r="I573" s="0" t="n">
        <v>140</v>
      </c>
      <c r="J573" s="0" t="s">
        <v>268</v>
      </c>
      <c r="K573" s="0" t="s">
        <v>2264</v>
      </c>
      <c r="L573" s="0" t="s">
        <v>293</v>
      </c>
      <c r="M573" s="0" t="s">
        <v>2673</v>
      </c>
      <c r="N573" s="0" t="s">
        <v>2673</v>
      </c>
      <c r="O573" s="0" t="s">
        <v>2674</v>
      </c>
      <c r="P573" s="0" t="s">
        <v>2675</v>
      </c>
      <c r="R573" s="0" t="s">
        <v>275</v>
      </c>
      <c r="S573" s="0" t="s">
        <v>290</v>
      </c>
      <c r="T573" s="0" t="s">
        <v>314</v>
      </c>
      <c r="U573" s="0" t="s">
        <v>277</v>
      </c>
      <c r="V573" s="0" t="s">
        <v>2324</v>
      </c>
    </row>
    <row r="574" customFormat="false" ht="15" hidden="false" customHeight="false" outlineLevel="0" collapsed="false">
      <c r="A574" s="0" t="n">
        <v>35</v>
      </c>
      <c r="B574" s="0" t="s">
        <v>76</v>
      </c>
      <c r="C574" s="0" t="s">
        <v>266</v>
      </c>
      <c r="D574" s="0" t="s">
        <v>2676</v>
      </c>
      <c r="E574" s="0" t="n">
        <v>2025</v>
      </c>
      <c r="H574" s="0" t="n">
        <v>1</v>
      </c>
      <c r="I574" s="0" t="n">
        <v>115</v>
      </c>
      <c r="J574" s="0" t="s">
        <v>268</v>
      </c>
      <c r="K574" s="0" t="s">
        <v>2264</v>
      </c>
      <c r="L574" s="0" t="s">
        <v>293</v>
      </c>
      <c r="M574" s="0" t="s">
        <v>2677</v>
      </c>
      <c r="N574" s="0" t="s">
        <v>2677</v>
      </c>
      <c r="O574" s="0" t="s">
        <v>2678</v>
      </c>
      <c r="P574" s="0" t="s">
        <v>2679</v>
      </c>
      <c r="R574" s="0" t="s">
        <v>275</v>
      </c>
      <c r="S574" s="0" t="s">
        <v>290</v>
      </c>
      <c r="T574" s="0" t="s">
        <v>314</v>
      </c>
      <c r="U574" s="0" t="s">
        <v>277</v>
      </c>
      <c r="V574" s="0" t="s">
        <v>2324</v>
      </c>
    </row>
    <row r="575" customFormat="false" ht="15" hidden="false" customHeight="false" outlineLevel="0" collapsed="false">
      <c r="A575" s="0" t="n">
        <v>35</v>
      </c>
      <c r="B575" s="0" t="s">
        <v>76</v>
      </c>
      <c r="C575" s="0" t="s">
        <v>266</v>
      </c>
      <c r="D575" s="0" t="s">
        <v>2680</v>
      </c>
      <c r="E575" s="0" t="n">
        <v>2025</v>
      </c>
      <c r="H575" s="0" t="n">
        <v>4</v>
      </c>
      <c r="I575" s="0" t="n">
        <v>127</v>
      </c>
      <c r="J575" s="0" t="s">
        <v>268</v>
      </c>
      <c r="K575" s="0" t="s">
        <v>2264</v>
      </c>
      <c r="L575" s="0" t="s">
        <v>293</v>
      </c>
      <c r="M575" s="0" t="s">
        <v>2681</v>
      </c>
      <c r="N575" s="0" t="s">
        <v>2681</v>
      </c>
      <c r="O575" s="0" t="s">
        <v>2682</v>
      </c>
      <c r="P575" s="0" t="s">
        <v>2683</v>
      </c>
      <c r="R575" s="0" t="s">
        <v>275</v>
      </c>
      <c r="S575" s="0" t="s">
        <v>290</v>
      </c>
      <c r="T575" s="0" t="s">
        <v>314</v>
      </c>
      <c r="U575" s="0" t="s">
        <v>277</v>
      </c>
      <c r="V575" s="0" t="s">
        <v>2324</v>
      </c>
    </row>
    <row r="576" customFormat="false" ht="15" hidden="false" customHeight="false" outlineLevel="0" collapsed="false">
      <c r="A576" s="0" t="n">
        <v>35</v>
      </c>
      <c r="B576" s="0" t="s">
        <v>76</v>
      </c>
      <c r="C576" s="0" t="s">
        <v>266</v>
      </c>
      <c r="D576" s="0" t="s">
        <v>2684</v>
      </c>
      <c r="E576" s="0" t="n">
        <v>2025</v>
      </c>
      <c r="H576" s="0" t="n">
        <v>1</v>
      </c>
      <c r="I576" s="0" t="n">
        <v>177</v>
      </c>
      <c r="J576" s="0" t="s">
        <v>268</v>
      </c>
      <c r="K576" s="0" t="s">
        <v>2264</v>
      </c>
      <c r="L576" s="0" t="s">
        <v>293</v>
      </c>
      <c r="M576" s="0" t="s">
        <v>2685</v>
      </c>
      <c r="N576" s="0" t="s">
        <v>2685</v>
      </c>
      <c r="O576" s="0" t="s">
        <v>2686</v>
      </c>
      <c r="P576" s="0" t="s">
        <v>2687</v>
      </c>
      <c r="R576" s="0" t="s">
        <v>275</v>
      </c>
      <c r="S576" s="0" t="s">
        <v>290</v>
      </c>
      <c r="T576" s="0" t="s">
        <v>314</v>
      </c>
      <c r="U576" s="0" t="s">
        <v>277</v>
      </c>
      <c r="V576" s="0" t="s">
        <v>2324</v>
      </c>
    </row>
    <row r="577" customFormat="false" ht="15" hidden="false" customHeight="false" outlineLevel="0" collapsed="false">
      <c r="A577" s="0" t="n">
        <v>35</v>
      </c>
      <c r="B577" s="0" t="s">
        <v>76</v>
      </c>
      <c r="C577" s="0" t="s">
        <v>266</v>
      </c>
      <c r="D577" s="0" t="s">
        <v>2688</v>
      </c>
      <c r="E577" s="0" t="n">
        <v>2025</v>
      </c>
      <c r="H577" s="0" t="n">
        <v>1</v>
      </c>
      <c r="I577" s="0" t="n">
        <v>101</v>
      </c>
      <c r="J577" s="0" t="s">
        <v>268</v>
      </c>
      <c r="K577" s="0" t="s">
        <v>2264</v>
      </c>
      <c r="L577" s="0" t="s">
        <v>293</v>
      </c>
      <c r="M577" s="0" t="s">
        <v>2689</v>
      </c>
      <c r="N577" s="0" t="s">
        <v>2689</v>
      </c>
      <c r="O577" s="0" t="s">
        <v>2690</v>
      </c>
      <c r="P577" s="0" t="s">
        <v>2691</v>
      </c>
      <c r="R577" s="0" t="s">
        <v>275</v>
      </c>
      <c r="S577" s="0" t="s">
        <v>290</v>
      </c>
      <c r="T577" s="0" t="s">
        <v>314</v>
      </c>
      <c r="U577" s="0" t="s">
        <v>277</v>
      </c>
      <c r="V577" s="0" t="s">
        <v>2324</v>
      </c>
    </row>
    <row r="578" customFormat="false" ht="15" hidden="false" customHeight="false" outlineLevel="0" collapsed="false">
      <c r="A578" s="0" t="n">
        <v>35</v>
      </c>
      <c r="B578" s="0" t="s">
        <v>76</v>
      </c>
      <c r="C578" s="0" t="s">
        <v>266</v>
      </c>
      <c r="D578" s="0" t="s">
        <v>2692</v>
      </c>
      <c r="E578" s="0" t="n">
        <v>2025</v>
      </c>
      <c r="H578" s="0" t="n">
        <v>2</v>
      </c>
      <c r="I578" s="0" t="n">
        <v>194</v>
      </c>
      <c r="J578" s="0" t="s">
        <v>268</v>
      </c>
      <c r="K578" s="0" t="s">
        <v>2264</v>
      </c>
      <c r="L578" s="0" t="s">
        <v>293</v>
      </c>
      <c r="M578" s="0" t="s">
        <v>2693</v>
      </c>
      <c r="N578" s="0" t="s">
        <v>2693</v>
      </c>
      <c r="O578" s="0" t="s">
        <v>2694</v>
      </c>
      <c r="P578" s="0" t="s">
        <v>2695</v>
      </c>
      <c r="R578" s="0" t="s">
        <v>275</v>
      </c>
      <c r="S578" s="0" t="s">
        <v>290</v>
      </c>
      <c r="T578" s="0" t="s">
        <v>314</v>
      </c>
      <c r="U578" s="0" t="s">
        <v>277</v>
      </c>
      <c r="V578" s="0" t="s">
        <v>2324</v>
      </c>
    </row>
    <row r="579" customFormat="false" ht="15" hidden="false" customHeight="false" outlineLevel="0" collapsed="false">
      <c r="A579" s="0" t="n">
        <v>35</v>
      </c>
      <c r="B579" s="0" t="s">
        <v>76</v>
      </c>
      <c r="C579" s="0" t="s">
        <v>266</v>
      </c>
      <c r="D579" s="0" t="s">
        <v>2696</v>
      </c>
      <c r="E579" s="0" t="n">
        <v>2025</v>
      </c>
      <c r="H579" s="0" t="n">
        <v>2</v>
      </c>
      <c r="I579" s="0" t="n">
        <v>201</v>
      </c>
      <c r="J579" s="0" t="s">
        <v>268</v>
      </c>
      <c r="K579" s="0" t="s">
        <v>2264</v>
      </c>
      <c r="L579" s="0" t="s">
        <v>293</v>
      </c>
      <c r="M579" s="0" t="s">
        <v>2697</v>
      </c>
      <c r="N579" s="0" t="s">
        <v>2697</v>
      </c>
      <c r="O579" s="0" t="s">
        <v>2698</v>
      </c>
      <c r="P579" s="0" t="s">
        <v>2699</v>
      </c>
      <c r="R579" s="0" t="s">
        <v>275</v>
      </c>
      <c r="S579" s="0" t="s">
        <v>290</v>
      </c>
      <c r="T579" s="0" t="s">
        <v>314</v>
      </c>
      <c r="U579" s="0" t="s">
        <v>277</v>
      </c>
      <c r="V579" s="0" t="s">
        <v>2324</v>
      </c>
    </row>
    <row r="580" customFormat="false" ht="15" hidden="false" customHeight="false" outlineLevel="0" collapsed="false">
      <c r="A580" s="0" t="n">
        <v>35</v>
      </c>
      <c r="B580" s="0" t="s">
        <v>76</v>
      </c>
      <c r="C580" s="0" t="s">
        <v>266</v>
      </c>
      <c r="D580" s="0" t="s">
        <v>2700</v>
      </c>
      <c r="E580" s="0" t="n">
        <v>2025</v>
      </c>
      <c r="H580" s="0" t="n">
        <v>6</v>
      </c>
      <c r="I580" s="0" t="n">
        <v>1470</v>
      </c>
      <c r="J580" s="0" t="s">
        <v>268</v>
      </c>
      <c r="K580" s="0" t="s">
        <v>2264</v>
      </c>
      <c r="L580" s="0" t="s">
        <v>293</v>
      </c>
      <c r="M580" s="0" t="s">
        <v>2701</v>
      </c>
      <c r="N580" s="0" t="s">
        <v>2701</v>
      </c>
      <c r="O580" s="0" t="s">
        <v>2702</v>
      </c>
      <c r="P580" s="0" t="s">
        <v>2703</v>
      </c>
      <c r="R580" s="0" t="s">
        <v>275</v>
      </c>
      <c r="S580" s="0" t="s">
        <v>290</v>
      </c>
      <c r="T580" s="0" t="s">
        <v>314</v>
      </c>
      <c r="U580" s="0" t="s">
        <v>277</v>
      </c>
      <c r="V580" s="0" t="s">
        <v>2324</v>
      </c>
    </row>
    <row r="581" customFormat="false" ht="15" hidden="false" customHeight="false" outlineLevel="0" collapsed="false">
      <c r="A581" s="0" t="n">
        <v>35</v>
      </c>
      <c r="B581" s="0" t="s">
        <v>76</v>
      </c>
      <c r="C581" s="0" t="s">
        <v>266</v>
      </c>
      <c r="D581" s="0" t="s">
        <v>2704</v>
      </c>
      <c r="E581" s="0" t="n">
        <v>2025</v>
      </c>
      <c r="H581" s="0" t="n">
        <v>2</v>
      </c>
      <c r="I581" s="0" t="n">
        <v>583</v>
      </c>
      <c r="J581" s="0" t="s">
        <v>268</v>
      </c>
      <c r="K581" s="0" t="s">
        <v>2264</v>
      </c>
      <c r="L581" s="0" t="s">
        <v>293</v>
      </c>
      <c r="M581" s="0" t="s">
        <v>2705</v>
      </c>
      <c r="N581" s="0" t="s">
        <v>2706</v>
      </c>
      <c r="O581" s="0" t="s">
        <v>2707</v>
      </c>
      <c r="P581" s="0" t="s">
        <v>2708</v>
      </c>
      <c r="R581" s="0" t="s">
        <v>275</v>
      </c>
      <c r="S581" s="0" t="s">
        <v>290</v>
      </c>
      <c r="T581" s="0" t="s">
        <v>276</v>
      </c>
      <c r="U581" s="0" t="s">
        <v>277</v>
      </c>
    </row>
    <row r="582" customFormat="false" ht="15" hidden="false" customHeight="false" outlineLevel="0" collapsed="false">
      <c r="A582" s="0" t="n">
        <v>35</v>
      </c>
      <c r="B582" s="0" t="s">
        <v>76</v>
      </c>
      <c r="C582" s="0" t="s">
        <v>266</v>
      </c>
      <c r="D582" s="0" t="s">
        <v>2709</v>
      </c>
      <c r="E582" s="0" t="n">
        <v>2025</v>
      </c>
      <c r="H582" s="0" t="n">
        <v>16</v>
      </c>
      <c r="I582" s="0" t="n">
        <v>344</v>
      </c>
      <c r="J582" s="0" t="s">
        <v>268</v>
      </c>
      <c r="K582" s="0" t="s">
        <v>2264</v>
      </c>
      <c r="L582" s="0" t="s">
        <v>293</v>
      </c>
      <c r="M582" s="0" t="s">
        <v>2710</v>
      </c>
      <c r="N582" s="0" t="s">
        <v>2710</v>
      </c>
      <c r="O582" s="0" t="s">
        <v>2711</v>
      </c>
      <c r="P582" s="0" t="s">
        <v>2712</v>
      </c>
      <c r="R582" s="0" t="s">
        <v>275</v>
      </c>
      <c r="S582" s="0" t="s">
        <v>290</v>
      </c>
      <c r="T582" s="0" t="s">
        <v>314</v>
      </c>
      <c r="U582" s="0" t="s">
        <v>277</v>
      </c>
      <c r="V582" s="0" t="s">
        <v>2324</v>
      </c>
    </row>
    <row r="583" customFormat="false" ht="15" hidden="false" customHeight="false" outlineLevel="0" collapsed="false">
      <c r="A583" s="0" t="n">
        <v>35</v>
      </c>
      <c r="B583" s="0" t="s">
        <v>76</v>
      </c>
      <c r="C583" s="0" t="s">
        <v>266</v>
      </c>
      <c r="D583" s="0" t="s">
        <v>2713</v>
      </c>
      <c r="E583" s="0" t="n">
        <v>2025</v>
      </c>
      <c r="H583" s="0" t="n">
        <v>1</v>
      </c>
      <c r="I583" s="0" t="n">
        <v>104</v>
      </c>
      <c r="J583" s="0" t="s">
        <v>268</v>
      </c>
      <c r="K583" s="0" t="s">
        <v>2264</v>
      </c>
      <c r="L583" s="0" t="s">
        <v>293</v>
      </c>
      <c r="M583" s="0" t="s">
        <v>2714</v>
      </c>
      <c r="N583" s="0" t="s">
        <v>2714</v>
      </c>
      <c r="O583" s="0" t="s">
        <v>2715</v>
      </c>
      <c r="P583" s="0" t="s">
        <v>2716</v>
      </c>
      <c r="R583" s="0" t="s">
        <v>275</v>
      </c>
      <c r="S583" s="0" t="s">
        <v>290</v>
      </c>
      <c r="T583" s="0" t="s">
        <v>314</v>
      </c>
      <c r="U583" s="0" t="s">
        <v>277</v>
      </c>
      <c r="V583" s="0" t="s">
        <v>2324</v>
      </c>
    </row>
    <row r="584" customFormat="false" ht="15" hidden="false" customHeight="false" outlineLevel="0" collapsed="false">
      <c r="A584" s="0" t="n">
        <v>35</v>
      </c>
      <c r="B584" s="0" t="s">
        <v>76</v>
      </c>
      <c r="C584" s="0" t="s">
        <v>266</v>
      </c>
      <c r="D584" s="0" t="s">
        <v>2717</v>
      </c>
      <c r="E584" s="0" t="n">
        <v>2025</v>
      </c>
      <c r="H584" s="0" t="n">
        <v>1</v>
      </c>
      <c r="I584" s="0" t="n">
        <v>317</v>
      </c>
      <c r="J584" s="0" t="s">
        <v>268</v>
      </c>
      <c r="K584" s="0" t="s">
        <v>2264</v>
      </c>
      <c r="L584" s="0" t="s">
        <v>293</v>
      </c>
      <c r="M584" s="0" t="s">
        <v>2718</v>
      </c>
      <c r="N584" s="0" t="s">
        <v>2718</v>
      </c>
      <c r="O584" s="0" t="s">
        <v>2719</v>
      </c>
      <c r="P584" s="0" t="s">
        <v>2720</v>
      </c>
      <c r="R584" s="0" t="s">
        <v>275</v>
      </c>
      <c r="S584" s="0" t="s">
        <v>290</v>
      </c>
      <c r="T584" s="0" t="s">
        <v>314</v>
      </c>
      <c r="U584" s="0" t="s">
        <v>277</v>
      </c>
      <c r="V584" s="0" t="s">
        <v>2324</v>
      </c>
    </row>
    <row r="585" customFormat="false" ht="15" hidden="false" customHeight="false" outlineLevel="0" collapsed="false">
      <c r="A585" s="0" t="n">
        <v>35</v>
      </c>
      <c r="B585" s="0" t="s">
        <v>76</v>
      </c>
      <c r="C585" s="0" t="s">
        <v>266</v>
      </c>
      <c r="D585" s="0" t="s">
        <v>2721</v>
      </c>
      <c r="E585" s="0" t="n">
        <v>2025</v>
      </c>
      <c r="H585" s="0" t="n">
        <v>2</v>
      </c>
      <c r="I585" s="0" t="n">
        <v>577</v>
      </c>
      <c r="J585" s="0" t="s">
        <v>268</v>
      </c>
      <c r="K585" s="0" t="s">
        <v>2264</v>
      </c>
      <c r="L585" s="0" t="s">
        <v>293</v>
      </c>
      <c r="M585" s="0" t="s">
        <v>2722</v>
      </c>
      <c r="N585" s="0" t="s">
        <v>2723</v>
      </c>
      <c r="O585" s="0" t="s">
        <v>2724</v>
      </c>
      <c r="P585" s="0" t="s">
        <v>2725</v>
      </c>
      <c r="R585" s="0" t="s">
        <v>275</v>
      </c>
      <c r="S585" s="0" t="s">
        <v>290</v>
      </c>
      <c r="T585" s="0" t="s">
        <v>276</v>
      </c>
      <c r="U585" s="0" t="s">
        <v>277</v>
      </c>
    </row>
    <row r="586" customFormat="false" ht="15" hidden="false" customHeight="false" outlineLevel="0" collapsed="false">
      <c r="A586" s="0" t="n">
        <v>35</v>
      </c>
      <c r="B586" s="0" t="s">
        <v>76</v>
      </c>
      <c r="C586" s="0" t="s">
        <v>266</v>
      </c>
      <c r="D586" s="0" t="s">
        <v>2726</v>
      </c>
      <c r="E586" s="0" t="n">
        <v>2025</v>
      </c>
      <c r="H586" s="0" t="n">
        <v>1</v>
      </c>
      <c r="I586" s="0" t="n">
        <v>176</v>
      </c>
      <c r="J586" s="0" t="s">
        <v>268</v>
      </c>
      <c r="K586" s="0" t="s">
        <v>2264</v>
      </c>
      <c r="L586" s="0" t="s">
        <v>293</v>
      </c>
      <c r="M586" s="0" t="s">
        <v>2727</v>
      </c>
      <c r="N586" s="0" t="s">
        <v>2728</v>
      </c>
      <c r="O586" s="0" t="s">
        <v>2729</v>
      </c>
      <c r="P586" s="0" t="s">
        <v>2730</v>
      </c>
      <c r="R586" s="0" t="s">
        <v>275</v>
      </c>
      <c r="S586" s="0" t="s">
        <v>290</v>
      </c>
      <c r="T586" s="0" t="s">
        <v>276</v>
      </c>
      <c r="U586" s="0" t="s">
        <v>277</v>
      </c>
    </row>
    <row r="587" customFormat="false" ht="15" hidden="false" customHeight="false" outlineLevel="0" collapsed="false">
      <c r="A587" s="0" t="n">
        <v>35</v>
      </c>
      <c r="B587" s="0" t="s">
        <v>76</v>
      </c>
      <c r="C587" s="0" t="s">
        <v>266</v>
      </c>
      <c r="D587" s="0" t="s">
        <v>2731</v>
      </c>
      <c r="E587" s="0" t="n">
        <v>2025</v>
      </c>
      <c r="H587" s="0" t="n">
        <v>1</v>
      </c>
      <c r="I587" s="0" t="n">
        <v>184</v>
      </c>
      <c r="J587" s="0" t="s">
        <v>268</v>
      </c>
      <c r="K587" s="0" t="s">
        <v>2264</v>
      </c>
      <c r="L587" s="0" t="s">
        <v>293</v>
      </c>
      <c r="M587" s="0" t="s">
        <v>2732</v>
      </c>
      <c r="N587" s="0" t="s">
        <v>2732</v>
      </c>
      <c r="O587" s="0" t="s">
        <v>2733</v>
      </c>
      <c r="P587" s="0" t="s">
        <v>2734</v>
      </c>
      <c r="R587" s="0" t="s">
        <v>275</v>
      </c>
      <c r="S587" s="0" t="s">
        <v>290</v>
      </c>
      <c r="T587" s="0" t="s">
        <v>276</v>
      </c>
      <c r="U587" s="0" t="s">
        <v>277</v>
      </c>
    </row>
    <row r="588" customFormat="false" ht="15" hidden="false" customHeight="false" outlineLevel="0" collapsed="false">
      <c r="A588" s="0" t="n">
        <v>35</v>
      </c>
      <c r="B588" s="0" t="s">
        <v>76</v>
      </c>
      <c r="C588" s="0" t="s">
        <v>266</v>
      </c>
      <c r="D588" s="0" t="s">
        <v>2735</v>
      </c>
      <c r="E588" s="0" t="n">
        <v>2025</v>
      </c>
      <c r="H588" s="0" t="n">
        <v>3</v>
      </c>
      <c r="I588" s="0" t="n">
        <v>108</v>
      </c>
      <c r="J588" s="0" t="s">
        <v>268</v>
      </c>
      <c r="K588" s="0" t="s">
        <v>2264</v>
      </c>
      <c r="L588" s="0" t="s">
        <v>293</v>
      </c>
      <c r="M588" s="0" t="s">
        <v>2736</v>
      </c>
      <c r="N588" s="0" t="s">
        <v>2736</v>
      </c>
      <c r="O588" s="0" t="s">
        <v>2737</v>
      </c>
      <c r="P588" s="0" t="s">
        <v>2738</v>
      </c>
      <c r="R588" s="0" t="s">
        <v>275</v>
      </c>
      <c r="S588" s="0" t="s">
        <v>290</v>
      </c>
      <c r="T588" s="0" t="s">
        <v>276</v>
      </c>
      <c r="U588" s="0" t="s">
        <v>277</v>
      </c>
    </row>
    <row r="589" customFormat="false" ht="15" hidden="false" customHeight="false" outlineLevel="0" collapsed="false">
      <c r="A589" s="0" t="n">
        <v>35</v>
      </c>
      <c r="B589" s="0" t="s">
        <v>76</v>
      </c>
      <c r="C589" s="0" t="s">
        <v>266</v>
      </c>
      <c r="D589" s="0" t="s">
        <v>2739</v>
      </c>
      <c r="E589" s="0" t="n">
        <v>2025</v>
      </c>
      <c r="H589" s="0" t="n">
        <v>5</v>
      </c>
      <c r="I589" s="0" t="n">
        <v>163</v>
      </c>
      <c r="J589" s="0" t="s">
        <v>268</v>
      </c>
      <c r="K589" s="0" t="s">
        <v>2264</v>
      </c>
      <c r="L589" s="0" t="s">
        <v>293</v>
      </c>
      <c r="M589" s="0" t="s">
        <v>2740</v>
      </c>
      <c r="N589" s="0" t="s">
        <v>2740</v>
      </c>
      <c r="O589" s="0" t="s">
        <v>2741</v>
      </c>
      <c r="P589" s="0" t="s">
        <v>2742</v>
      </c>
      <c r="R589" s="0" t="s">
        <v>275</v>
      </c>
      <c r="S589" s="0" t="s">
        <v>290</v>
      </c>
      <c r="T589" s="0" t="s">
        <v>276</v>
      </c>
      <c r="U589" s="0" t="s">
        <v>277</v>
      </c>
    </row>
    <row r="590" customFormat="false" ht="15" hidden="false" customHeight="false" outlineLevel="0" collapsed="false">
      <c r="A590" s="0" t="n">
        <v>35</v>
      </c>
      <c r="B590" s="0" t="s">
        <v>76</v>
      </c>
      <c r="C590" s="0" t="s">
        <v>266</v>
      </c>
      <c r="D590" s="0" t="s">
        <v>2743</v>
      </c>
      <c r="E590" s="0" t="n">
        <v>2025</v>
      </c>
      <c r="H590" s="0" t="n">
        <v>4</v>
      </c>
      <c r="I590" s="0" t="n">
        <v>131</v>
      </c>
      <c r="J590" s="0" t="s">
        <v>268</v>
      </c>
      <c r="K590" s="0" t="s">
        <v>2264</v>
      </c>
      <c r="L590" s="0" t="s">
        <v>293</v>
      </c>
      <c r="M590" s="0" t="s">
        <v>2744</v>
      </c>
      <c r="N590" s="0" t="s">
        <v>2744</v>
      </c>
      <c r="O590" s="0" t="s">
        <v>2745</v>
      </c>
      <c r="P590" s="0" t="s">
        <v>2746</v>
      </c>
      <c r="R590" s="0" t="s">
        <v>275</v>
      </c>
      <c r="S590" s="0" t="s">
        <v>290</v>
      </c>
      <c r="T590" s="0" t="s">
        <v>276</v>
      </c>
      <c r="U590" s="0" t="s">
        <v>277</v>
      </c>
    </row>
    <row r="591" customFormat="false" ht="15" hidden="false" customHeight="false" outlineLevel="0" collapsed="false">
      <c r="A591" s="0" t="n">
        <v>35</v>
      </c>
      <c r="B591" s="0" t="s">
        <v>76</v>
      </c>
      <c r="C591" s="0" t="s">
        <v>266</v>
      </c>
      <c r="D591" s="0" t="s">
        <v>2747</v>
      </c>
      <c r="E591" s="0" t="n">
        <v>2025</v>
      </c>
      <c r="H591" s="0" t="n">
        <v>3</v>
      </c>
      <c r="I591" s="0" t="n">
        <v>124</v>
      </c>
      <c r="J591" s="0" t="s">
        <v>268</v>
      </c>
      <c r="K591" s="0" t="s">
        <v>2264</v>
      </c>
      <c r="L591" s="0" t="s">
        <v>293</v>
      </c>
      <c r="M591" s="0" t="s">
        <v>2748</v>
      </c>
      <c r="N591" s="0" t="s">
        <v>2748</v>
      </c>
      <c r="O591" s="0" t="s">
        <v>2749</v>
      </c>
      <c r="P591" s="0" t="s">
        <v>2750</v>
      </c>
      <c r="R591" s="0" t="s">
        <v>275</v>
      </c>
      <c r="S591" s="0" t="s">
        <v>290</v>
      </c>
      <c r="T591" s="0" t="s">
        <v>276</v>
      </c>
      <c r="U591" s="0" t="s">
        <v>277</v>
      </c>
    </row>
    <row r="592" customFormat="false" ht="15" hidden="false" customHeight="false" outlineLevel="0" collapsed="false">
      <c r="A592" s="0" t="n">
        <v>35</v>
      </c>
      <c r="B592" s="0" t="s">
        <v>76</v>
      </c>
      <c r="C592" s="0" t="s">
        <v>266</v>
      </c>
      <c r="D592" s="0" t="s">
        <v>2751</v>
      </c>
      <c r="E592" s="0" t="n">
        <v>2025</v>
      </c>
      <c r="H592" s="0" t="n">
        <v>9</v>
      </c>
      <c r="I592" s="0" t="n">
        <v>304</v>
      </c>
      <c r="J592" s="0" t="s">
        <v>268</v>
      </c>
      <c r="K592" s="0" t="s">
        <v>2264</v>
      </c>
      <c r="L592" s="0" t="s">
        <v>293</v>
      </c>
      <c r="M592" s="0" t="s">
        <v>2752</v>
      </c>
      <c r="N592" s="0" t="s">
        <v>2752</v>
      </c>
      <c r="O592" s="0" t="s">
        <v>2753</v>
      </c>
      <c r="P592" s="0" t="s">
        <v>2754</v>
      </c>
      <c r="R592" s="0" t="s">
        <v>275</v>
      </c>
      <c r="S592" s="0" t="s">
        <v>290</v>
      </c>
      <c r="T592" s="0" t="s">
        <v>276</v>
      </c>
      <c r="U592" s="0" t="s">
        <v>277</v>
      </c>
    </row>
    <row r="593" customFormat="false" ht="15" hidden="false" customHeight="false" outlineLevel="0" collapsed="false">
      <c r="A593" s="0" t="n">
        <v>35</v>
      </c>
      <c r="B593" s="0" t="s">
        <v>76</v>
      </c>
      <c r="C593" s="0" t="s">
        <v>266</v>
      </c>
      <c r="D593" s="0" t="s">
        <v>2755</v>
      </c>
      <c r="E593" s="0" t="n">
        <v>2025</v>
      </c>
      <c r="H593" s="0" t="n">
        <v>6</v>
      </c>
      <c r="I593" s="0" t="n">
        <v>1464</v>
      </c>
      <c r="J593" s="0" t="s">
        <v>268</v>
      </c>
      <c r="K593" s="0" t="s">
        <v>2264</v>
      </c>
      <c r="L593" s="0" t="s">
        <v>293</v>
      </c>
      <c r="M593" s="0" t="s">
        <v>2756</v>
      </c>
      <c r="N593" s="0" t="s">
        <v>2756</v>
      </c>
      <c r="O593" s="0" t="s">
        <v>2757</v>
      </c>
      <c r="P593" s="0" t="s">
        <v>2758</v>
      </c>
      <c r="R593" s="0" t="s">
        <v>275</v>
      </c>
      <c r="S593" s="0" t="s">
        <v>290</v>
      </c>
      <c r="T593" s="0" t="s">
        <v>276</v>
      </c>
      <c r="U593" s="0" t="s">
        <v>277</v>
      </c>
    </row>
    <row r="594" customFormat="false" ht="15" hidden="false" customHeight="false" outlineLevel="0" collapsed="false">
      <c r="A594" s="0" t="n">
        <v>35</v>
      </c>
      <c r="B594" s="0" t="s">
        <v>76</v>
      </c>
      <c r="C594" s="0" t="s">
        <v>266</v>
      </c>
      <c r="D594" s="0" t="s">
        <v>2759</v>
      </c>
      <c r="E594" s="0" t="n">
        <v>2025</v>
      </c>
      <c r="H594" s="0" t="n">
        <v>16</v>
      </c>
      <c r="I594" s="0" t="n">
        <v>300</v>
      </c>
      <c r="J594" s="0" t="s">
        <v>268</v>
      </c>
      <c r="K594" s="0" t="s">
        <v>2264</v>
      </c>
      <c r="L594" s="0" t="s">
        <v>293</v>
      </c>
      <c r="M594" s="0" t="s">
        <v>2760</v>
      </c>
      <c r="N594" s="0" t="s">
        <v>2760</v>
      </c>
      <c r="O594" s="0" t="s">
        <v>2761</v>
      </c>
      <c r="P594" s="0" t="s">
        <v>2762</v>
      </c>
      <c r="R594" s="0" t="s">
        <v>275</v>
      </c>
      <c r="S594" s="0" t="s">
        <v>290</v>
      </c>
      <c r="T594" s="0" t="s">
        <v>276</v>
      </c>
      <c r="U594" s="0" t="s">
        <v>277</v>
      </c>
    </row>
    <row r="595" customFormat="false" ht="15" hidden="false" customHeight="false" outlineLevel="0" collapsed="false">
      <c r="A595" s="0" t="n">
        <v>35</v>
      </c>
      <c r="B595" s="0" t="s">
        <v>76</v>
      </c>
      <c r="C595" s="0" t="s">
        <v>266</v>
      </c>
      <c r="D595" s="0" t="s">
        <v>2763</v>
      </c>
      <c r="E595" s="0" t="n">
        <v>2025</v>
      </c>
      <c r="H595" s="0" t="n">
        <v>1</v>
      </c>
      <c r="I595" s="0" t="n">
        <v>148</v>
      </c>
      <c r="J595" s="0" t="s">
        <v>268</v>
      </c>
      <c r="K595" s="0" t="s">
        <v>2264</v>
      </c>
      <c r="L595" s="0" t="s">
        <v>293</v>
      </c>
      <c r="M595" s="0" t="s">
        <v>2764</v>
      </c>
      <c r="N595" s="0" t="s">
        <v>2765</v>
      </c>
      <c r="O595" s="0" t="s">
        <v>2766</v>
      </c>
      <c r="P595" s="0" t="s">
        <v>2767</v>
      </c>
      <c r="R595" s="0" t="s">
        <v>275</v>
      </c>
      <c r="S595" s="0" t="s">
        <v>290</v>
      </c>
      <c r="T595" s="0" t="s">
        <v>314</v>
      </c>
      <c r="U595" s="0" t="s">
        <v>277</v>
      </c>
      <c r="V595" s="0" t="s">
        <v>2324</v>
      </c>
    </row>
    <row r="596" customFormat="false" ht="15" hidden="false" customHeight="false" outlineLevel="0" collapsed="false">
      <c r="A596" s="0" t="n">
        <v>35</v>
      </c>
      <c r="B596" s="0" t="s">
        <v>76</v>
      </c>
      <c r="C596" s="0" t="s">
        <v>266</v>
      </c>
      <c r="D596" s="0" t="s">
        <v>2768</v>
      </c>
      <c r="E596" s="0" t="n">
        <v>2025</v>
      </c>
      <c r="H596" s="0" t="n">
        <v>1</v>
      </c>
      <c r="I596" s="0" t="n">
        <v>154</v>
      </c>
      <c r="J596" s="0" t="s">
        <v>268</v>
      </c>
      <c r="K596" s="0" t="s">
        <v>2264</v>
      </c>
      <c r="L596" s="0" t="s">
        <v>293</v>
      </c>
      <c r="M596" s="0" t="s">
        <v>2769</v>
      </c>
      <c r="N596" s="0" t="s">
        <v>2770</v>
      </c>
      <c r="O596" s="0" t="s">
        <v>2771</v>
      </c>
      <c r="P596" s="0" t="s">
        <v>2772</v>
      </c>
      <c r="R596" s="0" t="s">
        <v>275</v>
      </c>
      <c r="S596" s="0" t="s">
        <v>290</v>
      </c>
      <c r="T596" s="0" t="s">
        <v>314</v>
      </c>
      <c r="U596" s="0" t="s">
        <v>277</v>
      </c>
      <c r="V596" s="0" t="s">
        <v>2324</v>
      </c>
    </row>
    <row r="597" customFormat="false" ht="15" hidden="false" customHeight="false" outlineLevel="0" collapsed="false">
      <c r="A597" s="0" t="n">
        <v>35</v>
      </c>
      <c r="B597" s="0" t="s">
        <v>76</v>
      </c>
      <c r="C597" s="0" t="s">
        <v>266</v>
      </c>
      <c r="D597" s="0" t="s">
        <v>2773</v>
      </c>
      <c r="E597" s="0" t="n">
        <v>2025</v>
      </c>
      <c r="H597" s="0" t="n">
        <v>1</v>
      </c>
      <c r="I597" s="0" t="n">
        <v>136</v>
      </c>
      <c r="J597" s="0" t="s">
        <v>268</v>
      </c>
      <c r="K597" s="0" t="s">
        <v>2264</v>
      </c>
      <c r="L597" s="0" t="s">
        <v>293</v>
      </c>
      <c r="M597" s="0" t="s">
        <v>2774</v>
      </c>
      <c r="N597" s="0" t="s">
        <v>2774</v>
      </c>
      <c r="O597" s="0" t="s">
        <v>2775</v>
      </c>
      <c r="P597" s="0" t="s">
        <v>2776</v>
      </c>
      <c r="R597" s="0" t="s">
        <v>275</v>
      </c>
      <c r="S597" s="0" t="s">
        <v>290</v>
      </c>
      <c r="T597" s="0" t="s">
        <v>314</v>
      </c>
      <c r="U597" s="0" t="s">
        <v>277</v>
      </c>
      <c r="V597" s="0" t="s">
        <v>2324</v>
      </c>
    </row>
    <row r="598" customFormat="false" ht="15" hidden="false" customHeight="false" outlineLevel="0" collapsed="false">
      <c r="A598" s="0" t="n">
        <v>35</v>
      </c>
      <c r="B598" s="0" t="s">
        <v>76</v>
      </c>
      <c r="C598" s="0" t="s">
        <v>266</v>
      </c>
      <c r="D598" s="0" t="s">
        <v>2777</v>
      </c>
      <c r="E598" s="0" t="n">
        <v>2025</v>
      </c>
      <c r="H598" s="0" t="n">
        <v>1</v>
      </c>
      <c r="I598" s="0" t="n">
        <v>139</v>
      </c>
      <c r="J598" s="0" t="s">
        <v>268</v>
      </c>
      <c r="K598" s="0" t="s">
        <v>2264</v>
      </c>
      <c r="L598" s="0" t="s">
        <v>293</v>
      </c>
      <c r="M598" s="0" t="s">
        <v>2778</v>
      </c>
      <c r="N598" s="0" t="s">
        <v>2779</v>
      </c>
      <c r="O598" s="0" t="s">
        <v>2780</v>
      </c>
      <c r="P598" s="0" t="s">
        <v>2781</v>
      </c>
      <c r="R598" s="0" t="s">
        <v>275</v>
      </c>
      <c r="S598" s="0" t="s">
        <v>290</v>
      </c>
      <c r="T598" s="0" t="s">
        <v>314</v>
      </c>
      <c r="U598" s="0" t="s">
        <v>277</v>
      </c>
      <c r="V598" s="0" t="s">
        <v>2324</v>
      </c>
    </row>
    <row r="599" customFormat="false" ht="15" hidden="false" customHeight="false" outlineLevel="0" collapsed="false">
      <c r="A599" s="0" t="n">
        <v>35</v>
      </c>
      <c r="B599" s="0" t="s">
        <v>76</v>
      </c>
      <c r="C599" s="0" t="s">
        <v>266</v>
      </c>
      <c r="D599" s="0" t="s">
        <v>2782</v>
      </c>
      <c r="E599" s="0" t="n">
        <v>2025</v>
      </c>
      <c r="H599" s="0" t="n">
        <v>4</v>
      </c>
      <c r="I599" s="0" t="n">
        <v>1687</v>
      </c>
      <c r="J599" s="0" t="s">
        <v>290</v>
      </c>
      <c r="K599" s="0" t="s">
        <v>2264</v>
      </c>
      <c r="L599" s="0" t="s">
        <v>293</v>
      </c>
      <c r="M599" s="0" t="s">
        <v>2783</v>
      </c>
      <c r="N599" s="0" t="s">
        <v>2783</v>
      </c>
      <c r="O599" s="0" t="s">
        <v>2784</v>
      </c>
      <c r="P599" s="0" t="s">
        <v>2785</v>
      </c>
      <c r="R599" s="0" t="s">
        <v>275</v>
      </c>
      <c r="S599" s="0" t="s">
        <v>290</v>
      </c>
      <c r="T599" s="0" t="s">
        <v>314</v>
      </c>
      <c r="U599" s="0" t="s">
        <v>277</v>
      </c>
      <c r="V599" s="0" t="s">
        <v>2324</v>
      </c>
    </row>
    <row r="600" customFormat="false" ht="15" hidden="false" customHeight="false" outlineLevel="0" collapsed="false">
      <c r="A600" s="0" t="n">
        <v>35</v>
      </c>
      <c r="B600" s="0" t="s">
        <v>76</v>
      </c>
      <c r="C600" s="0" t="s">
        <v>266</v>
      </c>
      <c r="D600" s="0" t="s">
        <v>2786</v>
      </c>
      <c r="E600" s="0" t="n">
        <v>2025</v>
      </c>
      <c r="H600" s="0" t="n">
        <v>2</v>
      </c>
      <c r="I600" s="0" t="n">
        <v>4814</v>
      </c>
      <c r="J600" s="0" t="s">
        <v>268</v>
      </c>
      <c r="K600" s="0" t="s">
        <v>2264</v>
      </c>
      <c r="L600" s="0" t="s">
        <v>293</v>
      </c>
      <c r="M600" s="0" t="s">
        <v>2787</v>
      </c>
      <c r="N600" s="0" t="s">
        <v>2787</v>
      </c>
      <c r="O600" s="0" t="s">
        <v>2788</v>
      </c>
      <c r="P600" s="0" t="s">
        <v>2789</v>
      </c>
      <c r="R600" s="0" t="s">
        <v>275</v>
      </c>
      <c r="S600" s="0" t="s">
        <v>290</v>
      </c>
      <c r="T600" s="0" t="s">
        <v>276</v>
      </c>
      <c r="U600" s="0" t="s">
        <v>277</v>
      </c>
    </row>
    <row r="601" customFormat="false" ht="15" hidden="false" customHeight="false" outlineLevel="0" collapsed="false">
      <c r="A601" s="0" t="n">
        <v>35</v>
      </c>
      <c r="B601" s="0" t="s">
        <v>76</v>
      </c>
      <c r="C601" s="0" t="s">
        <v>266</v>
      </c>
      <c r="D601" s="0" t="s">
        <v>2790</v>
      </c>
      <c r="E601" s="0" t="n">
        <v>2025</v>
      </c>
      <c r="H601" s="0" t="n">
        <v>16</v>
      </c>
      <c r="I601" s="0" t="n">
        <v>340</v>
      </c>
      <c r="J601" s="0" t="s">
        <v>268</v>
      </c>
      <c r="K601" s="0" t="s">
        <v>2264</v>
      </c>
      <c r="L601" s="0" t="s">
        <v>293</v>
      </c>
      <c r="M601" s="0" t="s">
        <v>2791</v>
      </c>
      <c r="N601" s="0" t="s">
        <v>2791</v>
      </c>
      <c r="O601" s="0" t="s">
        <v>2792</v>
      </c>
      <c r="P601" s="0" t="s">
        <v>2793</v>
      </c>
      <c r="R601" s="0" t="s">
        <v>275</v>
      </c>
      <c r="S601" s="0" t="s">
        <v>290</v>
      </c>
      <c r="T601" s="0" t="s">
        <v>276</v>
      </c>
      <c r="U601" s="0" t="s">
        <v>277</v>
      </c>
    </row>
    <row r="602" customFormat="false" ht="15" hidden="false" customHeight="false" outlineLevel="0" collapsed="false">
      <c r="A602" s="0" t="n">
        <v>35</v>
      </c>
      <c r="B602" s="0" t="s">
        <v>76</v>
      </c>
      <c r="C602" s="0" t="s">
        <v>266</v>
      </c>
      <c r="D602" s="0" t="s">
        <v>2794</v>
      </c>
      <c r="E602" s="0" t="n">
        <v>2025</v>
      </c>
      <c r="H602" s="0" t="n">
        <v>5</v>
      </c>
      <c r="I602" s="0" t="n">
        <v>165</v>
      </c>
      <c r="J602" s="0" t="s">
        <v>268</v>
      </c>
      <c r="K602" s="0" t="s">
        <v>2264</v>
      </c>
      <c r="L602" s="0" t="s">
        <v>293</v>
      </c>
      <c r="M602" s="0" t="s">
        <v>2795</v>
      </c>
      <c r="N602" s="0" t="s">
        <v>2795</v>
      </c>
      <c r="O602" s="0" t="s">
        <v>2796</v>
      </c>
      <c r="P602" s="0" t="s">
        <v>2797</v>
      </c>
      <c r="R602" s="0" t="s">
        <v>275</v>
      </c>
      <c r="S602" s="0" t="s">
        <v>290</v>
      </c>
      <c r="T602" s="0" t="s">
        <v>276</v>
      </c>
      <c r="U602" s="0" t="s">
        <v>277</v>
      </c>
    </row>
    <row r="603" customFormat="false" ht="15" hidden="false" customHeight="false" outlineLevel="0" collapsed="false">
      <c r="A603" s="0" t="n">
        <v>35</v>
      </c>
      <c r="B603" s="0" t="s">
        <v>76</v>
      </c>
      <c r="C603" s="0" t="s">
        <v>266</v>
      </c>
      <c r="D603" s="0" t="s">
        <v>2798</v>
      </c>
      <c r="E603" s="0" t="n">
        <v>2025</v>
      </c>
      <c r="H603" s="0" t="n">
        <v>1</v>
      </c>
      <c r="I603" s="0" t="n">
        <v>300</v>
      </c>
      <c r="J603" s="0" t="s">
        <v>268</v>
      </c>
      <c r="K603" s="0" t="s">
        <v>2264</v>
      </c>
      <c r="L603" s="0" t="s">
        <v>293</v>
      </c>
      <c r="M603" s="0" t="s">
        <v>2799</v>
      </c>
      <c r="N603" s="0" t="s">
        <v>2799</v>
      </c>
      <c r="O603" s="0" t="s">
        <v>2800</v>
      </c>
      <c r="P603" s="0" t="s">
        <v>2801</v>
      </c>
      <c r="R603" s="0" t="s">
        <v>275</v>
      </c>
      <c r="S603" s="0" t="s">
        <v>290</v>
      </c>
      <c r="T603" s="0" t="s">
        <v>276</v>
      </c>
      <c r="U603" s="0" t="s">
        <v>277</v>
      </c>
    </row>
    <row r="604" customFormat="false" ht="15" hidden="false" customHeight="false" outlineLevel="0" collapsed="false">
      <c r="A604" s="0" t="n">
        <v>35</v>
      </c>
      <c r="B604" s="0" t="s">
        <v>76</v>
      </c>
      <c r="C604" s="0" t="s">
        <v>266</v>
      </c>
      <c r="D604" s="0" t="s">
        <v>2802</v>
      </c>
      <c r="E604" s="0" t="n">
        <v>2025</v>
      </c>
      <c r="H604" s="0" t="n">
        <v>4</v>
      </c>
      <c r="I604" s="0" t="n">
        <v>1448</v>
      </c>
      <c r="J604" s="0" t="s">
        <v>268</v>
      </c>
      <c r="K604" s="0" t="s">
        <v>2264</v>
      </c>
      <c r="L604" s="0" t="s">
        <v>293</v>
      </c>
      <c r="M604" s="0" t="s">
        <v>2803</v>
      </c>
      <c r="N604" s="0" t="s">
        <v>2803</v>
      </c>
      <c r="O604" s="0" t="s">
        <v>2804</v>
      </c>
      <c r="P604" s="0" t="s">
        <v>2805</v>
      </c>
      <c r="R604" s="0" t="s">
        <v>275</v>
      </c>
      <c r="S604" s="0" t="s">
        <v>290</v>
      </c>
      <c r="T604" s="0" t="s">
        <v>276</v>
      </c>
      <c r="U604" s="0" t="s">
        <v>277</v>
      </c>
    </row>
    <row r="605" customFormat="false" ht="15" hidden="false" customHeight="false" outlineLevel="0" collapsed="false">
      <c r="A605" s="0" t="n">
        <v>35</v>
      </c>
      <c r="B605" s="0" t="s">
        <v>76</v>
      </c>
      <c r="C605" s="0" t="s">
        <v>266</v>
      </c>
      <c r="D605" s="0" t="s">
        <v>2806</v>
      </c>
      <c r="E605" s="0" t="n">
        <v>2025</v>
      </c>
      <c r="H605" s="0" t="n">
        <v>4</v>
      </c>
      <c r="I605" s="0" t="n">
        <v>9293</v>
      </c>
      <c r="J605" s="0" t="s">
        <v>268</v>
      </c>
      <c r="K605" s="0" t="s">
        <v>2264</v>
      </c>
      <c r="L605" s="0" t="s">
        <v>293</v>
      </c>
      <c r="M605" s="0" t="s">
        <v>2807</v>
      </c>
      <c r="N605" s="0" t="s">
        <v>2807</v>
      </c>
      <c r="O605" s="0" t="s">
        <v>2808</v>
      </c>
      <c r="P605" s="0" t="s">
        <v>2809</v>
      </c>
      <c r="R605" s="0" t="s">
        <v>275</v>
      </c>
      <c r="S605" s="0" t="s">
        <v>290</v>
      </c>
      <c r="T605" s="0" t="s">
        <v>314</v>
      </c>
      <c r="U605" s="0" t="s">
        <v>277</v>
      </c>
      <c r="V605" s="0" t="s">
        <v>2324</v>
      </c>
    </row>
    <row r="606" customFormat="false" ht="15" hidden="false" customHeight="false" outlineLevel="0" collapsed="false">
      <c r="A606" s="0" t="n">
        <v>35</v>
      </c>
      <c r="B606" s="0" t="s">
        <v>76</v>
      </c>
      <c r="C606" s="0" t="s">
        <v>266</v>
      </c>
      <c r="D606" s="0" t="s">
        <v>2810</v>
      </c>
      <c r="E606" s="0" t="n">
        <v>2025</v>
      </c>
      <c r="H606" s="0" t="n">
        <v>9</v>
      </c>
      <c r="I606" s="0" t="n">
        <v>583</v>
      </c>
      <c r="J606" s="0" t="s">
        <v>268</v>
      </c>
      <c r="K606" s="0" t="s">
        <v>2264</v>
      </c>
      <c r="L606" s="0" t="s">
        <v>293</v>
      </c>
      <c r="M606" s="0" t="s">
        <v>2811</v>
      </c>
      <c r="N606" s="0" t="s">
        <v>2811</v>
      </c>
      <c r="O606" s="0" t="s">
        <v>2812</v>
      </c>
      <c r="P606" s="0" t="s">
        <v>2813</v>
      </c>
      <c r="R606" s="0" t="s">
        <v>275</v>
      </c>
      <c r="S606" s="0" t="s">
        <v>290</v>
      </c>
      <c r="T606" s="0" t="s">
        <v>314</v>
      </c>
      <c r="U606" s="0" t="s">
        <v>277</v>
      </c>
      <c r="V606" s="0" t="s">
        <v>2324</v>
      </c>
    </row>
    <row r="607" customFormat="false" ht="15" hidden="false" customHeight="false" outlineLevel="0" collapsed="false">
      <c r="A607" s="0" t="n">
        <v>35</v>
      </c>
      <c r="B607" s="0" t="s">
        <v>76</v>
      </c>
      <c r="C607" s="0" t="s">
        <v>266</v>
      </c>
      <c r="D607" s="0" t="s">
        <v>2814</v>
      </c>
      <c r="E607" s="0" t="n">
        <v>2025</v>
      </c>
      <c r="H607" s="0" t="n">
        <v>17</v>
      </c>
      <c r="I607" s="0" t="n">
        <v>4584</v>
      </c>
      <c r="J607" s="0" t="s">
        <v>268</v>
      </c>
      <c r="K607" s="0" t="s">
        <v>2264</v>
      </c>
      <c r="L607" s="0" t="s">
        <v>293</v>
      </c>
      <c r="M607" s="0" t="s">
        <v>2815</v>
      </c>
      <c r="N607" s="0" t="s">
        <v>2815</v>
      </c>
      <c r="O607" s="0" t="s">
        <v>2816</v>
      </c>
      <c r="P607" s="0" t="s">
        <v>2817</v>
      </c>
      <c r="R607" s="0" t="s">
        <v>275</v>
      </c>
      <c r="S607" s="0" t="s">
        <v>290</v>
      </c>
      <c r="T607" s="0" t="s">
        <v>276</v>
      </c>
      <c r="U607" s="0" t="s">
        <v>277</v>
      </c>
    </row>
    <row r="608" customFormat="false" ht="15" hidden="false" customHeight="false" outlineLevel="0" collapsed="false">
      <c r="A608" s="0" t="n">
        <v>35</v>
      </c>
      <c r="B608" s="0" t="s">
        <v>76</v>
      </c>
      <c r="C608" s="0" t="s">
        <v>266</v>
      </c>
      <c r="D608" s="0" t="s">
        <v>2818</v>
      </c>
      <c r="E608" s="0" t="n">
        <v>2024</v>
      </c>
      <c r="H608" s="0" t="n">
        <v>4</v>
      </c>
      <c r="I608" s="0" t="n">
        <v>264</v>
      </c>
      <c r="J608" s="0" t="s">
        <v>268</v>
      </c>
      <c r="K608" s="0" t="s">
        <v>2264</v>
      </c>
      <c r="L608" s="0" t="s">
        <v>293</v>
      </c>
      <c r="M608" s="0" t="s">
        <v>2819</v>
      </c>
      <c r="N608" s="0" t="s">
        <v>2819</v>
      </c>
      <c r="O608" s="0" t="s">
        <v>2820</v>
      </c>
      <c r="P608" s="0" t="s">
        <v>2821</v>
      </c>
      <c r="R608" s="0" t="s">
        <v>284</v>
      </c>
      <c r="S608" s="0" t="s">
        <v>290</v>
      </c>
      <c r="T608" s="0" t="s">
        <v>314</v>
      </c>
      <c r="U608" s="0" t="s">
        <v>277</v>
      </c>
      <c r="V608" s="0" t="s">
        <v>2324</v>
      </c>
    </row>
    <row r="609" customFormat="false" ht="15" hidden="false" customHeight="false" outlineLevel="0" collapsed="false">
      <c r="A609" s="0" t="n">
        <v>35</v>
      </c>
      <c r="B609" s="0" t="s">
        <v>76</v>
      </c>
      <c r="C609" s="0" t="s">
        <v>266</v>
      </c>
      <c r="D609" s="0" t="s">
        <v>2822</v>
      </c>
      <c r="E609" s="0" t="n">
        <v>2024</v>
      </c>
      <c r="H609" s="0" t="n">
        <v>8</v>
      </c>
      <c r="I609" s="0" t="n">
        <v>615</v>
      </c>
      <c r="J609" s="0" t="s">
        <v>290</v>
      </c>
      <c r="K609" s="0" t="s">
        <v>2264</v>
      </c>
      <c r="L609" s="0" t="s">
        <v>293</v>
      </c>
      <c r="M609" s="0" t="s">
        <v>2823</v>
      </c>
      <c r="N609" s="0" t="s">
        <v>2823</v>
      </c>
      <c r="O609" s="0" t="s">
        <v>2824</v>
      </c>
      <c r="P609" s="0" t="s">
        <v>2825</v>
      </c>
      <c r="R609" s="0" t="s">
        <v>284</v>
      </c>
      <c r="S609" s="0" t="s">
        <v>290</v>
      </c>
      <c r="T609" s="0" t="s">
        <v>314</v>
      </c>
      <c r="U609" s="0" t="s">
        <v>277</v>
      </c>
      <c r="V609" s="0" t="s">
        <v>2324</v>
      </c>
    </row>
    <row r="610" customFormat="false" ht="15" hidden="false" customHeight="false" outlineLevel="0" collapsed="false">
      <c r="A610" s="0" t="n">
        <v>35</v>
      </c>
      <c r="B610" s="0" t="s">
        <v>76</v>
      </c>
      <c r="C610" s="0" t="s">
        <v>266</v>
      </c>
      <c r="D610" s="0" t="s">
        <v>2826</v>
      </c>
      <c r="E610" s="0" t="n">
        <v>2024</v>
      </c>
      <c r="H610" s="0" t="n">
        <v>4</v>
      </c>
      <c r="I610" s="0" t="n">
        <v>814</v>
      </c>
      <c r="J610" s="0" t="s">
        <v>268</v>
      </c>
      <c r="K610" s="0" t="s">
        <v>2264</v>
      </c>
      <c r="L610" s="0" t="s">
        <v>293</v>
      </c>
      <c r="M610" s="0" t="s">
        <v>2827</v>
      </c>
      <c r="N610" s="0" t="s">
        <v>2827</v>
      </c>
      <c r="O610" s="0" t="s">
        <v>2828</v>
      </c>
      <c r="P610" s="0" t="s">
        <v>2829</v>
      </c>
      <c r="R610" s="0" t="s">
        <v>284</v>
      </c>
      <c r="S610" s="0" t="s">
        <v>290</v>
      </c>
      <c r="T610" s="0" t="s">
        <v>314</v>
      </c>
      <c r="U610" s="0" t="s">
        <v>277</v>
      </c>
      <c r="V610" s="0" t="s">
        <v>2324</v>
      </c>
    </row>
    <row r="611" customFormat="false" ht="15" hidden="false" customHeight="false" outlineLevel="0" collapsed="false">
      <c r="A611" s="0" t="n">
        <v>35</v>
      </c>
      <c r="B611" s="0" t="s">
        <v>76</v>
      </c>
      <c r="C611" s="0" t="s">
        <v>266</v>
      </c>
      <c r="D611" s="0" t="s">
        <v>2830</v>
      </c>
      <c r="E611" s="0" t="n">
        <v>2024</v>
      </c>
      <c r="H611" s="0" t="n">
        <v>4</v>
      </c>
      <c r="I611" s="0" t="n">
        <v>381</v>
      </c>
      <c r="J611" s="0" t="s">
        <v>268</v>
      </c>
      <c r="K611" s="0" t="s">
        <v>2264</v>
      </c>
      <c r="L611" s="0" t="s">
        <v>293</v>
      </c>
      <c r="M611" s="0" t="s">
        <v>2831</v>
      </c>
      <c r="N611" s="0" t="s">
        <v>2831</v>
      </c>
      <c r="O611" s="0" t="s">
        <v>2832</v>
      </c>
      <c r="P611" s="0" t="s">
        <v>2833</v>
      </c>
      <c r="R611" s="0" t="s">
        <v>284</v>
      </c>
      <c r="S611" s="0" t="s">
        <v>290</v>
      </c>
      <c r="T611" s="0" t="s">
        <v>314</v>
      </c>
      <c r="U611" s="0" t="s">
        <v>277</v>
      </c>
      <c r="V611" s="0" t="s">
        <v>2324</v>
      </c>
    </row>
    <row r="612" customFormat="false" ht="15" hidden="false" customHeight="false" outlineLevel="0" collapsed="false">
      <c r="A612" s="0" t="n">
        <v>35</v>
      </c>
      <c r="B612" s="0" t="s">
        <v>76</v>
      </c>
      <c r="C612" s="0" t="s">
        <v>266</v>
      </c>
      <c r="D612" s="0" t="s">
        <v>2834</v>
      </c>
      <c r="E612" s="0" t="n">
        <v>2024</v>
      </c>
      <c r="H612" s="0" t="n">
        <v>5</v>
      </c>
      <c r="I612" s="0" t="n">
        <v>312</v>
      </c>
      <c r="J612" s="0" t="s">
        <v>268</v>
      </c>
      <c r="K612" s="0" t="s">
        <v>2264</v>
      </c>
      <c r="L612" s="0" t="s">
        <v>293</v>
      </c>
      <c r="M612" s="0" t="s">
        <v>2835</v>
      </c>
      <c r="N612" s="0" t="s">
        <v>2835</v>
      </c>
      <c r="O612" s="0" t="s">
        <v>2836</v>
      </c>
      <c r="P612" s="0" t="s">
        <v>2837</v>
      </c>
      <c r="R612" s="0" t="s">
        <v>284</v>
      </c>
      <c r="S612" s="0" t="s">
        <v>290</v>
      </c>
      <c r="T612" s="0" t="s">
        <v>314</v>
      </c>
      <c r="U612" s="0" t="s">
        <v>277</v>
      </c>
      <c r="V612" s="0" t="s">
        <v>2324</v>
      </c>
    </row>
    <row r="613" customFormat="false" ht="15" hidden="false" customHeight="false" outlineLevel="0" collapsed="false">
      <c r="A613" s="0" t="n">
        <v>35</v>
      </c>
      <c r="B613" s="0" t="s">
        <v>76</v>
      </c>
      <c r="C613" s="0" t="s">
        <v>266</v>
      </c>
      <c r="D613" s="0" t="s">
        <v>2838</v>
      </c>
      <c r="E613" s="0" t="n">
        <v>2024</v>
      </c>
      <c r="H613" s="0" t="n">
        <v>1</v>
      </c>
      <c r="I613" s="0" t="n">
        <v>2194</v>
      </c>
      <c r="J613" s="0" t="s">
        <v>268</v>
      </c>
      <c r="K613" s="0" t="s">
        <v>2264</v>
      </c>
      <c r="L613" s="0" t="s">
        <v>293</v>
      </c>
      <c r="M613" s="0" t="s">
        <v>2839</v>
      </c>
      <c r="N613" s="0" t="s">
        <v>2839</v>
      </c>
      <c r="O613" s="0" t="s">
        <v>2840</v>
      </c>
      <c r="P613" s="0" t="s">
        <v>2841</v>
      </c>
      <c r="R613" s="0" t="s">
        <v>284</v>
      </c>
      <c r="S613" s="0" t="s">
        <v>290</v>
      </c>
      <c r="T613" s="0" t="s">
        <v>314</v>
      </c>
      <c r="U613" s="0" t="s">
        <v>277</v>
      </c>
      <c r="V613" s="0" t="s">
        <v>2324</v>
      </c>
    </row>
    <row r="614" customFormat="false" ht="15" hidden="false" customHeight="false" outlineLevel="0" collapsed="false">
      <c r="A614" s="0" t="n">
        <v>35</v>
      </c>
      <c r="B614" s="0" t="s">
        <v>76</v>
      </c>
      <c r="C614" s="0" t="s">
        <v>266</v>
      </c>
      <c r="D614" s="0" t="s">
        <v>2842</v>
      </c>
      <c r="E614" s="0" t="n">
        <v>2024</v>
      </c>
      <c r="H614" s="0" t="n">
        <v>4</v>
      </c>
      <c r="I614" s="0" t="n">
        <v>4996</v>
      </c>
      <c r="J614" s="0" t="s">
        <v>268</v>
      </c>
      <c r="K614" s="0" t="s">
        <v>2264</v>
      </c>
      <c r="L614" s="0" t="s">
        <v>293</v>
      </c>
      <c r="M614" s="0" t="s">
        <v>2843</v>
      </c>
      <c r="N614" s="0" t="s">
        <v>2843</v>
      </c>
      <c r="O614" s="0" t="s">
        <v>2844</v>
      </c>
      <c r="P614" s="0" t="s">
        <v>2845</v>
      </c>
      <c r="R614" s="0" t="s">
        <v>284</v>
      </c>
      <c r="S614" s="0" t="s">
        <v>290</v>
      </c>
      <c r="T614" s="0" t="s">
        <v>314</v>
      </c>
      <c r="U614" s="0" t="s">
        <v>277</v>
      </c>
      <c r="V614" s="0" t="s">
        <v>2324</v>
      </c>
    </row>
    <row r="615" customFormat="false" ht="15" hidden="false" customHeight="false" outlineLevel="0" collapsed="false">
      <c r="A615" s="0" t="n">
        <v>35</v>
      </c>
      <c r="B615" s="0" t="s">
        <v>76</v>
      </c>
      <c r="C615" s="0" t="s">
        <v>266</v>
      </c>
      <c r="D615" s="0" t="s">
        <v>2846</v>
      </c>
      <c r="E615" s="0" t="n">
        <v>2024</v>
      </c>
      <c r="H615" s="0" t="n">
        <v>4</v>
      </c>
      <c r="I615" s="0" t="n">
        <v>9667</v>
      </c>
      <c r="J615" s="0" t="s">
        <v>268</v>
      </c>
      <c r="K615" s="0" t="s">
        <v>2264</v>
      </c>
      <c r="L615" s="0" t="s">
        <v>293</v>
      </c>
      <c r="M615" s="0" t="s">
        <v>2847</v>
      </c>
      <c r="N615" s="0" t="s">
        <v>2847</v>
      </c>
      <c r="O615" s="0" t="s">
        <v>2848</v>
      </c>
      <c r="P615" s="0" t="s">
        <v>2849</v>
      </c>
      <c r="R615" s="0" t="s">
        <v>284</v>
      </c>
      <c r="S615" s="0" t="s">
        <v>290</v>
      </c>
      <c r="T615" s="0" t="s">
        <v>314</v>
      </c>
      <c r="U615" s="0" t="s">
        <v>277</v>
      </c>
      <c r="V615" s="0" t="s">
        <v>2324</v>
      </c>
    </row>
    <row r="616" customFormat="false" ht="15" hidden="false" customHeight="false" outlineLevel="0" collapsed="false">
      <c r="A616" s="0" t="n">
        <v>35</v>
      </c>
      <c r="B616" s="0" t="s">
        <v>76</v>
      </c>
      <c r="C616" s="0" t="s">
        <v>266</v>
      </c>
      <c r="D616" s="0" t="s">
        <v>2850</v>
      </c>
      <c r="E616" s="0" t="n">
        <v>2024</v>
      </c>
      <c r="H616" s="0" t="n">
        <v>1</v>
      </c>
      <c r="I616" s="0" t="n">
        <v>65</v>
      </c>
      <c r="J616" s="0" t="s">
        <v>268</v>
      </c>
      <c r="K616" s="0" t="s">
        <v>2264</v>
      </c>
      <c r="L616" s="0" t="s">
        <v>293</v>
      </c>
      <c r="M616" s="0" t="s">
        <v>2851</v>
      </c>
      <c r="N616" s="0" t="s">
        <v>2851</v>
      </c>
      <c r="O616" s="0" t="s">
        <v>2852</v>
      </c>
      <c r="P616" s="0" t="s">
        <v>2853</v>
      </c>
      <c r="R616" s="0" t="s">
        <v>284</v>
      </c>
      <c r="S616" s="0" t="s">
        <v>290</v>
      </c>
      <c r="T616" s="0" t="s">
        <v>276</v>
      </c>
      <c r="U616" s="0" t="s">
        <v>277</v>
      </c>
    </row>
    <row r="617" customFormat="false" ht="15" hidden="false" customHeight="false" outlineLevel="0" collapsed="false">
      <c r="A617" s="0" t="n">
        <v>35</v>
      </c>
      <c r="B617" s="0" t="s">
        <v>76</v>
      </c>
      <c r="C617" s="0" t="s">
        <v>266</v>
      </c>
      <c r="D617" s="0" t="s">
        <v>2854</v>
      </c>
      <c r="E617" s="0" t="n">
        <v>2024</v>
      </c>
      <c r="H617" s="0" t="n">
        <v>1</v>
      </c>
      <c r="I617" s="0" t="n">
        <v>67</v>
      </c>
      <c r="J617" s="0" t="s">
        <v>268</v>
      </c>
      <c r="K617" s="0" t="s">
        <v>2264</v>
      </c>
      <c r="L617" s="0" t="s">
        <v>293</v>
      </c>
      <c r="M617" s="0" t="s">
        <v>2855</v>
      </c>
      <c r="N617" s="0" t="s">
        <v>2855</v>
      </c>
      <c r="O617" s="0" t="s">
        <v>2856</v>
      </c>
      <c r="P617" s="0" t="s">
        <v>2857</v>
      </c>
      <c r="R617" s="0" t="s">
        <v>284</v>
      </c>
      <c r="S617" s="0" t="s">
        <v>290</v>
      </c>
      <c r="T617" s="0" t="s">
        <v>276</v>
      </c>
      <c r="U617" s="0" t="s">
        <v>277</v>
      </c>
    </row>
    <row r="618" customFormat="false" ht="15" hidden="false" customHeight="false" outlineLevel="0" collapsed="false">
      <c r="A618" s="0" t="n">
        <v>35</v>
      </c>
      <c r="B618" s="0" t="s">
        <v>76</v>
      </c>
      <c r="C618" s="0" t="s">
        <v>266</v>
      </c>
      <c r="D618" s="0" t="s">
        <v>2858</v>
      </c>
      <c r="E618" s="0" t="n">
        <v>2023</v>
      </c>
      <c r="H618" s="0" t="n">
        <v>2</v>
      </c>
      <c r="I618" s="0" t="n">
        <v>101</v>
      </c>
      <c r="J618" s="0" t="s">
        <v>268</v>
      </c>
      <c r="K618" s="0" t="s">
        <v>2264</v>
      </c>
      <c r="L618" s="0" t="s">
        <v>293</v>
      </c>
      <c r="M618" s="0" t="s">
        <v>2859</v>
      </c>
      <c r="N618" s="0" t="s">
        <v>2859</v>
      </c>
      <c r="O618" s="0" t="s">
        <v>2860</v>
      </c>
      <c r="P618" s="0" t="s">
        <v>2861</v>
      </c>
      <c r="R618" s="0" t="s">
        <v>284</v>
      </c>
      <c r="S618" s="0" t="s">
        <v>290</v>
      </c>
      <c r="T618" s="0" t="s">
        <v>314</v>
      </c>
      <c r="U618" s="0" t="s">
        <v>277</v>
      </c>
      <c r="V618" s="0" t="s">
        <v>2324</v>
      </c>
    </row>
    <row r="619" customFormat="false" ht="15" hidden="false" customHeight="false" outlineLevel="0" collapsed="false">
      <c r="A619" s="0" t="n">
        <v>35</v>
      </c>
      <c r="B619" s="0" t="s">
        <v>76</v>
      </c>
      <c r="C619" s="0" t="s">
        <v>266</v>
      </c>
      <c r="D619" s="0" t="s">
        <v>2862</v>
      </c>
      <c r="E619" s="0" t="n">
        <v>2023</v>
      </c>
      <c r="H619" s="0" t="n">
        <v>2</v>
      </c>
      <c r="I619" s="0" t="n">
        <v>239</v>
      </c>
      <c r="J619" s="0" t="s">
        <v>268</v>
      </c>
      <c r="K619" s="0" t="s">
        <v>2264</v>
      </c>
      <c r="L619" s="0" t="s">
        <v>293</v>
      </c>
      <c r="M619" s="0" t="s">
        <v>2863</v>
      </c>
      <c r="N619" s="0" t="s">
        <v>2863</v>
      </c>
      <c r="O619" s="0" t="s">
        <v>2864</v>
      </c>
      <c r="P619" s="0" t="s">
        <v>2865</v>
      </c>
      <c r="R619" s="0" t="s">
        <v>284</v>
      </c>
      <c r="S619" s="0" t="s">
        <v>290</v>
      </c>
      <c r="T619" s="0" t="s">
        <v>314</v>
      </c>
      <c r="U619" s="0" t="s">
        <v>277</v>
      </c>
      <c r="V619" s="0" t="s">
        <v>2324</v>
      </c>
    </row>
    <row r="620" customFormat="false" ht="15" hidden="false" customHeight="false" outlineLevel="0" collapsed="false">
      <c r="A620" s="0" t="n">
        <v>35</v>
      </c>
      <c r="B620" s="0" t="s">
        <v>76</v>
      </c>
      <c r="C620" s="0" t="s">
        <v>266</v>
      </c>
      <c r="D620" s="0" t="s">
        <v>2866</v>
      </c>
      <c r="E620" s="0" t="n">
        <v>2023</v>
      </c>
      <c r="H620" s="0" t="n">
        <v>4</v>
      </c>
      <c r="I620" s="0" t="n">
        <v>470</v>
      </c>
      <c r="J620" s="0" t="s">
        <v>268</v>
      </c>
      <c r="K620" s="0" t="s">
        <v>2264</v>
      </c>
      <c r="L620" s="0" t="s">
        <v>293</v>
      </c>
      <c r="M620" s="0" t="s">
        <v>2867</v>
      </c>
      <c r="N620" s="0" t="s">
        <v>2867</v>
      </c>
      <c r="O620" s="0" t="s">
        <v>2868</v>
      </c>
      <c r="P620" s="0" t="s">
        <v>2869</v>
      </c>
      <c r="R620" s="0" t="s">
        <v>284</v>
      </c>
      <c r="S620" s="0" t="s">
        <v>290</v>
      </c>
      <c r="T620" s="0" t="s">
        <v>314</v>
      </c>
      <c r="U620" s="0" t="s">
        <v>277</v>
      </c>
      <c r="V620" s="0" t="s">
        <v>2324</v>
      </c>
    </row>
    <row r="621" customFormat="false" ht="15" hidden="false" customHeight="false" outlineLevel="0" collapsed="false">
      <c r="A621" s="0" t="n">
        <v>35</v>
      </c>
      <c r="B621" s="0" t="s">
        <v>76</v>
      </c>
      <c r="C621" s="0" t="s">
        <v>266</v>
      </c>
      <c r="D621" s="0" t="s">
        <v>2870</v>
      </c>
      <c r="E621" s="0" t="n">
        <v>2023</v>
      </c>
      <c r="H621" s="0" t="n">
        <v>1</v>
      </c>
      <c r="I621" s="0" t="n">
        <v>212</v>
      </c>
      <c r="J621" s="0" t="s">
        <v>268</v>
      </c>
      <c r="K621" s="0" t="s">
        <v>2264</v>
      </c>
      <c r="L621" s="0" t="s">
        <v>293</v>
      </c>
      <c r="M621" s="0" t="s">
        <v>2871</v>
      </c>
      <c r="N621" s="0" t="s">
        <v>2871</v>
      </c>
      <c r="O621" s="0" t="s">
        <v>2872</v>
      </c>
      <c r="P621" s="0" t="s">
        <v>2873</v>
      </c>
      <c r="R621" s="0" t="s">
        <v>284</v>
      </c>
      <c r="S621" s="0" t="s">
        <v>290</v>
      </c>
      <c r="T621" s="0" t="s">
        <v>314</v>
      </c>
      <c r="U621" s="0" t="s">
        <v>277</v>
      </c>
      <c r="V621" s="0" t="s">
        <v>2324</v>
      </c>
    </row>
    <row r="622" customFormat="false" ht="15" hidden="false" customHeight="false" outlineLevel="0" collapsed="false">
      <c r="A622" s="0" t="n">
        <v>35</v>
      </c>
      <c r="B622" s="0" t="s">
        <v>76</v>
      </c>
      <c r="C622" s="0" t="s">
        <v>266</v>
      </c>
      <c r="D622" s="0" t="s">
        <v>2874</v>
      </c>
      <c r="E622" s="0" t="n">
        <v>2023</v>
      </c>
      <c r="H622" s="0" t="n">
        <v>6</v>
      </c>
      <c r="I622" s="0" t="n">
        <v>974</v>
      </c>
      <c r="J622" s="0" t="s">
        <v>268</v>
      </c>
      <c r="K622" s="0" t="s">
        <v>2264</v>
      </c>
      <c r="L622" s="0" t="s">
        <v>293</v>
      </c>
      <c r="M622" s="0" t="s">
        <v>2875</v>
      </c>
      <c r="N622" s="0" t="s">
        <v>2875</v>
      </c>
      <c r="O622" s="0" t="s">
        <v>2876</v>
      </c>
      <c r="P622" s="0" t="s">
        <v>2877</v>
      </c>
      <c r="R622" s="0" t="s">
        <v>284</v>
      </c>
      <c r="S622" s="0" t="s">
        <v>290</v>
      </c>
      <c r="T622" s="0" t="s">
        <v>314</v>
      </c>
      <c r="U622" s="0" t="s">
        <v>277</v>
      </c>
      <c r="V622" s="0" t="s">
        <v>2324</v>
      </c>
    </row>
    <row r="623" customFormat="false" ht="15" hidden="false" customHeight="false" outlineLevel="0" collapsed="false">
      <c r="A623" s="0" t="n">
        <v>35</v>
      </c>
      <c r="B623" s="0" t="s">
        <v>76</v>
      </c>
      <c r="C623" s="0" t="s">
        <v>266</v>
      </c>
      <c r="D623" s="0" t="s">
        <v>2878</v>
      </c>
      <c r="E623" s="0" t="n">
        <v>2023</v>
      </c>
      <c r="H623" s="0" t="n">
        <v>1</v>
      </c>
      <c r="I623" s="0" t="n">
        <v>109</v>
      </c>
      <c r="J623" s="0" t="s">
        <v>268</v>
      </c>
      <c r="K623" s="0" t="s">
        <v>2264</v>
      </c>
      <c r="L623" s="0" t="s">
        <v>293</v>
      </c>
      <c r="M623" s="0" t="s">
        <v>2879</v>
      </c>
      <c r="N623" s="0" t="s">
        <v>2879</v>
      </c>
      <c r="O623" s="0" t="s">
        <v>2880</v>
      </c>
      <c r="P623" s="0" t="s">
        <v>2881</v>
      </c>
      <c r="R623" s="0" t="s">
        <v>284</v>
      </c>
      <c r="S623" s="0" t="s">
        <v>290</v>
      </c>
      <c r="T623" s="0" t="s">
        <v>276</v>
      </c>
      <c r="U623" s="0" t="s">
        <v>277</v>
      </c>
    </row>
    <row r="624" customFormat="false" ht="15" hidden="false" customHeight="false" outlineLevel="0" collapsed="false">
      <c r="A624" s="0" t="n">
        <v>35</v>
      </c>
      <c r="B624" s="0" t="s">
        <v>76</v>
      </c>
      <c r="C624" s="0" t="s">
        <v>266</v>
      </c>
      <c r="D624" s="0" t="s">
        <v>2882</v>
      </c>
      <c r="E624" s="0" t="n">
        <v>2020</v>
      </c>
      <c r="H624" s="0" t="n">
        <v>5</v>
      </c>
      <c r="I624" s="0" t="n">
        <v>244</v>
      </c>
      <c r="J624" s="0" t="s">
        <v>268</v>
      </c>
      <c r="K624" s="0" t="s">
        <v>2264</v>
      </c>
      <c r="L624" s="0" t="s">
        <v>293</v>
      </c>
      <c r="M624" s="0" t="s">
        <v>2883</v>
      </c>
      <c r="N624" s="0" t="s">
        <v>2883</v>
      </c>
      <c r="O624" s="0" t="s">
        <v>2884</v>
      </c>
      <c r="P624" s="0" t="s">
        <v>2885</v>
      </c>
      <c r="R624" s="0" t="s">
        <v>284</v>
      </c>
      <c r="S624" s="0" t="s">
        <v>290</v>
      </c>
      <c r="T624" s="0" t="s">
        <v>276</v>
      </c>
      <c r="U624" s="0" t="s">
        <v>277</v>
      </c>
    </row>
    <row r="625" customFormat="false" ht="15" hidden="false" customHeight="false" outlineLevel="0" collapsed="false">
      <c r="A625" s="0" t="n">
        <v>35</v>
      </c>
      <c r="B625" s="0" t="s">
        <v>76</v>
      </c>
      <c r="C625" s="0" t="s">
        <v>266</v>
      </c>
      <c r="D625" s="0" t="s">
        <v>2886</v>
      </c>
      <c r="E625" s="0" t="n">
        <v>2020</v>
      </c>
      <c r="H625" s="0" t="n">
        <v>6</v>
      </c>
      <c r="I625" s="0" t="n">
        <v>277</v>
      </c>
      <c r="J625" s="0" t="s">
        <v>268</v>
      </c>
      <c r="K625" s="0" t="s">
        <v>2264</v>
      </c>
      <c r="L625" s="0" t="s">
        <v>293</v>
      </c>
      <c r="M625" s="0" t="s">
        <v>2887</v>
      </c>
      <c r="N625" s="0" t="s">
        <v>2887</v>
      </c>
      <c r="O625" s="0" t="s">
        <v>2888</v>
      </c>
      <c r="P625" s="0" t="s">
        <v>2889</v>
      </c>
      <c r="R625" s="0" t="s">
        <v>284</v>
      </c>
      <c r="S625" s="0" t="s">
        <v>290</v>
      </c>
      <c r="T625" s="0" t="s">
        <v>314</v>
      </c>
      <c r="U625" s="0" t="s">
        <v>277</v>
      </c>
      <c r="V625" s="0" t="s">
        <v>2324</v>
      </c>
    </row>
    <row r="626" customFormat="false" ht="15" hidden="false" customHeight="false" outlineLevel="0" collapsed="false">
      <c r="A626" s="0" t="n">
        <v>35</v>
      </c>
      <c r="B626" s="0" t="s">
        <v>76</v>
      </c>
      <c r="C626" s="0" t="s">
        <v>324</v>
      </c>
      <c r="D626" s="0" t="s">
        <v>2890</v>
      </c>
      <c r="E626" s="0" t="n">
        <v>2025</v>
      </c>
      <c r="H626" s="0" t="n">
        <v>2</v>
      </c>
      <c r="I626" s="0" t="n">
        <v>7283</v>
      </c>
      <c r="J626" s="0" t="s">
        <v>268</v>
      </c>
      <c r="K626" s="0" t="s">
        <v>2264</v>
      </c>
      <c r="L626" s="0" t="s">
        <v>293</v>
      </c>
      <c r="M626" s="0" t="s">
        <v>2891</v>
      </c>
      <c r="N626" s="0" t="s">
        <v>2892</v>
      </c>
      <c r="O626" s="0" t="s">
        <v>2893</v>
      </c>
      <c r="P626" s="0" t="s">
        <v>2894</v>
      </c>
      <c r="R626" s="0" t="s">
        <v>275</v>
      </c>
      <c r="S626" s="0" t="s">
        <v>268</v>
      </c>
      <c r="T626" s="0" t="s">
        <v>314</v>
      </c>
      <c r="U626" s="0" t="s">
        <v>277</v>
      </c>
      <c r="V626" s="0" t="s">
        <v>2324</v>
      </c>
    </row>
    <row r="627" customFormat="false" ht="15" hidden="false" customHeight="false" outlineLevel="0" collapsed="false">
      <c r="A627" s="0" t="n">
        <v>35</v>
      </c>
      <c r="B627" s="0" t="s">
        <v>76</v>
      </c>
      <c r="C627" s="0" t="s">
        <v>324</v>
      </c>
      <c r="D627" s="0" t="s">
        <v>2895</v>
      </c>
      <c r="E627" s="0" t="n">
        <v>2025</v>
      </c>
      <c r="H627" s="0" t="n">
        <v>2</v>
      </c>
      <c r="I627" s="0" t="n">
        <v>6728</v>
      </c>
      <c r="J627" s="0" t="s">
        <v>268</v>
      </c>
      <c r="K627" s="0" t="s">
        <v>2264</v>
      </c>
      <c r="L627" s="0" t="s">
        <v>293</v>
      </c>
      <c r="M627" s="0" t="s">
        <v>2896</v>
      </c>
      <c r="N627" s="0" t="s">
        <v>2896</v>
      </c>
      <c r="O627" s="0" t="s">
        <v>2897</v>
      </c>
      <c r="P627" s="0" t="s">
        <v>2898</v>
      </c>
      <c r="R627" s="0" t="s">
        <v>275</v>
      </c>
      <c r="S627" s="0" t="s">
        <v>290</v>
      </c>
      <c r="T627" s="0" t="s">
        <v>276</v>
      </c>
      <c r="U627" s="0" t="s">
        <v>277</v>
      </c>
    </row>
    <row r="628" customFormat="false" ht="15" hidden="false" customHeight="false" outlineLevel="0" collapsed="false">
      <c r="A628" s="0" t="n">
        <v>35</v>
      </c>
      <c r="B628" s="0" t="s">
        <v>76</v>
      </c>
      <c r="C628" s="0" t="s">
        <v>324</v>
      </c>
      <c r="D628" s="0" t="s">
        <v>2899</v>
      </c>
      <c r="E628" s="0" t="n">
        <v>2023</v>
      </c>
      <c r="H628" s="0" t="n">
        <v>2</v>
      </c>
      <c r="I628" s="0" t="n">
        <v>122</v>
      </c>
      <c r="J628" s="0" t="s">
        <v>268</v>
      </c>
      <c r="K628" s="0" t="s">
        <v>2264</v>
      </c>
      <c r="L628" s="0" t="s">
        <v>293</v>
      </c>
      <c r="M628" s="0" t="s">
        <v>2900</v>
      </c>
      <c r="N628" s="0" t="s">
        <v>2900</v>
      </c>
      <c r="O628" s="0" t="s">
        <v>2901</v>
      </c>
      <c r="P628" s="0" t="s">
        <v>2902</v>
      </c>
      <c r="R628" s="0" t="s">
        <v>284</v>
      </c>
      <c r="S628" s="0" t="s">
        <v>290</v>
      </c>
      <c r="T628" s="0" t="s">
        <v>314</v>
      </c>
      <c r="U628" s="0" t="s">
        <v>277</v>
      </c>
      <c r="V628" s="0" t="s">
        <v>2324</v>
      </c>
    </row>
    <row r="629" customFormat="false" ht="15" hidden="false" customHeight="false" outlineLevel="0" collapsed="false">
      <c r="A629" s="0" t="n">
        <v>35</v>
      </c>
      <c r="B629" s="0" t="s">
        <v>76</v>
      </c>
      <c r="C629" s="0" t="s">
        <v>335</v>
      </c>
      <c r="D629" s="0" t="s">
        <v>2903</v>
      </c>
      <c r="E629" s="0" t="n">
        <v>2026</v>
      </c>
      <c r="H629" s="0" t="n">
        <v>11</v>
      </c>
      <c r="I629" s="0" t="n">
        <v>4244</v>
      </c>
      <c r="J629" s="0" t="s">
        <v>268</v>
      </c>
      <c r="K629" s="0" t="s">
        <v>2264</v>
      </c>
      <c r="L629" s="0" t="s">
        <v>293</v>
      </c>
      <c r="M629" s="0" t="s">
        <v>2904</v>
      </c>
      <c r="N629" s="0" t="s">
        <v>2904</v>
      </c>
      <c r="O629" s="0" t="s">
        <v>2905</v>
      </c>
      <c r="P629" s="0" t="s">
        <v>2906</v>
      </c>
      <c r="R629" s="0" t="s">
        <v>275</v>
      </c>
      <c r="S629" s="0" t="s">
        <v>268</v>
      </c>
      <c r="T629" s="0" t="s">
        <v>276</v>
      </c>
      <c r="U629" s="0" t="s">
        <v>277</v>
      </c>
    </row>
    <row r="630" customFormat="false" ht="15" hidden="false" customHeight="false" outlineLevel="0" collapsed="false">
      <c r="A630" s="0" t="n">
        <v>35</v>
      </c>
      <c r="B630" s="0" t="s">
        <v>76</v>
      </c>
      <c r="C630" s="0" t="s">
        <v>335</v>
      </c>
      <c r="D630" s="0" t="s">
        <v>2907</v>
      </c>
      <c r="E630" s="0" t="n">
        <v>2025</v>
      </c>
      <c r="H630" s="0" t="n">
        <v>1</v>
      </c>
      <c r="I630" s="0" t="n">
        <v>1512</v>
      </c>
      <c r="J630" s="0" t="s">
        <v>268</v>
      </c>
      <c r="K630" s="0" t="s">
        <v>2264</v>
      </c>
      <c r="L630" s="0" t="s">
        <v>293</v>
      </c>
      <c r="M630" s="0" t="s">
        <v>2908</v>
      </c>
      <c r="N630" s="0" t="s">
        <v>2908</v>
      </c>
      <c r="O630" s="0" t="s">
        <v>2909</v>
      </c>
      <c r="P630" s="0" t="s">
        <v>2910</v>
      </c>
      <c r="R630" s="0" t="s">
        <v>275</v>
      </c>
      <c r="S630" s="0" t="s">
        <v>290</v>
      </c>
      <c r="T630" s="0" t="s">
        <v>276</v>
      </c>
      <c r="U630" s="0" t="s">
        <v>277</v>
      </c>
    </row>
    <row r="631" customFormat="false" ht="15" hidden="false" customHeight="false" outlineLevel="0" collapsed="false">
      <c r="A631" s="0" t="n">
        <v>35</v>
      </c>
      <c r="B631" s="0" t="s">
        <v>76</v>
      </c>
      <c r="C631" s="0" t="s">
        <v>335</v>
      </c>
      <c r="D631" s="0" t="s">
        <v>2911</v>
      </c>
      <c r="E631" s="0" t="n">
        <v>2024</v>
      </c>
      <c r="H631" s="0" t="n">
        <v>2</v>
      </c>
      <c r="I631" s="0" t="n">
        <v>353</v>
      </c>
      <c r="J631" s="0" t="s">
        <v>268</v>
      </c>
      <c r="K631" s="0" t="s">
        <v>2264</v>
      </c>
      <c r="L631" s="0" t="s">
        <v>293</v>
      </c>
      <c r="M631" s="0" t="s">
        <v>2912</v>
      </c>
      <c r="N631" s="0" t="s">
        <v>2912</v>
      </c>
      <c r="O631" s="0" t="s">
        <v>2913</v>
      </c>
      <c r="P631" s="0" t="s">
        <v>2914</v>
      </c>
      <c r="R631" s="0" t="s">
        <v>284</v>
      </c>
      <c r="S631" s="0" t="s">
        <v>290</v>
      </c>
      <c r="T631" s="0" t="s">
        <v>314</v>
      </c>
      <c r="U631" s="0" t="s">
        <v>277</v>
      </c>
      <c r="V631" s="0" t="s">
        <v>2324</v>
      </c>
    </row>
    <row r="632" customFormat="false" ht="15" hidden="false" customHeight="false" outlineLevel="0" collapsed="false">
      <c r="A632" s="0" t="n">
        <v>35</v>
      </c>
      <c r="B632" s="0" t="s">
        <v>76</v>
      </c>
      <c r="C632" s="0" t="s">
        <v>335</v>
      </c>
      <c r="D632" s="0" t="s">
        <v>2915</v>
      </c>
      <c r="E632" s="0" t="n">
        <v>2024</v>
      </c>
      <c r="H632" s="0" t="n">
        <v>1</v>
      </c>
      <c r="I632" s="0" t="n">
        <v>209</v>
      </c>
      <c r="J632" s="0" t="s">
        <v>268</v>
      </c>
      <c r="K632" s="0" t="s">
        <v>2264</v>
      </c>
      <c r="L632" s="0" t="s">
        <v>293</v>
      </c>
      <c r="M632" s="0" t="s">
        <v>2916</v>
      </c>
      <c r="N632" s="0" t="s">
        <v>2916</v>
      </c>
      <c r="O632" s="0" t="s">
        <v>2917</v>
      </c>
      <c r="P632" s="0" t="s">
        <v>2918</v>
      </c>
      <c r="R632" s="0" t="s">
        <v>284</v>
      </c>
      <c r="S632" s="0" t="s">
        <v>290</v>
      </c>
      <c r="T632" s="0" t="s">
        <v>314</v>
      </c>
      <c r="U632" s="0" t="s">
        <v>277</v>
      </c>
      <c r="V632" s="0" t="s">
        <v>2324</v>
      </c>
    </row>
    <row r="633" customFormat="false" ht="15" hidden="false" customHeight="false" outlineLevel="0" collapsed="false">
      <c r="A633" s="0" t="n">
        <v>35</v>
      </c>
      <c r="B633" s="0" t="s">
        <v>76</v>
      </c>
      <c r="C633" s="0" t="s">
        <v>335</v>
      </c>
      <c r="D633" s="0" t="s">
        <v>2919</v>
      </c>
      <c r="E633" s="0" t="n">
        <v>2022</v>
      </c>
      <c r="H633" s="0" t="n">
        <v>11</v>
      </c>
      <c r="I633" s="0" t="n">
        <v>2208</v>
      </c>
      <c r="J633" s="0" t="s">
        <v>290</v>
      </c>
      <c r="K633" s="0" t="s">
        <v>2264</v>
      </c>
      <c r="L633" s="0" t="s">
        <v>293</v>
      </c>
      <c r="M633" s="0" t="s">
        <v>2920</v>
      </c>
      <c r="N633" s="0" t="s">
        <v>2920</v>
      </c>
      <c r="O633" s="0" t="s">
        <v>2921</v>
      </c>
      <c r="P633" s="0" t="s">
        <v>2922</v>
      </c>
      <c r="R633" s="0" t="s">
        <v>284</v>
      </c>
      <c r="S633" s="0" t="s">
        <v>290</v>
      </c>
      <c r="T633" s="0" t="s">
        <v>276</v>
      </c>
      <c r="U633" s="0" t="s">
        <v>277</v>
      </c>
    </row>
    <row r="634" customFormat="false" ht="15" hidden="false" customHeight="false" outlineLevel="0" collapsed="false">
      <c r="A634" s="0" t="n">
        <v>35</v>
      </c>
      <c r="B634" s="0" t="s">
        <v>76</v>
      </c>
      <c r="C634" s="0" t="s">
        <v>829</v>
      </c>
      <c r="D634" s="0" t="s">
        <v>2923</v>
      </c>
      <c r="E634" s="0" t="n">
        <v>2021</v>
      </c>
      <c r="H634" s="0" t="n">
        <v>2</v>
      </c>
      <c r="I634" s="0" t="n">
        <v>256</v>
      </c>
      <c r="J634" s="0" t="s">
        <v>268</v>
      </c>
      <c r="K634" s="0" t="s">
        <v>2264</v>
      </c>
      <c r="L634" s="0" t="s">
        <v>293</v>
      </c>
      <c r="M634" s="0" t="s">
        <v>2924</v>
      </c>
      <c r="N634" s="0" t="s">
        <v>2924</v>
      </c>
      <c r="O634" s="0" t="s">
        <v>2925</v>
      </c>
      <c r="P634" s="0" t="s">
        <v>2926</v>
      </c>
      <c r="R634" s="0" t="s">
        <v>284</v>
      </c>
      <c r="S634" s="0" t="s">
        <v>268</v>
      </c>
      <c r="T634" s="0" t="s">
        <v>276</v>
      </c>
      <c r="U634" s="0" t="s">
        <v>277</v>
      </c>
    </row>
    <row r="635" customFormat="false" ht="15" hidden="false" customHeight="false" outlineLevel="0" collapsed="false">
      <c r="A635" s="0" t="n">
        <v>35</v>
      </c>
      <c r="B635" s="0" t="s">
        <v>76</v>
      </c>
      <c r="C635" s="0" t="s">
        <v>829</v>
      </c>
      <c r="D635" s="0" t="s">
        <v>2927</v>
      </c>
      <c r="E635" s="0" t="n">
        <v>2021</v>
      </c>
      <c r="H635" s="0" t="n">
        <v>2</v>
      </c>
      <c r="I635" s="0" t="n">
        <v>256</v>
      </c>
      <c r="J635" s="0" t="s">
        <v>268</v>
      </c>
      <c r="K635" s="0" t="s">
        <v>2264</v>
      </c>
      <c r="L635" s="0" t="s">
        <v>293</v>
      </c>
      <c r="M635" s="0" t="s">
        <v>2928</v>
      </c>
      <c r="N635" s="0" t="s">
        <v>2928</v>
      </c>
      <c r="O635" s="0" t="s">
        <v>2929</v>
      </c>
      <c r="P635" s="0" t="s">
        <v>2930</v>
      </c>
      <c r="R635" s="0" t="s">
        <v>284</v>
      </c>
      <c r="S635" s="0" t="s">
        <v>290</v>
      </c>
      <c r="T635" s="0" t="s">
        <v>276</v>
      </c>
      <c r="U635" s="0" t="s">
        <v>277</v>
      </c>
    </row>
    <row r="636" customFormat="false" ht="15" hidden="false" customHeight="false" outlineLevel="0" collapsed="false">
      <c r="A636" s="0" t="n">
        <v>35</v>
      </c>
      <c r="B636" s="0" t="s">
        <v>76</v>
      </c>
      <c r="C636" s="0" t="s">
        <v>480</v>
      </c>
      <c r="D636" s="0" t="s">
        <v>2931</v>
      </c>
      <c r="E636" s="0" t="n">
        <v>2026</v>
      </c>
      <c r="H636" s="0" t="n">
        <v>17</v>
      </c>
      <c r="I636" s="0" t="n">
        <v>6402</v>
      </c>
      <c r="J636" s="0" t="s">
        <v>268</v>
      </c>
      <c r="K636" s="0" t="s">
        <v>2264</v>
      </c>
      <c r="L636" s="0" t="s">
        <v>293</v>
      </c>
      <c r="M636" s="0" t="s">
        <v>2932</v>
      </c>
      <c r="N636" s="0" t="s">
        <v>2932</v>
      </c>
      <c r="O636" s="0" t="s">
        <v>2933</v>
      </c>
      <c r="P636" s="0" t="s">
        <v>2934</v>
      </c>
      <c r="R636" s="0" t="s">
        <v>275</v>
      </c>
      <c r="S636" s="0" t="s">
        <v>268</v>
      </c>
      <c r="T636" s="0" t="s">
        <v>276</v>
      </c>
      <c r="U636" s="0" t="s">
        <v>277</v>
      </c>
    </row>
    <row r="637" customFormat="false" ht="15" hidden="false" customHeight="false" outlineLevel="0" collapsed="false">
      <c r="A637" s="0" t="n">
        <v>35</v>
      </c>
      <c r="B637" s="0" t="s">
        <v>76</v>
      </c>
      <c r="C637" s="0" t="s">
        <v>480</v>
      </c>
      <c r="D637" s="0" t="s">
        <v>2935</v>
      </c>
      <c r="E637" s="0" t="n">
        <v>2025</v>
      </c>
      <c r="H637" s="0" t="n">
        <v>21</v>
      </c>
      <c r="I637" s="0" t="n">
        <v>1472</v>
      </c>
      <c r="J637" s="0" t="s">
        <v>268</v>
      </c>
      <c r="K637" s="0" t="s">
        <v>2264</v>
      </c>
      <c r="L637" s="0" t="s">
        <v>293</v>
      </c>
      <c r="M637" s="0" t="s">
        <v>2936</v>
      </c>
      <c r="N637" s="0" t="s">
        <v>2937</v>
      </c>
      <c r="O637" s="0" t="s">
        <v>2938</v>
      </c>
      <c r="P637" s="0" t="s">
        <v>2939</v>
      </c>
      <c r="R637" s="0" t="s">
        <v>275</v>
      </c>
      <c r="S637" s="0" t="s">
        <v>290</v>
      </c>
      <c r="T637" s="0" t="s">
        <v>276</v>
      </c>
      <c r="U637" s="0" t="s">
        <v>277</v>
      </c>
    </row>
    <row r="638" customFormat="false" ht="15" hidden="false" customHeight="false" outlineLevel="0" collapsed="false">
      <c r="A638" s="0" t="n">
        <v>35</v>
      </c>
      <c r="B638" s="0" t="s">
        <v>76</v>
      </c>
      <c r="C638" s="0" t="s">
        <v>480</v>
      </c>
      <c r="D638" s="0" t="s">
        <v>2940</v>
      </c>
      <c r="E638" s="0" t="n">
        <v>2025</v>
      </c>
      <c r="H638" s="0" t="n">
        <v>21</v>
      </c>
      <c r="I638" s="0" t="n">
        <v>1471</v>
      </c>
      <c r="J638" s="0" t="s">
        <v>268</v>
      </c>
      <c r="K638" s="0" t="s">
        <v>2264</v>
      </c>
      <c r="L638" s="0" t="s">
        <v>293</v>
      </c>
      <c r="M638" s="0" t="s">
        <v>2941</v>
      </c>
      <c r="N638" s="0" t="s">
        <v>2941</v>
      </c>
      <c r="O638" s="0" t="s">
        <v>2942</v>
      </c>
      <c r="P638" s="0" t="s">
        <v>2943</v>
      </c>
      <c r="R638" s="0" t="s">
        <v>275</v>
      </c>
      <c r="S638" s="0" t="s">
        <v>290</v>
      </c>
      <c r="T638" s="0" t="s">
        <v>276</v>
      </c>
      <c r="U638" s="0" t="s">
        <v>277</v>
      </c>
    </row>
    <row r="639" customFormat="false" ht="15" hidden="false" customHeight="false" outlineLevel="0" collapsed="false">
      <c r="A639" s="0" t="n">
        <v>35</v>
      </c>
      <c r="B639" s="0" t="s">
        <v>76</v>
      </c>
      <c r="C639" s="0" t="s">
        <v>480</v>
      </c>
      <c r="D639" s="0" t="s">
        <v>2944</v>
      </c>
      <c r="E639" s="0" t="n">
        <v>2025</v>
      </c>
      <c r="H639" s="0" t="n">
        <v>21</v>
      </c>
      <c r="I639" s="0" t="n">
        <v>1464</v>
      </c>
      <c r="J639" s="0" t="s">
        <v>268</v>
      </c>
      <c r="K639" s="0" t="s">
        <v>2264</v>
      </c>
      <c r="L639" s="0" t="s">
        <v>293</v>
      </c>
      <c r="M639" s="0" t="s">
        <v>2945</v>
      </c>
      <c r="N639" s="0" t="s">
        <v>2945</v>
      </c>
      <c r="O639" s="0" t="s">
        <v>2946</v>
      </c>
      <c r="P639" s="0" t="s">
        <v>2947</v>
      </c>
      <c r="R639" s="0" t="s">
        <v>275</v>
      </c>
      <c r="S639" s="0" t="s">
        <v>290</v>
      </c>
      <c r="T639" s="0" t="s">
        <v>276</v>
      </c>
      <c r="U639" s="0" t="s">
        <v>277</v>
      </c>
    </row>
    <row r="640" customFormat="false" ht="15" hidden="false" customHeight="false" outlineLevel="0" collapsed="false">
      <c r="A640" s="0" t="n">
        <v>35</v>
      </c>
      <c r="B640" s="0" t="s">
        <v>76</v>
      </c>
      <c r="C640" s="0" t="s">
        <v>480</v>
      </c>
      <c r="D640" s="0" t="s">
        <v>2948</v>
      </c>
      <c r="E640" s="0" t="n">
        <v>2023</v>
      </c>
      <c r="H640" s="0" t="n">
        <v>1</v>
      </c>
      <c r="I640" s="0" t="n">
        <v>118</v>
      </c>
      <c r="J640" s="0" t="s">
        <v>268</v>
      </c>
      <c r="K640" s="0" t="s">
        <v>2264</v>
      </c>
      <c r="L640" s="0" t="s">
        <v>293</v>
      </c>
      <c r="M640" s="0" t="s">
        <v>2949</v>
      </c>
      <c r="N640" s="0" t="s">
        <v>2949</v>
      </c>
      <c r="O640" s="0" t="s">
        <v>2950</v>
      </c>
      <c r="P640" s="0" t="s">
        <v>2951</v>
      </c>
      <c r="R640" s="0" t="s">
        <v>284</v>
      </c>
      <c r="S640" s="0" t="s">
        <v>290</v>
      </c>
      <c r="T640" s="0" t="s">
        <v>314</v>
      </c>
      <c r="U640" s="0" t="s">
        <v>277</v>
      </c>
      <c r="V640" s="0" t="s">
        <v>2324</v>
      </c>
    </row>
    <row r="641" customFormat="false" ht="15" hidden="false" customHeight="false" outlineLevel="0" collapsed="false">
      <c r="A641" s="0" t="n">
        <v>35</v>
      </c>
      <c r="B641" s="0" t="s">
        <v>76</v>
      </c>
      <c r="C641" s="0" t="s">
        <v>480</v>
      </c>
      <c r="D641" s="0" t="s">
        <v>2952</v>
      </c>
      <c r="E641" s="0" t="n">
        <v>2016</v>
      </c>
      <c r="H641" s="0" t="n">
        <v>1</v>
      </c>
      <c r="I641" s="0" t="n">
        <v>75</v>
      </c>
      <c r="J641" s="0" t="s">
        <v>268</v>
      </c>
      <c r="K641" s="0" t="s">
        <v>2264</v>
      </c>
      <c r="L641" s="0" t="s">
        <v>293</v>
      </c>
      <c r="M641" s="0" t="s">
        <v>2953</v>
      </c>
      <c r="N641" s="0" t="s">
        <v>2953</v>
      </c>
      <c r="O641" s="0" t="s">
        <v>2954</v>
      </c>
      <c r="P641" s="0" t="s">
        <v>2955</v>
      </c>
      <c r="R641" s="0" t="s">
        <v>284</v>
      </c>
      <c r="S641" s="0" t="s">
        <v>290</v>
      </c>
      <c r="T641" s="0" t="s">
        <v>314</v>
      </c>
      <c r="U641" s="0" t="s">
        <v>277</v>
      </c>
      <c r="V641" s="0" t="s">
        <v>2324</v>
      </c>
    </row>
    <row r="642" customFormat="false" ht="15" hidden="false" customHeight="false" outlineLevel="0" collapsed="false">
      <c r="A642" s="0" t="n">
        <v>35</v>
      </c>
      <c r="B642" s="0" t="s">
        <v>76</v>
      </c>
      <c r="C642" s="0" t="s">
        <v>278</v>
      </c>
      <c r="D642" s="0" t="s">
        <v>2956</v>
      </c>
      <c r="E642" s="0" t="n">
        <v>2026</v>
      </c>
      <c r="H642" s="0" t="n">
        <v>23</v>
      </c>
      <c r="I642" s="0" t="n">
        <v>2196</v>
      </c>
      <c r="J642" s="0" t="s">
        <v>268</v>
      </c>
      <c r="K642" s="0" t="s">
        <v>2264</v>
      </c>
      <c r="L642" s="0" t="s">
        <v>293</v>
      </c>
      <c r="M642" s="0" t="s">
        <v>2957</v>
      </c>
      <c r="N642" s="0" t="s">
        <v>2957</v>
      </c>
      <c r="O642" s="0" t="s">
        <v>2958</v>
      </c>
      <c r="P642" s="0" t="s">
        <v>2959</v>
      </c>
      <c r="R642" s="0" t="s">
        <v>275</v>
      </c>
      <c r="S642" s="0" t="s">
        <v>268</v>
      </c>
      <c r="T642" s="0" t="s">
        <v>276</v>
      </c>
      <c r="U642" s="0" t="s">
        <v>277</v>
      </c>
    </row>
    <row r="643" customFormat="false" ht="15" hidden="false" customHeight="false" outlineLevel="0" collapsed="false">
      <c r="A643" s="0" t="n">
        <v>35</v>
      </c>
      <c r="B643" s="0" t="s">
        <v>76</v>
      </c>
      <c r="C643" s="0" t="s">
        <v>278</v>
      </c>
      <c r="D643" s="0" t="s">
        <v>2960</v>
      </c>
      <c r="E643" s="0" t="n">
        <v>2026</v>
      </c>
      <c r="H643" s="0" t="n">
        <v>5</v>
      </c>
      <c r="I643" s="0" t="n">
        <v>361</v>
      </c>
      <c r="J643" s="0" t="s">
        <v>268</v>
      </c>
      <c r="K643" s="0" t="s">
        <v>2264</v>
      </c>
      <c r="L643" s="0" t="s">
        <v>293</v>
      </c>
      <c r="M643" s="0" t="s">
        <v>2961</v>
      </c>
      <c r="N643" s="0" t="s">
        <v>2961</v>
      </c>
      <c r="O643" s="0" t="s">
        <v>2962</v>
      </c>
      <c r="P643" s="0" t="s">
        <v>2963</v>
      </c>
      <c r="R643" s="0" t="s">
        <v>275</v>
      </c>
      <c r="S643" s="0" t="s">
        <v>290</v>
      </c>
      <c r="T643" s="0" t="s">
        <v>276</v>
      </c>
      <c r="U643" s="0" t="s">
        <v>277</v>
      </c>
    </row>
    <row r="644" customFormat="false" ht="15" hidden="false" customHeight="false" outlineLevel="0" collapsed="false">
      <c r="A644" s="0" t="n">
        <v>35</v>
      </c>
      <c r="B644" s="0" t="s">
        <v>76</v>
      </c>
      <c r="C644" s="0" t="s">
        <v>278</v>
      </c>
      <c r="D644" s="0" t="s">
        <v>2964</v>
      </c>
      <c r="E644" s="0" t="n">
        <v>2025</v>
      </c>
      <c r="H644" s="0" t="n">
        <v>25</v>
      </c>
      <c r="I644" s="0" t="n">
        <v>1899</v>
      </c>
      <c r="J644" s="0" t="s">
        <v>268</v>
      </c>
      <c r="K644" s="0" t="s">
        <v>2264</v>
      </c>
      <c r="L644" s="0" t="s">
        <v>293</v>
      </c>
      <c r="M644" s="0" t="s">
        <v>2965</v>
      </c>
      <c r="N644" s="0" t="s">
        <v>2965</v>
      </c>
      <c r="O644" s="0" t="s">
        <v>2966</v>
      </c>
      <c r="P644" s="0" t="s">
        <v>2967</v>
      </c>
      <c r="R644" s="0" t="s">
        <v>275</v>
      </c>
      <c r="S644" s="0" t="s">
        <v>290</v>
      </c>
      <c r="T644" s="0" t="s">
        <v>314</v>
      </c>
      <c r="U644" s="0" t="s">
        <v>277</v>
      </c>
      <c r="V644" s="0" t="s">
        <v>2324</v>
      </c>
    </row>
    <row r="645" customFormat="false" ht="15" hidden="false" customHeight="false" outlineLevel="0" collapsed="false">
      <c r="A645" s="0" t="n">
        <v>35</v>
      </c>
      <c r="B645" s="0" t="s">
        <v>76</v>
      </c>
      <c r="C645" s="0" t="s">
        <v>278</v>
      </c>
      <c r="D645" s="0" t="s">
        <v>2968</v>
      </c>
      <c r="E645" s="0" t="n">
        <v>2025</v>
      </c>
      <c r="H645" s="0" t="n">
        <v>23</v>
      </c>
      <c r="I645" s="0" t="n">
        <v>5080</v>
      </c>
      <c r="J645" s="0" t="s">
        <v>268</v>
      </c>
      <c r="K645" s="0" t="s">
        <v>2264</v>
      </c>
      <c r="L645" s="0" t="s">
        <v>293</v>
      </c>
      <c r="M645" s="0" t="s">
        <v>2969</v>
      </c>
      <c r="N645" s="0" t="s">
        <v>2970</v>
      </c>
      <c r="O645" s="0" t="s">
        <v>2971</v>
      </c>
      <c r="P645" s="0" t="s">
        <v>2972</v>
      </c>
      <c r="R645" s="0" t="s">
        <v>275</v>
      </c>
      <c r="S645" s="0" t="s">
        <v>290</v>
      </c>
      <c r="T645" s="0" t="s">
        <v>276</v>
      </c>
      <c r="U645" s="0" t="s">
        <v>277</v>
      </c>
    </row>
    <row r="646" customFormat="false" ht="15" hidden="false" customHeight="false" outlineLevel="0" collapsed="false">
      <c r="A646" s="0" t="n">
        <v>35</v>
      </c>
      <c r="B646" s="0" t="s">
        <v>76</v>
      </c>
      <c r="C646" s="0" t="s">
        <v>278</v>
      </c>
      <c r="D646" s="0" t="s">
        <v>2973</v>
      </c>
      <c r="E646" s="0" t="n">
        <v>2024</v>
      </c>
      <c r="H646" s="0" t="n">
        <v>20</v>
      </c>
      <c r="I646" s="0" t="n">
        <v>3253</v>
      </c>
      <c r="J646" s="0" t="s">
        <v>268</v>
      </c>
      <c r="K646" s="0" t="s">
        <v>2264</v>
      </c>
      <c r="L646" s="0" t="s">
        <v>293</v>
      </c>
      <c r="M646" s="0" t="s">
        <v>2974</v>
      </c>
      <c r="N646" s="0" t="s">
        <v>2974</v>
      </c>
      <c r="O646" s="0" t="s">
        <v>2975</v>
      </c>
      <c r="P646" s="0" t="s">
        <v>2976</v>
      </c>
      <c r="R646" s="0" t="s">
        <v>284</v>
      </c>
      <c r="S646" s="0" t="s">
        <v>290</v>
      </c>
      <c r="T646" s="0" t="s">
        <v>276</v>
      </c>
      <c r="U646" s="0" t="s">
        <v>277</v>
      </c>
    </row>
    <row r="647" customFormat="false" ht="15" hidden="false" customHeight="false" outlineLevel="0" collapsed="false">
      <c r="A647" s="0" t="n">
        <v>35</v>
      </c>
      <c r="B647" s="0" t="s">
        <v>76</v>
      </c>
      <c r="C647" s="0" t="s">
        <v>278</v>
      </c>
      <c r="D647" s="0" t="s">
        <v>2977</v>
      </c>
      <c r="E647" s="0" t="n">
        <v>2023</v>
      </c>
      <c r="H647" s="0" t="n">
        <v>18</v>
      </c>
      <c r="I647" s="0" t="n">
        <v>2884</v>
      </c>
      <c r="J647" s="0" t="s">
        <v>268</v>
      </c>
      <c r="K647" s="0" t="s">
        <v>2264</v>
      </c>
      <c r="L647" s="0" t="s">
        <v>293</v>
      </c>
      <c r="M647" s="0" t="s">
        <v>2978</v>
      </c>
      <c r="N647" s="0" t="s">
        <v>2979</v>
      </c>
      <c r="O647" s="0" t="s">
        <v>2980</v>
      </c>
      <c r="P647" s="0" t="s">
        <v>2981</v>
      </c>
      <c r="R647" s="0" t="s">
        <v>284</v>
      </c>
      <c r="S647" s="0" t="s">
        <v>290</v>
      </c>
      <c r="T647" s="0" t="s">
        <v>276</v>
      </c>
      <c r="U647" s="0" t="s">
        <v>277</v>
      </c>
    </row>
    <row r="648" customFormat="false" ht="15" hidden="false" customHeight="false" outlineLevel="0" collapsed="false">
      <c r="A648" s="0" t="n">
        <v>35</v>
      </c>
      <c r="B648" s="0" t="s">
        <v>76</v>
      </c>
      <c r="C648" s="0" t="s">
        <v>278</v>
      </c>
      <c r="D648" s="0" t="s">
        <v>2982</v>
      </c>
      <c r="E648" s="0" t="n">
        <v>2023</v>
      </c>
      <c r="H648" s="0" t="n">
        <v>18</v>
      </c>
      <c r="I648" s="0" t="n">
        <v>7677</v>
      </c>
      <c r="J648" s="0" t="s">
        <v>268</v>
      </c>
      <c r="K648" s="0" t="s">
        <v>2264</v>
      </c>
      <c r="L648" s="0" t="s">
        <v>293</v>
      </c>
      <c r="M648" s="0" t="s">
        <v>2983</v>
      </c>
      <c r="N648" s="0" t="s">
        <v>2983</v>
      </c>
      <c r="O648" s="0" t="s">
        <v>2984</v>
      </c>
      <c r="P648" s="0" t="s">
        <v>2985</v>
      </c>
      <c r="R648" s="0" t="s">
        <v>284</v>
      </c>
      <c r="S648" s="0" t="s">
        <v>290</v>
      </c>
      <c r="T648" s="0" t="s">
        <v>314</v>
      </c>
      <c r="U648" s="0" t="s">
        <v>277</v>
      </c>
      <c r="V648" s="0" t="s">
        <v>2324</v>
      </c>
    </row>
    <row r="649" customFormat="false" ht="15" hidden="false" customHeight="false" outlineLevel="0" collapsed="false">
      <c r="A649" s="0" t="n">
        <v>35</v>
      </c>
      <c r="B649" s="0" t="s">
        <v>76</v>
      </c>
      <c r="C649" s="0" t="s">
        <v>278</v>
      </c>
      <c r="D649" s="0" t="s">
        <v>2986</v>
      </c>
      <c r="E649" s="0" t="n">
        <v>2023</v>
      </c>
      <c r="H649" s="0" t="n">
        <v>17</v>
      </c>
      <c r="I649" s="0" t="n">
        <v>848</v>
      </c>
      <c r="J649" s="0" t="s">
        <v>268</v>
      </c>
      <c r="K649" s="0" t="s">
        <v>2264</v>
      </c>
      <c r="L649" s="0" t="s">
        <v>293</v>
      </c>
      <c r="M649" s="0" t="s">
        <v>2987</v>
      </c>
      <c r="N649" s="0" t="s">
        <v>2987</v>
      </c>
      <c r="O649" s="0" t="s">
        <v>2988</v>
      </c>
      <c r="P649" s="0" t="s">
        <v>2989</v>
      </c>
      <c r="R649" s="0" t="s">
        <v>284</v>
      </c>
      <c r="S649" s="0" t="s">
        <v>290</v>
      </c>
      <c r="T649" s="0" t="s">
        <v>314</v>
      </c>
      <c r="U649" s="0" t="s">
        <v>277</v>
      </c>
      <c r="V649" s="0" t="s">
        <v>2324</v>
      </c>
    </row>
    <row r="650" customFormat="false" ht="15" hidden="false" customHeight="false" outlineLevel="0" collapsed="false">
      <c r="A650" s="0" t="n">
        <v>35</v>
      </c>
      <c r="B650" s="0" t="s">
        <v>76</v>
      </c>
      <c r="C650" s="0" t="s">
        <v>278</v>
      </c>
      <c r="D650" s="0" t="s">
        <v>2990</v>
      </c>
      <c r="E650" s="0" t="n">
        <v>2023</v>
      </c>
      <c r="H650" s="0" t="n">
        <v>21</v>
      </c>
      <c r="I650" s="0" t="n">
        <v>5149</v>
      </c>
      <c r="J650" s="0" t="s">
        <v>268</v>
      </c>
      <c r="K650" s="0" t="s">
        <v>2264</v>
      </c>
      <c r="L650" s="0" t="s">
        <v>293</v>
      </c>
      <c r="M650" s="0" t="s">
        <v>2991</v>
      </c>
      <c r="N650" s="0" t="s">
        <v>2991</v>
      </c>
      <c r="O650" s="0" t="s">
        <v>2992</v>
      </c>
      <c r="P650" s="0" t="s">
        <v>2993</v>
      </c>
      <c r="R650" s="0" t="s">
        <v>284</v>
      </c>
      <c r="S650" s="0" t="s">
        <v>290</v>
      </c>
      <c r="T650" s="0" t="s">
        <v>314</v>
      </c>
      <c r="U650" s="0" t="s">
        <v>277</v>
      </c>
      <c r="V650" s="0" t="s">
        <v>2324</v>
      </c>
    </row>
    <row r="651" customFormat="false" ht="15" hidden="false" customHeight="false" outlineLevel="0" collapsed="false">
      <c r="A651" s="0" t="n">
        <v>35</v>
      </c>
      <c r="B651" s="0" t="s">
        <v>76</v>
      </c>
      <c r="C651" s="0" t="s">
        <v>278</v>
      </c>
      <c r="D651" s="0" t="s">
        <v>2994</v>
      </c>
      <c r="E651" s="0" t="n">
        <v>2023</v>
      </c>
      <c r="H651" s="0" t="n">
        <v>31</v>
      </c>
      <c r="I651" s="0" t="n">
        <v>5652</v>
      </c>
      <c r="J651" s="0" t="s">
        <v>268</v>
      </c>
      <c r="K651" s="0" t="s">
        <v>2264</v>
      </c>
      <c r="L651" s="0" t="s">
        <v>293</v>
      </c>
      <c r="M651" s="0" t="s">
        <v>2995</v>
      </c>
      <c r="N651" s="0" t="s">
        <v>2995</v>
      </c>
      <c r="O651" s="0" t="s">
        <v>2996</v>
      </c>
      <c r="P651" s="0" t="s">
        <v>2997</v>
      </c>
      <c r="R651" s="0" t="s">
        <v>284</v>
      </c>
      <c r="S651" s="0" t="s">
        <v>290</v>
      </c>
      <c r="T651" s="0" t="s">
        <v>314</v>
      </c>
      <c r="U651" s="0" t="s">
        <v>277</v>
      </c>
      <c r="V651" s="0" t="s">
        <v>2324</v>
      </c>
    </row>
    <row r="652" customFormat="false" ht="15" hidden="false" customHeight="false" outlineLevel="0" collapsed="false">
      <c r="A652" s="0" t="n">
        <v>35</v>
      </c>
      <c r="B652" s="0" t="s">
        <v>76</v>
      </c>
      <c r="C652" s="0" t="s">
        <v>278</v>
      </c>
      <c r="D652" s="0" t="s">
        <v>2998</v>
      </c>
      <c r="E652" s="0" t="n">
        <v>2023</v>
      </c>
      <c r="H652" s="0" t="n">
        <v>1</v>
      </c>
      <c r="I652" s="0" t="n">
        <v>116</v>
      </c>
      <c r="J652" s="0" t="s">
        <v>268</v>
      </c>
      <c r="K652" s="0" t="s">
        <v>2264</v>
      </c>
      <c r="L652" s="0" t="s">
        <v>293</v>
      </c>
      <c r="M652" s="0" t="s">
        <v>2999</v>
      </c>
      <c r="N652" s="0" t="s">
        <v>2999</v>
      </c>
      <c r="O652" s="0" t="s">
        <v>3000</v>
      </c>
      <c r="P652" s="0" t="s">
        <v>3001</v>
      </c>
      <c r="R652" s="0" t="s">
        <v>284</v>
      </c>
      <c r="S652" s="0" t="s">
        <v>290</v>
      </c>
      <c r="T652" s="0" t="s">
        <v>314</v>
      </c>
      <c r="U652" s="0" t="s">
        <v>277</v>
      </c>
      <c r="V652" s="0" t="s">
        <v>2324</v>
      </c>
    </row>
    <row r="653" customFormat="false" ht="15" hidden="false" customHeight="false" outlineLevel="0" collapsed="false">
      <c r="A653" s="0" t="n">
        <v>35</v>
      </c>
      <c r="B653" s="0" t="s">
        <v>76</v>
      </c>
      <c r="C653" s="0" t="s">
        <v>278</v>
      </c>
      <c r="D653" s="0" t="s">
        <v>3002</v>
      </c>
      <c r="E653" s="0" t="n">
        <v>2022</v>
      </c>
      <c r="H653" s="0" t="n">
        <v>18</v>
      </c>
      <c r="I653" s="0" t="n">
        <v>5247</v>
      </c>
      <c r="J653" s="0" t="s">
        <v>268</v>
      </c>
      <c r="K653" s="0" t="s">
        <v>2264</v>
      </c>
      <c r="L653" s="0" t="s">
        <v>293</v>
      </c>
      <c r="M653" s="0" t="s">
        <v>3003</v>
      </c>
      <c r="N653" s="0" t="s">
        <v>3004</v>
      </c>
      <c r="O653" s="0" t="s">
        <v>3005</v>
      </c>
      <c r="P653" s="0" t="s">
        <v>3006</v>
      </c>
      <c r="R653" s="0" t="s">
        <v>284</v>
      </c>
      <c r="S653" s="0" t="s">
        <v>290</v>
      </c>
      <c r="T653" s="0" t="s">
        <v>276</v>
      </c>
      <c r="U653" s="0" t="s">
        <v>277</v>
      </c>
    </row>
    <row r="654" customFormat="false" ht="15" hidden="false" customHeight="false" outlineLevel="0" collapsed="false">
      <c r="A654" s="0" t="n">
        <v>35</v>
      </c>
      <c r="B654" s="0" t="s">
        <v>76</v>
      </c>
      <c r="C654" s="0" t="s">
        <v>278</v>
      </c>
      <c r="D654" s="0" t="s">
        <v>3007</v>
      </c>
      <c r="E654" s="0" t="n">
        <v>2022</v>
      </c>
      <c r="H654" s="0" t="n">
        <v>19</v>
      </c>
      <c r="I654" s="0" t="n">
        <v>2227</v>
      </c>
      <c r="J654" s="0" t="s">
        <v>268</v>
      </c>
      <c r="K654" s="0" t="s">
        <v>2264</v>
      </c>
      <c r="L654" s="0" t="s">
        <v>293</v>
      </c>
      <c r="M654" s="0" t="s">
        <v>3008</v>
      </c>
      <c r="N654" s="0" t="s">
        <v>3008</v>
      </c>
      <c r="O654" s="0" t="s">
        <v>3009</v>
      </c>
      <c r="P654" s="0" t="s">
        <v>3010</v>
      </c>
      <c r="R654" s="0" t="s">
        <v>284</v>
      </c>
      <c r="S654" s="0" t="s">
        <v>290</v>
      </c>
      <c r="T654" s="0" t="s">
        <v>314</v>
      </c>
      <c r="U654" s="0" t="s">
        <v>277</v>
      </c>
      <c r="V654" s="0" t="s">
        <v>2324</v>
      </c>
    </row>
    <row r="655" customFormat="false" ht="15" hidden="false" customHeight="false" outlineLevel="0" collapsed="false">
      <c r="A655" s="0" t="n">
        <v>35</v>
      </c>
      <c r="B655" s="0" t="s">
        <v>76</v>
      </c>
      <c r="C655" s="0" t="s">
        <v>278</v>
      </c>
      <c r="D655" s="0" t="s">
        <v>3011</v>
      </c>
      <c r="E655" s="0" t="n">
        <v>2022</v>
      </c>
      <c r="H655" s="0" t="n">
        <v>31</v>
      </c>
      <c r="I655" s="0" t="n">
        <v>6044</v>
      </c>
      <c r="J655" s="0" t="s">
        <v>268</v>
      </c>
      <c r="K655" s="0" t="s">
        <v>2264</v>
      </c>
      <c r="L655" s="0" t="s">
        <v>293</v>
      </c>
      <c r="M655" s="0" t="s">
        <v>3012</v>
      </c>
      <c r="N655" s="0" t="s">
        <v>3012</v>
      </c>
      <c r="O655" s="0" t="s">
        <v>3013</v>
      </c>
      <c r="P655" s="0" t="s">
        <v>3014</v>
      </c>
      <c r="R655" s="0" t="s">
        <v>284</v>
      </c>
      <c r="S655" s="0" t="s">
        <v>290</v>
      </c>
      <c r="T655" s="0" t="s">
        <v>314</v>
      </c>
      <c r="U655" s="0" t="s">
        <v>277</v>
      </c>
      <c r="V655" s="0" t="s">
        <v>2324</v>
      </c>
    </row>
    <row r="656" customFormat="false" ht="15" hidden="false" customHeight="false" outlineLevel="0" collapsed="false">
      <c r="A656" s="0" t="n">
        <v>35</v>
      </c>
      <c r="B656" s="0" t="s">
        <v>76</v>
      </c>
      <c r="C656" s="0" t="s">
        <v>278</v>
      </c>
      <c r="D656" s="0" t="s">
        <v>3015</v>
      </c>
      <c r="E656" s="0" t="n">
        <v>2022</v>
      </c>
      <c r="H656" s="0" t="n">
        <v>32</v>
      </c>
      <c r="I656" s="0" t="n">
        <v>5436</v>
      </c>
      <c r="J656" s="0" t="s">
        <v>268</v>
      </c>
      <c r="K656" s="0" t="s">
        <v>2264</v>
      </c>
      <c r="L656" s="0" t="s">
        <v>293</v>
      </c>
      <c r="M656" s="0" t="s">
        <v>3016</v>
      </c>
      <c r="N656" s="0" t="s">
        <v>3016</v>
      </c>
      <c r="O656" s="0" t="s">
        <v>3017</v>
      </c>
      <c r="P656" s="0" t="s">
        <v>3018</v>
      </c>
      <c r="R656" s="0" t="s">
        <v>284</v>
      </c>
      <c r="S656" s="0" t="s">
        <v>290</v>
      </c>
      <c r="T656" s="0" t="s">
        <v>314</v>
      </c>
      <c r="U656" s="0" t="s">
        <v>277</v>
      </c>
      <c r="V656" s="0" t="s">
        <v>2324</v>
      </c>
    </row>
    <row r="657" customFormat="false" ht="15" hidden="false" customHeight="false" outlineLevel="0" collapsed="false">
      <c r="A657" s="0" t="n">
        <v>35</v>
      </c>
      <c r="B657" s="0" t="s">
        <v>76</v>
      </c>
      <c r="C657" s="0" t="s">
        <v>278</v>
      </c>
      <c r="D657" s="0" t="s">
        <v>3019</v>
      </c>
      <c r="E657" s="0" t="n">
        <v>2021</v>
      </c>
      <c r="H657" s="0" t="n">
        <v>24</v>
      </c>
      <c r="I657" s="0" t="n">
        <v>6969</v>
      </c>
      <c r="J657" s="0" t="s">
        <v>268</v>
      </c>
      <c r="K657" s="0" t="s">
        <v>2264</v>
      </c>
      <c r="L657" s="0" t="s">
        <v>293</v>
      </c>
      <c r="M657" s="0" t="s">
        <v>3020</v>
      </c>
      <c r="N657" s="0" t="s">
        <v>3021</v>
      </c>
      <c r="O657" s="0" t="s">
        <v>3022</v>
      </c>
      <c r="P657" s="0" t="s">
        <v>3023</v>
      </c>
      <c r="R657" s="0" t="s">
        <v>284</v>
      </c>
      <c r="S657" s="0" t="s">
        <v>290</v>
      </c>
      <c r="T657" s="0" t="s">
        <v>276</v>
      </c>
      <c r="U657" s="0" t="s">
        <v>277</v>
      </c>
    </row>
    <row r="658" customFormat="false" ht="15" hidden="false" customHeight="false" outlineLevel="0" collapsed="false">
      <c r="A658" s="0" t="n">
        <v>35</v>
      </c>
      <c r="B658" s="0" t="s">
        <v>76</v>
      </c>
      <c r="C658" s="0" t="s">
        <v>278</v>
      </c>
      <c r="D658" s="0" t="s">
        <v>3024</v>
      </c>
      <c r="E658" s="0" t="n">
        <v>2021</v>
      </c>
      <c r="H658" s="0" t="n">
        <v>21</v>
      </c>
      <c r="I658" s="0" t="n">
        <v>5920</v>
      </c>
      <c r="J658" s="0" t="s">
        <v>268</v>
      </c>
      <c r="K658" s="0" t="s">
        <v>2264</v>
      </c>
      <c r="L658" s="0" t="s">
        <v>293</v>
      </c>
      <c r="M658" s="0" t="s">
        <v>3025</v>
      </c>
      <c r="N658" s="0" t="s">
        <v>3026</v>
      </c>
      <c r="O658" s="0" t="s">
        <v>3027</v>
      </c>
      <c r="P658" s="0" t="s">
        <v>3028</v>
      </c>
      <c r="R658" s="0" t="s">
        <v>284</v>
      </c>
      <c r="S658" s="0" t="s">
        <v>290</v>
      </c>
      <c r="T658" s="0" t="s">
        <v>276</v>
      </c>
      <c r="U658" s="0" t="s">
        <v>277</v>
      </c>
    </row>
    <row r="659" customFormat="false" ht="15" hidden="false" customHeight="false" outlineLevel="0" collapsed="false">
      <c r="A659" s="0" t="n">
        <v>35</v>
      </c>
      <c r="B659" s="0" t="s">
        <v>76</v>
      </c>
      <c r="C659" s="0" t="s">
        <v>489</v>
      </c>
      <c r="D659" s="0" t="s">
        <v>3029</v>
      </c>
      <c r="E659" s="0" t="n">
        <v>2026</v>
      </c>
      <c r="H659" s="0" t="n">
        <v>1</v>
      </c>
      <c r="I659" s="0" t="n">
        <v>209</v>
      </c>
      <c r="J659" s="0" t="s">
        <v>268</v>
      </c>
      <c r="K659" s="0" t="s">
        <v>2264</v>
      </c>
      <c r="L659" s="0" t="s">
        <v>293</v>
      </c>
      <c r="M659" s="0" t="s">
        <v>3030</v>
      </c>
      <c r="N659" s="0" t="s">
        <v>3030</v>
      </c>
      <c r="O659" s="0" t="s">
        <v>3031</v>
      </c>
      <c r="P659" s="0" t="s">
        <v>3032</v>
      </c>
      <c r="R659" s="0" t="s">
        <v>275</v>
      </c>
      <c r="S659" s="0" t="s">
        <v>268</v>
      </c>
      <c r="T659" s="0" t="s">
        <v>314</v>
      </c>
      <c r="U659" s="0" t="s">
        <v>277</v>
      </c>
      <c r="V659" s="0" t="s">
        <v>2324</v>
      </c>
    </row>
    <row r="660" customFormat="false" ht="15" hidden="false" customHeight="false" outlineLevel="0" collapsed="false">
      <c r="A660" s="0" t="n">
        <v>35</v>
      </c>
      <c r="B660" s="0" t="s">
        <v>76</v>
      </c>
      <c r="C660" s="0" t="s">
        <v>489</v>
      </c>
      <c r="D660" s="0" t="s">
        <v>3033</v>
      </c>
      <c r="E660" s="0" t="n">
        <v>2020</v>
      </c>
      <c r="H660" s="0" t="n">
        <v>4</v>
      </c>
      <c r="I660" s="0" t="n">
        <v>617</v>
      </c>
      <c r="J660" s="0" t="s">
        <v>268</v>
      </c>
      <c r="K660" s="0" t="s">
        <v>2264</v>
      </c>
      <c r="L660" s="0" t="s">
        <v>293</v>
      </c>
      <c r="M660" s="0" t="s">
        <v>3034</v>
      </c>
      <c r="N660" s="0" t="s">
        <v>3034</v>
      </c>
      <c r="O660" s="0" t="s">
        <v>3035</v>
      </c>
      <c r="P660" s="0" t="s">
        <v>3036</v>
      </c>
      <c r="R660" s="0" t="s">
        <v>284</v>
      </c>
      <c r="S660" s="0" t="s">
        <v>290</v>
      </c>
      <c r="T660" s="0" t="s">
        <v>276</v>
      </c>
      <c r="U660" s="0" t="s">
        <v>277</v>
      </c>
    </row>
    <row r="661" customFormat="false" ht="15" hidden="false" customHeight="false" outlineLevel="0" collapsed="false">
      <c r="A661" s="0" t="n">
        <v>35</v>
      </c>
      <c r="B661" s="0" t="s">
        <v>76</v>
      </c>
      <c r="C661" s="0" t="s">
        <v>500</v>
      </c>
      <c r="D661" s="0" t="s">
        <v>3037</v>
      </c>
      <c r="E661" s="0" t="n">
        <v>2026</v>
      </c>
      <c r="H661" s="0" t="n">
        <v>1</v>
      </c>
      <c r="I661" s="0" t="n">
        <v>378</v>
      </c>
      <c r="J661" s="0" t="s">
        <v>268</v>
      </c>
      <c r="K661" s="0" t="s">
        <v>2264</v>
      </c>
      <c r="L661" s="0" t="s">
        <v>293</v>
      </c>
      <c r="M661" s="0" t="s">
        <v>3038</v>
      </c>
      <c r="N661" s="0" t="s">
        <v>3038</v>
      </c>
      <c r="O661" s="0" t="s">
        <v>3039</v>
      </c>
      <c r="P661" s="0" t="s">
        <v>3040</v>
      </c>
      <c r="R661" s="0" t="s">
        <v>275</v>
      </c>
      <c r="S661" s="0" t="s">
        <v>268</v>
      </c>
      <c r="T661" s="0" t="s">
        <v>314</v>
      </c>
      <c r="U661" s="0" t="s">
        <v>277</v>
      </c>
      <c r="V661" s="0" t="s">
        <v>2324</v>
      </c>
    </row>
    <row r="662" customFormat="false" ht="15" hidden="false" customHeight="false" outlineLevel="0" collapsed="false">
      <c r="A662" s="0" t="n">
        <v>35</v>
      </c>
      <c r="B662" s="0" t="s">
        <v>76</v>
      </c>
      <c r="C662" s="0" t="s">
        <v>500</v>
      </c>
      <c r="D662" s="0" t="s">
        <v>3041</v>
      </c>
      <c r="E662" s="0" t="n">
        <v>2022</v>
      </c>
      <c r="H662" s="0" t="n">
        <v>2</v>
      </c>
      <c r="I662" s="0" t="n">
        <v>3583</v>
      </c>
      <c r="J662" s="0" t="s">
        <v>290</v>
      </c>
      <c r="K662" s="0" t="s">
        <v>2264</v>
      </c>
      <c r="L662" s="0" t="s">
        <v>293</v>
      </c>
      <c r="M662" s="0" t="s">
        <v>3042</v>
      </c>
      <c r="N662" s="0" t="s">
        <v>3042</v>
      </c>
      <c r="O662" s="0" t="s">
        <v>3043</v>
      </c>
      <c r="P662" s="0" t="s">
        <v>3044</v>
      </c>
      <c r="R662" s="0" t="s">
        <v>284</v>
      </c>
      <c r="S662" s="0" t="s">
        <v>290</v>
      </c>
      <c r="T662" s="0" t="s">
        <v>276</v>
      </c>
      <c r="U662" s="0" t="s">
        <v>277</v>
      </c>
    </row>
    <row r="663" customFormat="false" ht="15" hidden="false" customHeight="false" outlineLevel="0" collapsed="false">
      <c r="A663" s="0" t="n">
        <v>37</v>
      </c>
      <c r="B663" s="0" t="s">
        <v>78</v>
      </c>
      <c r="C663" s="0" t="s">
        <v>56</v>
      </c>
      <c r="D663" s="0" t="s">
        <v>3045</v>
      </c>
      <c r="E663" s="0" t="n">
        <v>2021</v>
      </c>
      <c r="H663" s="0" t="n">
        <v>6</v>
      </c>
      <c r="I663" s="0" t="n">
        <v>1283</v>
      </c>
      <c r="J663" s="0" t="s">
        <v>268</v>
      </c>
      <c r="K663" s="0" t="s">
        <v>298</v>
      </c>
      <c r="L663" s="0" t="s">
        <v>270</v>
      </c>
      <c r="M663" s="0" t="s">
        <v>3046</v>
      </c>
      <c r="N663" s="0" t="s">
        <v>3046</v>
      </c>
      <c r="O663" s="0" t="s">
        <v>3047</v>
      </c>
      <c r="P663" s="0" t="s">
        <v>3048</v>
      </c>
      <c r="R663" s="0" t="s">
        <v>284</v>
      </c>
      <c r="S663" s="0" t="s">
        <v>268</v>
      </c>
      <c r="T663" s="0" t="s">
        <v>276</v>
      </c>
      <c r="U663" s="0" t="s">
        <v>277</v>
      </c>
    </row>
    <row r="664" customFormat="false" ht="15" hidden="false" customHeight="false" outlineLevel="0" collapsed="false">
      <c r="A664" s="0" t="n">
        <v>37</v>
      </c>
      <c r="B664" s="0" t="s">
        <v>78</v>
      </c>
      <c r="C664" s="0" t="s">
        <v>309</v>
      </c>
      <c r="D664" s="0" t="s">
        <v>3049</v>
      </c>
      <c r="E664" s="0" t="n">
        <v>2022</v>
      </c>
      <c r="H664" s="0" t="n">
        <v>1</v>
      </c>
      <c r="I664" s="0" t="n">
        <v>556</v>
      </c>
      <c r="J664" s="0" t="s">
        <v>290</v>
      </c>
      <c r="K664" s="0" t="s">
        <v>298</v>
      </c>
      <c r="L664" s="0" t="s">
        <v>270</v>
      </c>
      <c r="M664" s="0" t="s">
        <v>3050</v>
      </c>
      <c r="N664" s="0" t="s">
        <v>3050</v>
      </c>
      <c r="O664" s="0" t="s">
        <v>3051</v>
      </c>
      <c r="P664" s="0" t="s">
        <v>3052</v>
      </c>
      <c r="R664" s="0" t="s">
        <v>284</v>
      </c>
      <c r="S664" s="0" t="s">
        <v>268</v>
      </c>
      <c r="T664" s="0" t="s">
        <v>276</v>
      </c>
      <c r="U664" s="0" t="s">
        <v>277</v>
      </c>
    </row>
    <row r="665" customFormat="false" ht="15" hidden="false" customHeight="false" outlineLevel="0" collapsed="false">
      <c r="A665" s="0" t="n">
        <v>38</v>
      </c>
      <c r="B665" s="0" t="s">
        <v>79</v>
      </c>
      <c r="C665" s="0" t="s">
        <v>56</v>
      </c>
      <c r="D665" s="0" t="s">
        <v>3053</v>
      </c>
      <c r="E665" s="0" t="n">
        <v>2025</v>
      </c>
      <c r="H665" s="0" t="n">
        <v>18</v>
      </c>
      <c r="I665" s="0" t="n">
        <v>1995</v>
      </c>
      <c r="J665" s="0" t="s">
        <v>290</v>
      </c>
      <c r="K665" s="0" t="s">
        <v>1696</v>
      </c>
      <c r="L665" s="0" t="s">
        <v>1697</v>
      </c>
      <c r="M665" s="0" t="s">
        <v>3054</v>
      </c>
      <c r="N665" s="0" t="s">
        <v>3054</v>
      </c>
      <c r="O665" s="0" t="s">
        <v>3055</v>
      </c>
      <c r="P665" s="0" t="s">
        <v>3056</v>
      </c>
      <c r="R665" s="0" t="s">
        <v>275</v>
      </c>
      <c r="S665" s="0" t="s">
        <v>290</v>
      </c>
      <c r="T665" s="0" t="s">
        <v>314</v>
      </c>
      <c r="U665" s="0" t="s">
        <v>277</v>
      </c>
      <c r="V665" s="0" t="s">
        <v>3057</v>
      </c>
    </row>
    <row r="666" customFormat="false" ht="15" hidden="false" customHeight="false" outlineLevel="0" collapsed="false">
      <c r="A666" s="0" t="n">
        <v>38</v>
      </c>
      <c r="B666" s="0" t="s">
        <v>79</v>
      </c>
      <c r="C666" s="0" t="s">
        <v>56</v>
      </c>
      <c r="D666" s="0" t="s">
        <v>3058</v>
      </c>
      <c r="E666" s="0" t="n">
        <v>2025</v>
      </c>
      <c r="H666" s="0" t="n">
        <v>18</v>
      </c>
      <c r="I666" s="0" t="n">
        <v>2977</v>
      </c>
      <c r="J666" s="0" t="s">
        <v>268</v>
      </c>
      <c r="K666" s="0" t="s">
        <v>3059</v>
      </c>
      <c r="L666" s="0" t="s">
        <v>293</v>
      </c>
      <c r="M666" s="0" t="s">
        <v>3060</v>
      </c>
      <c r="N666" s="0" t="s">
        <v>3060</v>
      </c>
      <c r="O666" s="0" t="s">
        <v>3061</v>
      </c>
      <c r="P666" s="0" t="s">
        <v>3062</v>
      </c>
      <c r="R666" s="0" t="s">
        <v>275</v>
      </c>
      <c r="S666" s="0" t="s">
        <v>268</v>
      </c>
      <c r="T666" s="0" t="s">
        <v>276</v>
      </c>
      <c r="U666" s="0" t="s">
        <v>277</v>
      </c>
    </row>
    <row r="667" customFormat="false" ht="15" hidden="false" customHeight="false" outlineLevel="0" collapsed="false">
      <c r="A667" s="0" t="n">
        <v>38</v>
      </c>
      <c r="B667" s="0" t="s">
        <v>79</v>
      </c>
      <c r="C667" s="0" t="s">
        <v>56</v>
      </c>
      <c r="D667" s="0" t="s">
        <v>3063</v>
      </c>
      <c r="E667" s="0" t="n">
        <v>2019</v>
      </c>
      <c r="F667" s="0" t="s">
        <v>1708</v>
      </c>
      <c r="G667" s="0" t="s">
        <v>1709</v>
      </c>
      <c r="H667" s="0" t="n">
        <v>3</v>
      </c>
      <c r="I667" s="0" t="n">
        <v>803</v>
      </c>
      <c r="J667" s="0" t="s">
        <v>268</v>
      </c>
      <c r="K667" s="0" t="s">
        <v>1696</v>
      </c>
      <c r="L667" s="0" t="s">
        <v>1697</v>
      </c>
      <c r="M667" s="0" t="s">
        <v>3064</v>
      </c>
      <c r="N667" s="0" t="s">
        <v>3064</v>
      </c>
      <c r="O667" s="0" t="s">
        <v>3065</v>
      </c>
      <c r="P667" s="0" t="s">
        <v>3066</v>
      </c>
      <c r="R667" s="0" t="s">
        <v>284</v>
      </c>
      <c r="S667" s="0" t="s">
        <v>290</v>
      </c>
      <c r="T667" s="0" t="s">
        <v>276</v>
      </c>
      <c r="U667" s="0" t="s">
        <v>277</v>
      </c>
    </row>
    <row r="668" customFormat="false" ht="15" hidden="false" customHeight="false" outlineLevel="0" collapsed="false">
      <c r="A668" s="0" t="n">
        <v>38</v>
      </c>
      <c r="B668" s="0" t="s">
        <v>79</v>
      </c>
      <c r="C668" s="0" t="s">
        <v>91</v>
      </c>
      <c r="D668" s="0" t="s">
        <v>3067</v>
      </c>
      <c r="E668" s="0" t="n">
        <v>2024</v>
      </c>
      <c r="H668" s="0" t="n">
        <v>9</v>
      </c>
      <c r="I668" s="0" t="n">
        <v>171</v>
      </c>
      <c r="J668" s="0" t="s">
        <v>268</v>
      </c>
      <c r="K668" s="0" t="s">
        <v>3059</v>
      </c>
      <c r="L668" s="0" t="s">
        <v>293</v>
      </c>
      <c r="M668" s="0" t="s">
        <v>3068</v>
      </c>
      <c r="N668" s="0" t="s">
        <v>3068</v>
      </c>
      <c r="O668" s="0" t="s">
        <v>3069</v>
      </c>
      <c r="P668" s="0" t="s">
        <v>3070</v>
      </c>
      <c r="R668" s="0" t="s">
        <v>284</v>
      </c>
      <c r="S668" s="0" t="s">
        <v>268</v>
      </c>
      <c r="T668" s="0" t="s">
        <v>276</v>
      </c>
      <c r="U668" s="0" t="s">
        <v>277</v>
      </c>
    </row>
    <row r="669" customFormat="false" ht="15" hidden="false" customHeight="false" outlineLevel="0" collapsed="false">
      <c r="A669" s="0" t="n">
        <v>38</v>
      </c>
      <c r="B669" s="0" t="s">
        <v>79</v>
      </c>
      <c r="C669" s="0" t="s">
        <v>309</v>
      </c>
      <c r="D669" s="0" t="s">
        <v>3071</v>
      </c>
      <c r="E669" s="0" t="n">
        <v>2026</v>
      </c>
      <c r="H669" s="0" t="n">
        <v>1</v>
      </c>
      <c r="I669" s="0" t="n">
        <v>415</v>
      </c>
      <c r="J669" s="0" t="s">
        <v>290</v>
      </c>
      <c r="K669" s="0" t="s">
        <v>3059</v>
      </c>
      <c r="L669" s="0" t="s">
        <v>293</v>
      </c>
      <c r="M669" s="0" t="s">
        <v>3072</v>
      </c>
      <c r="N669" s="0" t="s">
        <v>3072</v>
      </c>
      <c r="O669" s="0" t="s">
        <v>3073</v>
      </c>
      <c r="P669" s="0" t="s">
        <v>3074</v>
      </c>
      <c r="R669" s="0" t="s">
        <v>275</v>
      </c>
      <c r="S669" s="0" t="s">
        <v>268</v>
      </c>
      <c r="T669" s="0" t="s">
        <v>276</v>
      </c>
      <c r="U669" s="0" t="s">
        <v>277</v>
      </c>
    </row>
    <row r="670" customFormat="false" ht="15" hidden="false" customHeight="false" outlineLevel="0" collapsed="false">
      <c r="A670" s="0" t="n">
        <v>38</v>
      </c>
      <c r="B670" s="0" t="s">
        <v>79</v>
      </c>
      <c r="C670" s="0" t="s">
        <v>309</v>
      </c>
      <c r="D670" s="0" t="s">
        <v>3075</v>
      </c>
      <c r="E670" s="0" t="n">
        <v>2025</v>
      </c>
      <c r="F670" s="0" t="s">
        <v>1694</v>
      </c>
      <c r="G670" s="0" t="s">
        <v>1695</v>
      </c>
      <c r="H670" s="0" t="n">
        <v>1</v>
      </c>
      <c r="I670" s="0" t="n">
        <v>1499</v>
      </c>
      <c r="J670" s="0" t="s">
        <v>290</v>
      </c>
      <c r="K670" s="0" t="s">
        <v>1696</v>
      </c>
      <c r="L670" s="0" t="s">
        <v>1697</v>
      </c>
      <c r="M670" s="0" t="s">
        <v>3076</v>
      </c>
      <c r="N670" s="0" t="s">
        <v>3076</v>
      </c>
      <c r="O670" s="0" t="s">
        <v>3077</v>
      </c>
      <c r="P670" s="0" t="s">
        <v>3078</v>
      </c>
      <c r="R670" s="0" t="s">
        <v>275</v>
      </c>
      <c r="S670" s="0" t="s">
        <v>290</v>
      </c>
      <c r="T670" s="0" t="s">
        <v>314</v>
      </c>
      <c r="U670" s="0" t="s">
        <v>277</v>
      </c>
      <c r="V670" s="0" t="s">
        <v>3057</v>
      </c>
    </row>
    <row r="671" customFormat="false" ht="15" hidden="false" customHeight="false" outlineLevel="0" collapsed="false">
      <c r="A671" s="0" t="n">
        <v>38</v>
      </c>
      <c r="B671" s="0" t="s">
        <v>79</v>
      </c>
      <c r="C671" s="0" t="s">
        <v>309</v>
      </c>
      <c r="D671" s="0" t="s">
        <v>3079</v>
      </c>
      <c r="E671" s="0" t="n">
        <v>2025</v>
      </c>
      <c r="H671" s="0" t="n">
        <v>1</v>
      </c>
      <c r="I671" s="0" t="n">
        <v>266</v>
      </c>
      <c r="J671" s="0" t="s">
        <v>290</v>
      </c>
      <c r="K671" s="0" t="s">
        <v>3059</v>
      </c>
      <c r="L671" s="0" t="s">
        <v>293</v>
      </c>
      <c r="M671" s="0" t="s">
        <v>3080</v>
      </c>
      <c r="N671" s="0" t="s">
        <v>3080</v>
      </c>
      <c r="O671" s="0" t="s">
        <v>3081</v>
      </c>
      <c r="P671" s="0" t="s">
        <v>3082</v>
      </c>
      <c r="R671" s="0" t="s">
        <v>275</v>
      </c>
      <c r="S671" s="0" t="s">
        <v>290</v>
      </c>
      <c r="T671" s="0" t="s">
        <v>276</v>
      </c>
      <c r="U671" s="0" t="s">
        <v>277</v>
      </c>
    </row>
    <row r="672" customFormat="false" ht="15" hidden="false" customHeight="false" outlineLevel="0" collapsed="false">
      <c r="A672" s="0" t="n">
        <v>38</v>
      </c>
      <c r="B672" s="0" t="s">
        <v>79</v>
      </c>
      <c r="C672" s="0" t="s">
        <v>309</v>
      </c>
      <c r="D672" s="0" t="s">
        <v>3083</v>
      </c>
      <c r="E672" s="0" t="n">
        <v>2024</v>
      </c>
      <c r="H672" s="0" t="n">
        <v>1</v>
      </c>
      <c r="I672" s="0" t="n">
        <v>1012</v>
      </c>
      <c r="J672" s="0" t="s">
        <v>290</v>
      </c>
      <c r="K672" s="0" t="s">
        <v>1696</v>
      </c>
      <c r="L672" s="0" t="s">
        <v>1697</v>
      </c>
      <c r="M672" s="0" t="s">
        <v>3084</v>
      </c>
      <c r="N672" s="0" t="s">
        <v>3084</v>
      </c>
      <c r="O672" s="0" t="s">
        <v>3085</v>
      </c>
      <c r="P672" s="0" t="s">
        <v>3086</v>
      </c>
      <c r="R672" s="0" t="s">
        <v>284</v>
      </c>
      <c r="S672" s="0" t="s">
        <v>290</v>
      </c>
      <c r="T672" s="0" t="s">
        <v>276</v>
      </c>
      <c r="U672" s="0" t="s">
        <v>277</v>
      </c>
    </row>
    <row r="673" customFormat="false" ht="15" hidden="false" customHeight="false" outlineLevel="0" collapsed="false">
      <c r="A673" s="0" t="n">
        <v>38</v>
      </c>
      <c r="B673" s="0" t="s">
        <v>79</v>
      </c>
      <c r="C673" s="0" t="s">
        <v>309</v>
      </c>
      <c r="D673" s="0" t="s">
        <v>3087</v>
      </c>
      <c r="E673" s="0" t="n">
        <v>2024</v>
      </c>
      <c r="H673" s="0" t="n">
        <v>9</v>
      </c>
      <c r="I673" s="0" t="n">
        <v>2609</v>
      </c>
      <c r="J673" s="0" t="s">
        <v>268</v>
      </c>
      <c r="K673" s="0" t="s">
        <v>3059</v>
      </c>
      <c r="L673" s="0" t="s">
        <v>293</v>
      </c>
      <c r="M673" s="0" t="s">
        <v>3088</v>
      </c>
      <c r="N673" s="0" t="s">
        <v>3088</v>
      </c>
      <c r="O673" s="0" t="s">
        <v>3089</v>
      </c>
      <c r="P673" s="0" t="s">
        <v>3090</v>
      </c>
      <c r="R673" s="0" t="s">
        <v>284</v>
      </c>
      <c r="S673" s="0" t="s">
        <v>290</v>
      </c>
      <c r="T673" s="0" t="s">
        <v>276</v>
      </c>
      <c r="U673" s="0" t="s">
        <v>277</v>
      </c>
    </row>
    <row r="674" customFormat="false" ht="15" hidden="false" customHeight="false" outlineLevel="0" collapsed="false">
      <c r="A674" s="0" t="n">
        <v>38</v>
      </c>
      <c r="B674" s="0" t="s">
        <v>79</v>
      </c>
      <c r="C674" s="0" t="s">
        <v>309</v>
      </c>
      <c r="D674" s="0" t="s">
        <v>3091</v>
      </c>
      <c r="E674" s="0" t="n">
        <v>2019</v>
      </c>
      <c r="H674" s="0" t="n">
        <v>1</v>
      </c>
      <c r="I674" s="0" t="n">
        <v>70</v>
      </c>
      <c r="J674" s="0" t="s">
        <v>268</v>
      </c>
      <c r="K674" s="0" t="s">
        <v>1696</v>
      </c>
      <c r="L674" s="0" t="s">
        <v>1697</v>
      </c>
      <c r="M674" s="0" t="s">
        <v>3092</v>
      </c>
      <c r="N674" s="0" t="s">
        <v>3092</v>
      </c>
      <c r="O674" s="0" t="s">
        <v>3093</v>
      </c>
      <c r="P674" s="0" t="s">
        <v>3094</v>
      </c>
      <c r="R674" s="0" t="s">
        <v>284</v>
      </c>
      <c r="S674" s="0" t="s">
        <v>290</v>
      </c>
      <c r="T674" s="0" t="s">
        <v>314</v>
      </c>
      <c r="U674" s="0" t="s">
        <v>277</v>
      </c>
      <c r="V674" s="0" t="s">
        <v>3095</v>
      </c>
    </row>
    <row r="675" customFormat="false" ht="15" hidden="false" customHeight="false" outlineLevel="0" collapsed="false">
      <c r="A675" s="0" t="n">
        <v>159</v>
      </c>
      <c r="B675" s="0" t="s">
        <v>217</v>
      </c>
      <c r="C675" s="0" t="s">
        <v>309</v>
      </c>
      <c r="D675" s="0" t="s">
        <v>3091</v>
      </c>
      <c r="E675" s="0" t="n">
        <v>2019</v>
      </c>
      <c r="H675" s="0" t="n">
        <v>1</v>
      </c>
      <c r="I675" s="0" t="n">
        <v>70</v>
      </c>
      <c r="J675" s="0" t="s">
        <v>268</v>
      </c>
      <c r="K675" s="0" t="s">
        <v>1696</v>
      </c>
      <c r="L675" s="0" t="s">
        <v>1697</v>
      </c>
      <c r="M675" s="0" t="s">
        <v>3092</v>
      </c>
      <c r="N675" s="0" t="s">
        <v>3092</v>
      </c>
      <c r="O675" s="0" t="s">
        <v>3093</v>
      </c>
      <c r="P675" s="0" t="s">
        <v>3094</v>
      </c>
      <c r="R675" s="0" t="s">
        <v>284</v>
      </c>
      <c r="S675" s="0" t="s">
        <v>290</v>
      </c>
      <c r="T675" s="0" t="s">
        <v>314</v>
      </c>
      <c r="U675" s="0" t="s">
        <v>277</v>
      </c>
      <c r="V675" s="0" t="s">
        <v>3095</v>
      </c>
    </row>
    <row r="676" customFormat="false" ht="15" hidden="false" customHeight="false" outlineLevel="0" collapsed="false">
      <c r="A676" s="0" t="n">
        <v>38</v>
      </c>
      <c r="B676" s="0" t="s">
        <v>79</v>
      </c>
      <c r="C676" s="0" t="s">
        <v>309</v>
      </c>
      <c r="D676" s="0" t="s">
        <v>3096</v>
      </c>
      <c r="E676" s="0" t="n">
        <v>2017</v>
      </c>
      <c r="H676" s="0" t="n">
        <v>1</v>
      </c>
      <c r="I676" s="0" t="n">
        <v>84</v>
      </c>
      <c r="J676" s="0" t="s">
        <v>268</v>
      </c>
      <c r="K676" s="0" t="s">
        <v>1696</v>
      </c>
      <c r="L676" s="0" t="s">
        <v>1697</v>
      </c>
      <c r="M676" s="0" t="s">
        <v>3097</v>
      </c>
      <c r="N676" s="0" t="s">
        <v>3097</v>
      </c>
      <c r="O676" s="0" t="s">
        <v>3098</v>
      </c>
      <c r="P676" s="0" t="s">
        <v>3099</v>
      </c>
      <c r="R676" s="0" t="s">
        <v>284</v>
      </c>
      <c r="S676" s="0" t="s">
        <v>290</v>
      </c>
      <c r="T676" s="0" t="s">
        <v>276</v>
      </c>
      <c r="U676" s="0" t="s">
        <v>277</v>
      </c>
    </row>
    <row r="677" customFormat="false" ht="15" hidden="false" customHeight="false" outlineLevel="0" collapsed="false">
      <c r="A677" s="0" t="n">
        <v>38</v>
      </c>
      <c r="B677" s="0" t="s">
        <v>79</v>
      </c>
      <c r="C677" s="0" t="s">
        <v>1046</v>
      </c>
      <c r="D677" s="0" t="s">
        <v>3100</v>
      </c>
      <c r="E677" s="0" t="n">
        <v>2026</v>
      </c>
      <c r="H677" s="0" t="n">
        <v>1</v>
      </c>
      <c r="I677" s="0" t="n">
        <v>469</v>
      </c>
      <c r="J677" s="0" t="s">
        <v>290</v>
      </c>
      <c r="K677" s="0" t="s">
        <v>3059</v>
      </c>
      <c r="L677" s="0" t="s">
        <v>293</v>
      </c>
      <c r="M677" s="0" t="s">
        <v>3101</v>
      </c>
      <c r="N677" s="0" t="s">
        <v>3101</v>
      </c>
      <c r="O677" s="0" t="s">
        <v>3102</v>
      </c>
      <c r="P677" s="0" t="s">
        <v>3103</v>
      </c>
      <c r="R677" s="0" t="s">
        <v>275</v>
      </c>
      <c r="S677" s="0" t="s">
        <v>268</v>
      </c>
      <c r="T677" s="0" t="s">
        <v>276</v>
      </c>
      <c r="U677" s="0" t="s">
        <v>277</v>
      </c>
    </row>
    <row r="678" customFormat="false" ht="15" hidden="false" customHeight="false" outlineLevel="0" collapsed="false">
      <c r="A678" s="0" t="n">
        <v>38</v>
      </c>
      <c r="B678" s="0" t="s">
        <v>79</v>
      </c>
      <c r="C678" s="0" t="s">
        <v>586</v>
      </c>
      <c r="D678" s="0" t="s">
        <v>3104</v>
      </c>
      <c r="E678" s="0" t="n">
        <v>2025</v>
      </c>
      <c r="H678" s="0" t="n">
        <v>10</v>
      </c>
      <c r="I678" s="0" t="n">
        <v>271</v>
      </c>
      <c r="J678" s="0" t="s">
        <v>268</v>
      </c>
      <c r="K678" s="0" t="s">
        <v>3059</v>
      </c>
      <c r="L678" s="0" t="s">
        <v>293</v>
      </c>
      <c r="M678" s="0" t="s">
        <v>3105</v>
      </c>
      <c r="N678" s="0" t="s">
        <v>3105</v>
      </c>
      <c r="O678" s="0" t="s">
        <v>3106</v>
      </c>
      <c r="P678" s="0" t="s">
        <v>3107</v>
      </c>
      <c r="R678" s="0" t="s">
        <v>275</v>
      </c>
      <c r="S678" s="0" t="s">
        <v>268</v>
      </c>
      <c r="T678" s="0" t="s">
        <v>276</v>
      </c>
      <c r="U678" s="0" t="s">
        <v>277</v>
      </c>
    </row>
    <row r="679" customFormat="false" ht="15" hidden="false" customHeight="false" outlineLevel="0" collapsed="false">
      <c r="A679" s="0" t="n">
        <v>38</v>
      </c>
      <c r="B679" s="0" t="s">
        <v>79</v>
      </c>
      <c r="C679" s="0" t="s">
        <v>266</v>
      </c>
      <c r="D679" s="0" t="s">
        <v>3108</v>
      </c>
      <c r="E679" s="0" t="n">
        <v>2024</v>
      </c>
      <c r="H679" s="0" t="n">
        <v>1</v>
      </c>
      <c r="I679" s="0" t="n">
        <v>64</v>
      </c>
      <c r="J679" s="0" t="s">
        <v>268</v>
      </c>
      <c r="K679" s="0" t="s">
        <v>3059</v>
      </c>
      <c r="L679" s="0" t="s">
        <v>293</v>
      </c>
      <c r="M679" s="0" t="s">
        <v>3109</v>
      </c>
      <c r="N679" s="0" t="s">
        <v>3109</v>
      </c>
      <c r="O679" s="0" t="s">
        <v>3110</v>
      </c>
      <c r="P679" s="0" t="s">
        <v>3111</v>
      </c>
      <c r="R679" s="0" t="s">
        <v>284</v>
      </c>
      <c r="S679" s="0" t="s">
        <v>290</v>
      </c>
      <c r="T679" s="0" t="s">
        <v>276</v>
      </c>
      <c r="U679" s="0" t="s">
        <v>277</v>
      </c>
    </row>
    <row r="680" customFormat="false" ht="15" hidden="false" customHeight="false" outlineLevel="0" collapsed="false">
      <c r="A680" s="0" t="n">
        <v>38</v>
      </c>
      <c r="B680" s="0" t="s">
        <v>79</v>
      </c>
      <c r="C680" s="0" t="s">
        <v>266</v>
      </c>
      <c r="D680" s="0" t="s">
        <v>3112</v>
      </c>
      <c r="E680" s="0" t="n">
        <v>2024</v>
      </c>
      <c r="H680" s="0" t="n">
        <v>1</v>
      </c>
      <c r="I680" s="0" t="n">
        <v>64</v>
      </c>
      <c r="J680" s="0" t="s">
        <v>268</v>
      </c>
      <c r="K680" s="0" t="s">
        <v>3059</v>
      </c>
      <c r="L680" s="0" t="s">
        <v>293</v>
      </c>
      <c r="M680" s="0" t="s">
        <v>3113</v>
      </c>
      <c r="N680" s="0" t="s">
        <v>3113</v>
      </c>
      <c r="O680" s="0" t="s">
        <v>3114</v>
      </c>
      <c r="P680" s="0" t="s">
        <v>3115</v>
      </c>
      <c r="R680" s="0" t="s">
        <v>284</v>
      </c>
      <c r="S680" s="0" t="s">
        <v>290</v>
      </c>
      <c r="T680" s="0" t="s">
        <v>276</v>
      </c>
      <c r="U680" s="0" t="s">
        <v>277</v>
      </c>
    </row>
    <row r="681" customFormat="false" ht="15" hidden="false" customHeight="false" outlineLevel="0" collapsed="false">
      <c r="A681" s="0" t="n">
        <v>38</v>
      </c>
      <c r="B681" s="0" t="s">
        <v>79</v>
      </c>
      <c r="C681" s="0" t="s">
        <v>266</v>
      </c>
      <c r="D681" s="0" t="s">
        <v>3116</v>
      </c>
      <c r="E681" s="0" t="n">
        <v>2024</v>
      </c>
      <c r="H681" s="0" t="n">
        <v>8</v>
      </c>
      <c r="I681" s="0" t="n">
        <v>188</v>
      </c>
      <c r="J681" s="0" t="s">
        <v>268</v>
      </c>
      <c r="K681" s="0" t="s">
        <v>3059</v>
      </c>
      <c r="L681" s="0" t="s">
        <v>293</v>
      </c>
      <c r="M681" s="0" t="s">
        <v>3117</v>
      </c>
      <c r="N681" s="0" t="s">
        <v>3117</v>
      </c>
      <c r="O681" s="0" t="s">
        <v>3118</v>
      </c>
      <c r="P681" s="0" t="s">
        <v>3119</v>
      </c>
      <c r="R681" s="0" t="s">
        <v>284</v>
      </c>
      <c r="S681" s="0" t="s">
        <v>290</v>
      </c>
      <c r="T681" s="0" t="s">
        <v>276</v>
      </c>
      <c r="U681" s="0" t="s">
        <v>277</v>
      </c>
    </row>
    <row r="682" customFormat="false" ht="15" hidden="false" customHeight="false" outlineLevel="0" collapsed="false">
      <c r="A682" s="0" t="n">
        <v>38</v>
      </c>
      <c r="B682" s="0" t="s">
        <v>79</v>
      </c>
      <c r="C682" s="0" t="s">
        <v>266</v>
      </c>
      <c r="D682" s="0" t="s">
        <v>3120</v>
      </c>
      <c r="E682" s="0" t="n">
        <v>2024</v>
      </c>
      <c r="H682" s="0" t="n">
        <v>15</v>
      </c>
      <c r="I682" s="0" t="n">
        <v>258</v>
      </c>
      <c r="J682" s="0" t="s">
        <v>268</v>
      </c>
      <c r="K682" s="0" t="s">
        <v>3059</v>
      </c>
      <c r="L682" s="0" t="s">
        <v>293</v>
      </c>
      <c r="M682" s="0" t="s">
        <v>3121</v>
      </c>
      <c r="N682" s="0" t="s">
        <v>3121</v>
      </c>
      <c r="O682" s="0" t="s">
        <v>3122</v>
      </c>
      <c r="P682" s="0" t="s">
        <v>3123</v>
      </c>
      <c r="R682" s="0" t="s">
        <v>284</v>
      </c>
      <c r="S682" s="0" t="s">
        <v>268</v>
      </c>
      <c r="T682" s="0" t="s">
        <v>276</v>
      </c>
      <c r="U682" s="0" t="s">
        <v>277</v>
      </c>
    </row>
    <row r="683" customFormat="false" ht="15" hidden="false" customHeight="false" outlineLevel="0" collapsed="false">
      <c r="A683" s="0" t="n">
        <v>38</v>
      </c>
      <c r="B683" s="0" t="s">
        <v>79</v>
      </c>
      <c r="C683" s="0" t="s">
        <v>266</v>
      </c>
      <c r="D683" s="0" t="s">
        <v>3124</v>
      </c>
      <c r="E683" s="0" t="n">
        <v>2024</v>
      </c>
      <c r="H683" s="0" t="n">
        <v>9</v>
      </c>
      <c r="I683" s="0" t="n">
        <v>349</v>
      </c>
      <c r="J683" s="0" t="s">
        <v>268</v>
      </c>
      <c r="K683" s="0" t="s">
        <v>3059</v>
      </c>
      <c r="L683" s="0" t="s">
        <v>293</v>
      </c>
      <c r="M683" s="0" t="s">
        <v>3125</v>
      </c>
      <c r="N683" s="0" t="s">
        <v>3125</v>
      </c>
      <c r="O683" s="0" t="s">
        <v>3126</v>
      </c>
      <c r="P683" s="0" t="s">
        <v>3127</v>
      </c>
      <c r="R683" s="0" t="s">
        <v>284</v>
      </c>
      <c r="S683" s="0" t="s">
        <v>290</v>
      </c>
      <c r="T683" s="0" t="s">
        <v>276</v>
      </c>
      <c r="U683" s="0" t="s">
        <v>277</v>
      </c>
    </row>
    <row r="684" customFormat="false" ht="15" hidden="false" customHeight="false" outlineLevel="0" collapsed="false">
      <c r="A684" s="0" t="n">
        <v>38</v>
      </c>
      <c r="B684" s="0" t="s">
        <v>79</v>
      </c>
      <c r="C684" s="0" t="s">
        <v>266</v>
      </c>
      <c r="D684" s="0" t="s">
        <v>3128</v>
      </c>
      <c r="E684" s="0" t="n">
        <v>2024</v>
      </c>
      <c r="H684" s="0" t="n">
        <v>2</v>
      </c>
      <c r="I684" s="0" t="n">
        <v>263</v>
      </c>
      <c r="J684" s="0" t="s">
        <v>268</v>
      </c>
      <c r="K684" s="0" t="s">
        <v>3059</v>
      </c>
      <c r="L684" s="0" t="s">
        <v>293</v>
      </c>
      <c r="M684" s="0" t="s">
        <v>3129</v>
      </c>
      <c r="N684" s="0" t="s">
        <v>3129</v>
      </c>
      <c r="O684" s="0" t="s">
        <v>3130</v>
      </c>
      <c r="P684" s="0" t="s">
        <v>3131</v>
      </c>
      <c r="R684" s="0" t="s">
        <v>284</v>
      </c>
      <c r="S684" s="0" t="s">
        <v>290</v>
      </c>
      <c r="T684" s="0" t="s">
        <v>276</v>
      </c>
      <c r="U684" s="0" t="s">
        <v>277</v>
      </c>
    </row>
    <row r="685" customFormat="false" ht="15" hidden="false" customHeight="false" outlineLevel="0" collapsed="false">
      <c r="A685" s="0" t="n">
        <v>38</v>
      </c>
      <c r="B685" s="0" t="s">
        <v>79</v>
      </c>
      <c r="C685" s="0" t="s">
        <v>266</v>
      </c>
      <c r="D685" s="0" t="s">
        <v>3132</v>
      </c>
      <c r="E685" s="0" t="n">
        <v>2024</v>
      </c>
      <c r="H685" s="0" t="n">
        <v>2</v>
      </c>
      <c r="I685" s="0" t="n">
        <v>62</v>
      </c>
      <c r="J685" s="0" t="s">
        <v>268</v>
      </c>
      <c r="K685" s="0" t="s">
        <v>3059</v>
      </c>
      <c r="L685" s="0" t="s">
        <v>293</v>
      </c>
      <c r="M685" s="0" t="s">
        <v>3133</v>
      </c>
      <c r="N685" s="0" t="s">
        <v>3133</v>
      </c>
      <c r="O685" s="0" t="s">
        <v>3134</v>
      </c>
      <c r="P685" s="0" t="s">
        <v>3135</v>
      </c>
      <c r="R685" s="0" t="s">
        <v>284</v>
      </c>
      <c r="S685" s="0" t="s">
        <v>290</v>
      </c>
      <c r="T685" s="0" t="s">
        <v>276</v>
      </c>
      <c r="U685" s="0" t="s">
        <v>277</v>
      </c>
    </row>
    <row r="686" customFormat="false" ht="15" hidden="false" customHeight="false" outlineLevel="0" collapsed="false">
      <c r="A686" s="0" t="n">
        <v>38</v>
      </c>
      <c r="B686" s="0" t="s">
        <v>79</v>
      </c>
      <c r="C686" s="0" t="s">
        <v>266</v>
      </c>
      <c r="D686" s="0" t="s">
        <v>3136</v>
      </c>
      <c r="E686" s="0" t="n">
        <v>2023</v>
      </c>
      <c r="H686" s="0" t="n">
        <v>13</v>
      </c>
      <c r="I686" s="0" t="n">
        <v>675</v>
      </c>
      <c r="J686" s="0" t="s">
        <v>268</v>
      </c>
      <c r="K686" s="0" t="s">
        <v>3059</v>
      </c>
      <c r="L686" s="0" t="s">
        <v>293</v>
      </c>
      <c r="M686" s="0" t="s">
        <v>3137</v>
      </c>
      <c r="N686" s="0" t="s">
        <v>3137</v>
      </c>
      <c r="O686" s="0" t="s">
        <v>3138</v>
      </c>
      <c r="P686" s="0" t="s">
        <v>3139</v>
      </c>
      <c r="R686" s="0" t="s">
        <v>284</v>
      </c>
      <c r="S686" s="0" t="s">
        <v>290</v>
      </c>
      <c r="T686" s="0" t="s">
        <v>276</v>
      </c>
      <c r="U686" s="0" t="s">
        <v>277</v>
      </c>
    </row>
    <row r="687" customFormat="false" ht="15" hidden="false" customHeight="false" outlineLevel="0" collapsed="false">
      <c r="A687" s="0" t="n">
        <v>38</v>
      </c>
      <c r="B687" s="0" t="s">
        <v>79</v>
      </c>
      <c r="C687" s="0" t="s">
        <v>266</v>
      </c>
      <c r="D687" s="0" t="s">
        <v>3140</v>
      </c>
      <c r="E687" s="0" t="n">
        <v>2022</v>
      </c>
      <c r="H687" s="0" t="n">
        <v>14</v>
      </c>
      <c r="I687" s="0" t="n">
        <v>396</v>
      </c>
      <c r="J687" s="0" t="s">
        <v>268</v>
      </c>
      <c r="K687" s="0" t="s">
        <v>3059</v>
      </c>
      <c r="L687" s="0" t="s">
        <v>293</v>
      </c>
      <c r="M687" s="0" t="s">
        <v>3141</v>
      </c>
      <c r="N687" s="0" t="s">
        <v>3141</v>
      </c>
      <c r="O687" s="0" t="s">
        <v>3142</v>
      </c>
      <c r="P687" s="0" t="s">
        <v>3143</v>
      </c>
      <c r="R687" s="0" t="s">
        <v>284</v>
      </c>
      <c r="S687" s="0" t="s">
        <v>290</v>
      </c>
      <c r="T687" s="0" t="s">
        <v>276</v>
      </c>
      <c r="U687" s="0" t="s">
        <v>277</v>
      </c>
    </row>
    <row r="688" customFormat="false" ht="15" hidden="false" customHeight="false" outlineLevel="0" collapsed="false">
      <c r="A688" s="0" t="n">
        <v>38</v>
      </c>
      <c r="B688" s="0" t="s">
        <v>79</v>
      </c>
      <c r="C688" s="0" t="s">
        <v>324</v>
      </c>
      <c r="D688" s="0" t="s">
        <v>3144</v>
      </c>
      <c r="E688" s="0" t="n">
        <v>2026</v>
      </c>
      <c r="H688" s="0" t="n">
        <v>1</v>
      </c>
      <c r="I688" s="0" t="n">
        <v>63</v>
      </c>
      <c r="J688" s="0" t="s">
        <v>268</v>
      </c>
      <c r="K688" s="0" t="s">
        <v>3059</v>
      </c>
      <c r="L688" s="0" t="s">
        <v>293</v>
      </c>
      <c r="M688" s="0" t="s">
        <v>3145</v>
      </c>
      <c r="N688" s="0" t="s">
        <v>3145</v>
      </c>
      <c r="O688" s="0" t="s">
        <v>3146</v>
      </c>
      <c r="P688" s="0" t="s">
        <v>3147</v>
      </c>
      <c r="R688" s="0" t="s">
        <v>275</v>
      </c>
      <c r="S688" s="0" t="s">
        <v>290</v>
      </c>
      <c r="T688" s="0" t="s">
        <v>276</v>
      </c>
      <c r="U688" s="0" t="s">
        <v>277</v>
      </c>
    </row>
    <row r="689" customFormat="false" ht="15" hidden="false" customHeight="false" outlineLevel="0" collapsed="false">
      <c r="A689" s="0" t="n">
        <v>38</v>
      </c>
      <c r="B689" s="0" t="s">
        <v>79</v>
      </c>
      <c r="C689" s="0" t="s">
        <v>324</v>
      </c>
      <c r="D689" s="0" t="s">
        <v>3148</v>
      </c>
      <c r="E689" s="0" t="n">
        <v>2026</v>
      </c>
      <c r="H689" s="0" t="n">
        <v>17</v>
      </c>
      <c r="I689" s="0" t="n">
        <v>26859</v>
      </c>
      <c r="J689" s="0" t="s">
        <v>268</v>
      </c>
      <c r="K689" s="0" t="s">
        <v>3059</v>
      </c>
      <c r="L689" s="0" t="s">
        <v>293</v>
      </c>
      <c r="M689" s="0" t="s">
        <v>3149</v>
      </c>
      <c r="N689" s="0" t="s">
        <v>3149</v>
      </c>
      <c r="O689" s="0" t="s">
        <v>3150</v>
      </c>
      <c r="P689" s="0" t="s">
        <v>3151</v>
      </c>
      <c r="R689" s="0" t="s">
        <v>275</v>
      </c>
      <c r="S689" s="0" t="s">
        <v>268</v>
      </c>
      <c r="T689" s="0" t="s">
        <v>276</v>
      </c>
      <c r="U689" s="0" t="s">
        <v>277</v>
      </c>
    </row>
    <row r="690" customFormat="false" ht="15" hidden="false" customHeight="false" outlineLevel="0" collapsed="false">
      <c r="A690" s="0" t="n">
        <v>38</v>
      </c>
      <c r="B690" s="0" t="s">
        <v>79</v>
      </c>
      <c r="C690" s="0" t="s">
        <v>324</v>
      </c>
      <c r="D690" s="0" t="s">
        <v>3152</v>
      </c>
      <c r="E690" s="0" t="n">
        <v>2026</v>
      </c>
      <c r="H690" s="0" t="n">
        <v>2</v>
      </c>
      <c r="I690" s="0" t="n">
        <v>46</v>
      </c>
      <c r="J690" s="0" t="s">
        <v>268</v>
      </c>
      <c r="K690" s="0" t="s">
        <v>3059</v>
      </c>
      <c r="L690" s="0" t="s">
        <v>293</v>
      </c>
      <c r="M690" s="0" t="s">
        <v>3153</v>
      </c>
      <c r="N690" s="0" t="s">
        <v>3153</v>
      </c>
      <c r="O690" s="0" t="s">
        <v>3154</v>
      </c>
      <c r="P690" s="0" t="s">
        <v>3155</v>
      </c>
      <c r="R690" s="0" t="s">
        <v>275</v>
      </c>
      <c r="S690" s="0" t="s">
        <v>290</v>
      </c>
      <c r="T690" s="0" t="s">
        <v>276</v>
      </c>
      <c r="U690" s="0" t="s">
        <v>277</v>
      </c>
    </row>
    <row r="691" customFormat="false" ht="15" hidden="false" customHeight="false" outlineLevel="0" collapsed="false">
      <c r="A691" s="0" t="n">
        <v>38</v>
      </c>
      <c r="B691" s="0" t="s">
        <v>79</v>
      </c>
      <c r="C691" s="0" t="s">
        <v>324</v>
      </c>
      <c r="D691" s="0" t="s">
        <v>3156</v>
      </c>
      <c r="E691" s="0" t="n">
        <v>2026</v>
      </c>
      <c r="H691" s="0" t="n">
        <v>11</v>
      </c>
      <c r="I691" s="0" t="n">
        <v>46704</v>
      </c>
      <c r="J691" s="0" t="s">
        <v>268</v>
      </c>
      <c r="K691" s="0" t="s">
        <v>3059</v>
      </c>
      <c r="L691" s="0" t="s">
        <v>293</v>
      </c>
      <c r="M691" s="0" t="s">
        <v>3157</v>
      </c>
      <c r="N691" s="0" t="s">
        <v>3157</v>
      </c>
      <c r="O691" s="0" t="s">
        <v>3158</v>
      </c>
      <c r="P691" s="0" t="s">
        <v>3159</v>
      </c>
      <c r="R691" s="0" t="s">
        <v>275</v>
      </c>
      <c r="S691" s="0" t="s">
        <v>290</v>
      </c>
      <c r="T691" s="0" t="s">
        <v>276</v>
      </c>
      <c r="U691" s="0" t="s">
        <v>277</v>
      </c>
    </row>
    <row r="692" customFormat="false" ht="15" hidden="false" customHeight="false" outlineLevel="0" collapsed="false">
      <c r="A692" s="0" t="n">
        <v>38</v>
      </c>
      <c r="B692" s="0" t="s">
        <v>79</v>
      </c>
      <c r="C692" s="0" t="s">
        <v>324</v>
      </c>
      <c r="D692" s="0" t="s">
        <v>3160</v>
      </c>
      <c r="E692" s="0" t="n">
        <v>2025</v>
      </c>
      <c r="F692" s="0" t="s">
        <v>1694</v>
      </c>
      <c r="G692" s="0" t="s">
        <v>1695</v>
      </c>
      <c r="H692" s="0" t="n">
        <v>1</v>
      </c>
      <c r="I692" s="0" t="n">
        <v>65</v>
      </c>
      <c r="J692" s="0" t="s">
        <v>268</v>
      </c>
      <c r="K692" s="0" t="s">
        <v>3059</v>
      </c>
      <c r="L692" s="0" t="s">
        <v>293</v>
      </c>
      <c r="M692" s="0" t="s">
        <v>3161</v>
      </c>
      <c r="N692" s="0" t="s">
        <v>3161</v>
      </c>
      <c r="O692" s="0" t="s">
        <v>3162</v>
      </c>
      <c r="P692" s="0" t="s">
        <v>3163</v>
      </c>
      <c r="R692" s="0" t="s">
        <v>275</v>
      </c>
      <c r="S692" s="0" t="s">
        <v>290</v>
      </c>
      <c r="T692" s="0" t="s">
        <v>276</v>
      </c>
      <c r="U692" s="0" t="s">
        <v>277</v>
      </c>
    </row>
    <row r="693" customFormat="false" ht="15" hidden="false" customHeight="false" outlineLevel="0" collapsed="false">
      <c r="A693" s="0" t="n">
        <v>38</v>
      </c>
      <c r="B693" s="0" t="s">
        <v>79</v>
      </c>
      <c r="C693" s="0" t="s">
        <v>324</v>
      </c>
      <c r="D693" s="0" t="s">
        <v>3164</v>
      </c>
      <c r="E693" s="0" t="n">
        <v>2025</v>
      </c>
      <c r="F693" s="0" t="s">
        <v>1694</v>
      </c>
      <c r="G693" s="0" t="s">
        <v>1695</v>
      </c>
      <c r="H693" s="0" t="n">
        <v>11</v>
      </c>
      <c r="I693" s="0" t="n">
        <v>17934</v>
      </c>
      <c r="J693" s="0" t="s">
        <v>268</v>
      </c>
      <c r="K693" s="0" t="s">
        <v>3059</v>
      </c>
      <c r="L693" s="0" t="s">
        <v>293</v>
      </c>
      <c r="M693" s="0" t="s">
        <v>3165</v>
      </c>
      <c r="N693" s="0" t="s">
        <v>3165</v>
      </c>
      <c r="O693" s="0" t="s">
        <v>3166</v>
      </c>
      <c r="P693" s="0" t="s">
        <v>3167</v>
      </c>
      <c r="R693" s="0" t="s">
        <v>275</v>
      </c>
      <c r="S693" s="0" t="s">
        <v>290</v>
      </c>
      <c r="T693" s="0" t="s">
        <v>276</v>
      </c>
      <c r="U693" s="0" t="s">
        <v>277</v>
      </c>
    </row>
    <row r="694" customFormat="false" ht="15" hidden="false" customHeight="false" outlineLevel="0" collapsed="false">
      <c r="A694" s="0" t="n">
        <v>38</v>
      </c>
      <c r="B694" s="0" t="s">
        <v>79</v>
      </c>
      <c r="C694" s="0" t="s">
        <v>324</v>
      </c>
      <c r="D694" s="0" t="s">
        <v>3168</v>
      </c>
      <c r="E694" s="0" t="n">
        <v>2025</v>
      </c>
      <c r="F694" s="0" t="s">
        <v>1694</v>
      </c>
      <c r="G694" s="0" t="s">
        <v>1695</v>
      </c>
      <c r="H694" s="0" t="n">
        <v>17</v>
      </c>
      <c r="I694" s="0" t="n">
        <v>9596</v>
      </c>
      <c r="J694" s="0" t="s">
        <v>268</v>
      </c>
      <c r="K694" s="0" t="s">
        <v>3059</v>
      </c>
      <c r="L694" s="0" t="s">
        <v>293</v>
      </c>
      <c r="M694" s="0" t="s">
        <v>3169</v>
      </c>
      <c r="N694" s="0" t="s">
        <v>3169</v>
      </c>
      <c r="O694" s="0" t="s">
        <v>3170</v>
      </c>
      <c r="P694" s="0" t="s">
        <v>3171</v>
      </c>
      <c r="R694" s="0" t="s">
        <v>275</v>
      </c>
      <c r="S694" s="0" t="s">
        <v>290</v>
      </c>
      <c r="T694" s="0" t="s">
        <v>276</v>
      </c>
      <c r="U694" s="0" t="s">
        <v>277</v>
      </c>
    </row>
    <row r="695" customFormat="false" ht="15" hidden="false" customHeight="false" outlineLevel="0" collapsed="false">
      <c r="A695" s="0" t="n">
        <v>38</v>
      </c>
      <c r="B695" s="0" t="s">
        <v>79</v>
      </c>
      <c r="C695" s="0" t="s">
        <v>324</v>
      </c>
      <c r="D695" s="0" t="s">
        <v>3172</v>
      </c>
      <c r="E695" s="0" t="n">
        <v>2024</v>
      </c>
      <c r="H695" s="0" t="n">
        <v>17</v>
      </c>
      <c r="I695" s="0" t="n">
        <v>1332</v>
      </c>
      <c r="J695" s="0" t="s">
        <v>268</v>
      </c>
      <c r="K695" s="0" t="s">
        <v>3059</v>
      </c>
      <c r="L695" s="0" t="s">
        <v>293</v>
      </c>
      <c r="M695" s="0" t="s">
        <v>3173</v>
      </c>
      <c r="N695" s="0" t="s">
        <v>3173</v>
      </c>
      <c r="O695" s="0" t="s">
        <v>3174</v>
      </c>
      <c r="P695" s="0" t="s">
        <v>3175</v>
      </c>
      <c r="R695" s="0" t="s">
        <v>284</v>
      </c>
      <c r="S695" s="0" t="s">
        <v>290</v>
      </c>
      <c r="T695" s="0" t="s">
        <v>276</v>
      </c>
      <c r="U695" s="0" t="s">
        <v>277</v>
      </c>
    </row>
    <row r="696" customFormat="false" ht="15" hidden="false" customHeight="false" outlineLevel="0" collapsed="false">
      <c r="A696" s="0" t="n">
        <v>38</v>
      </c>
      <c r="B696" s="0" t="s">
        <v>79</v>
      </c>
      <c r="C696" s="0" t="s">
        <v>324</v>
      </c>
      <c r="D696" s="0" t="s">
        <v>3176</v>
      </c>
      <c r="E696" s="0" t="n">
        <v>2024</v>
      </c>
      <c r="H696" s="0" t="n">
        <v>11</v>
      </c>
      <c r="I696" s="0" t="n">
        <v>1288</v>
      </c>
      <c r="J696" s="0" t="s">
        <v>268</v>
      </c>
      <c r="K696" s="0" t="s">
        <v>3059</v>
      </c>
      <c r="L696" s="0" t="s">
        <v>293</v>
      </c>
      <c r="M696" s="0" t="s">
        <v>3177</v>
      </c>
      <c r="N696" s="0" t="s">
        <v>3177</v>
      </c>
      <c r="O696" s="0" t="s">
        <v>3178</v>
      </c>
      <c r="P696" s="0" t="s">
        <v>3179</v>
      </c>
      <c r="R696" s="0" t="s">
        <v>284</v>
      </c>
      <c r="S696" s="0" t="s">
        <v>290</v>
      </c>
      <c r="T696" s="0" t="s">
        <v>276</v>
      </c>
      <c r="U696" s="0" t="s">
        <v>277</v>
      </c>
    </row>
    <row r="697" customFormat="false" ht="15" hidden="false" customHeight="false" outlineLevel="0" collapsed="false">
      <c r="A697" s="0" t="n">
        <v>38</v>
      </c>
      <c r="B697" s="0" t="s">
        <v>79</v>
      </c>
      <c r="C697" s="0" t="s">
        <v>324</v>
      </c>
      <c r="D697" s="0" t="s">
        <v>3180</v>
      </c>
      <c r="E697" s="0" t="n">
        <v>2020</v>
      </c>
      <c r="H697" s="0" t="n">
        <v>7</v>
      </c>
      <c r="I697" s="0" t="n">
        <v>97</v>
      </c>
      <c r="J697" s="0" t="s">
        <v>268</v>
      </c>
      <c r="K697" s="0" t="s">
        <v>1696</v>
      </c>
      <c r="L697" s="0" t="s">
        <v>1697</v>
      </c>
      <c r="M697" s="0" t="s">
        <v>3181</v>
      </c>
      <c r="N697" s="0" t="s">
        <v>3181</v>
      </c>
      <c r="O697" s="0" t="s">
        <v>3182</v>
      </c>
      <c r="P697" s="0" t="s">
        <v>3183</v>
      </c>
      <c r="R697" s="0" t="s">
        <v>284</v>
      </c>
      <c r="S697" s="0" t="s">
        <v>290</v>
      </c>
      <c r="T697" s="0" t="s">
        <v>314</v>
      </c>
      <c r="U697" s="0" t="s">
        <v>277</v>
      </c>
      <c r="V697" s="0" t="s">
        <v>3057</v>
      </c>
    </row>
    <row r="698" customFormat="false" ht="15" hidden="false" customHeight="false" outlineLevel="0" collapsed="false">
      <c r="A698" s="0" t="n">
        <v>38</v>
      </c>
      <c r="B698" s="0" t="s">
        <v>79</v>
      </c>
      <c r="C698" s="0" t="s">
        <v>335</v>
      </c>
      <c r="D698" s="0" t="s">
        <v>3184</v>
      </c>
      <c r="E698" s="0" t="n">
        <v>2026</v>
      </c>
      <c r="H698" s="0" t="n">
        <v>1</v>
      </c>
      <c r="I698" s="0" t="n">
        <v>117</v>
      </c>
      <c r="J698" s="0" t="s">
        <v>268</v>
      </c>
      <c r="K698" s="0" t="s">
        <v>3059</v>
      </c>
      <c r="L698" s="0" t="s">
        <v>293</v>
      </c>
      <c r="M698" s="0" t="s">
        <v>3185</v>
      </c>
      <c r="N698" s="0" t="s">
        <v>3185</v>
      </c>
      <c r="O698" s="0" t="s">
        <v>3186</v>
      </c>
      <c r="P698" s="0" t="s">
        <v>3187</v>
      </c>
      <c r="R698" s="0" t="s">
        <v>275</v>
      </c>
      <c r="S698" s="0" t="s">
        <v>290</v>
      </c>
      <c r="T698" s="0" t="s">
        <v>276</v>
      </c>
      <c r="U698" s="0" t="s">
        <v>277</v>
      </c>
    </row>
    <row r="699" customFormat="false" ht="15" hidden="false" customHeight="false" outlineLevel="0" collapsed="false">
      <c r="A699" s="0" t="n">
        <v>38</v>
      </c>
      <c r="B699" s="0" t="s">
        <v>79</v>
      </c>
      <c r="C699" s="0" t="s">
        <v>335</v>
      </c>
      <c r="D699" s="0" t="s">
        <v>3188</v>
      </c>
      <c r="E699" s="0" t="n">
        <v>2026</v>
      </c>
      <c r="H699" s="0" t="n">
        <v>1</v>
      </c>
      <c r="I699" s="0" t="n">
        <v>258</v>
      </c>
      <c r="J699" s="0" t="s">
        <v>290</v>
      </c>
      <c r="K699" s="0" t="s">
        <v>3059</v>
      </c>
      <c r="L699" s="0" t="s">
        <v>293</v>
      </c>
      <c r="M699" s="0" t="s">
        <v>3189</v>
      </c>
      <c r="N699" s="0" t="s">
        <v>3189</v>
      </c>
      <c r="O699" s="0" t="s">
        <v>3190</v>
      </c>
      <c r="P699" s="0" t="s">
        <v>3191</v>
      </c>
      <c r="R699" s="0" t="s">
        <v>275</v>
      </c>
      <c r="S699" s="0" t="s">
        <v>290</v>
      </c>
      <c r="T699" s="0" t="s">
        <v>276</v>
      </c>
      <c r="U699" s="0" t="s">
        <v>277</v>
      </c>
    </row>
    <row r="700" customFormat="false" ht="15" hidden="false" customHeight="false" outlineLevel="0" collapsed="false">
      <c r="A700" s="0" t="n">
        <v>38</v>
      </c>
      <c r="B700" s="0" t="s">
        <v>79</v>
      </c>
      <c r="C700" s="0" t="s">
        <v>335</v>
      </c>
      <c r="D700" s="0" t="s">
        <v>3192</v>
      </c>
      <c r="E700" s="0" t="n">
        <v>2026</v>
      </c>
      <c r="H700" s="0" t="n">
        <v>22</v>
      </c>
      <c r="I700" s="0" t="n">
        <v>2087</v>
      </c>
      <c r="J700" s="0" t="s">
        <v>268</v>
      </c>
      <c r="K700" s="0" t="s">
        <v>3059</v>
      </c>
      <c r="L700" s="0" t="s">
        <v>293</v>
      </c>
      <c r="M700" s="0" t="s">
        <v>3193</v>
      </c>
      <c r="N700" s="0" t="s">
        <v>3193</v>
      </c>
      <c r="O700" s="0" t="s">
        <v>3194</v>
      </c>
      <c r="P700" s="0" t="s">
        <v>3195</v>
      </c>
      <c r="R700" s="0" t="s">
        <v>275</v>
      </c>
      <c r="S700" s="0" t="s">
        <v>268</v>
      </c>
      <c r="T700" s="0" t="s">
        <v>276</v>
      </c>
      <c r="U700" s="0" t="s">
        <v>277</v>
      </c>
    </row>
    <row r="701" customFormat="false" ht="15" hidden="false" customHeight="false" outlineLevel="0" collapsed="false">
      <c r="A701" s="0" t="n">
        <v>38</v>
      </c>
      <c r="B701" s="0" t="s">
        <v>79</v>
      </c>
      <c r="C701" s="0" t="s">
        <v>335</v>
      </c>
      <c r="D701" s="0" t="s">
        <v>3196</v>
      </c>
      <c r="E701" s="0" t="n">
        <v>2026</v>
      </c>
      <c r="H701" s="0" t="n">
        <v>1</v>
      </c>
      <c r="I701" s="0" t="n">
        <v>45</v>
      </c>
      <c r="J701" s="0" t="s">
        <v>268</v>
      </c>
      <c r="K701" s="0" t="s">
        <v>3059</v>
      </c>
      <c r="L701" s="0" t="s">
        <v>293</v>
      </c>
      <c r="M701" s="0" t="s">
        <v>3197</v>
      </c>
      <c r="N701" s="0" t="s">
        <v>3197</v>
      </c>
      <c r="O701" s="0" t="s">
        <v>3198</v>
      </c>
      <c r="P701" s="0" t="s">
        <v>3199</v>
      </c>
      <c r="R701" s="0" t="s">
        <v>275</v>
      </c>
      <c r="S701" s="0" t="s">
        <v>290</v>
      </c>
      <c r="T701" s="0" t="s">
        <v>276</v>
      </c>
      <c r="U701" s="0" t="s">
        <v>277</v>
      </c>
    </row>
    <row r="702" customFormat="false" ht="15" hidden="false" customHeight="false" outlineLevel="0" collapsed="false">
      <c r="A702" s="0" t="n">
        <v>38</v>
      </c>
      <c r="B702" s="0" t="s">
        <v>79</v>
      </c>
      <c r="C702" s="0" t="s">
        <v>335</v>
      </c>
      <c r="D702" s="0" t="s">
        <v>3200</v>
      </c>
      <c r="E702" s="0" t="n">
        <v>2025</v>
      </c>
      <c r="F702" s="0" t="s">
        <v>1694</v>
      </c>
      <c r="G702" s="0" t="s">
        <v>1695</v>
      </c>
      <c r="H702" s="0" t="n">
        <v>1</v>
      </c>
      <c r="I702" s="0" t="n">
        <v>125</v>
      </c>
      <c r="J702" s="0" t="s">
        <v>268</v>
      </c>
      <c r="K702" s="0" t="s">
        <v>3059</v>
      </c>
      <c r="L702" s="0" t="s">
        <v>293</v>
      </c>
      <c r="M702" s="0" t="s">
        <v>3201</v>
      </c>
      <c r="N702" s="0" t="s">
        <v>3201</v>
      </c>
      <c r="O702" s="0" t="s">
        <v>3202</v>
      </c>
      <c r="P702" s="0" t="s">
        <v>3203</v>
      </c>
      <c r="R702" s="0" t="s">
        <v>275</v>
      </c>
      <c r="S702" s="0" t="s">
        <v>290</v>
      </c>
      <c r="T702" s="0" t="s">
        <v>276</v>
      </c>
      <c r="U702" s="0" t="s">
        <v>277</v>
      </c>
    </row>
    <row r="703" customFormat="false" ht="15" hidden="false" customHeight="false" outlineLevel="0" collapsed="false">
      <c r="A703" s="0" t="n">
        <v>38</v>
      </c>
      <c r="B703" s="0" t="s">
        <v>79</v>
      </c>
      <c r="C703" s="0" t="s">
        <v>335</v>
      </c>
      <c r="D703" s="0" t="s">
        <v>3204</v>
      </c>
      <c r="E703" s="0" t="n">
        <v>2025</v>
      </c>
      <c r="F703" s="0" t="s">
        <v>1694</v>
      </c>
      <c r="G703" s="0" t="s">
        <v>1695</v>
      </c>
      <c r="H703" s="0" t="n">
        <v>22</v>
      </c>
      <c r="I703" s="0" t="n">
        <v>30893</v>
      </c>
      <c r="J703" s="0" t="s">
        <v>268</v>
      </c>
      <c r="K703" s="0" t="s">
        <v>3059</v>
      </c>
      <c r="L703" s="0" t="s">
        <v>293</v>
      </c>
      <c r="M703" s="0" t="s">
        <v>3205</v>
      </c>
      <c r="N703" s="0" t="s">
        <v>3205</v>
      </c>
      <c r="O703" s="0" t="s">
        <v>3206</v>
      </c>
      <c r="P703" s="0" t="s">
        <v>3207</v>
      </c>
      <c r="R703" s="0" t="s">
        <v>275</v>
      </c>
      <c r="S703" s="0" t="s">
        <v>290</v>
      </c>
      <c r="T703" s="0" t="s">
        <v>276</v>
      </c>
      <c r="U703" s="0" t="s">
        <v>277</v>
      </c>
    </row>
    <row r="704" customFormat="false" ht="15" hidden="false" customHeight="false" outlineLevel="0" collapsed="false">
      <c r="A704" s="0" t="n">
        <v>38</v>
      </c>
      <c r="B704" s="0" t="s">
        <v>79</v>
      </c>
      <c r="C704" s="0" t="s">
        <v>335</v>
      </c>
      <c r="D704" s="0" t="s">
        <v>3208</v>
      </c>
      <c r="E704" s="0" t="n">
        <v>2025</v>
      </c>
      <c r="H704" s="0" t="n">
        <v>1</v>
      </c>
      <c r="I704" s="0" t="n">
        <v>234</v>
      </c>
      <c r="J704" s="0" t="s">
        <v>268</v>
      </c>
      <c r="K704" s="0" t="s">
        <v>3059</v>
      </c>
      <c r="L704" s="0" t="s">
        <v>293</v>
      </c>
      <c r="M704" s="0" t="s">
        <v>3209</v>
      </c>
      <c r="N704" s="0" t="s">
        <v>3209</v>
      </c>
      <c r="O704" s="0" t="s">
        <v>3210</v>
      </c>
      <c r="P704" s="0" t="s">
        <v>3211</v>
      </c>
      <c r="R704" s="0" t="s">
        <v>275</v>
      </c>
      <c r="S704" s="0" t="s">
        <v>290</v>
      </c>
      <c r="T704" s="0" t="s">
        <v>276</v>
      </c>
      <c r="U704" s="0" t="s">
        <v>277</v>
      </c>
    </row>
    <row r="705" customFormat="false" ht="15" hidden="false" customHeight="false" outlineLevel="0" collapsed="false">
      <c r="A705" s="0" t="n">
        <v>38</v>
      </c>
      <c r="B705" s="0" t="s">
        <v>79</v>
      </c>
      <c r="C705" s="0" t="s">
        <v>335</v>
      </c>
      <c r="D705" s="0" t="s">
        <v>3212</v>
      </c>
      <c r="E705" s="0" t="n">
        <v>2025</v>
      </c>
      <c r="H705" s="0" t="n">
        <v>1</v>
      </c>
      <c r="I705" s="0" t="n">
        <v>19</v>
      </c>
      <c r="J705" s="0" t="s">
        <v>268</v>
      </c>
      <c r="K705" s="0" t="s">
        <v>3059</v>
      </c>
      <c r="L705" s="0" t="s">
        <v>293</v>
      </c>
      <c r="M705" s="0" t="s">
        <v>3213</v>
      </c>
      <c r="N705" s="0" t="s">
        <v>3213</v>
      </c>
      <c r="O705" s="0" t="s">
        <v>3214</v>
      </c>
      <c r="P705" s="0" t="s">
        <v>3215</v>
      </c>
      <c r="R705" s="0" t="s">
        <v>275</v>
      </c>
      <c r="S705" s="0" t="s">
        <v>290</v>
      </c>
      <c r="T705" s="0" t="s">
        <v>276</v>
      </c>
      <c r="U705" s="0" t="s">
        <v>277</v>
      </c>
    </row>
    <row r="706" customFormat="false" ht="15" hidden="false" customHeight="false" outlineLevel="0" collapsed="false">
      <c r="A706" s="0" t="n">
        <v>38</v>
      </c>
      <c r="B706" s="0" t="s">
        <v>79</v>
      </c>
      <c r="C706" s="0" t="s">
        <v>335</v>
      </c>
      <c r="D706" s="0" t="s">
        <v>3216</v>
      </c>
      <c r="E706" s="0" t="n">
        <v>2024</v>
      </c>
      <c r="H706" s="0" t="n">
        <v>22</v>
      </c>
      <c r="I706" s="0" t="n">
        <v>839</v>
      </c>
      <c r="J706" s="0" t="s">
        <v>268</v>
      </c>
      <c r="K706" s="0" t="s">
        <v>3059</v>
      </c>
      <c r="L706" s="0" t="s">
        <v>293</v>
      </c>
      <c r="M706" s="0" t="s">
        <v>3217</v>
      </c>
      <c r="N706" s="0" t="s">
        <v>3217</v>
      </c>
      <c r="O706" s="0" t="s">
        <v>3218</v>
      </c>
      <c r="P706" s="0" t="s">
        <v>3219</v>
      </c>
      <c r="R706" s="0" t="s">
        <v>284</v>
      </c>
      <c r="S706" s="0" t="s">
        <v>290</v>
      </c>
      <c r="T706" s="0" t="s">
        <v>276</v>
      </c>
      <c r="U706" s="0" t="s">
        <v>277</v>
      </c>
    </row>
    <row r="707" customFormat="false" ht="15" hidden="false" customHeight="false" outlineLevel="0" collapsed="false">
      <c r="A707" s="0" t="n">
        <v>38</v>
      </c>
      <c r="B707" s="0" t="s">
        <v>79</v>
      </c>
      <c r="C707" s="0" t="s">
        <v>530</v>
      </c>
      <c r="D707" s="0" t="s">
        <v>3220</v>
      </c>
      <c r="E707" s="0" t="n">
        <v>2024</v>
      </c>
      <c r="H707" s="0" t="n">
        <v>5</v>
      </c>
      <c r="I707" s="0" t="n">
        <v>284</v>
      </c>
      <c r="J707" s="0" t="s">
        <v>268</v>
      </c>
      <c r="K707" s="0" t="s">
        <v>3059</v>
      </c>
      <c r="L707" s="0" t="s">
        <v>293</v>
      </c>
      <c r="M707" s="0" t="s">
        <v>3221</v>
      </c>
      <c r="N707" s="0" t="s">
        <v>3221</v>
      </c>
      <c r="O707" s="0" t="s">
        <v>3222</v>
      </c>
      <c r="P707" s="0" t="s">
        <v>3223</v>
      </c>
      <c r="R707" s="0" t="s">
        <v>284</v>
      </c>
      <c r="S707" s="0" t="s">
        <v>268</v>
      </c>
      <c r="T707" s="0" t="s">
        <v>276</v>
      </c>
      <c r="U707" s="0" t="s">
        <v>277</v>
      </c>
    </row>
    <row r="708" customFormat="false" ht="15" hidden="false" customHeight="false" outlineLevel="0" collapsed="false">
      <c r="A708" s="0" t="n">
        <v>38</v>
      </c>
      <c r="B708" s="0" t="s">
        <v>79</v>
      </c>
      <c r="C708" s="0" t="s">
        <v>480</v>
      </c>
      <c r="D708" s="0" t="s">
        <v>3224</v>
      </c>
      <c r="E708" s="0" t="n">
        <v>2025</v>
      </c>
      <c r="H708" s="0" t="n">
        <v>8</v>
      </c>
      <c r="I708" s="0" t="n">
        <v>1904</v>
      </c>
      <c r="J708" s="0" t="s">
        <v>268</v>
      </c>
      <c r="K708" s="0" t="s">
        <v>3059</v>
      </c>
      <c r="L708" s="0" t="s">
        <v>293</v>
      </c>
      <c r="M708" s="0" t="s">
        <v>3225</v>
      </c>
      <c r="N708" s="0" t="s">
        <v>3225</v>
      </c>
      <c r="O708" s="0" t="s">
        <v>3226</v>
      </c>
      <c r="P708" s="0" t="s">
        <v>3227</v>
      </c>
      <c r="R708" s="0" t="s">
        <v>275</v>
      </c>
      <c r="S708" s="0" t="s">
        <v>268</v>
      </c>
      <c r="T708" s="0" t="s">
        <v>276</v>
      </c>
      <c r="U708" s="0" t="s">
        <v>277</v>
      </c>
    </row>
    <row r="709" customFormat="false" ht="15" hidden="false" customHeight="false" outlineLevel="0" collapsed="false">
      <c r="A709" s="0" t="n">
        <v>38</v>
      </c>
      <c r="B709" s="0" t="s">
        <v>79</v>
      </c>
      <c r="C709" s="0" t="s">
        <v>480</v>
      </c>
      <c r="D709" s="0" t="s">
        <v>3228</v>
      </c>
      <c r="E709" s="0" t="n">
        <v>2024</v>
      </c>
      <c r="H709" s="0" t="n">
        <v>8</v>
      </c>
      <c r="I709" s="0" t="n">
        <v>1133</v>
      </c>
      <c r="J709" s="0" t="s">
        <v>268</v>
      </c>
      <c r="K709" s="0" t="s">
        <v>3059</v>
      </c>
      <c r="L709" s="0" t="s">
        <v>293</v>
      </c>
      <c r="M709" s="0" t="s">
        <v>3229</v>
      </c>
      <c r="N709" s="0" t="s">
        <v>3229</v>
      </c>
      <c r="O709" s="0" t="s">
        <v>3230</v>
      </c>
      <c r="P709" s="0" t="s">
        <v>3231</v>
      </c>
      <c r="R709" s="0" t="s">
        <v>284</v>
      </c>
      <c r="S709" s="0" t="s">
        <v>290</v>
      </c>
      <c r="T709" s="0" t="s">
        <v>276</v>
      </c>
      <c r="U709" s="0" t="s">
        <v>277</v>
      </c>
    </row>
    <row r="710" customFormat="false" ht="15" hidden="false" customHeight="false" outlineLevel="0" collapsed="false">
      <c r="A710" s="0" t="n">
        <v>38</v>
      </c>
      <c r="B710" s="0" t="s">
        <v>79</v>
      </c>
      <c r="C710" s="0" t="s">
        <v>278</v>
      </c>
      <c r="D710" s="0" t="s">
        <v>3232</v>
      </c>
      <c r="E710" s="0" t="n">
        <v>2026</v>
      </c>
      <c r="H710" s="0" t="n">
        <v>3</v>
      </c>
      <c r="I710" s="0" t="n">
        <v>14277</v>
      </c>
      <c r="J710" s="0" t="s">
        <v>268</v>
      </c>
      <c r="K710" s="0" t="s">
        <v>3059</v>
      </c>
      <c r="L710" s="0" t="s">
        <v>293</v>
      </c>
      <c r="M710" s="0" t="s">
        <v>3233</v>
      </c>
      <c r="N710" s="0" t="s">
        <v>3233</v>
      </c>
      <c r="O710" s="0" t="s">
        <v>3234</v>
      </c>
      <c r="P710" s="0" t="s">
        <v>3235</v>
      </c>
      <c r="R710" s="0" t="s">
        <v>275</v>
      </c>
      <c r="S710" s="0" t="s">
        <v>268</v>
      </c>
      <c r="T710" s="0" t="s">
        <v>276</v>
      </c>
      <c r="U710" s="0" t="s">
        <v>277</v>
      </c>
    </row>
    <row r="711" customFormat="false" ht="15" hidden="false" customHeight="false" outlineLevel="0" collapsed="false">
      <c r="A711" s="0" t="n">
        <v>38</v>
      </c>
      <c r="B711" s="0" t="s">
        <v>79</v>
      </c>
      <c r="C711" s="0" t="s">
        <v>887</v>
      </c>
      <c r="D711" s="0" t="s">
        <v>3236</v>
      </c>
      <c r="E711" s="0" t="n">
        <v>2026</v>
      </c>
      <c r="H711" s="0" t="n">
        <v>1</v>
      </c>
      <c r="I711" s="0" t="n">
        <v>113</v>
      </c>
      <c r="J711" s="0" t="s">
        <v>268</v>
      </c>
      <c r="K711" s="0" t="s">
        <v>3059</v>
      </c>
      <c r="L711" s="0" t="s">
        <v>293</v>
      </c>
      <c r="M711" s="0" t="s">
        <v>3237</v>
      </c>
      <c r="N711" s="0" t="s">
        <v>3237</v>
      </c>
      <c r="O711" s="0" t="s">
        <v>3238</v>
      </c>
      <c r="P711" s="0" t="s">
        <v>3239</v>
      </c>
      <c r="R711" s="0" t="s">
        <v>275</v>
      </c>
      <c r="S711" s="0" t="s">
        <v>290</v>
      </c>
      <c r="T711" s="0" t="s">
        <v>276</v>
      </c>
      <c r="U711" s="0" t="s">
        <v>277</v>
      </c>
    </row>
    <row r="712" customFormat="false" ht="15" hidden="false" customHeight="false" outlineLevel="0" collapsed="false">
      <c r="A712" s="0" t="n">
        <v>38</v>
      </c>
      <c r="B712" s="0" t="s">
        <v>79</v>
      </c>
      <c r="C712" s="0" t="s">
        <v>887</v>
      </c>
      <c r="D712" s="0" t="s">
        <v>3240</v>
      </c>
      <c r="E712" s="0" t="n">
        <v>2026</v>
      </c>
      <c r="H712" s="0" t="n">
        <v>1</v>
      </c>
      <c r="I712" s="0" t="n">
        <v>198</v>
      </c>
      <c r="J712" s="0" t="s">
        <v>268</v>
      </c>
      <c r="K712" s="0" t="s">
        <v>3059</v>
      </c>
      <c r="L712" s="0" t="s">
        <v>293</v>
      </c>
      <c r="M712" s="0" t="s">
        <v>3241</v>
      </c>
      <c r="N712" s="0" t="s">
        <v>3241</v>
      </c>
      <c r="O712" s="0" t="s">
        <v>3242</v>
      </c>
      <c r="P712" s="0" t="s">
        <v>3243</v>
      </c>
      <c r="R712" s="0" t="s">
        <v>275</v>
      </c>
      <c r="S712" s="0" t="s">
        <v>290</v>
      </c>
      <c r="T712" s="0" t="s">
        <v>276</v>
      </c>
      <c r="U712" s="0" t="s">
        <v>277</v>
      </c>
    </row>
    <row r="713" customFormat="false" ht="15" hidden="false" customHeight="false" outlineLevel="0" collapsed="false">
      <c r="A713" s="0" t="n">
        <v>38</v>
      </c>
      <c r="B713" s="0" t="s">
        <v>79</v>
      </c>
      <c r="C713" s="0" t="s">
        <v>887</v>
      </c>
      <c r="D713" s="0" t="s">
        <v>3244</v>
      </c>
      <c r="E713" s="0" t="n">
        <v>2026</v>
      </c>
      <c r="H713" s="0" t="n">
        <v>2</v>
      </c>
      <c r="I713" s="0" t="n">
        <v>185</v>
      </c>
      <c r="J713" s="0" t="s">
        <v>268</v>
      </c>
      <c r="K713" s="0" t="s">
        <v>3059</v>
      </c>
      <c r="L713" s="0" t="s">
        <v>293</v>
      </c>
      <c r="M713" s="0" t="s">
        <v>3245</v>
      </c>
      <c r="N713" s="0" t="s">
        <v>3245</v>
      </c>
      <c r="O713" s="0" t="s">
        <v>3246</v>
      </c>
      <c r="P713" s="0" t="s">
        <v>3247</v>
      </c>
      <c r="R713" s="0" t="s">
        <v>275</v>
      </c>
      <c r="S713" s="0" t="s">
        <v>290</v>
      </c>
      <c r="T713" s="0" t="s">
        <v>276</v>
      </c>
      <c r="U713" s="0" t="s">
        <v>277</v>
      </c>
    </row>
    <row r="714" customFormat="false" ht="15" hidden="false" customHeight="false" outlineLevel="0" collapsed="false">
      <c r="A714" s="0" t="n">
        <v>38</v>
      </c>
      <c r="B714" s="0" t="s">
        <v>79</v>
      </c>
      <c r="C714" s="0" t="s">
        <v>887</v>
      </c>
      <c r="D714" s="0" t="s">
        <v>3248</v>
      </c>
      <c r="E714" s="0" t="n">
        <v>2026</v>
      </c>
      <c r="H714" s="0" t="n">
        <v>16</v>
      </c>
      <c r="I714" s="0" t="n">
        <v>7260</v>
      </c>
      <c r="J714" s="0" t="s">
        <v>268</v>
      </c>
      <c r="K714" s="0" t="s">
        <v>3059</v>
      </c>
      <c r="L714" s="0" t="s">
        <v>293</v>
      </c>
      <c r="M714" s="0" t="s">
        <v>3249</v>
      </c>
      <c r="N714" s="0" t="s">
        <v>3249</v>
      </c>
      <c r="O714" s="0" t="s">
        <v>3250</v>
      </c>
      <c r="P714" s="0" t="s">
        <v>3251</v>
      </c>
      <c r="R714" s="0" t="s">
        <v>275</v>
      </c>
      <c r="S714" s="0" t="s">
        <v>268</v>
      </c>
      <c r="T714" s="0" t="s">
        <v>276</v>
      </c>
      <c r="U714" s="0" t="s">
        <v>277</v>
      </c>
    </row>
    <row r="715" customFormat="false" ht="15" hidden="false" customHeight="false" outlineLevel="0" collapsed="false">
      <c r="A715" s="0" t="n">
        <v>38</v>
      </c>
      <c r="B715" s="0" t="s">
        <v>79</v>
      </c>
      <c r="C715" s="0" t="s">
        <v>887</v>
      </c>
      <c r="D715" s="0" t="s">
        <v>3252</v>
      </c>
      <c r="E715" s="0" t="n">
        <v>2026</v>
      </c>
      <c r="H715" s="0" t="n">
        <v>1</v>
      </c>
      <c r="I715" s="0" t="n">
        <v>46</v>
      </c>
      <c r="J715" s="0" t="s">
        <v>268</v>
      </c>
      <c r="K715" s="0" t="s">
        <v>3059</v>
      </c>
      <c r="L715" s="0" t="s">
        <v>293</v>
      </c>
      <c r="M715" s="0" t="s">
        <v>3253</v>
      </c>
      <c r="N715" s="0" t="s">
        <v>3253</v>
      </c>
      <c r="O715" s="0" t="s">
        <v>3254</v>
      </c>
      <c r="P715" s="0" t="s">
        <v>3255</v>
      </c>
      <c r="R715" s="0" t="s">
        <v>275</v>
      </c>
      <c r="S715" s="0" t="s">
        <v>290</v>
      </c>
      <c r="T715" s="0" t="s">
        <v>276</v>
      </c>
      <c r="U715" s="0" t="s">
        <v>277</v>
      </c>
    </row>
    <row r="716" customFormat="false" ht="15" hidden="false" customHeight="false" outlineLevel="0" collapsed="false">
      <c r="A716" s="0" t="n">
        <v>38</v>
      </c>
      <c r="B716" s="0" t="s">
        <v>79</v>
      </c>
      <c r="C716" s="0" t="s">
        <v>489</v>
      </c>
      <c r="D716" s="0" t="s">
        <v>3256</v>
      </c>
      <c r="E716" s="0" t="n">
        <v>2025</v>
      </c>
      <c r="H716" s="0" t="n">
        <v>12</v>
      </c>
      <c r="I716" s="0" t="n">
        <v>1010</v>
      </c>
      <c r="J716" s="0" t="s">
        <v>268</v>
      </c>
      <c r="K716" s="0" t="s">
        <v>3059</v>
      </c>
      <c r="L716" s="0" t="s">
        <v>293</v>
      </c>
      <c r="M716" s="0" t="s">
        <v>3257</v>
      </c>
      <c r="N716" s="0" t="s">
        <v>3257</v>
      </c>
      <c r="O716" s="0" t="s">
        <v>3258</v>
      </c>
      <c r="P716" s="0" t="s">
        <v>3259</v>
      </c>
      <c r="R716" s="0" t="s">
        <v>275</v>
      </c>
      <c r="S716" s="0" t="s">
        <v>268</v>
      </c>
      <c r="T716" s="0" t="s">
        <v>276</v>
      </c>
      <c r="U716" s="0" t="s">
        <v>277</v>
      </c>
    </row>
    <row r="717" customFormat="false" ht="15" hidden="false" customHeight="false" outlineLevel="0" collapsed="false">
      <c r="A717" s="0" t="n">
        <v>39</v>
      </c>
      <c r="B717" s="0" t="s">
        <v>81</v>
      </c>
      <c r="C717" s="0" t="s">
        <v>56</v>
      </c>
      <c r="D717" s="0" t="s">
        <v>3260</v>
      </c>
      <c r="E717" s="0" t="n">
        <v>2018</v>
      </c>
      <c r="H717" s="0" t="n">
        <v>1</v>
      </c>
      <c r="I717" s="0" t="n">
        <v>1188</v>
      </c>
      <c r="J717" s="0" t="s">
        <v>268</v>
      </c>
      <c r="K717" s="0" t="s">
        <v>298</v>
      </c>
      <c r="L717" s="0" t="s">
        <v>270</v>
      </c>
      <c r="M717" s="0" t="s">
        <v>3261</v>
      </c>
      <c r="N717" s="0" t="s">
        <v>3261</v>
      </c>
      <c r="O717" s="0" t="s">
        <v>3262</v>
      </c>
      <c r="P717" s="0" t="s">
        <v>3263</v>
      </c>
      <c r="R717" s="0" t="s">
        <v>284</v>
      </c>
      <c r="S717" s="0" t="s">
        <v>268</v>
      </c>
      <c r="T717" s="0" t="s">
        <v>276</v>
      </c>
      <c r="U717" s="0" t="s">
        <v>277</v>
      </c>
    </row>
    <row r="718" customFormat="false" ht="15" hidden="false" customHeight="false" outlineLevel="0" collapsed="false">
      <c r="A718" s="0" t="n">
        <v>39</v>
      </c>
      <c r="B718" s="0" t="s">
        <v>81</v>
      </c>
      <c r="C718" s="0" t="s">
        <v>309</v>
      </c>
      <c r="D718" s="0" t="s">
        <v>3264</v>
      </c>
      <c r="E718" s="0" t="n">
        <v>2019</v>
      </c>
      <c r="H718" s="0" t="n">
        <v>1</v>
      </c>
      <c r="I718" s="0" t="n">
        <v>220</v>
      </c>
      <c r="J718" s="0" t="s">
        <v>290</v>
      </c>
      <c r="K718" s="0" t="s">
        <v>298</v>
      </c>
      <c r="L718" s="0" t="s">
        <v>270</v>
      </c>
      <c r="M718" s="0" t="s">
        <v>3265</v>
      </c>
      <c r="N718" s="0" t="s">
        <v>3265</v>
      </c>
      <c r="O718" s="0" t="s">
        <v>3266</v>
      </c>
      <c r="P718" s="0" t="s">
        <v>3267</v>
      </c>
      <c r="R718" s="0" t="s">
        <v>284</v>
      </c>
      <c r="S718" s="0" t="s">
        <v>268</v>
      </c>
      <c r="T718" s="0" t="s">
        <v>276</v>
      </c>
      <c r="U718" s="0" t="s">
        <v>277</v>
      </c>
    </row>
    <row r="719" customFormat="false" ht="15" hidden="false" customHeight="false" outlineLevel="0" collapsed="false">
      <c r="A719" s="0" t="n">
        <v>40</v>
      </c>
      <c r="B719" s="0" t="s">
        <v>83</v>
      </c>
      <c r="C719" s="0" t="s">
        <v>56</v>
      </c>
      <c r="D719" s="0" t="s">
        <v>3268</v>
      </c>
      <c r="E719" s="0" t="n">
        <v>2022</v>
      </c>
      <c r="H719" s="0" t="n">
        <v>24</v>
      </c>
      <c r="I719" s="0" t="n">
        <v>2786</v>
      </c>
      <c r="J719" s="0" t="s">
        <v>268</v>
      </c>
      <c r="K719" s="0" t="s">
        <v>298</v>
      </c>
      <c r="L719" s="0" t="s">
        <v>270</v>
      </c>
      <c r="M719" s="0" t="s">
        <v>3269</v>
      </c>
      <c r="N719" s="0" t="s">
        <v>3269</v>
      </c>
      <c r="O719" s="0" t="s">
        <v>3270</v>
      </c>
      <c r="P719" s="0" t="s">
        <v>3271</v>
      </c>
      <c r="R719" s="0" t="s">
        <v>284</v>
      </c>
      <c r="S719" s="0" t="s">
        <v>268</v>
      </c>
      <c r="T719" s="0" t="s">
        <v>276</v>
      </c>
      <c r="U719" s="0" t="s">
        <v>277</v>
      </c>
    </row>
    <row r="720" customFormat="false" ht="15" hidden="false" customHeight="false" outlineLevel="0" collapsed="false">
      <c r="A720" s="0" t="n">
        <v>40</v>
      </c>
      <c r="B720" s="0" t="s">
        <v>83</v>
      </c>
      <c r="C720" s="0" t="s">
        <v>309</v>
      </c>
      <c r="D720" s="0" t="s">
        <v>3272</v>
      </c>
      <c r="E720" s="0" t="n">
        <v>2022</v>
      </c>
      <c r="H720" s="0" t="n">
        <v>1</v>
      </c>
      <c r="I720" s="0" t="n">
        <v>227</v>
      </c>
      <c r="J720" s="0" t="s">
        <v>290</v>
      </c>
      <c r="K720" s="0" t="s">
        <v>298</v>
      </c>
      <c r="L720" s="0" t="s">
        <v>270</v>
      </c>
      <c r="M720" s="0" t="s">
        <v>3273</v>
      </c>
      <c r="N720" s="0" t="s">
        <v>3273</v>
      </c>
      <c r="O720" s="0" t="s">
        <v>3274</v>
      </c>
      <c r="P720" s="0" t="s">
        <v>3275</v>
      </c>
      <c r="R720" s="0" t="s">
        <v>284</v>
      </c>
      <c r="S720" s="0" t="s">
        <v>268</v>
      </c>
      <c r="T720" s="0" t="s">
        <v>276</v>
      </c>
      <c r="U720" s="0" t="s">
        <v>277</v>
      </c>
    </row>
    <row r="721" customFormat="false" ht="15" hidden="false" customHeight="false" outlineLevel="0" collapsed="false">
      <c r="A721" s="0" t="n">
        <v>41</v>
      </c>
      <c r="B721" s="0" t="s">
        <v>84</v>
      </c>
      <c r="C721" s="0" t="s">
        <v>56</v>
      </c>
      <c r="D721" s="0" t="s">
        <v>3276</v>
      </c>
      <c r="E721" s="0" t="n">
        <v>2025</v>
      </c>
      <c r="H721" s="0" t="n">
        <v>8</v>
      </c>
      <c r="I721" s="0" t="n">
        <v>2590</v>
      </c>
      <c r="J721" s="0" t="s">
        <v>268</v>
      </c>
      <c r="K721" s="0" t="s">
        <v>298</v>
      </c>
      <c r="L721" s="0" t="s">
        <v>270</v>
      </c>
      <c r="M721" s="0" t="s">
        <v>3277</v>
      </c>
      <c r="N721" s="0" t="s">
        <v>3277</v>
      </c>
      <c r="O721" s="0" t="s">
        <v>3278</v>
      </c>
      <c r="P721" s="0" t="s">
        <v>3279</v>
      </c>
      <c r="R721" s="0" t="s">
        <v>275</v>
      </c>
      <c r="S721" s="0" t="s">
        <v>268</v>
      </c>
      <c r="T721" s="0" t="s">
        <v>276</v>
      </c>
      <c r="U721" s="0" t="s">
        <v>277</v>
      </c>
    </row>
    <row r="722" customFormat="false" ht="15" hidden="false" customHeight="false" outlineLevel="0" collapsed="false">
      <c r="A722" s="0" t="n">
        <v>41</v>
      </c>
      <c r="B722" s="0" t="s">
        <v>84</v>
      </c>
      <c r="C722" s="0" t="s">
        <v>309</v>
      </c>
      <c r="D722" s="0" t="s">
        <v>3280</v>
      </c>
      <c r="E722" s="0" t="n">
        <v>2023</v>
      </c>
      <c r="H722" s="0" t="n">
        <v>1</v>
      </c>
      <c r="I722" s="0" t="n">
        <v>1241</v>
      </c>
      <c r="J722" s="0" t="s">
        <v>268</v>
      </c>
      <c r="K722" s="0" t="s">
        <v>298</v>
      </c>
      <c r="L722" s="0" t="s">
        <v>270</v>
      </c>
      <c r="M722" s="0" t="s">
        <v>3281</v>
      </c>
      <c r="N722" s="0" t="s">
        <v>3281</v>
      </c>
      <c r="O722" s="0" t="s">
        <v>3282</v>
      </c>
      <c r="P722" s="0" t="s">
        <v>3283</v>
      </c>
      <c r="R722" s="0" t="s">
        <v>284</v>
      </c>
      <c r="S722" s="0" t="s">
        <v>268</v>
      </c>
      <c r="T722" s="0" t="s">
        <v>276</v>
      </c>
      <c r="U722" s="0" t="s">
        <v>277</v>
      </c>
    </row>
    <row r="723" customFormat="false" ht="15" hidden="false" customHeight="false" outlineLevel="0" collapsed="false">
      <c r="A723" s="0" t="n">
        <v>43</v>
      </c>
      <c r="B723" s="0" t="s">
        <v>87</v>
      </c>
      <c r="C723" s="0" t="s">
        <v>56</v>
      </c>
      <c r="D723" s="0" t="s">
        <v>3284</v>
      </c>
      <c r="E723" s="0" t="n">
        <v>2025</v>
      </c>
      <c r="H723" s="0" t="n">
        <v>6</v>
      </c>
      <c r="I723" s="0" t="n">
        <v>6616</v>
      </c>
      <c r="J723" s="0" t="s">
        <v>290</v>
      </c>
      <c r="K723" s="0" t="s">
        <v>3285</v>
      </c>
      <c r="L723" s="0" t="s">
        <v>293</v>
      </c>
      <c r="M723" s="0" t="s">
        <v>3286</v>
      </c>
      <c r="N723" s="0" t="s">
        <v>3286</v>
      </c>
      <c r="O723" s="0" t="s">
        <v>3287</v>
      </c>
      <c r="P723" s="0" t="s">
        <v>3288</v>
      </c>
      <c r="R723" s="0" t="s">
        <v>275</v>
      </c>
      <c r="S723" s="0" t="s">
        <v>268</v>
      </c>
      <c r="T723" s="0" t="s">
        <v>276</v>
      </c>
      <c r="U723" s="0" t="s">
        <v>277</v>
      </c>
    </row>
    <row r="724" customFormat="false" ht="15" hidden="false" customHeight="false" outlineLevel="0" collapsed="false">
      <c r="A724" s="0" t="n">
        <v>43</v>
      </c>
      <c r="B724" s="0" t="s">
        <v>87</v>
      </c>
      <c r="C724" s="0" t="s">
        <v>56</v>
      </c>
      <c r="D724" s="0" t="s">
        <v>3289</v>
      </c>
      <c r="E724" s="0" t="n">
        <v>2024</v>
      </c>
      <c r="H724" s="0" t="n">
        <v>4</v>
      </c>
      <c r="I724" s="0" t="n">
        <v>11930</v>
      </c>
      <c r="J724" s="0" t="s">
        <v>268</v>
      </c>
      <c r="K724" s="0" t="s">
        <v>3285</v>
      </c>
      <c r="L724" s="0" t="s">
        <v>293</v>
      </c>
      <c r="M724" s="0" t="s">
        <v>3290</v>
      </c>
      <c r="N724" s="0" t="s">
        <v>3290</v>
      </c>
      <c r="O724" s="0" t="s">
        <v>3291</v>
      </c>
      <c r="P724" s="0" t="s">
        <v>3292</v>
      </c>
      <c r="R724" s="0" t="s">
        <v>284</v>
      </c>
      <c r="S724" s="0" t="s">
        <v>290</v>
      </c>
      <c r="T724" s="0" t="s">
        <v>276</v>
      </c>
      <c r="U724" s="0" t="s">
        <v>277</v>
      </c>
    </row>
    <row r="725" customFormat="false" ht="15" hidden="false" customHeight="false" outlineLevel="0" collapsed="false">
      <c r="A725" s="0" t="n">
        <v>43</v>
      </c>
      <c r="B725" s="0" t="s">
        <v>87</v>
      </c>
      <c r="C725" s="0" t="s">
        <v>56</v>
      </c>
      <c r="D725" s="0" t="s">
        <v>3293</v>
      </c>
      <c r="E725" s="0" t="n">
        <v>2020</v>
      </c>
      <c r="H725" s="0" t="n">
        <v>14</v>
      </c>
      <c r="I725" s="0" t="n">
        <v>2625</v>
      </c>
      <c r="J725" s="0" t="s">
        <v>268</v>
      </c>
      <c r="K725" s="0" t="s">
        <v>3285</v>
      </c>
      <c r="L725" s="0" t="s">
        <v>293</v>
      </c>
      <c r="M725" s="0" t="s">
        <v>3294</v>
      </c>
      <c r="N725" s="0" t="s">
        <v>3294</v>
      </c>
      <c r="O725" s="0" t="s">
        <v>3295</v>
      </c>
      <c r="P725" s="0" t="s">
        <v>3296</v>
      </c>
      <c r="R725" s="0" t="s">
        <v>284</v>
      </c>
      <c r="S725" s="0" t="s">
        <v>290</v>
      </c>
      <c r="T725" s="0" t="s">
        <v>276</v>
      </c>
      <c r="U725" s="0" t="s">
        <v>277</v>
      </c>
    </row>
    <row r="726" customFormat="false" ht="15" hidden="false" customHeight="false" outlineLevel="0" collapsed="false">
      <c r="A726" s="0" t="n">
        <v>43</v>
      </c>
      <c r="B726" s="0" t="s">
        <v>87</v>
      </c>
      <c r="C726" s="0" t="s">
        <v>56</v>
      </c>
      <c r="D726" s="0" t="s">
        <v>3297</v>
      </c>
      <c r="E726" s="0" t="n">
        <v>2017</v>
      </c>
      <c r="H726" s="0" t="n">
        <v>6</v>
      </c>
      <c r="I726" s="0" t="n">
        <v>873</v>
      </c>
      <c r="J726" s="0" t="s">
        <v>268</v>
      </c>
      <c r="K726" s="0" t="s">
        <v>3285</v>
      </c>
      <c r="L726" s="0" t="s">
        <v>293</v>
      </c>
      <c r="M726" s="0" t="s">
        <v>3298</v>
      </c>
      <c r="N726" s="0" t="s">
        <v>3299</v>
      </c>
      <c r="O726" s="0" t="s">
        <v>3300</v>
      </c>
      <c r="P726" s="0" t="s">
        <v>3301</v>
      </c>
      <c r="R726" s="0" t="s">
        <v>284</v>
      </c>
      <c r="S726" s="0" t="s">
        <v>290</v>
      </c>
      <c r="T726" s="0" t="s">
        <v>276</v>
      </c>
      <c r="U726" s="0" t="s">
        <v>277</v>
      </c>
    </row>
    <row r="727" customFormat="false" ht="15" hidden="false" customHeight="false" outlineLevel="0" collapsed="false">
      <c r="A727" s="0" t="n">
        <v>43</v>
      </c>
      <c r="B727" s="0" t="s">
        <v>87</v>
      </c>
      <c r="C727" s="0" t="s">
        <v>91</v>
      </c>
      <c r="D727" s="0" t="s">
        <v>3302</v>
      </c>
      <c r="E727" s="0" t="n">
        <v>2024</v>
      </c>
      <c r="H727" s="0" t="n">
        <v>5</v>
      </c>
      <c r="I727" s="0" t="n">
        <v>5436</v>
      </c>
      <c r="J727" s="0" t="s">
        <v>268</v>
      </c>
      <c r="K727" s="0" t="s">
        <v>3285</v>
      </c>
      <c r="L727" s="0" t="s">
        <v>293</v>
      </c>
      <c r="M727" s="0" t="s">
        <v>3303</v>
      </c>
      <c r="N727" s="0" t="s">
        <v>3303</v>
      </c>
      <c r="O727" s="0" t="s">
        <v>3304</v>
      </c>
      <c r="P727" s="0" t="s">
        <v>3305</v>
      </c>
      <c r="R727" s="0" t="s">
        <v>284</v>
      </c>
      <c r="S727" s="0" t="s">
        <v>268</v>
      </c>
      <c r="T727" s="0" t="s">
        <v>276</v>
      </c>
      <c r="U727" s="0" t="s">
        <v>277</v>
      </c>
    </row>
    <row r="728" customFormat="false" ht="15" hidden="false" customHeight="false" outlineLevel="0" collapsed="false">
      <c r="A728" s="0" t="n">
        <v>43</v>
      </c>
      <c r="B728" s="0" t="s">
        <v>87</v>
      </c>
      <c r="C728" s="0" t="s">
        <v>586</v>
      </c>
      <c r="D728" s="0" t="s">
        <v>3306</v>
      </c>
      <c r="E728" s="0" t="n">
        <v>2017</v>
      </c>
      <c r="H728" s="0" t="n">
        <v>1</v>
      </c>
      <c r="I728" s="0" t="n">
        <v>1121</v>
      </c>
      <c r="J728" s="0" t="s">
        <v>268</v>
      </c>
      <c r="K728" s="0" t="s">
        <v>3285</v>
      </c>
      <c r="L728" s="0" t="s">
        <v>293</v>
      </c>
      <c r="M728" s="0" t="s">
        <v>3307</v>
      </c>
      <c r="N728" s="0" t="s">
        <v>3307</v>
      </c>
      <c r="O728" s="0" t="s">
        <v>3308</v>
      </c>
      <c r="P728" s="0" t="s">
        <v>3309</v>
      </c>
      <c r="R728" s="0" t="s">
        <v>284</v>
      </c>
      <c r="S728" s="0" t="s">
        <v>268</v>
      </c>
      <c r="T728" s="0" t="s">
        <v>276</v>
      </c>
      <c r="U728" s="0" t="s">
        <v>277</v>
      </c>
    </row>
    <row r="729" customFormat="false" ht="15" hidden="false" customHeight="false" outlineLevel="0" collapsed="false">
      <c r="A729" s="0" t="n">
        <v>43</v>
      </c>
      <c r="B729" s="0" t="s">
        <v>87</v>
      </c>
      <c r="C729" s="0" t="s">
        <v>530</v>
      </c>
      <c r="D729" s="0" t="s">
        <v>3310</v>
      </c>
      <c r="E729" s="0" t="n">
        <v>2016</v>
      </c>
      <c r="H729" s="0" t="n">
        <v>5</v>
      </c>
      <c r="I729" s="0" t="n">
        <v>489</v>
      </c>
      <c r="J729" s="0" t="s">
        <v>268</v>
      </c>
      <c r="K729" s="0" t="s">
        <v>3285</v>
      </c>
      <c r="L729" s="0" t="s">
        <v>293</v>
      </c>
      <c r="M729" s="0" t="s">
        <v>3311</v>
      </c>
      <c r="N729" s="0" t="s">
        <v>3311</v>
      </c>
      <c r="O729" s="0" t="s">
        <v>3312</v>
      </c>
      <c r="P729" s="0" t="s">
        <v>3313</v>
      </c>
      <c r="R729" s="0" t="s">
        <v>284</v>
      </c>
      <c r="S729" s="0" t="s">
        <v>268</v>
      </c>
      <c r="T729" s="0" t="s">
        <v>276</v>
      </c>
      <c r="U729" s="0" t="s">
        <v>277</v>
      </c>
    </row>
    <row r="730" customFormat="false" ht="15" hidden="false" customHeight="false" outlineLevel="0" collapsed="false">
      <c r="A730" s="0" t="n">
        <v>43</v>
      </c>
      <c r="B730" s="0" t="s">
        <v>87</v>
      </c>
      <c r="C730" s="0" t="s">
        <v>489</v>
      </c>
      <c r="D730" s="0" t="s">
        <v>3314</v>
      </c>
      <c r="E730" s="0" t="n">
        <v>2018</v>
      </c>
      <c r="H730" s="0" t="n">
        <v>28</v>
      </c>
      <c r="I730" s="0" t="n">
        <v>5043</v>
      </c>
      <c r="J730" s="0" t="s">
        <v>290</v>
      </c>
      <c r="K730" s="0" t="s">
        <v>3285</v>
      </c>
      <c r="L730" s="0" t="s">
        <v>293</v>
      </c>
      <c r="M730" s="0" t="s">
        <v>3315</v>
      </c>
      <c r="N730" s="0" t="s">
        <v>3315</v>
      </c>
      <c r="O730" s="0" t="s">
        <v>3316</v>
      </c>
      <c r="P730" s="0" t="s">
        <v>3317</v>
      </c>
      <c r="R730" s="0" t="s">
        <v>284</v>
      </c>
      <c r="S730" s="0" t="s">
        <v>268</v>
      </c>
      <c r="T730" s="0" t="s">
        <v>276</v>
      </c>
      <c r="U730" s="0" t="s">
        <v>277</v>
      </c>
    </row>
    <row r="731" customFormat="false" ht="15" hidden="false" customHeight="false" outlineLevel="0" collapsed="false">
      <c r="A731" s="0" t="n">
        <v>43</v>
      </c>
      <c r="B731" s="0" t="s">
        <v>87</v>
      </c>
      <c r="C731" s="0" t="s">
        <v>489</v>
      </c>
      <c r="D731" s="0" t="s">
        <v>3318</v>
      </c>
      <c r="E731" s="0" t="n">
        <v>2017</v>
      </c>
      <c r="H731" s="0" t="n">
        <v>69</v>
      </c>
      <c r="I731" s="0" t="n">
        <v>10160</v>
      </c>
      <c r="J731" s="0" t="s">
        <v>268</v>
      </c>
      <c r="K731" s="0" t="s">
        <v>3285</v>
      </c>
      <c r="L731" s="0" t="s">
        <v>293</v>
      </c>
      <c r="M731" s="0" t="s">
        <v>3319</v>
      </c>
      <c r="N731" s="0" t="s">
        <v>3319</v>
      </c>
      <c r="O731" s="0" t="s">
        <v>3320</v>
      </c>
      <c r="P731" s="0" t="s">
        <v>3321</v>
      </c>
      <c r="R731" s="0" t="s">
        <v>284</v>
      </c>
      <c r="S731" s="0" t="s">
        <v>290</v>
      </c>
      <c r="T731" s="0" t="s">
        <v>276</v>
      </c>
      <c r="U731" s="0" t="s">
        <v>277</v>
      </c>
    </row>
    <row r="732" customFormat="false" ht="15" hidden="false" customHeight="false" outlineLevel="0" collapsed="false">
      <c r="A732" s="0" t="n">
        <v>43</v>
      </c>
      <c r="B732" s="0" t="s">
        <v>87</v>
      </c>
      <c r="C732" s="0" t="s">
        <v>489</v>
      </c>
      <c r="D732" s="0" t="s">
        <v>3322</v>
      </c>
      <c r="E732" s="0" t="n">
        <v>2016</v>
      </c>
      <c r="H732" s="0" t="n">
        <v>69</v>
      </c>
      <c r="I732" s="0" t="n">
        <v>11354</v>
      </c>
      <c r="J732" s="0" t="s">
        <v>268</v>
      </c>
      <c r="K732" s="0" t="s">
        <v>3285</v>
      </c>
      <c r="L732" s="0" t="s">
        <v>293</v>
      </c>
      <c r="M732" s="0" t="s">
        <v>3323</v>
      </c>
      <c r="N732" s="0" t="s">
        <v>3323</v>
      </c>
      <c r="O732" s="0" t="s">
        <v>3324</v>
      </c>
      <c r="P732" s="0" t="s">
        <v>3325</v>
      </c>
      <c r="R732" s="0" t="s">
        <v>284</v>
      </c>
      <c r="S732" s="0" t="s">
        <v>290</v>
      </c>
      <c r="T732" s="0" t="s">
        <v>276</v>
      </c>
      <c r="U732" s="0" t="s">
        <v>277</v>
      </c>
    </row>
    <row r="733" customFormat="false" ht="15" hidden="false" customHeight="false" outlineLevel="0" collapsed="false">
      <c r="A733" s="0" t="n">
        <v>44</v>
      </c>
      <c r="B733" s="0" t="s">
        <v>88</v>
      </c>
      <c r="C733" s="0" t="s">
        <v>91</v>
      </c>
      <c r="D733" s="0" t="s">
        <v>3326</v>
      </c>
      <c r="E733" s="0" t="n">
        <v>2026</v>
      </c>
      <c r="H733" s="0" t="n">
        <v>11</v>
      </c>
      <c r="I733" s="0" t="n">
        <v>4964</v>
      </c>
      <c r="J733" s="0" t="s">
        <v>268</v>
      </c>
      <c r="K733" s="0" t="s">
        <v>3327</v>
      </c>
      <c r="L733" s="0" t="s">
        <v>293</v>
      </c>
      <c r="M733" s="0" t="s">
        <v>3328</v>
      </c>
      <c r="N733" s="0" t="s">
        <v>3328</v>
      </c>
      <c r="O733" s="0" t="s">
        <v>3329</v>
      </c>
      <c r="P733" s="0" t="s">
        <v>3330</v>
      </c>
      <c r="R733" s="0" t="s">
        <v>275</v>
      </c>
      <c r="S733" s="0" t="s">
        <v>268</v>
      </c>
      <c r="T733" s="0" t="s">
        <v>276</v>
      </c>
      <c r="U733" s="0" t="s">
        <v>277</v>
      </c>
    </row>
    <row r="734" customFormat="false" ht="15" hidden="false" customHeight="false" outlineLevel="0" collapsed="false">
      <c r="A734" s="0" t="n">
        <v>44</v>
      </c>
      <c r="B734" s="0" t="s">
        <v>88</v>
      </c>
      <c r="C734" s="0" t="s">
        <v>309</v>
      </c>
      <c r="D734" s="0" t="s">
        <v>3331</v>
      </c>
      <c r="E734" s="0" t="n">
        <v>2026</v>
      </c>
      <c r="H734" s="0" t="n">
        <v>1</v>
      </c>
      <c r="I734" s="0" t="n">
        <v>1100</v>
      </c>
      <c r="J734" s="0" t="s">
        <v>268</v>
      </c>
      <c r="K734" s="0" t="s">
        <v>3327</v>
      </c>
      <c r="L734" s="0" t="s">
        <v>293</v>
      </c>
      <c r="M734" s="0" t="s">
        <v>3332</v>
      </c>
      <c r="N734" s="0" t="s">
        <v>3332</v>
      </c>
      <c r="O734" s="0" t="s">
        <v>3333</v>
      </c>
      <c r="P734" s="0" t="s">
        <v>3334</v>
      </c>
      <c r="R734" s="0" t="s">
        <v>275</v>
      </c>
      <c r="S734" s="0" t="s">
        <v>268</v>
      </c>
      <c r="T734" s="0" t="s">
        <v>276</v>
      </c>
      <c r="U734" s="0" t="s">
        <v>277</v>
      </c>
    </row>
    <row r="735" customFormat="false" ht="15" hidden="false" customHeight="false" outlineLevel="0" collapsed="false">
      <c r="A735" s="0" t="n">
        <v>44</v>
      </c>
      <c r="B735" s="0" t="s">
        <v>88</v>
      </c>
      <c r="C735" s="0" t="s">
        <v>309</v>
      </c>
      <c r="D735" s="0" t="s">
        <v>3335</v>
      </c>
      <c r="E735" s="0" t="n">
        <v>2024</v>
      </c>
      <c r="H735" s="0" t="n">
        <v>1</v>
      </c>
      <c r="I735" s="0" t="n">
        <v>1377</v>
      </c>
      <c r="J735" s="0" t="s">
        <v>290</v>
      </c>
      <c r="K735" s="0" t="s">
        <v>3327</v>
      </c>
      <c r="L735" s="0" t="s">
        <v>293</v>
      </c>
      <c r="M735" s="0" t="s">
        <v>3336</v>
      </c>
      <c r="N735" s="0" t="s">
        <v>3336</v>
      </c>
      <c r="O735" s="0" t="s">
        <v>3337</v>
      </c>
      <c r="P735" s="0" t="s">
        <v>3338</v>
      </c>
      <c r="R735" s="0" t="s">
        <v>284</v>
      </c>
      <c r="S735" s="0" t="s">
        <v>290</v>
      </c>
      <c r="T735" s="0" t="s">
        <v>276</v>
      </c>
      <c r="U735" s="0" t="s">
        <v>277</v>
      </c>
    </row>
    <row r="736" customFormat="false" ht="15" hidden="false" customHeight="false" outlineLevel="0" collapsed="false">
      <c r="A736" s="0" t="n">
        <v>44</v>
      </c>
      <c r="B736" s="0" t="s">
        <v>88</v>
      </c>
      <c r="C736" s="0" t="s">
        <v>586</v>
      </c>
      <c r="D736" s="0" t="s">
        <v>3339</v>
      </c>
      <c r="E736" s="0" t="n">
        <v>2026</v>
      </c>
      <c r="H736" s="0" t="n">
        <v>3</v>
      </c>
      <c r="I736" s="0" t="n">
        <v>350</v>
      </c>
      <c r="J736" s="0" t="s">
        <v>268</v>
      </c>
      <c r="K736" s="0" t="s">
        <v>3327</v>
      </c>
      <c r="L736" s="0" t="s">
        <v>293</v>
      </c>
      <c r="M736" s="0" t="s">
        <v>3340</v>
      </c>
      <c r="N736" s="0" t="s">
        <v>3340</v>
      </c>
      <c r="O736" s="0" t="s">
        <v>3341</v>
      </c>
      <c r="P736" s="0" t="s">
        <v>3342</v>
      </c>
      <c r="R736" s="0" t="s">
        <v>275</v>
      </c>
      <c r="S736" s="0" t="s">
        <v>268</v>
      </c>
      <c r="T736" s="0" t="s">
        <v>314</v>
      </c>
      <c r="U736" s="0" t="s">
        <v>277</v>
      </c>
      <c r="V736" s="0" t="s">
        <v>3343</v>
      </c>
    </row>
    <row r="737" customFormat="false" ht="15" hidden="false" customHeight="false" outlineLevel="0" collapsed="false">
      <c r="A737" s="0" t="n">
        <v>44</v>
      </c>
      <c r="B737" s="0" t="s">
        <v>88</v>
      </c>
      <c r="C737" s="0" t="s">
        <v>586</v>
      </c>
      <c r="D737" s="0" t="s">
        <v>3344</v>
      </c>
      <c r="E737" s="0" t="n">
        <v>2025</v>
      </c>
      <c r="H737" s="0" t="n">
        <v>35</v>
      </c>
      <c r="I737" s="0" t="n">
        <v>3653</v>
      </c>
      <c r="J737" s="0" t="s">
        <v>268</v>
      </c>
      <c r="K737" s="0" t="s">
        <v>3327</v>
      </c>
      <c r="L737" s="0" t="s">
        <v>293</v>
      </c>
      <c r="M737" s="0" t="s">
        <v>3345</v>
      </c>
      <c r="N737" s="0" t="s">
        <v>3345</v>
      </c>
      <c r="O737" s="0" t="s">
        <v>3346</v>
      </c>
      <c r="P737" s="0" t="s">
        <v>3347</v>
      </c>
      <c r="R737" s="0" t="s">
        <v>275</v>
      </c>
      <c r="S737" s="0" t="s">
        <v>290</v>
      </c>
      <c r="T737" s="0" t="s">
        <v>314</v>
      </c>
      <c r="U737" s="0" t="s">
        <v>277</v>
      </c>
      <c r="V737" s="0" t="s">
        <v>3343</v>
      </c>
    </row>
    <row r="738" customFormat="false" ht="15" hidden="false" customHeight="false" outlineLevel="0" collapsed="false">
      <c r="A738" s="0" t="n">
        <v>44</v>
      </c>
      <c r="B738" s="0" t="s">
        <v>88</v>
      </c>
      <c r="C738" s="0" t="s">
        <v>586</v>
      </c>
      <c r="D738" s="0" t="s">
        <v>3348</v>
      </c>
      <c r="E738" s="0" t="n">
        <v>2025</v>
      </c>
      <c r="H738" s="0" t="n">
        <v>2</v>
      </c>
      <c r="I738" s="0" t="n">
        <v>130</v>
      </c>
      <c r="J738" s="0" t="s">
        <v>268</v>
      </c>
      <c r="K738" s="0" t="s">
        <v>3327</v>
      </c>
      <c r="L738" s="0" t="s">
        <v>293</v>
      </c>
      <c r="M738" s="0" t="s">
        <v>3349</v>
      </c>
      <c r="N738" s="0" t="s">
        <v>3349</v>
      </c>
      <c r="O738" s="0" t="s">
        <v>3350</v>
      </c>
      <c r="P738" s="0" t="s">
        <v>3351</v>
      </c>
      <c r="R738" s="0" t="s">
        <v>275</v>
      </c>
      <c r="S738" s="0" t="s">
        <v>290</v>
      </c>
      <c r="T738" s="0" t="s">
        <v>314</v>
      </c>
      <c r="U738" s="0" t="s">
        <v>277</v>
      </c>
      <c r="V738" s="0" t="s">
        <v>3343</v>
      </c>
    </row>
    <row r="739" customFormat="false" ht="15" hidden="false" customHeight="false" outlineLevel="0" collapsed="false">
      <c r="A739" s="0" t="n">
        <v>44</v>
      </c>
      <c r="B739" s="0" t="s">
        <v>88</v>
      </c>
      <c r="C739" s="0" t="s">
        <v>266</v>
      </c>
      <c r="D739" s="0" t="s">
        <v>3352</v>
      </c>
      <c r="E739" s="0" t="n">
        <v>2026</v>
      </c>
      <c r="H739" s="0" t="n">
        <v>2</v>
      </c>
      <c r="I739" s="0" t="n">
        <v>959</v>
      </c>
      <c r="J739" s="0" t="s">
        <v>268</v>
      </c>
      <c r="K739" s="0" t="s">
        <v>3327</v>
      </c>
      <c r="L739" s="0" t="s">
        <v>293</v>
      </c>
      <c r="M739" s="0" t="s">
        <v>3353</v>
      </c>
      <c r="N739" s="0" t="s">
        <v>3353</v>
      </c>
      <c r="O739" s="0" t="s">
        <v>3354</v>
      </c>
      <c r="P739" s="0" t="s">
        <v>3355</v>
      </c>
      <c r="R739" s="0" t="s">
        <v>275</v>
      </c>
      <c r="S739" s="0" t="s">
        <v>290</v>
      </c>
      <c r="T739" s="0" t="s">
        <v>314</v>
      </c>
      <c r="U739" s="0" t="s">
        <v>277</v>
      </c>
      <c r="V739" s="0" t="s">
        <v>3343</v>
      </c>
    </row>
    <row r="740" customFormat="false" ht="15" hidden="false" customHeight="false" outlineLevel="0" collapsed="false">
      <c r="A740" s="0" t="n">
        <v>44</v>
      </c>
      <c r="B740" s="0" t="s">
        <v>88</v>
      </c>
      <c r="C740" s="0" t="s">
        <v>266</v>
      </c>
      <c r="D740" s="0" t="s">
        <v>3356</v>
      </c>
      <c r="E740" s="0" t="n">
        <v>2026</v>
      </c>
      <c r="H740" s="0" t="n">
        <v>2</v>
      </c>
      <c r="I740" s="0" t="n">
        <v>989</v>
      </c>
      <c r="J740" s="0" t="s">
        <v>268</v>
      </c>
      <c r="K740" s="0" t="s">
        <v>3327</v>
      </c>
      <c r="L740" s="0" t="s">
        <v>293</v>
      </c>
      <c r="M740" s="0" t="s">
        <v>3357</v>
      </c>
      <c r="N740" s="0" t="s">
        <v>3357</v>
      </c>
      <c r="O740" s="0" t="s">
        <v>3358</v>
      </c>
      <c r="P740" s="0" t="s">
        <v>3359</v>
      </c>
      <c r="R740" s="0" t="s">
        <v>275</v>
      </c>
      <c r="S740" s="0" t="s">
        <v>290</v>
      </c>
      <c r="T740" s="0" t="s">
        <v>314</v>
      </c>
      <c r="U740" s="0" t="s">
        <v>277</v>
      </c>
      <c r="V740" s="0" t="s">
        <v>3343</v>
      </c>
    </row>
    <row r="741" customFormat="false" ht="15" hidden="false" customHeight="false" outlineLevel="0" collapsed="false">
      <c r="A741" s="0" t="n">
        <v>44</v>
      </c>
      <c r="B741" s="0" t="s">
        <v>88</v>
      </c>
      <c r="C741" s="0" t="s">
        <v>266</v>
      </c>
      <c r="D741" s="0" t="s">
        <v>3360</v>
      </c>
      <c r="E741" s="0" t="n">
        <v>2026</v>
      </c>
      <c r="H741" s="0" t="n">
        <v>2</v>
      </c>
      <c r="I741" s="0" t="n">
        <v>1444</v>
      </c>
      <c r="J741" s="0" t="s">
        <v>268</v>
      </c>
      <c r="K741" s="0" t="s">
        <v>3327</v>
      </c>
      <c r="L741" s="0" t="s">
        <v>293</v>
      </c>
      <c r="M741" s="0" t="s">
        <v>3361</v>
      </c>
      <c r="N741" s="0" t="s">
        <v>3361</v>
      </c>
      <c r="O741" s="0" t="s">
        <v>3362</v>
      </c>
      <c r="P741" s="0" t="s">
        <v>3363</v>
      </c>
      <c r="R741" s="0" t="s">
        <v>275</v>
      </c>
      <c r="S741" s="0" t="s">
        <v>290</v>
      </c>
      <c r="T741" s="0" t="s">
        <v>314</v>
      </c>
      <c r="U741" s="0" t="s">
        <v>277</v>
      </c>
      <c r="V741" s="0" t="s">
        <v>3343</v>
      </c>
    </row>
    <row r="742" customFormat="false" ht="15" hidden="false" customHeight="false" outlineLevel="0" collapsed="false">
      <c r="A742" s="0" t="n">
        <v>44</v>
      </c>
      <c r="B742" s="0" t="s">
        <v>88</v>
      </c>
      <c r="C742" s="0" t="s">
        <v>266</v>
      </c>
      <c r="D742" s="0" t="s">
        <v>3364</v>
      </c>
      <c r="E742" s="0" t="n">
        <v>2026</v>
      </c>
      <c r="H742" s="0" t="n">
        <v>2</v>
      </c>
      <c r="I742" s="0" t="n">
        <v>993</v>
      </c>
      <c r="J742" s="0" t="s">
        <v>268</v>
      </c>
      <c r="K742" s="0" t="s">
        <v>3327</v>
      </c>
      <c r="L742" s="0" t="s">
        <v>293</v>
      </c>
      <c r="M742" s="0" t="s">
        <v>3365</v>
      </c>
      <c r="N742" s="0" t="s">
        <v>3365</v>
      </c>
      <c r="O742" s="0" t="s">
        <v>3366</v>
      </c>
      <c r="P742" s="0" t="s">
        <v>3367</v>
      </c>
      <c r="R742" s="0" t="s">
        <v>275</v>
      </c>
      <c r="S742" s="0" t="s">
        <v>290</v>
      </c>
      <c r="T742" s="0" t="s">
        <v>314</v>
      </c>
      <c r="U742" s="0" t="s">
        <v>277</v>
      </c>
      <c r="V742" s="0" t="s">
        <v>3343</v>
      </c>
    </row>
    <row r="743" customFormat="false" ht="15" hidden="false" customHeight="false" outlineLevel="0" collapsed="false">
      <c r="A743" s="0" t="n">
        <v>44</v>
      </c>
      <c r="B743" s="0" t="s">
        <v>88</v>
      </c>
      <c r="C743" s="0" t="s">
        <v>266</v>
      </c>
      <c r="D743" s="0" t="s">
        <v>3368</v>
      </c>
      <c r="E743" s="0" t="n">
        <v>2026</v>
      </c>
      <c r="H743" s="0" t="n">
        <v>2</v>
      </c>
      <c r="I743" s="0" t="n">
        <v>1108</v>
      </c>
      <c r="J743" s="0" t="s">
        <v>268</v>
      </c>
      <c r="K743" s="0" t="s">
        <v>3327</v>
      </c>
      <c r="L743" s="0" t="s">
        <v>293</v>
      </c>
      <c r="M743" s="0" t="s">
        <v>3369</v>
      </c>
      <c r="N743" s="0" t="s">
        <v>3369</v>
      </c>
      <c r="O743" s="0" t="s">
        <v>3370</v>
      </c>
      <c r="P743" s="0" t="s">
        <v>3371</v>
      </c>
      <c r="R743" s="0" t="s">
        <v>275</v>
      </c>
      <c r="S743" s="0" t="s">
        <v>290</v>
      </c>
      <c r="T743" s="0" t="s">
        <v>314</v>
      </c>
      <c r="U743" s="0" t="s">
        <v>277</v>
      </c>
      <c r="V743" s="0" t="s">
        <v>3343</v>
      </c>
    </row>
    <row r="744" customFormat="false" ht="15" hidden="false" customHeight="false" outlineLevel="0" collapsed="false">
      <c r="A744" s="0" t="n">
        <v>44</v>
      </c>
      <c r="B744" s="0" t="s">
        <v>88</v>
      </c>
      <c r="C744" s="0" t="s">
        <v>266</v>
      </c>
      <c r="D744" s="0" t="s">
        <v>3372</v>
      </c>
      <c r="E744" s="0" t="n">
        <v>2026</v>
      </c>
      <c r="H744" s="0" t="n">
        <v>2</v>
      </c>
      <c r="I744" s="0" t="n">
        <v>1545</v>
      </c>
      <c r="J744" s="0" t="s">
        <v>268</v>
      </c>
      <c r="K744" s="0" t="s">
        <v>3327</v>
      </c>
      <c r="L744" s="0" t="s">
        <v>293</v>
      </c>
      <c r="M744" s="0" t="s">
        <v>3373</v>
      </c>
      <c r="N744" s="0" t="s">
        <v>3373</v>
      </c>
      <c r="O744" s="0" t="s">
        <v>3374</v>
      </c>
      <c r="P744" s="0" t="s">
        <v>3375</v>
      </c>
      <c r="R744" s="0" t="s">
        <v>275</v>
      </c>
      <c r="S744" s="0" t="s">
        <v>290</v>
      </c>
      <c r="T744" s="0" t="s">
        <v>314</v>
      </c>
      <c r="U744" s="0" t="s">
        <v>277</v>
      </c>
      <c r="V744" s="0" t="s">
        <v>3343</v>
      </c>
    </row>
    <row r="745" customFormat="false" ht="15" hidden="false" customHeight="false" outlineLevel="0" collapsed="false">
      <c r="A745" s="0" t="n">
        <v>44</v>
      </c>
      <c r="B745" s="0" t="s">
        <v>88</v>
      </c>
      <c r="C745" s="0" t="s">
        <v>266</v>
      </c>
      <c r="D745" s="0" t="s">
        <v>3376</v>
      </c>
      <c r="E745" s="0" t="n">
        <v>2026</v>
      </c>
      <c r="H745" s="0" t="n">
        <v>2</v>
      </c>
      <c r="I745" s="0" t="n">
        <v>4970</v>
      </c>
      <c r="J745" s="0" t="s">
        <v>268</v>
      </c>
      <c r="K745" s="0" t="s">
        <v>3327</v>
      </c>
      <c r="L745" s="0" t="s">
        <v>293</v>
      </c>
      <c r="M745" s="0" t="s">
        <v>3377</v>
      </c>
      <c r="N745" s="0" t="s">
        <v>3377</v>
      </c>
      <c r="O745" s="0" t="s">
        <v>3378</v>
      </c>
      <c r="P745" s="0" t="s">
        <v>3379</v>
      </c>
      <c r="R745" s="0" t="s">
        <v>275</v>
      </c>
      <c r="S745" s="0" t="s">
        <v>290</v>
      </c>
      <c r="T745" s="0" t="s">
        <v>314</v>
      </c>
      <c r="U745" s="0" t="s">
        <v>277</v>
      </c>
      <c r="V745" s="0" t="s">
        <v>3343</v>
      </c>
    </row>
    <row r="746" customFormat="false" ht="15" hidden="false" customHeight="false" outlineLevel="0" collapsed="false">
      <c r="A746" s="0" t="n">
        <v>44</v>
      </c>
      <c r="B746" s="0" t="s">
        <v>88</v>
      </c>
      <c r="C746" s="0" t="s">
        <v>266</v>
      </c>
      <c r="D746" s="0" t="s">
        <v>3380</v>
      </c>
      <c r="E746" s="0" t="n">
        <v>2026</v>
      </c>
      <c r="H746" s="0" t="n">
        <v>2</v>
      </c>
      <c r="I746" s="0" t="n">
        <v>999</v>
      </c>
      <c r="J746" s="0" t="s">
        <v>268</v>
      </c>
      <c r="K746" s="0" t="s">
        <v>3327</v>
      </c>
      <c r="L746" s="0" t="s">
        <v>293</v>
      </c>
      <c r="M746" s="0" t="s">
        <v>3381</v>
      </c>
      <c r="N746" s="0" t="s">
        <v>3381</v>
      </c>
      <c r="O746" s="0" t="s">
        <v>3382</v>
      </c>
      <c r="P746" s="0" t="s">
        <v>3383</v>
      </c>
      <c r="R746" s="0" t="s">
        <v>275</v>
      </c>
      <c r="S746" s="0" t="s">
        <v>290</v>
      </c>
      <c r="T746" s="0" t="s">
        <v>314</v>
      </c>
      <c r="U746" s="0" t="s">
        <v>277</v>
      </c>
      <c r="V746" s="0" t="s">
        <v>3343</v>
      </c>
    </row>
    <row r="747" customFormat="false" ht="15" hidden="false" customHeight="false" outlineLevel="0" collapsed="false">
      <c r="A747" s="0" t="n">
        <v>44</v>
      </c>
      <c r="B747" s="0" t="s">
        <v>88</v>
      </c>
      <c r="C747" s="0" t="s">
        <v>266</v>
      </c>
      <c r="D747" s="0" t="s">
        <v>3384</v>
      </c>
      <c r="E747" s="0" t="n">
        <v>2026</v>
      </c>
      <c r="H747" s="0" t="n">
        <v>2</v>
      </c>
      <c r="I747" s="0" t="n">
        <v>1101</v>
      </c>
      <c r="J747" s="0" t="s">
        <v>268</v>
      </c>
      <c r="K747" s="0" t="s">
        <v>3327</v>
      </c>
      <c r="L747" s="0" t="s">
        <v>293</v>
      </c>
      <c r="M747" s="0" t="s">
        <v>3385</v>
      </c>
      <c r="N747" s="0" t="s">
        <v>3385</v>
      </c>
      <c r="O747" s="0" t="s">
        <v>3386</v>
      </c>
      <c r="P747" s="0" t="s">
        <v>3387</v>
      </c>
      <c r="R747" s="0" t="s">
        <v>275</v>
      </c>
      <c r="S747" s="0" t="s">
        <v>290</v>
      </c>
      <c r="T747" s="0" t="s">
        <v>314</v>
      </c>
      <c r="U747" s="0" t="s">
        <v>277</v>
      </c>
      <c r="V747" s="0" t="s">
        <v>3343</v>
      </c>
    </row>
    <row r="748" customFormat="false" ht="15" hidden="false" customHeight="false" outlineLevel="0" collapsed="false">
      <c r="A748" s="0" t="n">
        <v>44</v>
      </c>
      <c r="B748" s="0" t="s">
        <v>88</v>
      </c>
      <c r="C748" s="0" t="s">
        <v>266</v>
      </c>
      <c r="D748" s="0" t="s">
        <v>3388</v>
      </c>
      <c r="E748" s="0" t="n">
        <v>2026</v>
      </c>
      <c r="H748" s="0" t="n">
        <v>2</v>
      </c>
      <c r="I748" s="0" t="n">
        <v>860</v>
      </c>
      <c r="J748" s="0" t="s">
        <v>268</v>
      </c>
      <c r="K748" s="0" t="s">
        <v>3327</v>
      </c>
      <c r="L748" s="0" t="s">
        <v>293</v>
      </c>
      <c r="M748" s="0" t="s">
        <v>3389</v>
      </c>
      <c r="N748" s="0" t="s">
        <v>3389</v>
      </c>
      <c r="O748" s="0" t="s">
        <v>3390</v>
      </c>
      <c r="P748" s="0" t="s">
        <v>3391</v>
      </c>
      <c r="R748" s="0" t="s">
        <v>275</v>
      </c>
      <c r="S748" s="0" t="s">
        <v>290</v>
      </c>
      <c r="T748" s="0" t="s">
        <v>314</v>
      </c>
      <c r="U748" s="0" t="s">
        <v>277</v>
      </c>
      <c r="V748" s="0" t="s">
        <v>3343</v>
      </c>
    </row>
    <row r="749" customFormat="false" ht="15" hidden="false" customHeight="false" outlineLevel="0" collapsed="false">
      <c r="A749" s="0" t="n">
        <v>44</v>
      </c>
      <c r="B749" s="0" t="s">
        <v>88</v>
      </c>
      <c r="C749" s="0" t="s">
        <v>266</v>
      </c>
      <c r="D749" s="0" t="s">
        <v>3392</v>
      </c>
      <c r="E749" s="0" t="n">
        <v>2026</v>
      </c>
      <c r="H749" s="0" t="n">
        <v>2</v>
      </c>
      <c r="I749" s="0" t="n">
        <v>800</v>
      </c>
      <c r="J749" s="0" t="s">
        <v>268</v>
      </c>
      <c r="K749" s="0" t="s">
        <v>3327</v>
      </c>
      <c r="L749" s="0" t="s">
        <v>293</v>
      </c>
      <c r="M749" s="0" t="s">
        <v>3393</v>
      </c>
      <c r="N749" s="0" t="s">
        <v>3393</v>
      </c>
      <c r="O749" s="0" t="s">
        <v>3394</v>
      </c>
      <c r="P749" s="0" t="s">
        <v>3395</v>
      </c>
      <c r="R749" s="0" t="s">
        <v>275</v>
      </c>
      <c r="S749" s="0" t="s">
        <v>290</v>
      </c>
      <c r="T749" s="0" t="s">
        <v>314</v>
      </c>
      <c r="U749" s="0" t="s">
        <v>277</v>
      </c>
      <c r="V749" s="0" t="s">
        <v>3343</v>
      </c>
    </row>
    <row r="750" customFormat="false" ht="15" hidden="false" customHeight="false" outlineLevel="0" collapsed="false">
      <c r="A750" s="0" t="n">
        <v>44</v>
      </c>
      <c r="B750" s="0" t="s">
        <v>88</v>
      </c>
      <c r="C750" s="0" t="s">
        <v>266</v>
      </c>
      <c r="D750" s="0" t="s">
        <v>3396</v>
      </c>
      <c r="E750" s="0" t="n">
        <v>2026</v>
      </c>
      <c r="H750" s="0" t="n">
        <v>10</v>
      </c>
      <c r="I750" s="0" t="n">
        <v>485</v>
      </c>
      <c r="J750" s="0" t="s">
        <v>268</v>
      </c>
      <c r="K750" s="0" t="s">
        <v>3327</v>
      </c>
      <c r="L750" s="0" t="s">
        <v>293</v>
      </c>
      <c r="M750" s="0" t="s">
        <v>3397</v>
      </c>
      <c r="N750" s="0" t="s">
        <v>3397</v>
      </c>
      <c r="O750" s="0" t="s">
        <v>3398</v>
      </c>
      <c r="P750" s="0" t="s">
        <v>3399</v>
      </c>
      <c r="R750" s="0" t="s">
        <v>275</v>
      </c>
      <c r="S750" s="0" t="s">
        <v>268</v>
      </c>
      <c r="T750" s="0" t="s">
        <v>276</v>
      </c>
      <c r="U750" s="0" t="s">
        <v>277</v>
      </c>
    </row>
    <row r="751" customFormat="false" ht="15" hidden="false" customHeight="false" outlineLevel="0" collapsed="false">
      <c r="A751" s="0" t="n">
        <v>44</v>
      </c>
      <c r="B751" s="0" t="s">
        <v>88</v>
      </c>
      <c r="C751" s="0" t="s">
        <v>266</v>
      </c>
      <c r="D751" s="0" t="s">
        <v>3400</v>
      </c>
      <c r="E751" s="0" t="n">
        <v>2026</v>
      </c>
      <c r="H751" s="0" t="n">
        <v>2</v>
      </c>
      <c r="I751" s="0" t="n">
        <v>1470</v>
      </c>
      <c r="J751" s="0" t="s">
        <v>268</v>
      </c>
      <c r="K751" s="0" t="s">
        <v>3327</v>
      </c>
      <c r="L751" s="0" t="s">
        <v>293</v>
      </c>
      <c r="M751" s="0" t="s">
        <v>3401</v>
      </c>
      <c r="N751" s="0" t="s">
        <v>3401</v>
      </c>
      <c r="O751" s="0" t="s">
        <v>3402</v>
      </c>
      <c r="P751" s="0" t="s">
        <v>3403</v>
      </c>
      <c r="R751" s="0" t="s">
        <v>275</v>
      </c>
      <c r="S751" s="0" t="s">
        <v>290</v>
      </c>
      <c r="T751" s="0" t="s">
        <v>314</v>
      </c>
      <c r="U751" s="0" t="s">
        <v>277</v>
      </c>
      <c r="V751" s="0" t="s">
        <v>3343</v>
      </c>
    </row>
    <row r="752" customFormat="false" ht="15" hidden="false" customHeight="false" outlineLevel="0" collapsed="false">
      <c r="A752" s="0" t="n">
        <v>44</v>
      </c>
      <c r="B752" s="0" t="s">
        <v>88</v>
      </c>
      <c r="C752" s="0" t="s">
        <v>266</v>
      </c>
      <c r="D752" s="0" t="s">
        <v>3404</v>
      </c>
      <c r="E752" s="0" t="n">
        <v>2026</v>
      </c>
      <c r="H752" s="0" t="n">
        <v>2</v>
      </c>
      <c r="I752" s="0" t="n">
        <v>1026</v>
      </c>
      <c r="J752" s="0" t="s">
        <v>268</v>
      </c>
      <c r="K752" s="0" t="s">
        <v>3327</v>
      </c>
      <c r="L752" s="0" t="s">
        <v>293</v>
      </c>
      <c r="M752" s="0" t="s">
        <v>3405</v>
      </c>
      <c r="N752" s="0" t="s">
        <v>3405</v>
      </c>
      <c r="O752" s="0" t="s">
        <v>3406</v>
      </c>
      <c r="P752" s="0" t="s">
        <v>3407</v>
      </c>
      <c r="R752" s="0" t="s">
        <v>275</v>
      </c>
      <c r="S752" s="0" t="s">
        <v>290</v>
      </c>
      <c r="T752" s="0" t="s">
        <v>314</v>
      </c>
      <c r="U752" s="0" t="s">
        <v>277</v>
      </c>
      <c r="V752" s="0" t="s">
        <v>3343</v>
      </c>
    </row>
    <row r="753" customFormat="false" ht="15" hidden="false" customHeight="false" outlineLevel="0" collapsed="false">
      <c r="A753" s="0" t="n">
        <v>44</v>
      </c>
      <c r="B753" s="0" t="s">
        <v>88</v>
      </c>
      <c r="C753" s="0" t="s">
        <v>266</v>
      </c>
      <c r="D753" s="0" t="s">
        <v>3408</v>
      </c>
      <c r="E753" s="0" t="n">
        <v>2026</v>
      </c>
      <c r="H753" s="0" t="n">
        <v>2</v>
      </c>
      <c r="I753" s="0" t="n">
        <v>4009</v>
      </c>
      <c r="J753" s="0" t="s">
        <v>268</v>
      </c>
      <c r="K753" s="0" t="s">
        <v>3327</v>
      </c>
      <c r="L753" s="0" t="s">
        <v>293</v>
      </c>
      <c r="M753" s="0" t="s">
        <v>3409</v>
      </c>
      <c r="N753" s="0" t="s">
        <v>3409</v>
      </c>
      <c r="O753" s="0" t="s">
        <v>3410</v>
      </c>
      <c r="P753" s="0" t="s">
        <v>3411</v>
      </c>
      <c r="R753" s="0" t="s">
        <v>275</v>
      </c>
      <c r="S753" s="0" t="s">
        <v>290</v>
      </c>
      <c r="T753" s="0" t="s">
        <v>314</v>
      </c>
      <c r="U753" s="0" t="s">
        <v>277</v>
      </c>
      <c r="V753" s="0" t="s">
        <v>3343</v>
      </c>
    </row>
    <row r="754" customFormat="false" ht="15" hidden="false" customHeight="false" outlineLevel="0" collapsed="false">
      <c r="A754" s="0" t="n">
        <v>44</v>
      </c>
      <c r="B754" s="0" t="s">
        <v>88</v>
      </c>
      <c r="C754" s="0" t="s">
        <v>266</v>
      </c>
      <c r="D754" s="0" t="s">
        <v>3412</v>
      </c>
      <c r="E754" s="0" t="n">
        <v>2026</v>
      </c>
      <c r="H754" s="0" t="n">
        <v>3</v>
      </c>
      <c r="I754" s="0" t="n">
        <v>1243</v>
      </c>
      <c r="J754" s="0" t="s">
        <v>268</v>
      </c>
      <c r="K754" s="0" t="s">
        <v>3327</v>
      </c>
      <c r="L754" s="0" t="s">
        <v>293</v>
      </c>
      <c r="M754" s="0" t="s">
        <v>3413</v>
      </c>
      <c r="N754" s="0" t="s">
        <v>3413</v>
      </c>
      <c r="O754" s="0" t="s">
        <v>3414</v>
      </c>
      <c r="P754" s="0" t="s">
        <v>3415</v>
      </c>
      <c r="R754" s="0" t="s">
        <v>275</v>
      </c>
      <c r="S754" s="0" t="s">
        <v>290</v>
      </c>
      <c r="T754" s="0" t="s">
        <v>314</v>
      </c>
      <c r="U754" s="0" t="s">
        <v>277</v>
      </c>
      <c r="V754" s="0" t="s">
        <v>3343</v>
      </c>
    </row>
    <row r="755" customFormat="false" ht="15" hidden="false" customHeight="false" outlineLevel="0" collapsed="false">
      <c r="A755" s="0" t="n">
        <v>44</v>
      </c>
      <c r="B755" s="0" t="s">
        <v>88</v>
      </c>
      <c r="C755" s="0" t="s">
        <v>266</v>
      </c>
      <c r="D755" s="0" t="s">
        <v>3416</v>
      </c>
      <c r="E755" s="0" t="n">
        <v>2025</v>
      </c>
      <c r="H755" s="0" t="n">
        <v>16</v>
      </c>
      <c r="I755" s="0" t="n">
        <v>3779</v>
      </c>
      <c r="J755" s="0" t="s">
        <v>268</v>
      </c>
      <c r="K755" s="0" t="s">
        <v>3327</v>
      </c>
      <c r="L755" s="0" t="s">
        <v>293</v>
      </c>
      <c r="M755" s="0" t="s">
        <v>3417</v>
      </c>
      <c r="N755" s="0" t="s">
        <v>3417</v>
      </c>
      <c r="O755" s="0" t="s">
        <v>3418</v>
      </c>
      <c r="P755" s="0" t="s">
        <v>3419</v>
      </c>
      <c r="R755" s="0" t="s">
        <v>275</v>
      </c>
      <c r="S755" s="0" t="s">
        <v>290</v>
      </c>
      <c r="T755" s="0" t="s">
        <v>314</v>
      </c>
      <c r="U755" s="0" t="s">
        <v>277</v>
      </c>
      <c r="V755" s="0" t="s">
        <v>3343</v>
      </c>
    </row>
    <row r="756" customFormat="false" ht="15" hidden="false" customHeight="false" outlineLevel="0" collapsed="false">
      <c r="A756" s="0" t="n">
        <v>44</v>
      </c>
      <c r="B756" s="0" t="s">
        <v>88</v>
      </c>
      <c r="C756" s="0" t="s">
        <v>266</v>
      </c>
      <c r="D756" s="0" t="s">
        <v>3420</v>
      </c>
      <c r="E756" s="0" t="n">
        <v>2025</v>
      </c>
      <c r="H756" s="0" t="n">
        <v>4</v>
      </c>
      <c r="I756" s="0" t="n">
        <v>3313</v>
      </c>
      <c r="J756" s="0" t="s">
        <v>268</v>
      </c>
      <c r="K756" s="0" t="s">
        <v>3327</v>
      </c>
      <c r="L756" s="0" t="s">
        <v>293</v>
      </c>
      <c r="M756" s="0" t="s">
        <v>3421</v>
      </c>
      <c r="N756" s="0" t="s">
        <v>3421</v>
      </c>
      <c r="O756" s="0" t="s">
        <v>3422</v>
      </c>
      <c r="P756" s="0" t="s">
        <v>3423</v>
      </c>
      <c r="R756" s="0" t="s">
        <v>275</v>
      </c>
      <c r="S756" s="0" t="s">
        <v>290</v>
      </c>
      <c r="T756" s="0" t="s">
        <v>314</v>
      </c>
      <c r="U756" s="0" t="s">
        <v>277</v>
      </c>
      <c r="V756" s="0" t="s">
        <v>3343</v>
      </c>
    </row>
    <row r="757" customFormat="false" ht="15" hidden="false" customHeight="false" outlineLevel="0" collapsed="false">
      <c r="A757" s="0" t="n">
        <v>44</v>
      </c>
      <c r="B757" s="0" t="s">
        <v>88</v>
      </c>
      <c r="C757" s="0" t="s">
        <v>266</v>
      </c>
      <c r="D757" s="0" t="s">
        <v>3424</v>
      </c>
      <c r="E757" s="0" t="n">
        <v>2025</v>
      </c>
      <c r="H757" s="0" t="n">
        <v>12</v>
      </c>
      <c r="I757" s="0" t="n">
        <v>4770</v>
      </c>
      <c r="J757" s="0" t="s">
        <v>268</v>
      </c>
      <c r="K757" s="0" t="s">
        <v>3327</v>
      </c>
      <c r="L757" s="0" t="s">
        <v>293</v>
      </c>
      <c r="M757" s="0" t="s">
        <v>3425</v>
      </c>
      <c r="N757" s="0" t="s">
        <v>3425</v>
      </c>
      <c r="O757" s="0" t="s">
        <v>3426</v>
      </c>
      <c r="P757" s="0" t="s">
        <v>3427</v>
      </c>
      <c r="R757" s="0" t="s">
        <v>275</v>
      </c>
      <c r="S757" s="0" t="s">
        <v>290</v>
      </c>
      <c r="T757" s="0" t="s">
        <v>314</v>
      </c>
      <c r="U757" s="0" t="s">
        <v>277</v>
      </c>
      <c r="V757" s="0" t="s">
        <v>3343</v>
      </c>
    </row>
    <row r="758" customFormat="false" ht="15" hidden="false" customHeight="false" outlineLevel="0" collapsed="false">
      <c r="A758" s="0" t="n">
        <v>44</v>
      </c>
      <c r="B758" s="0" t="s">
        <v>88</v>
      </c>
      <c r="C758" s="0" t="s">
        <v>266</v>
      </c>
      <c r="D758" s="0" t="s">
        <v>3428</v>
      </c>
      <c r="E758" s="0" t="n">
        <v>2025</v>
      </c>
      <c r="H758" s="0" t="n">
        <v>12</v>
      </c>
      <c r="I758" s="0" t="n">
        <v>4834</v>
      </c>
      <c r="J758" s="0" t="s">
        <v>268</v>
      </c>
      <c r="K758" s="0" t="s">
        <v>3327</v>
      </c>
      <c r="L758" s="0" t="s">
        <v>293</v>
      </c>
      <c r="M758" s="0" t="s">
        <v>3429</v>
      </c>
      <c r="N758" s="0" t="s">
        <v>3429</v>
      </c>
      <c r="O758" s="0" t="s">
        <v>3430</v>
      </c>
      <c r="P758" s="0" t="s">
        <v>3431</v>
      </c>
      <c r="R758" s="0" t="s">
        <v>275</v>
      </c>
      <c r="S758" s="0" t="s">
        <v>290</v>
      </c>
      <c r="T758" s="0" t="s">
        <v>314</v>
      </c>
      <c r="U758" s="0" t="s">
        <v>277</v>
      </c>
      <c r="V758" s="0" t="s">
        <v>3343</v>
      </c>
    </row>
    <row r="759" customFormat="false" ht="15" hidden="false" customHeight="false" outlineLevel="0" collapsed="false">
      <c r="A759" s="0" t="n">
        <v>44</v>
      </c>
      <c r="B759" s="0" t="s">
        <v>88</v>
      </c>
      <c r="C759" s="0" t="s">
        <v>266</v>
      </c>
      <c r="D759" s="0" t="s">
        <v>3432</v>
      </c>
      <c r="E759" s="0" t="n">
        <v>2025</v>
      </c>
      <c r="H759" s="0" t="n">
        <v>12</v>
      </c>
      <c r="I759" s="0" t="n">
        <v>4936</v>
      </c>
      <c r="J759" s="0" t="s">
        <v>268</v>
      </c>
      <c r="K759" s="0" t="s">
        <v>3327</v>
      </c>
      <c r="L759" s="0" t="s">
        <v>293</v>
      </c>
      <c r="M759" s="0" t="s">
        <v>3433</v>
      </c>
      <c r="N759" s="0" t="s">
        <v>3433</v>
      </c>
      <c r="O759" s="0" t="s">
        <v>3434</v>
      </c>
      <c r="P759" s="0" t="s">
        <v>3435</v>
      </c>
      <c r="R759" s="0" t="s">
        <v>275</v>
      </c>
      <c r="S759" s="0" t="s">
        <v>290</v>
      </c>
      <c r="T759" s="0" t="s">
        <v>314</v>
      </c>
      <c r="U759" s="0" t="s">
        <v>277</v>
      </c>
      <c r="V759" s="0" t="s">
        <v>3343</v>
      </c>
    </row>
    <row r="760" customFormat="false" ht="15" hidden="false" customHeight="false" outlineLevel="0" collapsed="false">
      <c r="A760" s="0" t="n">
        <v>44</v>
      </c>
      <c r="B760" s="0" t="s">
        <v>88</v>
      </c>
      <c r="C760" s="0" t="s">
        <v>266</v>
      </c>
      <c r="D760" s="0" t="s">
        <v>3436</v>
      </c>
      <c r="E760" s="0" t="n">
        <v>2024</v>
      </c>
      <c r="H760" s="0" t="n">
        <v>1</v>
      </c>
      <c r="I760" s="0" t="n">
        <v>1750</v>
      </c>
      <c r="J760" s="0" t="s">
        <v>268</v>
      </c>
      <c r="K760" s="0" t="s">
        <v>3327</v>
      </c>
      <c r="L760" s="0" t="s">
        <v>293</v>
      </c>
      <c r="M760" s="0" t="s">
        <v>3437</v>
      </c>
      <c r="N760" s="0" t="s">
        <v>3437</v>
      </c>
      <c r="O760" s="0" t="s">
        <v>3438</v>
      </c>
      <c r="P760" s="0" t="s">
        <v>3439</v>
      </c>
      <c r="R760" s="0" t="s">
        <v>284</v>
      </c>
      <c r="S760" s="0" t="s">
        <v>290</v>
      </c>
      <c r="T760" s="0" t="s">
        <v>314</v>
      </c>
      <c r="U760" s="0" t="s">
        <v>277</v>
      </c>
      <c r="V760" s="0" t="s">
        <v>3343</v>
      </c>
    </row>
    <row r="761" customFormat="false" ht="15" hidden="false" customHeight="false" outlineLevel="0" collapsed="false">
      <c r="A761" s="0" t="n">
        <v>44</v>
      </c>
      <c r="B761" s="0" t="s">
        <v>88</v>
      </c>
      <c r="C761" s="0" t="s">
        <v>266</v>
      </c>
      <c r="D761" s="0" t="s">
        <v>3440</v>
      </c>
      <c r="E761" s="0" t="n">
        <v>2024</v>
      </c>
      <c r="H761" s="0" t="n">
        <v>6</v>
      </c>
      <c r="I761" s="0" t="n">
        <v>2088</v>
      </c>
      <c r="J761" s="0" t="s">
        <v>268</v>
      </c>
      <c r="K761" s="0" t="s">
        <v>3327</v>
      </c>
      <c r="L761" s="0" t="s">
        <v>293</v>
      </c>
      <c r="M761" s="0" t="s">
        <v>3441</v>
      </c>
      <c r="N761" s="0" t="s">
        <v>3441</v>
      </c>
      <c r="O761" s="0" t="s">
        <v>3442</v>
      </c>
      <c r="P761" s="0" t="s">
        <v>3443</v>
      </c>
      <c r="R761" s="0" t="s">
        <v>284</v>
      </c>
      <c r="S761" s="0" t="s">
        <v>290</v>
      </c>
      <c r="T761" s="0" t="s">
        <v>314</v>
      </c>
      <c r="U761" s="0" t="s">
        <v>277</v>
      </c>
      <c r="V761" s="0" t="s">
        <v>3343</v>
      </c>
    </row>
    <row r="762" customFormat="false" ht="15" hidden="false" customHeight="false" outlineLevel="0" collapsed="false">
      <c r="A762" s="0" t="n">
        <v>44</v>
      </c>
      <c r="B762" s="0" t="s">
        <v>88</v>
      </c>
      <c r="C762" s="0" t="s">
        <v>266</v>
      </c>
      <c r="D762" s="0" t="s">
        <v>3444</v>
      </c>
      <c r="E762" s="0" t="n">
        <v>2019</v>
      </c>
      <c r="H762" s="0" t="n">
        <v>2</v>
      </c>
      <c r="I762" s="0" t="n">
        <v>431</v>
      </c>
      <c r="J762" s="0" t="s">
        <v>268</v>
      </c>
      <c r="K762" s="0" t="s">
        <v>3327</v>
      </c>
      <c r="L762" s="0" t="s">
        <v>293</v>
      </c>
      <c r="M762" s="0" t="s">
        <v>3445</v>
      </c>
      <c r="N762" s="0" t="s">
        <v>3445</v>
      </c>
      <c r="O762" s="0" t="s">
        <v>3446</v>
      </c>
      <c r="P762" s="0" t="s">
        <v>3447</v>
      </c>
      <c r="R762" s="0" t="s">
        <v>284</v>
      </c>
      <c r="S762" s="0" t="s">
        <v>290</v>
      </c>
      <c r="T762" s="0" t="s">
        <v>276</v>
      </c>
      <c r="U762" s="0" t="s">
        <v>277</v>
      </c>
    </row>
    <row r="763" customFormat="false" ht="15" hidden="false" customHeight="false" outlineLevel="0" collapsed="false">
      <c r="A763" s="0" t="n">
        <v>44</v>
      </c>
      <c r="B763" s="0" t="s">
        <v>88</v>
      </c>
      <c r="C763" s="0" t="s">
        <v>278</v>
      </c>
      <c r="D763" s="0" t="s">
        <v>3448</v>
      </c>
      <c r="E763" s="0" t="n">
        <v>2024</v>
      </c>
      <c r="H763" s="0" t="n">
        <v>39</v>
      </c>
      <c r="I763" s="0" t="n">
        <v>49029</v>
      </c>
      <c r="J763" s="0" t="s">
        <v>268</v>
      </c>
      <c r="K763" s="0" t="s">
        <v>3327</v>
      </c>
      <c r="L763" s="0" t="s">
        <v>293</v>
      </c>
      <c r="M763" s="0" t="s">
        <v>3449</v>
      </c>
      <c r="N763" s="0" t="s">
        <v>3449</v>
      </c>
      <c r="O763" s="0" t="s">
        <v>3450</v>
      </c>
      <c r="P763" s="0" t="s">
        <v>3451</v>
      </c>
      <c r="R763" s="0" t="s">
        <v>284</v>
      </c>
      <c r="S763" s="0" t="s">
        <v>268</v>
      </c>
      <c r="T763" s="0" t="s">
        <v>314</v>
      </c>
      <c r="U763" s="0" t="s">
        <v>277</v>
      </c>
      <c r="V763" s="0" t="s">
        <v>3343</v>
      </c>
    </row>
    <row r="764" customFormat="false" ht="15" hidden="false" customHeight="false" outlineLevel="0" collapsed="false">
      <c r="A764" s="0" t="n">
        <v>44</v>
      </c>
      <c r="B764" s="0" t="s">
        <v>88</v>
      </c>
      <c r="C764" s="0" t="s">
        <v>489</v>
      </c>
      <c r="D764" s="0" t="s">
        <v>3452</v>
      </c>
      <c r="E764" s="0" t="n">
        <v>2025</v>
      </c>
      <c r="H764" s="0" t="n">
        <v>28</v>
      </c>
      <c r="I764" s="0" t="n">
        <v>5987</v>
      </c>
      <c r="J764" s="0" t="s">
        <v>268</v>
      </c>
      <c r="K764" s="0" t="s">
        <v>298</v>
      </c>
      <c r="L764" s="0" t="s">
        <v>270</v>
      </c>
      <c r="M764" s="0" t="s">
        <v>3453</v>
      </c>
      <c r="N764" s="0" t="s">
        <v>3453</v>
      </c>
      <c r="O764" s="0" t="s">
        <v>3454</v>
      </c>
      <c r="P764" s="0" t="s">
        <v>3455</v>
      </c>
      <c r="R764" s="0" t="s">
        <v>275</v>
      </c>
      <c r="S764" s="0" t="s">
        <v>268</v>
      </c>
      <c r="T764" s="0" t="s">
        <v>276</v>
      </c>
      <c r="U764" s="0" t="s">
        <v>277</v>
      </c>
    </row>
    <row r="765" customFormat="false" ht="15" hidden="false" customHeight="false" outlineLevel="0" collapsed="false">
      <c r="A765" s="0" t="n">
        <v>44</v>
      </c>
      <c r="B765" s="0" t="s">
        <v>88</v>
      </c>
      <c r="C765" s="0" t="s">
        <v>489</v>
      </c>
      <c r="D765" s="0" t="s">
        <v>3456</v>
      </c>
      <c r="E765" s="0" t="n">
        <v>2019</v>
      </c>
      <c r="H765" s="0" t="n">
        <v>15</v>
      </c>
      <c r="I765" s="0" t="n">
        <v>3435</v>
      </c>
      <c r="J765" s="0" t="s">
        <v>268</v>
      </c>
      <c r="K765" s="0" t="s">
        <v>3327</v>
      </c>
      <c r="L765" s="0" t="s">
        <v>293</v>
      </c>
      <c r="M765" s="0" t="s">
        <v>3457</v>
      </c>
      <c r="N765" s="0" t="s">
        <v>3457</v>
      </c>
      <c r="O765" s="0" t="s">
        <v>3458</v>
      </c>
      <c r="P765" s="0" t="s">
        <v>3459</v>
      </c>
      <c r="R765" s="0" t="s">
        <v>284</v>
      </c>
      <c r="S765" s="0" t="s">
        <v>290</v>
      </c>
      <c r="T765" s="0" t="s">
        <v>314</v>
      </c>
      <c r="U765" s="0" t="s">
        <v>277</v>
      </c>
      <c r="V765" s="0" t="s">
        <v>3343</v>
      </c>
    </row>
    <row r="766" customFormat="false" ht="15" hidden="false" customHeight="false" outlineLevel="0" collapsed="false">
      <c r="A766" s="0" t="n">
        <v>45</v>
      </c>
      <c r="B766" s="0" t="s">
        <v>90</v>
      </c>
      <c r="C766" s="0" t="s">
        <v>56</v>
      </c>
      <c r="D766" s="0" t="s">
        <v>3460</v>
      </c>
      <c r="E766" s="0" t="n">
        <v>2025</v>
      </c>
      <c r="H766" s="0" t="n">
        <v>19</v>
      </c>
      <c r="I766" s="0" t="n">
        <v>23874</v>
      </c>
      <c r="J766" s="0" t="s">
        <v>268</v>
      </c>
      <c r="K766" s="0" t="s">
        <v>3461</v>
      </c>
      <c r="L766" s="0" t="s">
        <v>293</v>
      </c>
      <c r="M766" s="0" t="s">
        <v>3462</v>
      </c>
      <c r="N766" s="0" t="s">
        <v>3463</v>
      </c>
      <c r="O766" s="0" t="s">
        <v>3464</v>
      </c>
      <c r="P766" s="0" t="s">
        <v>3465</v>
      </c>
      <c r="R766" s="0" t="s">
        <v>275</v>
      </c>
      <c r="S766" s="0" t="s">
        <v>268</v>
      </c>
      <c r="T766" s="0" t="s">
        <v>276</v>
      </c>
      <c r="U766" s="0" t="s">
        <v>277</v>
      </c>
    </row>
    <row r="767" customFormat="false" ht="15" hidden="false" customHeight="false" outlineLevel="0" collapsed="false">
      <c r="A767" s="0" t="n">
        <v>45</v>
      </c>
      <c r="B767" s="0" t="s">
        <v>90</v>
      </c>
      <c r="C767" s="0" t="s">
        <v>56</v>
      </c>
      <c r="D767" s="0" t="s">
        <v>3466</v>
      </c>
      <c r="E767" s="0" t="n">
        <v>2025</v>
      </c>
      <c r="H767" s="0" t="n">
        <v>2</v>
      </c>
      <c r="I767" s="0" t="n">
        <v>2971</v>
      </c>
      <c r="J767" s="0" t="s">
        <v>268</v>
      </c>
      <c r="K767" s="0" t="s">
        <v>3461</v>
      </c>
      <c r="L767" s="0" t="s">
        <v>293</v>
      </c>
      <c r="M767" s="0" t="s">
        <v>3467</v>
      </c>
      <c r="N767" s="0" t="s">
        <v>3467</v>
      </c>
      <c r="O767" s="0" t="s">
        <v>3468</v>
      </c>
      <c r="P767" s="0" t="s">
        <v>3469</v>
      </c>
      <c r="R767" s="0" t="s">
        <v>275</v>
      </c>
      <c r="S767" s="0" t="s">
        <v>290</v>
      </c>
      <c r="T767" s="0" t="s">
        <v>314</v>
      </c>
      <c r="U767" s="0" t="s">
        <v>277</v>
      </c>
      <c r="V767" s="0" t="s">
        <v>3470</v>
      </c>
    </row>
    <row r="768" customFormat="false" ht="15" hidden="false" customHeight="false" outlineLevel="0" collapsed="false">
      <c r="A768" s="0" t="n">
        <v>45</v>
      </c>
      <c r="B768" s="0" t="s">
        <v>90</v>
      </c>
      <c r="C768" s="0" t="s">
        <v>35</v>
      </c>
      <c r="D768" s="0" t="s">
        <v>3471</v>
      </c>
      <c r="E768" s="0" t="n">
        <v>2026</v>
      </c>
      <c r="H768" s="0" t="n">
        <v>1</v>
      </c>
      <c r="I768" s="0" t="n">
        <v>304</v>
      </c>
      <c r="J768" s="0" t="s">
        <v>268</v>
      </c>
      <c r="K768" s="0" t="s">
        <v>3461</v>
      </c>
      <c r="L768" s="0" t="s">
        <v>293</v>
      </c>
      <c r="M768" s="0" t="s">
        <v>3472</v>
      </c>
      <c r="N768" s="0" t="s">
        <v>3472</v>
      </c>
      <c r="O768" s="0" t="s">
        <v>3473</v>
      </c>
      <c r="P768" s="0" t="s">
        <v>3474</v>
      </c>
      <c r="R768" s="0" t="s">
        <v>275</v>
      </c>
      <c r="S768" s="0" t="s">
        <v>268</v>
      </c>
      <c r="T768" s="0" t="s">
        <v>314</v>
      </c>
      <c r="U768" s="0" t="s">
        <v>277</v>
      </c>
      <c r="V768" s="0" t="s">
        <v>3470</v>
      </c>
    </row>
    <row r="769" customFormat="false" ht="15" hidden="false" customHeight="false" outlineLevel="0" collapsed="false">
      <c r="A769" s="0" t="n">
        <v>45</v>
      </c>
      <c r="B769" s="0" t="s">
        <v>90</v>
      </c>
      <c r="C769" s="0" t="s">
        <v>35</v>
      </c>
      <c r="D769" s="0" t="s">
        <v>3475</v>
      </c>
      <c r="E769" s="0" t="n">
        <v>2026</v>
      </c>
      <c r="H769" s="0" t="n">
        <v>1</v>
      </c>
      <c r="I769" s="0" t="n">
        <v>943</v>
      </c>
      <c r="J769" s="0" t="s">
        <v>268</v>
      </c>
      <c r="K769" s="0" t="s">
        <v>3461</v>
      </c>
      <c r="L769" s="0" t="s">
        <v>293</v>
      </c>
      <c r="M769" s="0" t="s">
        <v>3476</v>
      </c>
      <c r="N769" s="0" t="s">
        <v>3476</v>
      </c>
      <c r="O769" s="0" t="s">
        <v>3477</v>
      </c>
      <c r="P769" s="0" t="s">
        <v>3478</v>
      </c>
      <c r="R769" s="0" t="s">
        <v>275</v>
      </c>
      <c r="S769" s="0" t="s">
        <v>290</v>
      </c>
      <c r="T769" s="0" t="s">
        <v>314</v>
      </c>
      <c r="U769" s="0" t="s">
        <v>277</v>
      </c>
      <c r="V769" s="0" t="s">
        <v>3470</v>
      </c>
    </row>
    <row r="770" customFormat="false" ht="15" hidden="false" customHeight="false" outlineLevel="0" collapsed="false">
      <c r="A770" s="0" t="n">
        <v>45</v>
      </c>
      <c r="B770" s="0" t="s">
        <v>90</v>
      </c>
      <c r="C770" s="0" t="s">
        <v>35</v>
      </c>
      <c r="D770" s="0" t="s">
        <v>3479</v>
      </c>
      <c r="E770" s="0" t="n">
        <v>2026</v>
      </c>
      <c r="H770" s="0" t="n">
        <v>1</v>
      </c>
      <c r="I770" s="0" t="n">
        <v>942</v>
      </c>
      <c r="J770" s="0" t="s">
        <v>268</v>
      </c>
      <c r="K770" s="0" t="s">
        <v>3461</v>
      </c>
      <c r="L770" s="0" t="s">
        <v>293</v>
      </c>
      <c r="M770" s="0" t="s">
        <v>3480</v>
      </c>
      <c r="N770" s="0" t="s">
        <v>3480</v>
      </c>
      <c r="O770" s="0" t="s">
        <v>3481</v>
      </c>
      <c r="P770" s="0" t="s">
        <v>3482</v>
      </c>
      <c r="R770" s="0" t="s">
        <v>275</v>
      </c>
      <c r="S770" s="0" t="s">
        <v>290</v>
      </c>
      <c r="T770" s="0" t="s">
        <v>314</v>
      </c>
      <c r="U770" s="0" t="s">
        <v>277</v>
      </c>
      <c r="V770" s="0" t="s">
        <v>3470</v>
      </c>
    </row>
    <row r="771" customFormat="false" ht="15" hidden="false" customHeight="false" outlineLevel="0" collapsed="false">
      <c r="A771" s="0" t="n">
        <v>45</v>
      </c>
      <c r="B771" s="0" t="s">
        <v>90</v>
      </c>
      <c r="C771" s="0" t="s">
        <v>35</v>
      </c>
      <c r="D771" s="0" t="s">
        <v>3483</v>
      </c>
      <c r="E771" s="0" t="n">
        <v>2026</v>
      </c>
      <c r="H771" s="0" t="n">
        <v>1</v>
      </c>
      <c r="I771" s="0" t="n">
        <v>1718</v>
      </c>
      <c r="J771" s="0" t="s">
        <v>268</v>
      </c>
      <c r="K771" s="0" t="s">
        <v>3461</v>
      </c>
      <c r="L771" s="0" t="s">
        <v>293</v>
      </c>
      <c r="M771" s="0" t="s">
        <v>3484</v>
      </c>
      <c r="N771" s="0" t="s">
        <v>3484</v>
      </c>
      <c r="O771" s="0" t="s">
        <v>3485</v>
      </c>
      <c r="P771" s="0" t="s">
        <v>3486</v>
      </c>
      <c r="R771" s="0" t="s">
        <v>275</v>
      </c>
      <c r="S771" s="0" t="s">
        <v>290</v>
      </c>
      <c r="T771" s="0" t="s">
        <v>314</v>
      </c>
      <c r="U771" s="0" t="s">
        <v>277</v>
      </c>
      <c r="V771" s="0" t="s">
        <v>3470</v>
      </c>
    </row>
    <row r="772" customFormat="false" ht="15" hidden="false" customHeight="false" outlineLevel="0" collapsed="false">
      <c r="A772" s="0" t="n">
        <v>45</v>
      </c>
      <c r="B772" s="0" t="s">
        <v>90</v>
      </c>
      <c r="C772" s="0" t="s">
        <v>309</v>
      </c>
      <c r="D772" s="0" t="s">
        <v>3487</v>
      </c>
      <c r="E772" s="0" t="n">
        <v>2026</v>
      </c>
      <c r="H772" s="0" t="n">
        <v>1</v>
      </c>
      <c r="I772" s="0" t="n">
        <v>681</v>
      </c>
      <c r="J772" s="0" t="s">
        <v>268</v>
      </c>
      <c r="K772" s="0" t="s">
        <v>3461</v>
      </c>
      <c r="L772" s="0" t="s">
        <v>293</v>
      </c>
      <c r="M772" s="0" t="s">
        <v>3488</v>
      </c>
      <c r="N772" s="0" t="s">
        <v>3488</v>
      </c>
      <c r="O772" s="0" t="s">
        <v>3489</v>
      </c>
      <c r="P772" s="0" t="s">
        <v>3490</v>
      </c>
      <c r="R772" s="0" t="s">
        <v>275</v>
      </c>
      <c r="S772" s="0" t="s">
        <v>268</v>
      </c>
      <c r="T772" s="0" t="s">
        <v>314</v>
      </c>
      <c r="U772" s="0" t="s">
        <v>277</v>
      </c>
      <c r="V772" s="0" t="s">
        <v>3470</v>
      </c>
    </row>
    <row r="773" customFormat="false" ht="15" hidden="false" customHeight="false" outlineLevel="0" collapsed="false">
      <c r="A773" s="0" t="n">
        <v>45</v>
      </c>
      <c r="B773" s="0" t="s">
        <v>90</v>
      </c>
      <c r="C773" s="0" t="s">
        <v>309</v>
      </c>
      <c r="D773" s="0" t="s">
        <v>3491</v>
      </c>
      <c r="E773" s="0" t="n">
        <v>2025</v>
      </c>
      <c r="H773" s="0" t="n">
        <v>2</v>
      </c>
      <c r="I773" s="0" t="n">
        <v>463</v>
      </c>
      <c r="J773" s="0" t="s">
        <v>268</v>
      </c>
      <c r="K773" s="0" t="s">
        <v>3461</v>
      </c>
      <c r="L773" s="0" t="s">
        <v>293</v>
      </c>
      <c r="M773" s="0" t="s">
        <v>3492</v>
      </c>
      <c r="N773" s="0" t="s">
        <v>3493</v>
      </c>
      <c r="O773" s="0" t="s">
        <v>3494</v>
      </c>
      <c r="P773" s="0" t="s">
        <v>3495</v>
      </c>
      <c r="R773" s="0" t="s">
        <v>275</v>
      </c>
      <c r="S773" s="0" t="s">
        <v>290</v>
      </c>
      <c r="T773" s="0" t="s">
        <v>276</v>
      </c>
      <c r="U773" s="0" t="s">
        <v>277</v>
      </c>
    </row>
    <row r="774" customFormat="false" ht="15" hidden="false" customHeight="false" outlineLevel="0" collapsed="false">
      <c r="A774" s="0" t="n">
        <v>45</v>
      </c>
      <c r="B774" s="0" t="s">
        <v>90</v>
      </c>
      <c r="C774" s="0" t="s">
        <v>309</v>
      </c>
      <c r="D774" s="0" t="s">
        <v>3496</v>
      </c>
      <c r="E774" s="0" t="n">
        <v>2025</v>
      </c>
      <c r="H774" s="0" t="n">
        <v>13</v>
      </c>
      <c r="I774" s="0" t="n">
        <v>2001</v>
      </c>
      <c r="J774" s="0" t="s">
        <v>290</v>
      </c>
      <c r="K774" s="0" t="s">
        <v>3461</v>
      </c>
      <c r="L774" s="0" t="s">
        <v>293</v>
      </c>
      <c r="M774" s="0" t="s">
        <v>3497</v>
      </c>
      <c r="N774" s="0" t="s">
        <v>3497</v>
      </c>
      <c r="O774" s="0" t="s">
        <v>3498</v>
      </c>
      <c r="P774" s="0" t="s">
        <v>3499</v>
      </c>
      <c r="R774" s="0" t="s">
        <v>275</v>
      </c>
      <c r="S774" s="0" t="s">
        <v>290</v>
      </c>
      <c r="T774" s="0" t="s">
        <v>314</v>
      </c>
      <c r="U774" s="0" t="s">
        <v>277</v>
      </c>
      <c r="V774" s="0" t="s">
        <v>3470</v>
      </c>
    </row>
    <row r="775" customFormat="false" ht="15" hidden="false" customHeight="false" outlineLevel="0" collapsed="false">
      <c r="A775" s="0" t="n">
        <v>45</v>
      </c>
      <c r="B775" s="0" t="s">
        <v>90</v>
      </c>
      <c r="C775" s="0" t="s">
        <v>309</v>
      </c>
      <c r="D775" s="0" t="s">
        <v>3500</v>
      </c>
      <c r="E775" s="0" t="n">
        <v>2024</v>
      </c>
      <c r="H775" s="0" t="n">
        <v>1</v>
      </c>
      <c r="I775" s="0" t="n">
        <v>1478</v>
      </c>
      <c r="J775" s="0" t="s">
        <v>268</v>
      </c>
      <c r="K775" s="0" t="s">
        <v>298</v>
      </c>
      <c r="L775" s="0" t="s">
        <v>270</v>
      </c>
      <c r="M775" s="0" t="s">
        <v>3501</v>
      </c>
      <c r="N775" s="0" t="s">
        <v>3501</v>
      </c>
      <c r="O775" s="0" t="s">
        <v>3502</v>
      </c>
      <c r="P775" s="0" t="s">
        <v>3503</v>
      </c>
      <c r="R775" s="0" t="s">
        <v>284</v>
      </c>
      <c r="S775" s="0" t="s">
        <v>290</v>
      </c>
      <c r="T775" s="0" t="s">
        <v>276</v>
      </c>
      <c r="U775" s="0" t="s">
        <v>277</v>
      </c>
    </row>
    <row r="776" customFormat="false" ht="15" hidden="false" customHeight="false" outlineLevel="0" collapsed="false">
      <c r="A776" s="0" t="n">
        <v>45</v>
      </c>
      <c r="B776" s="0" t="s">
        <v>90</v>
      </c>
      <c r="C776" s="0" t="s">
        <v>586</v>
      </c>
      <c r="D776" s="0" t="s">
        <v>3504</v>
      </c>
      <c r="E776" s="0" t="n">
        <v>2025</v>
      </c>
      <c r="H776" s="0" t="n">
        <v>16</v>
      </c>
      <c r="I776" s="0" t="n">
        <v>11313</v>
      </c>
      <c r="J776" s="0" t="s">
        <v>268</v>
      </c>
      <c r="K776" s="0" t="s">
        <v>3461</v>
      </c>
      <c r="L776" s="0" t="s">
        <v>293</v>
      </c>
      <c r="M776" s="0" t="s">
        <v>3505</v>
      </c>
      <c r="N776" s="0" t="s">
        <v>3505</v>
      </c>
      <c r="O776" s="0" t="s">
        <v>3506</v>
      </c>
      <c r="P776" s="0" t="s">
        <v>3507</v>
      </c>
      <c r="R776" s="0" t="s">
        <v>275</v>
      </c>
      <c r="S776" s="0" t="s">
        <v>268</v>
      </c>
      <c r="T776" s="0" t="s">
        <v>314</v>
      </c>
      <c r="U776" s="0" t="s">
        <v>277</v>
      </c>
      <c r="V776" s="0" t="s">
        <v>3470</v>
      </c>
    </row>
    <row r="777" customFormat="false" ht="15" hidden="false" customHeight="false" outlineLevel="0" collapsed="false">
      <c r="A777" s="0" t="n">
        <v>45</v>
      </c>
      <c r="B777" s="0" t="s">
        <v>90</v>
      </c>
      <c r="C777" s="0" t="s">
        <v>586</v>
      </c>
      <c r="D777" s="0" t="s">
        <v>3508</v>
      </c>
      <c r="E777" s="0" t="n">
        <v>2025</v>
      </c>
      <c r="H777" s="0" t="n">
        <v>2</v>
      </c>
      <c r="I777" s="0" t="n">
        <v>1654</v>
      </c>
      <c r="J777" s="0" t="s">
        <v>268</v>
      </c>
      <c r="K777" s="0" t="s">
        <v>3461</v>
      </c>
      <c r="L777" s="0" t="s">
        <v>293</v>
      </c>
      <c r="M777" s="0" t="s">
        <v>3509</v>
      </c>
      <c r="N777" s="0" t="s">
        <v>3509</v>
      </c>
      <c r="O777" s="0" t="s">
        <v>3510</v>
      </c>
      <c r="P777" s="0" t="s">
        <v>3511</v>
      </c>
      <c r="R777" s="0" t="s">
        <v>275</v>
      </c>
      <c r="S777" s="0" t="s">
        <v>290</v>
      </c>
      <c r="T777" s="0" t="s">
        <v>314</v>
      </c>
      <c r="U777" s="0" t="s">
        <v>277</v>
      </c>
      <c r="V777" s="0" t="s">
        <v>3470</v>
      </c>
    </row>
    <row r="778" customFormat="false" ht="15" hidden="false" customHeight="false" outlineLevel="0" collapsed="false">
      <c r="A778" s="0" t="n">
        <v>45</v>
      </c>
      <c r="B778" s="0" t="s">
        <v>90</v>
      </c>
      <c r="C778" s="0" t="s">
        <v>586</v>
      </c>
      <c r="D778" s="0" t="s">
        <v>3512</v>
      </c>
      <c r="E778" s="0" t="n">
        <v>2025</v>
      </c>
      <c r="H778" s="0" t="n">
        <v>2</v>
      </c>
      <c r="I778" s="0" t="n">
        <v>121</v>
      </c>
      <c r="J778" s="0" t="s">
        <v>268</v>
      </c>
      <c r="K778" s="0" t="s">
        <v>3461</v>
      </c>
      <c r="L778" s="0" t="s">
        <v>293</v>
      </c>
      <c r="M778" s="0" t="s">
        <v>3513</v>
      </c>
      <c r="N778" s="0" t="s">
        <v>3514</v>
      </c>
      <c r="O778" s="0" t="s">
        <v>3515</v>
      </c>
      <c r="P778" s="0" t="s">
        <v>3516</v>
      </c>
      <c r="R778" s="0" t="s">
        <v>275</v>
      </c>
      <c r="S778" s="0" t="s">
        <v>290</v>
      </c>
      <c r="T778" s="0" t="s">
        <v>314</v>
      </c>
      <c r="U778" s="0" t="s">
        <v>277</v>
      </c>
      <c r="V778" s="0" t="s">
        <v>3470</v>
      </c>
    </row>
    <row r="779" customFormat="false" ht="15" hidden="false" customHeight="false" outlineLevel="0" collapsed="false">
      <c r="A779" s="0" t="n">
        <v>45</v>
      </c>
      <c r="B779" s="0" t="s">
        <v>90</v>
      </c>
      <c r="C779" s="0" t="s">
        <v>586</v>
      </c>
      <c r="D779" s="0" t="s">
        <v>3517</v>
      </c>
      <c r="E779" s="0" t="n">
        <v>2025</v>
      </c>
      <c r="H779" s="0" t="n">
        <v>2</v>
      </c>
      <c r="I779" s="0" t="n">
        <v>1531</v>
      </c>
      <c r="J779" s="0" t="s">
        <v>268</v>
      </c>
      <c r="K779" s="0" t="s">
        <v>3461</v>
      </c>
      <c r="L779" s="0" t="s">
        <v>293</v>
      </c>
      <c r="M779" s="0" t="s">
        <v>3518</v>
      </c>
      <c r="N779" s="0" t="s">
        <v>3518</v>
      </c>
      <c r="O779" s="0" t="s">
        <v>3519</v>
      </c>
      <c r="P779" s="0" t="s">
        <v>3520</v>
      </c>
      <c r="R779" s="0" t="s">
        <v>275</v>
      </c>
      <c r="S779" s="0" t="s">
        <v>290</v>
      </c>
      <c r="T779" s="0" t="s">
        <v>314</v>
      </c>
      <c r="U779" s="0" t="s">
        <v>277</v>
      </c>
      <c r="V779" s="0" t="s">
        <v>3470</v>
      </c>
    </row>
    <row r="780" customFormat="false" ht="15" hidden="false" customHeight="false" outlineLevel="0" collapsed="false">
      <c r="A780" s="0" t="n">
        <v>45</v>
      </c>
      <c r="B780" s="0" t="s">
        <v>90</v>
      </c>
      <c r="C780" s="0" t="s">
        <v>586</v>
      </c>
      <c r="D780" s="0" t="s">
        <v>3521</v>
      </c>
      <c r="E780" s="0" t="n">
        <v>2025</v>
      </c>
      <c r="H780" s="0" t="n">
        <v>15</v>
      </c>
      <c r="I780" s="0" t="n">
        <v>5594</v>
      </c>
      <c r="J780" s="0" t="s">
        <v>268</v>
      </c>
      <c r="K780" s="0" t="s">
        <v>3461</v>
      </c>
      <c r="L780" s="0" t="s">
        <v>293</v>
      </c>
      <c r="M780" s="0" t="s">
        <v>3522</v>
      </c>
      <c r="N780" s="0" t="s">
        <v>3522</v>
      </c>
      <c r="O780" s="0" t="s">
        <v>3523</v>
      </c>
      <c r="P780" s="0" t="s">
        <v>3524</v>
      </c>
      <c r="R780" s="0" t="s">
        <v>275</v>
      </c>
      <c r="S780" s="0" t="s">
        <v>290</v>
      </c>
      <c r="T780" s="0" t="s">
        <v>314</v>
      </c>
      <c r="U780" s="0" t="s">
        <v>277</v>
      </c>
      <c r="V780" s="0" t="s">
        <v>3470</v>
      </c>
    </row>
    <row r="781" customFormat="false" ht="15" hidden="false" customHeight="false" outlineLevel="0" collapsed="false">
      <c r="A781" s="0" t="n">
        <v>45</v>
      </c>
      <c r="B781" s="0" t="s">
        <v>90</v>
      </c>
      <c r="C781" s="0" t="s">
        <v>586</v>
      </c>
      <c r="D781" s="0" t="s">
        <v>3525</v>
      </c>
      <c r="E781" s="0" t="n">
        <v>2025</v>
      </c>
      <c r="H781" s="0" t="n">
        <v>15</v>
      </c>
      <c r="I781" s="0" t="n">
        <v>1182</v>
      </c>
      <c r="J781" s="0" t="s">
        <v>268</v>
      </c>
      <c r="K781" s="0" t="s">
        <v>3461</v>
      </c>
      <c r="L781" s="0" t="s">
        <v>293</v>
      </c>
      <c r="M781" s="0" t="s">
        <v>3526</v>
      </c>
      <c r="N781" s="0" t="s">
        <v>3526</v>
      </c>
      <c r="O781" s="0" t="s">
        <v>3527</v>
      </c>
      <c r="P781" s="0" t="s">
        <v>3528</v>
      </c>
      <c r="R781" s="0" t="s">
        <v>275</v>
      </c>
      <c r="S781" s="0" t="s">
        <v>290</v>
      </c>
      <c r="T781" s="0" t="s">
        <v>314</v>
      </c>
      <c r="U781" s="0" t="s">
        <v>277</v>
      </c>
      <c r="V781" s="0" t="s">
        <v>3470</v>
      </c>
    </row>
    <row r="782" customFormat="false" ht="15" hidden="false" customHeight="false" outlineLevel="0" collapsed="false">
      <c r="A782" s="0" t="n">
        <v>45</v>
      </c>
      <c r="B782" s="0" t="s">
        <v>90</v>
      </c>
      <c r="C782" s="0" t="s">
        <v>266</v>
      </c>
      <c r="D782" s="0" t="s">
        <v>3529</v>
      </c>
      <c r="E782" s="0" t="n">
        <v>2026</v>
      </c>
      <c r="H782" s="0" t="n">
        <v>1</v>
      </c>
      <c r="I782" s="0" t="n">
        <v>115</v>
      </c>
      <c r="J782" s="0" t="s">
        <v>268</v>
      </c>
      <c r="K782" s="0" t="s">
        <v>3461</v>
      </c>
      <c r="L782" s="0" t="s">
        <v>293</v>
      </c>
      <c r="M782" s="0" t="s">
        <v>3530</v>
      </c>
      <c r="N782" s="0" t="s">
        <v>3530</v>
      </c>
      <c r="O782" s="0" t="s">
        <v>3531</v>
      </c>
      <c r="P782" s="0" t="s">
        <v>3532</v>
      </c>
      <c r="R782" s="0" t="s">
        <v>275</v>
      </c>
      <c r="S782" s="0" t="s">
        <v>290</v>
      </c>
      <c r="T782" s="0" t="s">
        <v>314</v>
      </c>
      <c r="U782" s="0" t="s">
        <v>277</v>
      </c>
      <c r="V782" s="0" t="s">
        <v>3470</v>
      </c>
    </row>
    <row r="783" customFormat="false" ht="15" hidden="false" customHeight="false" outlineLevel="0" collapsed="false">
      <c r="A783" s="0" t="n">
        <v>45</v>
      </c>
      <c r="B783" s="0" t="s">
        <v>90</v>
      </c>
      <c r="C783" s="0" t="s">
        <v>266</v>
      </c>
      <c r="D783" s="0" t="s">
        <v>3533</v>
      </c>
      <c r="E783" s="0" t="n">
        <v>2026</v>
      </c>
      <c r="H783" s="0" t="n">
        <v>1</v>
      </c>
      <c r="I783" s="0" t="n">
        <v>368</v>
      </c>
      <c r="J783" s="0" t="s">
        <v>268</v>
      </c>
      <c r="K783" s="0" t="s">
        <v>3461</v>
      </c>
      <c r="L783" s="0" t="s">
        <v>293</v>
      </c>
      <c r="M783" s="0" t="s">
        <v>3534</v>
      </c>
      <c r="N783" s="0" t="s">
        <v>3534</v>
      </c>
      <c r="O783" s="0" t="s">
        <v>3535</v>
      </c>
      <c r="P783" s="0" t="s">
        <v>3536</v>
      </c>
      <c r="R783" s="0" t="s">
        <v>275</v>
      </c>
      <c r="S783" s="0" t="s">
        <v>290</v>
      </c>
      <c r="T783" s="0" t="s">
        <v>314</v>
      </c>
      <c r="U783" s="0" t="s">
        <v>277</v>
      </c>
      <c r="V783" s="0" t="s">
        <v>3470</v>
      </c>
    </row>
    <row r="784" customFormat="false" ht="15" hidden="false" customHeight="false" outlineLevel="0" collapsed="false">
      <c r="A784" s="0" t="n">
        <v>45</v>
      </c>
      <c r="B784" s="0" t="s">
        <v>90</v>
      </c>
      <c r="C784" s="0" t="s">
        <v>266</v>
      </c>
      <c r="D784" s="0" t="s">
        <v>3537</v>
      </c>
      <c r="E784" s="0" t="n">
        <v>2026</v>
      </c>
      <c r="H784" s="0" t="n">
        <v>1</v>
      </c>
      <c r="I784" s="0" t="n">
        <v>796</v>
      </c>
      <c r="J784" s="0" t="s">
        <v>268</v>
      </c>
      <c r="K784" s="0" t="s">
        <v>3461</v>
      </c>
      <c r="L784" s="0" t="s">
        <v>293</v>
      </c>
      <c r="M784" s="0" t="s">
        <v>3538</v>
      </c>
      <c r="N784" s="0" t="s">
        <v>3538</v>
      </c>
      <c r="O784" s="0" t="s">
        <v>3539</v>
      </c>
      <c r="P784" s="0" t="s">
        <v>3540</v>
      </c>
      <c r="R784" s="0" t="s">
        <v>275</v>
      </c>
      <c r="S784" s="0" t="s">
        <v>290</v>
      </c>
      <c r="T784" s="0" t="s">
        <v>314</v>
      </c>
      <c r="U784" s="0" t="s">
        <v>277</v>
      </c>
      <c r="V784" s="0" t="s">
        <v>3470</v>
      </c>
    </row>
    <row r="785" customFormat="false" ht="15" hidden="false" customHeight="false" outlineLevel="0" collapsed="false">
      <c r="A785" s="0" t="n">
        <v>45</v>
      </c>
      <c r="B785" s="0" t="s">
        <v>90</v>
      </c>
      <c r="C785" s="0" t="s">
        <v>266</v>
      </c>
      <c r="D785" s="0" t="s">
        <v>3541</v>
      </c>
      <c r="E785" s="0" t="n">
        <v>2026</v>
      </c>
      <c r="H785" s="0" t="n">
        <v>1</v>
      </c>
      <c r="I785" s="0" t="n">
        <v>893</v>
      </c>
      <c r="J785" s="0" t="s">
        <v>268</v>
      </c>
      <c r="K785" s="0" t="s">
        <v>3461</v>
      </c>
      <c r="L785" s="0" t="s">
        <v>293</v>
      </c>
      <c r="M785" s="0" t="s">
        <v>3542</v>
      </c>
      <c r="N785" s="0" t="s">
        <v>3542</v>
      </c>
      <c r="O785" s="0" t="s">
        <v>3543</v>
      </c>
      <c r="P785" s="0" t="s">
        <v>3544</v>
      </c>
      <c r="R785" s="0" t="s">
        <v>275</v>
      </c>
      <c r="S785" s="0" t="s">
        <v>290</v>
      </c>
      <c r="T785" s="0" t="s">
        <v>314</v>
      </c>
      <c r="U785" s="0" t="s">
        <v>277</v>
      </c>
      <c r="V785" s="0" t="s">
        <v>3470</v>
      </c>
    </row>
    <row r="786" customFormat="false" ht="15" hidden="false" customHeight="false" outlineLevel="0" collapsed="false">
      <c r="A786" s="0" t="n">
        <v>45</v>
      </c>
      <c r="B786" s="0" t="s">
        <v>90</v>
      </c>
      <c r="C786" s="0" t="s">
        <v>266</v>
      </c>
      <c r="D786" s="0" t="s">
        <v>3545</v>
      </c>
      <c r="E786" s="0" t="n">
        <v>2026</v>
      </c>
      <c r="H786" s="0" t="n">
        <v>1</v>
      </c>
      <c r="I786" s="0" t="n">
        <v>1876</v>
      </c>
      <c r="J786" s="0" t="s">
        <v>268</v>
      </c>
      <c r="K786" s="0" t="s">
        <v>3461</v>
      </c>
      <c r="L786" s="0" t="s">
        <v>293</v>
      </c>
      <c r="M786" s="0" t="s">
        <v>3546</v>
      </c>
      <c r="N786" s="0" t="s">
        <v>3546</v>
      </c>
      <c r="O786" s="0" t="s">
        <v>3547</v>
      </c>
      <c r="P786" s="0" t="s">
        <v>3548</v>
      </c>
      <c r="R786" s="0" t="s">
        <v>275</v>
      </c>
      <c r="S786" s="0" t="s">
        <v>290</v>
      </c>
      <c r="T786" s="0" t="s">
        <v>314</v>
      </c>
      <c r="U786" s="0" t="s">
        <v>277</v>
      </c>
      <c r="V786" s="0" t="s">
        <v>3470</v>
      </c>
    </row>
    <row r="787" customFormat="false" ht="15" hidden="false" customHeight="false" outlineLevel="0" collapsed="false">
      <c r="A787" s="0" t="n">
        <v>45</v>
      </c>
      <c r="B787" s="0" t="s">
        <v>90</v>
      </c>
      <c r="C787" s="0" t="s">
        <v>266</v>
      </c>
      <c r="D787" s="0" t="s">
        <v>3549</v>
      </c>
      <c r="E787" s="0" t="n">
        <v>2026</v>
      </c>
      <c r="H787" s="0" t="n">
        <v>20</v>
      </c>
      <c r="I787" s="0" t="n">
        <v>432</v>
      </c>
      <c r="J787" s="0" t="s">
        <v>268</v>
      </c>
      <c r="K787" s="0" t="s">
        <v>3461</v>
      </c>
      <c r="L787" s="0" t="s">
        <v>293</v>
      </c>
      <c r="M787" s="0" t="s">
        <v>3550</v>
      </c>
      <c r="N787" s="0" t="s">
        <v>3550</v>
      </c>
      <c r="O787" s="0" t="s">
        <v>3551</v>
      </c>
      <c r="P787" s="0" t="s">
        <v>3552</v>
      </c>
      <c r="R787" s="0" t="s">
        <v>275</v>
      </c>
      <c r="S787" s="0" t="s">
        <v>268</v>
      </c>
      <c r="T787" s="0" t="s">
        <v>314</v>
      </c>
      <c r="U787" s="0" t="s">
        <v>277</v>
      </c>
      <c r="V787" s="0" t="s">
        <v>3470</v>
      </c>
    </row>
    <row r="788" customFormat="false" ht="15" hidden="false" customHeight="false" outlineLevel="0" collapsed="false">
      <c r="A788" s="0" t="n">
        <v>45</v>
      </c>
      <c r="B788" s="0" t="s">
        <v>90</v>
      </c>
      <c r="C788" s="0" t="s">
        <v>266</v>
      </c>
      <c r="D788" s="0" t="s">
        <v>3553</v>
      </c>
      <c r="E788" s="0" t="n">
        <v>2026</v>
      </c>
      <c r="H788" s="0" t="n">
        <v>1</v>
      </c>
      <c r="I788" s="0" t="n">
        <v>608</v>
      </c>
      <c r="J788" s="0" t="s">
        <v>268</v>
      </c>
      <c r="K788" s="0" t="s">
        <v>3461</v>
      </c>
      <c r="L788" s="0" t="s">
        <v>293</v>
      </c>
      <c r="M788" s="0" t="s">
        <v>3554</v>
      </c>
      <c r="N788" s="0" t="s">
        <v>3554</v>
      </c>
      <c r="O788" s="0" t="s">
        <v>3555</v>
      </c>
      <c r="P788" s="0" t="s">
        <v>3556</v>
      </c>
      <c r="R788" s="0" t="s">
        <v>275</v>
      </c>
      <c r="S788" s="0" t="s">
        <v>290</v>
      </c>
      <c r="T788" s="0" t="s">
        <v>314</v>
      </c>
      <c r="U788" s="0" t="s">
        <v>277</v>
      </c>
      <c r="V788" s="0" t="s">
        <v>3470</v>
      </c>
    </row>
    <row r="789" customFormat="false" ht="15" hidden="false" customHeight="false" outlineLevel="0" collapsed="false">
      <c r="A789" s="0" t="n">
        <v>45</v>
      </c>
      <c r="B789" s="0" t="s">
        <v>90</v>
      </c>
      <c r="C789" s="0" t="s">
        <v>266</v>
      </c>
      <c r="D789" s="0" t="s">
        <v>3557</v>
      </c>
      <c r="E789" s="0" t="n">
        <v>2025</v>
      </c>
      <c r="H789" s="0" t="n">
        <v>2</v>
      </c>
      <c r="I789" s="0" t="n">
        <v>178</v>
      </c>
      <c r="J789" s="0" t="s">
        <v>268</v>
      </c>
      <c r="K789" s="0" t="s">
        <v>3461</v>
      </c>
      <c r="L789" s="0" t="s">
        <v>293</v>
      </c>
      <c r="M789" s="0" t="s">
        <v>3558</v>
      </c>
      <c r="N789" s="0" t="s">
        <v>3558</v>
      </c>
      <c r="O789" s="0" t="s">
        <v>3559</v>
      </c>
      <c r="P789" s="0" t="s">
        <v>3560</v>
      </c>
      <c r="R789" s="0" t="s">
        <v>275</v>
      </c>
      <c r="S789" s="0" t="s">
        <v>290</v>
      </c>
      <c r="T789" s="0" t="s">
        <v>314</v>
      </c>
      <c r="U789" s="0" t="s">
        <v>277</v>
      </c>
      <c r="V789" s="0" t="s">
        <v>3470</v>
      </c>
    </row>
    <row r="790" customFormat="false" ht="15" hidden="false" customHeight="false" outlineLevel="0" collapsed="false">
      <c r="A790" s="0" t="n">
        <v>45</v>
      </c>
      <c r="B790" s="0" t="s">
        <v>90</v>
      </c>
      <c r="C790" s="0" t="s">
        <v>266</v>
      </c>
      <c r="D790" s="0" t="s">
        <v>3561</v>
      </c>
      <c r="E790" s="0" t="n">
        <v>2025</v>
      </c>
      <c r="H790" s="0" t="n">
        <v>1</v>
      </c>
      <c r="I790" s="0" t="n">
        <v>79</v>
      </c>
      <c r="J790" s="0" t="s">
        <v>268</v>
      </c>
      <c r="K790" s="0" t="s">
        <v>3461</v>
      </c>
      <c r="L790" s="0" t="s">
        <v>293</v>
      </c>
      <c r="M790" s="0" t="s">
        <v>3562</v>
      </c>
      <c r="N790" s="0" t="s">
        <v>3562</v>
      </c>
      <c r="O790" s="0" t="s">
        <v>3563</v>
      </c>
      <c r="P790" s="0" t="s">
        <v>3564</v>
      </c>
      <c r="R790" s="0" t="s">
        <v>275</v>
      </c>
      <c r="S790" s="0" t="s">
        <v>290</v>
      </c>
      <c r="T790" s="0" t="s">
        <v>314</v>
      </c>
      <c r="U790" s="0" t="s">
        <v>277</v>
      </c>
      <c r="V790" s="0" t="s">
        <v>3470</v>
      </c>
    </row>
    <row r="791" customFormat="false" ht="15" hidden="false" customHeight="false" outlineLevel="0" collapsed="false">
      <c r="A791" s="0" t="n">
        <v>45</v>
      </c>
      <c r="B791" s="0" t="s">
        <v>90</v>
      </c>
      <c r="C791" s="0" t="s">
        <v>266</v>
      </c>
      <c r="D791" s="0" t="s">
        <v>3565</v>
      </c>
      <c r="E791" s="0" t="n">
        <v>2025</v>
      </c>
      <c r="H791" s="0" t="n">
        <v>1</v>
      </c>
      <c r="I791" s="0" t="n">
        <v>100</v>
      </c>
      <c r="J791" s="0" t="s">
        <v>268</v>
      </c>
      <c r="K791" s="0" t="s">
        <v>3461</v>
      </c>
      <c r="L791" s="0" t="s">
        <v>293</v>
      </c>
      <c r="M791" s="0" t="s">
        <v>3566</v>
      </c>
      <c r="N791" s="0" t="s">
        <v>3566</v>
      </c>
      <c r="O791" s="0" t="s">
        <v>3567</v>
      </c>
      <c r="P791" s="0" t="s">
        <v>3568</v>
      </c>
      <c r="R791" s="0" t="s">
        <v>275</v>
      </c>
      <c r="S791" s="0" t="s">
        <v>290</v>
      </c>
      <c r="T791" s="0" t="s">
        <v>314</v>
      </c>
      <c r="U791" s="0" t="s">
        <v>277</v>
      </c>
      <c r="V791" s="0" t="s">
        <v>3470</v>
      </c>
    </row>
    <row r="792" customFormat="false" ht="15" hidden="false" customHeight="false" outlineLevel="0" collapsed="false">
      <c r="A792" s="0" t="n">
        <v>45</v>
      </c>
      <c r="B792" s="0" t="s">
        <v>90</v>
      </c>
      <c r="C792" s="0" t="s">
        <v>266</v>
      </c>
      <c r="D792" s="0" t="s">
        <v>3569</v>
      </c>
      <c r="E792" s="0" t="n">
        <v>2025</v>
      </c>
      <c r="H792" s="0" t="n">
        <v>4</v>
      </c>
      <c r="I792" s="0" t="n">
        <v>1223</v>
      </c>
      <c r="J792" s="0" t="s">
        <v>268</v>
      </c>
      <c r="K792" s="0" t="s">
        <v>3461</v>
      </c>
      <c r="L792" s="0" t="s">
        <v>293</v>
      </c>
      <c r="M792" s="0" t="s">
        <v>3570</v>
      </c>
      <c r="N792" s="0" t="s">
        <v>3570</v>
      </c>
      <c r="O792" s="0" t="s">
        <v>3571</v>
      </c>
      <c r="P792" s="0" t="s">
        <v>3572</v>
      </c>
      <c r="R792" s="0" t="s">
        <v>275</v>
      </c>
      <c r="S792" s="0" t="s">
        <v>290</v>
      </c>
      <c r="T792" s="0" t="s">
        <v>314</v>
      </c>
      <c r="U792" s="0" t="s">
        <v>277</v>
      </c>
      <c r="V792" s="0" t="s">
        <v>3470</v>
      </c>
    </row>
    <row r="793" customFormat="false" ht="15" hidden="false" customHeight="false" outlineLevel="0" collapsed="false">
      <c r="A793" s="0" t="n">
        <v>45</v>
      </c>
      <c r="B793" s="0" t="s">
        <v>90</v>
      </c>
      <c r="C793" s="0" t="s">
        <v>266</v>
      </c>
      <c r="D793" s="0" t="s">
        <v>3573</v>
      </c>
      <c r="E793" s="0" t="n">
        <v>2025</v>
      </c>
      <c r="H793" s="0" t="n">
        <v>2</v>
      </c>
      <c r="I793" s="0" t="n">
        <v>1755</v>
      </c>
      <c r="J793" s="0" t="s">
        <v>268</v>
      </c>
      <c r="K793" s="0" t="s">
        <v>3461</v>
      </c>
      <c r="L793" s="0" t="s">
        <v>293</v>
      </c>
      <c r="M793" s="0" t="s">
        <v>3574</v>
      </c>
      <c r="N793" s="0" t="s">
        <v>3574</v>
      </c>
      <c r="O793" s="0" t="s">
        <v>3575</v>
      </c>
      <c r="P793" s="0" t="s">
        <v>3576</v>
      </c>
      <c r="R793" s="0" t="s">
        <v>275</v>
      </c>
      <c r="S793" s="0" t="s">
        <v>290</v>
      </c>
      <c r="T793" s="0" t="s">
        <v>314</v>
      </c>
      <c r="U793" s="0" t="s">
        <v>277</v>
      </c>
      <c r="V793" s="0" t="s">
        <v>3470</v>
      </c>
    </row>
    <row r="794" customFormat="false" ht="15" hidden="false" customHeight="false" outlineLevel="0" collapsed="false">
      <c r="A794" s="0" t="n">
        <v>45</v>
      </c>
      <c r="B794" s="0" t="s">
        <v>90</v>
      </c>
      <c r="C794" s="0" t="s">
        <v>266</v>
      </c>
      <c r="D794" s="0" t="s">
        <v>3577</v>
      </c>
      <c r="E794" s="0" t="n">
        <v>2022</v>
      </c>
      <c r="H794" s="0" t="n">
        <v>13</v>
      </c>
      <c r="I794" s="0" t="n">
        <v>236</v>
      </c>
      <c r="J794" s="0" t="s">
        <v>268</v>
      </c>
      <c r="K794" s="0" t="s">
        <v>3461</v>
      </c>
      <c r="L794" s="0" t="s">
        <v>293</v>
      </c>
      <c r="M794" s="0" t="s">
        <v>3578</v>
      </c>
      <c r="N794" s="0" t="s">
        <v>3578</v>
      </c>
      <c r="O794" s="0" t="s">
        <v>3579</v>
      </c>
      <c r="P794" s="0" t="s">
        <v>3580</v>
      </c>
      <c r="R794" s="0" t="s">
        <v>284</v>
      </c>
      <c r="S794" s="0" t="s">
        <v>290</v>
      </c>
      <c r="T794" s="0" t="s">
        <v>314</v>
      </c>
      <c r="U794" s="0" t="s">
        <v>277</v>
      </c>
      <c r="V794" s="0" t="s">
        <v>3470</v>
      </c>
    </row>
    <row r="795" customFormat="false" ht="15" hidden="false" customHeight="false" outlineLevel="0" collapsed="false">
      <c r="A795" s="0" t="n">
        <v>45</v>
      </c>
      <c r="B795" s="0" t="s">
        <v>90</v>
      </c>
      <c r="C795" s="0" t="s">
        <v>324</v>
      </c>
      <c r="D795" s="0" t="s">
        <v>3581</v>
      </c>
      <c r="E795" s="0" t="n">
        <v>2026</v>
      </c>
      <c r="H795" s="0" t="n">
        <v>1</v>
      </c>
      <c r="I795" s="0" t="n">
        <v>157</v>
      </c>
      <c r="J795" s="0" t="s">
        <v>268</v>
      </c>
      <c r="K795" s="0" t="s">
        <v>3461</v>
      </c>
      <c r="L795" s="0" t="s">
        <v>293</v>
      </c>
      <c r="M795" s="0" t="s">
        <v>3582</v>
      </c>
      <c r="N795" s="0" t="s">
        <v>3582</v>
      </c>
      <c r="O795" s="0" t="s">
        <v>3583</v>
      </c>
      <c r="P795" s="0" t="s">
        <v>3584</v>
      </c>
      <c r="R795" s="0" t="s">
        <v>275</v>
      </c>
      <c r="S795" s="0" t="s">
        <v>268</v>
      </c>
      <c r="T795" s="0" t="s">
        <v>314</v>
      </c>
      <c r="U795" s="0" t="s">
        <v>277</v>
      </c>
      <c r="V795" s="0" t="s">
        <v>3470</v>
      </c>
    </row>
    <row r="796" customFormat="false" ht="15" hidden="false" customHeight="false" outlineLevel="0" collapsed="false">
      <c r="A796" s="0" t="n">
        <v>45</v>
      </c>
      <c r="B796" s="0" t="s">
        <v>90</v>
      </c>
      <c r="C796" s="0" t="s">
        <v>324</v>
      </c>
      <c r="D796" s="0" t="s">
        <v>3585</v>
      </c>
      <c r="E796" s="0" t="n">
        <v>2026</v>
      </c>
      <c r="H796" s="0" t="n">
        <v>1</v>
      </c>
      <c r="I796" s="0" t="n">
        <v>274</v>
      </c>
      <c r="J796" s="0" t="s">
        <v>268</v>
      </c>
      <c r="K796" s="0" t="s">
        <v>3461</v>
      </c>
      <c r="L796" s="0" t="s">
        <v>293</v>
      </c>
      <c r="M796" s="0" t="s">
        <v>3586</v>
      </c>
      <c r="N796" s="0" t="s">
        <v>3586</v>
      </c>
      <c r="O796" s="0" t="s">
        <v>3587</v>
      </c>
      <c r="P796" s="0" t="s">
        <v>3588</v>
      </c>
      <c r="R796" s="0" t="s">
        <v>275</v>
      </c>
      <c r="S796" s="0" t="s">
        <v>290</v>
      </c>
      <c r="T796" s="0" t="s">
        <v>314</v>
      </c>
      <c r="U796" s="0" t="s">
        <v>277</v>
      </c>
      <c r="V796" s="0" t="s">
        <v>3470</v>
      </c>
    </row>
    <row r="797" customFormat="false" ht="15" hidden="false" customHeight="false" outlineLevel="0" collapsed="false">
      <c r="A797" s="0" t="n">
        <v>45</v>
      </c>
      <c r="B797" s="0" t="s">
        <v>90</v>
      </c>
      <c r="C797" s="0" t="s">
        <v>324</v>
      </c>
      <c r="D797" s="0" t="s">
        <v>3589</v>
      </c>
      <c r="E797" s="0" t="n">
        <v>2026</v>
      </c>
      <c r="H797" s="0" t="n">
        <v>1</v>
      </c>
      <c r="I797" s="0" t="n">
        <v>837</v>
      </c>
      <c r="J797" s="0" t="s">
        <v>268</v>
      </c>
      <c r="K797" s="0" t="s">
        <v>3461</v>
      </c>
      <c r="L797" s="0" t="s">
        <v>293</v>
      </c>
      <c r="M797" s="0" t="s">
        <v>3590</v>
      </c>
      <c r="N797" s="0" t="s">
        <v>3590</v>
      </c>
      <c r="O797" s="0" t="s">
        <v>3591</v>
      </c>
      <c r="P797" s="0" t="s">
        <v>3592</v>
      </c>
      <c r="R797" s="0" t="s">
        <v>275</v>
      </c>
      <c r="S797" s="0" t="s">
        <v>290</v>
      </c>
      <c r="T797" s="0" t="s">
        <v>314</v>
      </c>
      <c r="U797" s="0" t="s">
        <v>277</v>
      </c>
      <c r="V797" s="0" t="s">
        <v>3470</v>
      </c>
    </row>
    <row r="798" customFormat="false" ht="15" hidden="false" customHeight="false" outlineLevel="0" collapsed="false">
      <c r="A798" s="0" t="n">
        <v>45</v>
      </c>
      <c r="B798" s="0" t="s">
        <v>90</v>
      </c>
      <c r="C798" s="0" t="s">
        <v>324</v>
      </c>
      <c r="D798" s="0" t="s">
        <v>3593</v>
      </c>
      <c r="E798" s="0" t="n">
        <v>2026</v>
      </c>
      <c r="H798" s="0" t="n">
        <v>1</v>
      </c>
      <c r="I798" s="0" t="n">
        <v>1079</v>
      </c>
      <c r="J798" s="0" t="s">
        <v>268</v>
      </c>
      <c r="K798" s="0" t="s">
        <v>3461</v>
      </c>
      <c r="L798" s="0" t="s">
        <v>293</v>
      </c>
      <c r="M798" s="0" t="s">
        <v>3594</v>
      </c>
      <c r="N798" s="0" t="s">
        <v>3594</v>
      </c>
      <c r="O798" s="0" t="s">
        <v>3595</v>
      </c>
      <c r="P798" s="0" t="s">
        <v>3596</v>
      </c>
      <c r="R798" s="0" t="s">
        <v>275</v>
      </c>
      <c r="S798" s="0" t="s">
        <v>290</v>
      </c>
      <c r="T798" s="0" t="s">
        <v>314</v>
      </c>
      <c r="U798" s="0" t="s">
        <v>277</v>
      </c>
      <c r="V798" s="0" t="s">
        <v>3470</v>
      </c>
    </row>
    <row r="799" customFormat="false" ht="15" hidden="false" customHeight="false" outlineLevel="0" collapsed="false">
      <c r="A799" s="0" t="n">
        <v>45</v>
      </c>
      <c r="B799" s="0" t="s">
        <v>90</v>
      </c>
      <c r="C799" s="0" t="s">
        <v>335</v>
      </c>
      <c r="D799" s="0" t="s">
        <v>3597</v>
      </c>
      <c r="E799" s="0" t="n">
        <v>2026</v>
      </c>
      <c r="H799" s="0" t="n">
        <v>2</v>
      </c>
      <c r="I799" s="0" t="n">
        <v>590</v>
      </c>
      <c r="J799" s="0" t="s">
        <v>268</v>
      </c>
      <c r="K799" s="0" t="s">
        <v>3461</v>
      </c>
      <c r="L799" s="0" t="s">
        <v>293</v>
      </c>
      <c r="M799" s="0" t="s">
        <v>3598</v>
      </c>
      <c r="N799" s="0" t="s">
        <v>3598</v>
      </c>
      <c r="O799" s="0" t="s">
        <v>3599</v>
      </c>
      <c r="P799" s="0" t="s">
        <v>3600</v>
      </c>
      <c r="R799" s="0" t="s">
        <v>275</v>
      </c>
      <c r="S799" s="0" t="s">
        <v>268</v>
      </c>
      <c r="T799" s="0" t="s">
        <v>314</v>
      </c>
      <c r="U799" s="0" t="s">
        <v>277</v>
      </c>
      <c r="V799" s="0" t="s">
        <v>3470</v>
      </c>
    </row>
    <row r="800" customFormat="false" ht="15" hidden="false" customHeight="false" outlineLevel="0" collapsed="false">
      <c r="A800" s="0" t="n">
        <v>45</v>
      </c>
      <c r="B800" s="0" t="s">
        <v>90</v>
      </c>
      <c r="C800" s="0" t="s">
        <v>335</v>
      </c>
      <c r="D800" s="0" t="s">
        <v>3601</v>
      </c>
      <c r="E800" s="0" t="n">
        <v>2026</v>
      </c>
      <c r="H800" s="0" t="n">
        <v>2</v>
      </c>
      <c r="I800" s="0" t="n">
        <v>505</v>
      </c>
      <c r="J800" s="0" t="s">
        <v>268</v>
      </c>
      <c r="K800" s="0" t="s">
        <v>3461</v>
      </c>
      <c r="L800" s="0" t="s">
        <v>293</v>
      </c>
      <c r="M800" s="0" t="s">
        <v>3602</v>
      </c>
      <c r="N800" s="0" t="s">
        <v>3602</v>
      </c>
      <c r="O800" s="0" t="s">
        <v>3603</v>
      </c>
      <c r="P800" s="0" t="s">
        <v>3604</v>
      </c>
      <c r="R800" s="0" t="s">
        <v>275</v>
      </c>
      <c r="S800" s="0" t="s">
        <v>290</v>
      </c>
      <c r="T800" s="0" t="s">
        <v>314</v>
      </c>
      <c r="U800" s="0" t="s">
        <v>277</v>
      </c>
      <c r="V800" s="0" t="s">
        <v>3470</v>
      </c>
    </row>
    <row r="801" customFormat="false" ht="15" hidden="false" customHeight="false" outlineLevel="0" collapsed="false">
      <c r="A801" s="0" t="n">
        <v>45</v>
      </c>
      <c r="B801" s="0" t="s">
        <v>90</v>
      </c>
      <c r="C801" s="0" t="s">
        <v>335</v>
      </c>
      <c r="D801" s="0" t="s">
        <v>3605</v>
      </c>
      <c r="E801" s="0" t="n">
        <v>2026</v>
      </c>
      <c r="H801" s="0" t="n">
        <v>1</v>
      </c>
      <c r="I801" s="0" t="n">
        <v>1056</v>
      </c>
      <c r="J801" s="0" t="s">
        <v>268</v>
      </c>
      <c r="K801" s="0" t="s">
        <v>3461</v>
      </c>
      <c r="L801" s="0" t="s">
        <v>293</v>
      </c>
      <c r="M801" s="0" t="s">
        <v>3606</v>
      </c>
      <c r="N801" s="0" t="s">
        <v>3606</v>
      </c>
      <c r="O801" s="0" t="s">
        <v>3607</v>
      </c>
      <c r="P801" s="0" t="s">
        <v>3608</v>
      </c>
      <c r="R801" s="0" t="s">
        <v>275</v>
      </c>
      <c r="S801" s="0" t="s">
        <v>290</v>
      </c>
      <c r="T801" s="0" t="s">
        <v>314</v>
      </c>
      <c r="U801" s="0" t="s">
        <v>277</v>
      </c>
      <c r="V801" s="0" t="s">
        <v>3470</v>
      </c>
    </row>
    <row r="802" customFormat="false" ht="15" hidden="false" customHeight="false" outlineLevel="0" collapsed="false">
      <c r="A802" s="0" t="n">
        <v>45</v>
      </c>
      <c r="B802" s="0" t="s">
        <v>90</v>
      </c>
      <c r="C802" s="0" t="s">
        <v>335</v>
      </c>
      <c r="D802" s="0" t="s">
        <v>3609</v>
      </c>
      <c r="E802" s="0" t="n">
        <v>2026</v>
      </c>
      <c r="H802" s="0" t="n">
        <v>1</v>
      </c>
      <c r="I802" s="0" t="n">
        <v>1023</v>
      </c>
      <c r="J802" s="0" t="s">
        <v>268</v>
      </c>
      <c r="K802" s="0" t="s">
        <v>3461</v>
      </c>
      <c r="L802" s="0" t="s">
        <v>293</v>
      </c>
      <c r="M802" s="0" t="s">
        <v>3610</v>
      </c>
      <c r="N802" s="0" t="s">
        <v>3610</v>
      </c>
      <c r="O802" s="0" t="s">
        <v>3611</v>
      </c>
      <c r="P802" s="0" t="s">
        <v>3612</v>
      </c>
      <c r="R802" s="0" t="s">
        <v>275</v>
      </c>
      <c r="S802" s="0" t="s">
        <v>290</v>
      </c>
      <c r="T802" s="0" t="s">
        <v>314</v>
      </c>
      <c r="U802" s="0" t="s">
        <v>277</v>
      </c>
      <c r="V802" s="0" t="s">
        <v>3470</v>
      </c>
    </row>
    <row r="803" customFormat="false" ht="15" hidden="false" customHeight="false" outlineLevel="0" collapsed="false">
      <c r="A803" s="0" t="n">
        <v>45</v>
      </c>
      <c r="B803" s="0" t="s">
        <v>90</v>
      </c>
      <c r="C803" s="0" t="s">
        <v>335</v>
      </c>
      <c r="D803" s="0" t="s">
        <v>3613</v>
      </c>
      <c r="E803" s="0" t="n">
        <v>2026</v>
      </c>
      <c r="H803" s="0" t="n">
        <v>1</v>
      </c>
      <c r="I803" s="0" t="n">
        <v>1023</v>
      </c>
      <c r="J803" s="0" t="s">
        <v>268</v>
      </c>
      <c r="K803" s="0" t="s">
        <v>3461</v>
      </c>
      <c r="L803" s="0" t="s">
        <v>293</v>
      </c>
      <c r="M803" s="0" t="s">
        <v>3614</v>
      </c>
      <c r="N803" s="0" t="s">
        <v>3614</v>
      </c>
      <c r="O803" s="0" t="s">
        <v>3615</v>
      </c>
      <c r="P803" s="0" t="s">
        <v>3616</v>
      </c>
      <c r="R803" s="0" t="s">
        <v>275</v>
      </c>
      <c r="S803" s="0" t="s">
        <v>290</v>
      </c>
      <c r="T803" s="0" t="s">
        <v>314</v>
      </c>
      <c r="U803" s="0" t="s">
        <v>277</v>
      </c>
      <c r="V803" s="0" t="s">
        <v>3470</v>
      </c>
    </row>
    <row r="804" customFormat="false" ht="15" hidden="false" customHeight="false" outlineLevel="0" collapsed="false">
      <c r="A804" s="0" t="n">
        <v>45</v>
      </c>
      <c r="B804" s="0" t="s">
        <v>90</v>
      </c>
      <c r="C804" s="0" t="s">
        <v>335</v>
      </c>
      <c r="D804" s="0" t="s">
        <v>3617</v>
      </c>
      <c r="E804" s="0" t="n">
        <v>2026</v>
      </c>
      <c r="H804" s="0" t="n">
        <v>1</v>
      </c>
      <c r="I804" s="0" t="n">
        <v>1056</v>
      </c>
      <c r="J804" s="0" t="s">
        <v>268</v>
      </c>
      <c r="K804" s="0" t="s">
        <v>3461</v>
      </c>
      <c r="L804" s="0" t="s">
        <v>293</v>
      </c>
      <c r="M804" s="0" t="s">
        <v>3618</v>
      </c>
      <c r="N804" s="0" t="s">
        <v>3618</v>
      </c>
      <c r="O804" s="0" t="s">
        <v>3619</v>
      </c>
      <c r="P804" s="0" t="s">
        <v>3620</v>
      </c>
      <c r="R804" s="0" t="s">
        <v>275</v>
      </c>
      <c r="S804" s="0" t="s">
        <v>290</v>
      </c>
      <c r="T804" s="0" t="s">
        <v>314</v>
      </c>
      <c r="U804" s="0" t="s">
        <v>277</v>
      </c>
      <c r="V804" s="0" t="s">
        <v>3470</v>
      </c>
    </row>
    <row r="805" customFormat="false" ht="15" hidden="false" customHeight="false" outlineLevel="0" collapsed="false">
      <c r="A805" s="0" t="n">
        <v>45</v>
      </c>
      <c r="B805" s="0" t="s">
        <v>90</v>
      </c>
      <c r="C805" s="0" t="s">
        <v>335</v>
      </c>
      <c r="D805" s="0" t="s">
        <v>3621</v>
      </c>
      <c r="E805" s="0" t="n">
        <v>2026</v>
      </c>
      <c r="H805" s="0" t="n">
        <v>2</v>
      </c>
      <c r="I805" s="0" t="n">
        <v>6907</v>
      </c>
      <c r="J805" s="0" t="s">
        <v>268</v>
      </c>
      <c r="K805" s="0" t="s">
        <v>3461</v>
      </c>
      <c r="L805" s="0" t="s">
        <v>293</v>
      </c>
      <c r="M805" s="0" t="s">
        <v>3622</v>
      </c>
      <c r="N805" s="0" t="s">
        <v>3622</v>
      </c>
      <c r="O805" s="0" t="s">
        <v>3623</v>
      </c>
      <c r="P805" s="0" t="s">
        <v>3624</v>
      </c>
      <c r="R805" s="0" t="s">
        <v>275</v>
      </c>
      <c r="S805" s="0" t="s">
        <v>290</v>
      </c>
      <c r="T805" s="0" t="s">
        <v>314</v>
      </c>
      <c r="U805" s="0" t="s">
        <v>277</v>
      </c>
      <c r="V805" s="0" t="s">
        <v>3470</v>
      </c>
    </row>
    <row r="806" customFormat="false" ht="15" hidden="false" customHeight="false" outlineLevel="0" collapsed="false">
      <c r="A806" s="0" t="n">
        <v>45</v>
      </c>
      <c r="B806" s="0" t="s">
        <v>90</v>
      </c>
      <c r="C806" s="0" t="s">
        <v>335</v>
      </c>
      <c r="D806" s="0" t="s">
        <v>3625</v>
      </c>
      <c r="E806" s="0" t="n">
        <v>2026</v>
      </c>
      <c r="H806" s="0" t="n">
        <v>1</v>
      </c>
      <c r="I806" s="0" t="n">
        <v>830</v>
      </c>
      <c r="J806" s="0" t="s">
        <v>268</v>
      </c>
      <c r="K806" s="0" t="s">
        <v>3461</v>
      </c>
      <c r="L806" s="0" t="s">
        <v>293</v>
      </c>
      <c r="M806" s="0" t="s">
        <v>3626</v>
      </c>
      <c r="N806" s="0" t="s">
        <v>3626</v>
      </c>
      <c r="O806" s="0" t="s">
        <v>3627</v>
      </c>
      <c r="P806" s="0" t="s">
        <v>3628</v>
      </c>
      <c r="R806" s="0" t="s">
        <v>275</v>
      </c>
      <c r="S806" s="0" t="s">
        <v>290</v>
      </c>
      <c r="T806" s="0" t="s">
        <v>314</v>
      </c>
      <c r="U806" s="0" t="s">
        <v>277</v>
      </c>
      <c r="V806" s="0" t="s">
        <v>3470</v>
      </c>
    </row>
    <row r="807" customFormat="false" ht="15" hidden="false" customHeight="false" outlineLevel="0" collapsed="false">
      <c r="A807" s="0" t="n">
        <v>45</v>
      </c>
      <c r="B807" s="0" t="s">
        <v>90</v>
      </c>
      <c r="C807" s="0" t="s">
        <v>335</v>
      </c>
      <c r="D807" s="0" t="s">
        <v>3629</v>
      </c>
      <c r="E807" s="0" t="n">
        <v>2026</v>
      </c>
      <c r="H807" s="0" t="n">
        <v>2</v>
      </c>
      <c r="I807" s="0" t="n">
        <v>1127</v>
      </c>
      <c r="J807" s="0" t="s">
        <v>268</v>
      </c>
      <c r="K807" s="0" t="s">
        <v>3461</v>
      </c>
      <c r="L807" s="0" t="s">
        <v>293</v>
      </c>
      <c r="M807" s="0" t="s">
        <v>3630</v>
      </c>
      <c r="N807" s="0" t="s">
        <v>3630</v>
      </c>
      <c r="O807" s="0" t="s">
        <v>3631</v>
      </c>
      <c r="P807" s="0" t="s">
        <v>3632</v>
      </c>
      <c r="R807" s="0" t="s">
        <v>275</v>
      </c>
      <c r="S807" s="0" t="s">
        <v>290</v>
      </c>
      <c r="T807" s="0" t="s">
        <v>314</v>
      </c>
      <c r="U807" s="0" t="s">
        <v>277</v>
      </c>
      <c r="V807" s="0" t="s">
        <v>3470</v>
      </c>
    </row>
    <row r="808" customFormat="false" ht="15" hidden="false" customHeight="false" outlineLevel="0" collapsed="false">
      <c r="A808" s="0" t="n">
        <v>45</v>
      </c>
      <c r="B808" s="0" t="s">
        <v>90</v>
      </c>
      <c r="C808" s="0" t="s">
        <v>335</v>
      </c>
      <c r="D808" s="0" t="s">
        <v>3633</v>
      </c>
      <c r="E808" s="0" t="n">
        <v>2026</v>
      </c>
      <c r="H808" s="0" t="n">
        <v>2</v>
      </c>
      <c r="I808" s="0" t="n">
        <v>386</v>
      </c>
      <c r="J808" s="0" t="s">
        <v>268</v>
      </c>
      <c r="K808" s="0" t="s">
        <v>3461</v>
      </c>
      <c r="L808" s="0" t="s">
        <v>293</v>
      </c>
      <c r="M808" s="0" t="s">
        <v>3634</v>
      </c>
      <c r="N808" s="0" t="s">
        <v>3634</v>
      </c>
      <c r="O808" s="0" t="s">
        <v>3635</v>
      </c>
      <c r="P808" s="0" t="s">
        <v>3636</v>
      </c>
      <c r="R808" s="0" t="s">
        <v>275</v>
      </c>
      <c r="S808" s="0" t="s">
        <v>290</v>
      </c>
      <c r="T808" s="0" t="s">
        <v>314</v>
      </c>
      <c r="U808" s="0" t="s">
        <v>277</v>
      </c>
      <c r="V808" s="0" t="s">
        <v>3470</v>
      </c>
    </row>
    <row r="809" customFormat="false" ht="15" hidden="false" customHeight="false" outlineLevel="0" collapsed="false">
      <c r="A809" s="0" t="n">
        <v>45</v>
      </c>
      <c r="B809" s="0" t="s">
        <v>90</v>
      </c>
      <c r="C809" s="0" t="s">
        <v>829</v>
      </c>
      <c r="D809" s="0" t="s">
        <v>3637</v>
      </c>
      <c r="E809" s="0" t="n">
        <v>2026</v>
      </c>
      <c r="H809" s="0" t="n">
        <v>24</v>
      </c>
      <c r="I809" s="0" t="n">
        <v>9580</v>
      </c>
      <c r="J809" s="0" t="s">
        <v>268</v>
      </c>
      <c r="K809" s="0" t="s">
        <v>3461</v>
      </c>
      <c r="L809" s="0" t="s">
        <v>293</v>
      </c>
      <c r="M809" s="0" t="s">
        <v>3638</v>
      </c>
      <c r="N809" s="0" t="s">
        <v>3638</v>
      </c>
      <c r="O809" s="0" t="s">
        <v>3639</v>
      </c>
      <c r="P809" s="0" t="s">
        <v>3640</v>
      </c>
      <c r="R809" s="0" t="s">
        <v>275</v>
      </c>
      <c r="S809" s="0" t="s">
        <v>268</v>
      </c>
      <c r="T809" s="0" t="s">
        <v>276</v>
      </c>
      <c r="U809" s="0" t="s">
        <v>277</v>
      </c>
    </row>
    <row r="810" customFormat="false" ht="15" hidden="false" customHeight="false" outlineLevel="0" collapsed="false">
      <c r="A810" s="0" t="n">
        <v>45</v>
      </c>
      <c r="B810" s="0" t="s">
        <v>90</v>
      </c>
      <c r="C810" s="0" t="s">
        <v>829</v>
      </c>
      <c r="D810" s="0" t="s">
        <v>3641</v>
      </c>
      <c r="E810" s="0" t="n">
        <v>2026</v>
      </c>
      <c r="H810" s="0" t="n">
        <v>24</v>
      </c>
      <c r="I810" s="0" t="n">
        <v>9546</v>
      </c>
      <c r="J810" s="0" t="s">
        <v>268</v>
      </c>
      <c r="K810" s="0" t="s">
        <v>3461</v>
      </c>
      <c r="L810" s="0" t="s">
        <v>293</v>
      </c>
      <c r="M810" s="0" t="s">
        <v>3642</v>
      </c>
      <c r="N810" s="0" t="s">
        <v>3642</v>
      </c>
      <c r="O810" s="0" t="s">
        <v>3643</v>
      </c>
      <c r="P810" s="0" t="s">
        <v>3644</v>
      </c>
      <c r="R810" s="0" t="s">
        <v>275</v>
      </c>
      <c r="S810" s="0" t="s">
        <v>290</v>
      </c>
      <c r="T810" s="0" t="s">
        <v>276</v>
      </c>
      <c r="U810" s="0" t="s">
        <v>277</v>
      </c>
    </row>
    <row r="811" customFormat="false" ht="15" hidden="false" customHeight="false" outlineLevel="0" collapsed="false">
      <c r="A811" s="0" t="n">
        <v>45</v>
      </c>
      <c r="B811" s="0" t="s">
        <v>90</v>
      </c>
      <c r="C811" s="0" t="s">
        <v>829</v>
      </c>
      <c r="D811" s="0" t="s">
        <v>3645</v>
      </c>
      <c r="E811" s="0" t="n">
        <v>2026</v>
      </c>
      <c r="H811" s="0" t="n">
        <v>1</v>
      </c>
      <c r="I811" s="0" t="n">
        <v>148</v>
      </c>
      <c r="J811" s="0" t="s">
        <v>268</v>
      </c>
      <c r="K811" s="0" t="s">
        <v>3461</v>
      </c>
      <c r="L811" s="0" t="s">
        <v>293</v>
      </c>
      <c r="M811" s="0" t="s">
        <v>3646</v>
      </c>
      <c r="N811" s="0" t="s">
        <v>3646</v>
      </c>
      <c r="O811" s="0" t="s">
        <v>3647</v>
      </c>
      <c r="P811" s="0" t="s">
        <v>3648</v>
      </c>
      <c r="R811" s="0" t="s">
        <v>275</v>
      </c>
      <c r="S811" s="0" t="s">
        <v>290</v>
      </c>
      <c r="T811" s="0" t="s">
        <v>314</v>
      </c>
      <c r="U811" s="0" t="s">
        <v>277</v>
      </c>
      <c r="V811" s="0" t="s">
        <v>3470</v>
      </c>
    </row>
    <row r="812" customFormat="false" ht="15" hidden="false" customHeight="false" outlineLevel="0" collapsed="false">
      <c r="A812" s="0" t="n">
        <v>45</v>
      </c>
      <c r="B812" s="0" t="s">
        <v>90</v>
      </c>
      <c r="C812" s="0" t="s">
        <v>829</v>
      </c>
      <c r="D812" s="0" t="s">
        <v>3649</v>
      </c>
      <c r="E812" s="0" t="n">
        <v>2026</v>
      </c>
      <c r="H812" s="0" t="n">
        <v>1</v>
      </c>
      <c r="I812" s="0" t="n">
        <v>130</v>
      </c>
      <c r="J812" s="0" t="s">
        <v>268</v>
      </c>
      <c r="K812" s="0" t="s">
        <v>3461</v>
      </c>
      <c r="L812" s="0" t="s">
        <v>293</v>
      </c>
      <c r="M812" s="0" t="s">
        <v>3650</v>
      </c>
      <c r="N812" s="0" t="s">
        <v>3650</v>
      </c>
      <c r="O812" s="0" t="s">
        <v>3651</v>
      </c>
      <c r="P812" s="0" t="s">
        <v>3652</v>
      </c>
      <c r="R812" s="0" t="s">
        <v>275</v>
      </c>
      <c r="S812" s="0" t="s">
        <v>290</v>
      </c>
      <c r="T812" s="0" t="s">
        <v>314</v>
      </c>
      <c r="U812" s="0" t="s">
        <v>277</v>
      </c>
      <c r="V812" s="0" t="s">
        <v>3470</v>
      </c>
    </row>
    <row r="813" customFormat="false" ht="15" hidden="false" customHeight="false" outlineLevel="0" collapsed="false">
      <c r="A813" s="0" t="n">
        <v>45</v>
      </c>
      <c r="B813" s="0" t="s">
        <v>90</v>
      </c>
      <c r="C813" s="0" t="s">
        <v>829</v>
      </c>
      <c r="D813" s="0" t="s">
        <v>3653</v>
      </c>
      <c r="E813" s="0" t="n">
        <v>2026</v>
      </c>
      <c r="H813" s="0" t="n">
        <v>1</v>
      </c>
      <c r="I813" s="0" t="n">
        <v>310</v>
      </c>
      <c r="J813" s="0" t="s">
        <v>268</v>
      </c>
      <c r="K813" s="0" t="s">
        <v>3461</v>
      </c>
      <c r="L813" s="0" t="s">
        <v>293</v>
      </c>
      <c r="M813" s="0" t="s">
        <v>3654</v>
      </c>
      <c r="N813" s="0" t="s">
        <v>3654</v>
      </c>
      <c r="O813" s="0" t="s">
        <v>3655</v>
      </c>
      <c r="P813" s="0" t="s">
        <v>3656</v>
      </c>
      <c r="R813" s="0" t="s">
        <v>275</v>
      </c>
      <c r="S813" s="0" t="s">
        <v>290</v>
      </c>
      <c r="T813" s="0" t="s">
        <v>314</v>
      </c>
      <c r="U813" s="0" t="s">
        <v>277</v>
      </c>
      <c r="V813" s="0" t="s">
        <v>3470</v>
      </c>
    </row>
    <row r="814" customFormat="false" ht="15" hidden="false" customHeight="false" outlineLevel="0" collapsed="false">
      <c r="A814" s="0" t="n">
        <v>45</v>
      </c>
      <c r="B814" s="0" t="s">
        <v>90</v>
      </c>
      <c r="C814" s="0" t="s">
        <v>829</v>
      </c>
      <c r="D814" s="0" t="s">
        <v>3657</v>
      </c>
      <c r="E814" s="0" t="n">
        <v>2025</v>
      </c>
      <c r="H814" s="0" t="n">
        <v>1</v>
      </c>
      <c r="I814" s="0" t="n">
        <v>1374</v>
      </c>
      <c r="J814" s="0" t="s">
        <v>268</v>
      </c>
      <c r="K814" s="0" t="s">
        <v>3461</v>
      </c>
      <c r="L814" s="0" t="s">
        <v>293</v>
      </c>
      <c r="M814" s="0" t="s">
        <v>3658</v>
      </c>
      <c r="N814" s="0" t="s">
        <v>3658</v>
      </c>
      <c r="O814" s="0" t="s">
        <v>3659</v>
      </c>
      <c r="P814" s="0" t="s">
        <v>3660</v>
      </c>
      <c r="R814" s="0" t="s">
        <v>275</v>
      </c>
      <c r="S814" s="0" t="s">
        <v>290</v>
      </c>
      <c r="T814" s="0" t="s">
        <v>276</v>
      </c>
      <c r="U814" s="0" t="s">
        <v>277</v>
      </c>
    </row>
    <row r="815" customFormat="false" ht="15" hidden="false" customHeight="false" outlineLevel="0" collapsed="false">
      <c r="A815" s="0" t="n">
        <v>45</v>
      </c>
      <c r="B815" s="0" t="s">
        <v>90</v>
      </c>
      <c r="C815" s="0" t="s">
        <v>530</v>
      </c>
      <c r="D815" s="0" t="s">
        <v>3661</v>
      </c>
      <c r="E815" s="0" t="n">
        <v>2025</v>
      </c>
      <c r="H815" s="0" t="n">
        <v>2</v>
      </c>
      <c r="I815" s="0" t="n">
        <v>113</v>
      </c>
      <c r="J815" s="0" t="s">
        <v>268</v>
      </c>
      <c r="K815" s="0" t="s">
        <v>3461</v>
      </c>
      <c r="L815" s="0" t="s">
        <v>293</v>
      </c>
      <c r="M815" s="0" t="s">
        <v>3662</v>
      </c>
      <c r="N815" s="0" t="s">
        <v>3662</v>
      </c>
      <c r="O815" s="0" t="s">
        <v>3663</v>
      </c>
      <c r="P815" s="0" t="s">
        <v>3664</v>
      </c>
      <c r="R815" s="0" t="s">
        <v>275</v>
      </c>
      <c r="S815" s="0" t="s">
        <v>268</v>
      </c>
      <c r="T815" s="0" t="s">
        <v>314</v>
      </c>
      <c r="U815" s="0" t="s">
        <v>277</v>
      </c>
      <c r="V815" s="0" t="s">
        <v>3470</v>
      </c>
    </row>
    <row r="816" customFormat="false" ht="15" hidden="false" customHeight="false" outlineLevel="0" collapsed="false">
      <c r="A816" s="0" t="n">
        <v>45</v>
      </c>
      <c r="B816" s="0" t="s">
        <v>90</v>
      </c>
      <c r="C816" s="0" t="s">
        <v>530</v>
      </c>
      <c r="D816" s="0" t="s">
        <v>3665</v>
      </c>
      <c r="E816" s="0" t="n">
        <v>2025</v>
      </c>
      <c r="H816" s="0" t="n">
        <v>1</v>
      </c>
      <c r="I816" s="0" t="n">
        <v>1156</v>
      </c>
      <c r="J816" s="0" t="s">
        <v>268</v>
      </c>
      <c r="K816" s="0" t="s">
        <v>3461</v>
      </c>
      <c r="L816" s="0" t="s">
        <v>293</v>
      </c>
      <c r="M816" s="0" t="s">
        <v>3666</v>
      </c>
      <c r="N816" s="0" t="s">
        <v>3666</v>
      </c>
      <c r="O816" s="0" t="s">
        <v>3667</v>
      </c>
      <c r="P816" s="0" t="s">
        <v>3668</v>
      </c>
      <c r="R816" s="0" t="s">
        <v>275</v>
      </c>
      <c r="S816" s="0" t="s">
        <v>290</v>
      </c>
      <c r="T816" s="0" t="s">
        <v>314</v>
      </c>
      <c r="U816" s="0" t="s">
        <v>277</v>
      </c>
      <c r="V816" s="0" t="s">
        <v>3470</v>
      </c>
    </row>
    <row r="817" customFormat="false" ht="15" hidden="false" customHeight="false" outlineLevel="0" collapsed="false">
      <c r="A817" s="0" t="n">
        <v>45</v>
      </c>
      <c r="B817" s="0" t="s">
        <v>90</v>
      </c>
      <c r="C817" s="0" t="s">
        <v>530</v>
      </c>
      <c r="D817" s="0" t="s">
        <v>3669</v>
      </c>
      <c r="E817" s="0" t="n">
        <v>2023</v>
      </c>
      <c r="H817" s="0" t="n">
        <v>1</v>
      </c>
      <c r="I817" s="0" t="n">
        <v>756</v>
      </c>
      <c r="J817" s="0" t="s">
        <v>268</v>
      </c>
      <c r="K817" s="0" t="s">
        <v>3461</v>
      </c>
      <c r="L817" s="0" t="s">
        <v>293</v>
      </c>
      <c r="M817" s="0" t="s">
        <v>3670</v>
      </c>
      <c r="N817" s="0" t="s">
        <v>3670</v>
      </c>
      <c r="O817" s="0" t="s">
        <v>3671</v>
      </c>
      <c r="P817" s="0" t="s">
        <v>3672</v>
      </c>
      <c r="R817" s="0" t="s">
        <v>284</v>
      </c>
      <c r="S817" s="0" t="s">
        <v>290</v>
      </c>
      <c r="T817" s="0" t="s">
        <v>314</v>
      </c>
      <c r="U817" s="0" t="s">
        <v>277</v>
      </c>
      <c r="V817" s="0" t="s">
        <v>3470</v>
      </c>
    </row>
    <row r="818" customFormat="false" ht="15" hidden="false" customHeight="false" outlineLevel="0" collapsed="false">
      <c r="A818" s="0" t="n">
        <v>45</v>
      </c>
      <c r="B818" s="0" t="s">
        <v>90</v>
      </c>
      <c r="C818" s="0" t="s">
        <v>480</v>
      </c>
      <c r="D818" s="0" t="s">
        <v>3673</v>
      </c>
      <c r="E818" s="0" t="n">
        <v>2026</v>
      </c>
      <c r="H818" s="0" t="n">
        <v>1</v>
      </c>
      <c r="I818" s="0" t="n">
        <v>1620</v>
      </c>
      <c r="J818" s="0" t="s">
        <v>268</v>
      </c>
      <c r="K818" s="0" t="s">
        <v>286</v>
      </c>
      <c r="L818" s="0" t="s">
        <v>270</v>
      </c>
      <c r="M818" s="0" t="s">
        <v>3674</v>
      </c>
      <c r="N818" s="0" t="s">
        <v>3674</v>
      </c>
      <c r="O818" s="0" t="s">
        <v>3675</v>
      </c>
      <c r="P818" s="0" t="s">
        <v>3676</v>
      </c>
      <c r="R818" s="0" t="s">
        <v>275</v>
      </c>
      <c r="S818" s="0" t="s">
        <v>268</v>
      </c>
      <c r="T818" s="0" t="s">
        <v>276</v>
      </c>
      <c r="U818" s="0" t="s">
        <v>277</v>
      </c>
    </row>
    <row r="819" customFormat="false" ht="15" hidden="false" customHeight="false" outlineLevel="0" collapsed="false">
      <c r="A819" s="0" t="n">
        <v>45</v>
      </c>
      <c r="B819" s="0" t="s">
        <v>90</v>
      </c>
      <c r="C819" s="0" t="s">
        <v>480</v>
      </c>
      <c r="D819" s="0" t="s">
        <v>3677</v>
      </c>
      <c r="E819" s="0" t="n">
        <v>2025</v>
      </c>
      <c r="H819" s="0" t="n">
        <v>1</v>
      </c>
      <c r="I819" s="0" t="n">
        <v>1372</v>
      </c>
      <c r="J819" s="0" t="s">
        <v>268</v>
      </c>
      <c r="K819" s="0" t="s">
        <v>3461</v>
      </c>
      <c r="L819" s="0" t="s">
        <v>293</v>
      </c>
      <c r="M819" s="0" t="s">
        <v>3678</v>
      </c>
      <c r="N819" s="0" t="s">
        <v>3678</v>
      </c>
      <c r="O819" s="0" t="s">
        <v>3679</v>
      </c>
      <c r="P819" s="0" t="s">
        <v>3680</v>
      </c>
      <c r="R819" s="0" t="s">
        <v>275</v>
      </c>
      <c r="S819" s="0" t="s">
        <v>290</v>
      </c>
      <c r="T819" s="0" t="s">
        <v>276</v>
      </c>
      <c r="U819" s="0" t="s">
        <v>277</v>
      </c>
    </row>
    <row r="820" customFormat="false" ht="15" hidden="false" customHeight="false" outlineLevel="0" collapsed="false">
      <c r="A820" s="0" t="n">
        <v>45</v>
      </c>
      <c r="B820" s="0" t="s">
        <v>90</v>
      </c>
      <c r="C820" s="0" t="s">
        <v>278</v>
      </c>
      <c r="D820" s="0" t="s">
        <v>3681</v>
      </c>
      <c r="E820" s="0" t="n">
        <v>2024</v>
      </c>
      <c r="H820" s="0" t="n">
        <v>37</v>
      </c>
      <c r="I820" s="0" t="n">
        <v>24418</v>
      </c>
      <c r="J820" s="0" t="s">
        <v>268</v>
      </c>
      <c r="K820" s="0" t="s">
        <v>3461</v>
      </c>
      <c r="L820" s="0" t="s">
        <v>293</v>
      </c>
      <c r="M820" s="0" t="s">
        <v>3682</v>
      </c>
      <c r="N820" s="0" t="s">
        <v>3682</v>
      </c>
      <c r="O820" s="0" t="s">
        <v>3683</v>
      </c>
      <c r="P820" s="0" t="s">
        <v>3684</v>
      </c>
      <c r="R820" s="0" t="s">
        <v>284</v>
      </c>
      <c r="S820" s="0" t="s">
        <v>268</v>
      </c>
      <c r="T820" s="0" t="s">
        <v>314</v>
      </c>
      <c r="U820" s="0" t="s">
        <v>277</v>
      </c>
      <c r="V820" s="0" t="s">
        <v>3470</v>
      </c>
    </row>
    <row r="821" customFormat="false" ht="15" hidden="false" customHeight="false" outlineLevel="0" collapsed="false">
      <c r="A821" s="0" t="n">
        <v>45</v>
      </c>
      <c r="B821" s="0" t="s">
        <v>90</v>
      </c>
      <c r="C821" s="0" t="s">
        <v>887</v>
      </c>
      <c r="D821" s="0" t="s">
        <v>3685</v>
      </c>
      <c r="E821" s="0" t="n">
        <v>2026</v>
      </c>
      <c r="H821" s="0" t="n">
        <v>12</v>
      </c>
      <c r="I821" s="0" t="n">
        <v>3682</v>
      </c>
      <c r="J821" s="0" t="s">
        <v>290</v>
      </c>
      <c r="K821" s="0" t="s">
        <v>3461</v>
      </c>
      <c r="L821" s="0" t="s">
        <v>293</v>
      </c>
      <c r="M821" s="0" t="s">
        <v>3686</v>
      </c>
      <c r="N821" s="0" t="s">
        <v>3686</v>
      </c>
      <c r="O821" s="0" t="s">
        <v>3687</v>
      </c>
      <c r="P821" s="0" t="s">
        <v>3688</v>
      </c>
      <c r="R821" s="0" t="s">
        <v>275</v>
      </c>
      <c r="S821" s="0" t="s">
        <v>290</v>
      </c>
      <c r="T821" s="0" t="s">
        <v>314</v>
      </c>
      <c r="U821" s="0" t="s">
        <v>277</v>
      </c>
      <c r="V821" s="0" t="s">
        <v>3470</v>
      </c>
    </row>
    <row r="822" customFormat="false" ht="15" hidden="false" customHeight="false" outlineLevel="0" collapsed="false">
      <c r="A822" s="0" t="n">
        <v>45</v>
      </c>
      <c r="B822" s="0" t="s">
        <v>90</v>
      </c>
      <c r="C822" s="0" t="s">
        <v>887</v>
      </c>
      <c r="D822" s="0" t="s">
        <v>3689</v>
      </c>
      <c r="E822" s="0" t="n">
        <v>2026</v>
      </c>
      <c r="H822" s="0" t="n">
        <v>1</v>
      </c>
      <c r="I822" s="0" t="n">
        <v>291</v>
      </c>
      <c r="J822" s="0" t="s">
        <v>268</v>
      </c>
      <c r="K822" s="0" t="s">
        <v>3461</v>
      </c>
      <c r="L822" s="0" t="s">
        <v>293</v>
      </c>
      <c r="M822" s="0" t="s">
        <v>3690</v>
      </c>
      <c r="N822" s="0" t="s">
        <v>3690</v>
      </c>
      <c r="O822" s="0" t="s">
        <v>3691</v>
      </c>
      <c r="P822" s="0" t="s">
        <v>3692</v>
      </c>
      <c r="R822" s="0" t="s">
        <v>275</v>
      </c>
      <c r="S822" s="0" t="s">
        <v>290</v>
      </c>
      <c r="T822" s="0" t="s">
        <v>314</v>
      </c>
      <c r="U822" s="0" t="s">
        <v>277</v>
      </c>
      <c r="V822" s="0" t="s">
        <v>3470</v>
      </c>
    </row>
    <row r="823" customFormat="false" ht="15" hidden="false" customHeight="false" outlineLevel="0" collapsed="false">
      <c r="A823" s="0" t="n">
        <v>45</v>
      </c>
      <c r="B823" s="0" t="s">
        <v>90</v>
      </c>
      <c r="C823" s="0" t="s">
        <v>887</v>
      </c>
      <c r="D823" s="0" t="s">
        <v>3693</v>
      </c>
      <c r="E823" s="0" t="n">
        <v>2026</v>
      </c>
      <c r="H823" s="0" t="n">
        <v>1</v>
      </c>
      <c r="I823" s="0" t="n">
        <v>1283</v>
      </c>
      <c r="J823" s="0" t="s">
        <v>268</v>
      </c>
      <c r="K823" s="0" t="s">
        <v>3461</v>
      </c>
      <c r="L823" s="0" t="s">
        <v>293</v>
      </c>
      <c r="M823" s="0" t="s">
        <v>3694</v>
      </c>
      <c r="N823" s="0" t="s">
        <v>3694</v>
      </c>
      <c r="O823" s="0" t="s">
        <v>3695</v>
      </c>
      <c r="P823" s="0" t="s">
        <v>3696</v>
      </c>
      <c r="R823" s="0" t="s">
        <v>275</v>
      </c>
      <c r="S823" s="0" t="s">
        <v>290</v>
      </c>
      <c r="T823" s="0" t="s">
        <v>314</v>
      </c>
      <c r="U823" s="0" t="s">
        <v>277</v>
      </c>
      <c r="V823" s="0" t="s">
        <v>3470</v>
      </c>
    </row>
    <row r="824" customFormat="false" ht="15" hidden="false" customHeight="false" outlineLevel="0" collapsed="false">
      <c r="A824" s="0" t="n">
        <v>45</v>
      </c>
      <c r="B824" s="0" t="s">
        <v>90</v>
      </c>
      <c r="C824" s="0" t="s">
        <v>887</v>
      </c>
      <c r="D824" s="0" t="s">
        <v>3697</v>
      </c>
      <c r="E824" s="0" t="n">
        <v>2026</v>
      </c>
      <c r="H824" s="0" t="n">
        <v>1</v>
      </c>
      <c r="I824" s="0" t="n">
        <v>1099</v>
      </c>
      <c r="J824" s="0" t="s">
        <v>268</v>
      </c>
      <c r="K824" s="0" t="s">
        <v>3461</v>
      </c>
      <c r="L824" s="0" t="s">
        <v>293</v>
      </c>
      <c r="M824" s="0" t="s">
        <v>3698</v>
      </c>
      <c r="N824" s="0" t="s">
        <v>3698</v>
      </c>
      <c r="O824" s="0" t="s">
        <v>3699</v>
      </c>
      <c r="P824" s="0" t="s">
        <v>3700</v>
      </c>
      <c r="R824" s="0" t="s">
        <v>275</v>
      </c>
      <c r="S824" s="0" t="s">
        <v>290</v>
      </c>
      <c r="T824" s="0" t="s">
        <v>314</v>
      </c>
      <c r="U824" s="0" t="s">
        <v>277</v>
      </c>
      <c r="V824" s="0" t="s">
        <v>3470</v>
      </c>
    </row>
    <row r="825" customFormat="false" ht="15" hidden="false" customHeight="false" outlineLevel="0" collapsed="false">
      <c r="A825" s="0" t="n">
        <v>45</v>
      </c>
      <c r="B825" s="0" t="s">
        <v>90</v>
      </c>
      <c r="C825" s="0" t="s">
        <v>887</v>
      </c>
      <c r="D825" s="0" t="s">
        <v>3701</v>
      </c>
      <c r="E825" s="0" t="n">
        <v>2026</v>
      </c>
      <c r="H825" s="0" t="n">
        <v>1</v>
      </c>
      <c r="I825" s="0" t="n">
        <v>874</v>
      </c>
      <c r="J825" s="0" t="s">
        <v>268</v>
      </c>
      <c r="K825" s="0" t="s">
        <v>3461</v>
      </c>
      <c r="L825" s="0" t="s">
        <v>293</v>
      </c>
      <c r="M825" s="0" t="s">
        <v>3702</v>
      </c>
      <c r="N825" s="0" t="s">
        <v>3702</v>
      </c>
      <c r="O825" s="0" t="s">
        <v>3703</v>
      </c>
      <c r="P825" s="0" t="s">
        <v>3704</v>
      </c>
      <c r="R825" s="0" t="s">
        <v>275</v>
      </c>
      <c r="S825" s="0" t="s">
        <v>290</v>
      </c>
      <c r="T825" s="0" t="s">
        <v>314</v>
      </c>
      <c r="U825" s="0" t="s">
        <v>277</v>
      </c>
      <c r="V825" s="0" t="s">
        <v>3470</v>
      </c>
    </row>
    <row r="826" customFormat="false" ht="15" hidden="false" customHeight="false" outlineLevel="0" collapsed="false">
      <c r="A826" s="0" t="n">
        <v>45</v>
      </c>
      <c r="B826" s="0" t="s">
        <v>90</v>
      </c>
      <c r="C826" s="0" t="s">
        <v>887</v>
      </c>
      <c r="D826" s="0" t="s">
        <v>3705</v>
      </c>
      <c r="E826" s="0" t="n">
        <v>2026</v>
      </c>
      <c r="H826" s="0" t="n">
        <v>13</v>
      </c>
      <c r="I826" s="0" t="n">
        <v>1785</v>
      </c>
      <c r="J826" s="0" t="s">
        <v>268</v>
      </c>
      <c r="K826" s="0" t="s">
        <v>3461</v>
      </c>
      <c r="L826" s="0" t="s">
        <v>293</v>
      </c>
      <c r="M826" s="0" t="s">
        <v>3706</v>
      </c>
      <c r="N826" s="0" t="s">
        <v>3706</v>
      </c>
      <c r="O826" s="0" t="s">
        <v>3707</v>
      </c>
      <c r="P826" s="0" t="s">
        <v>3708</v>
      </c>
      <c r="R826" s="0" t="s">
        <v>275</v>
      </c>
      <c r="S826" s="0" t="s">
        <v>268</v>
      </c>
      <c r="T826" s="0" t="s">
        <v>314</v>
      </c>
      <c r="U826" s="0" t="s">
        <v>277</v>
      </c>
      <c r="V826" s="0" t="s">
        <v>3470</v>
      </c>
    </row>
    <row r="827" customFormat="false" ht="15" hidden="false" customHeight="false" outlineLevel="0" collapsed="false">
      <c r="A827" s="0" t="n">
        <v>45</v>
      </c>
      <c r="B827" s="0" t="s">
        <v>90</v>
      </c>
      <c r="C827" s="0" t="s">
        <v>887</v>
      </c>
      <c r="D827" s="0" t="s">
        <v>3709</v>
      </c>
      <c r="E827" s="0" t="n">
        <v>2025</v>
      </c>
      <c r="H827" s="0" t="n">
        <v>10</v>
      </c>
      <c r="I827" s="0" t="n">
        <v>1898</v>
      </c>
      <c r="J827" s="0" t="s">
        <v>290</v>
      </c>
      <c r="K827" s="0" t="s">
        <v>3461</v>
      </c>
      <c r="L827" s="0" t="s">
        <v>293</v>
      </c>
      <c r="M827" s="0" t="s">
        <v>3710</v>
      </c>
      <c r="N827" s="0" t="s">
        <v>3710</v>
      </c>
      <c r="O827" s="0" t="s">
        <v>3711</v>
      </c>
      <c r="P827" s="0" t="s">
        <v>3712</v>
      </c>
      <c r="R827" s="0" t="s">
        <v>275</v>
      </c>
      <c r="S827" s="0" t="s">
        <v>290</v>
      </c>
      <c r="T827" s="0" t="s">
        <v>314</v>
      </c>
      <c r="U827" s="0" t="s">
        <v>277</v>
      </c>
      <c r="V827" s="0" t="s">
        <v>3470</v>
      </c>
    </row>
    <row r="828" customFormat="false" ht="15" hidden="false" customHeight="false" outlineLevel="0" collapsed="false">
      <c r="A828" s="0" t="n">
        <v>45</v>
      </c>
      <c r="B828" s="0" t="s">
        <v>90</v>
      </c>
      <c r="C828" s="0" t="s">
        <v>500</v>
      </c>
      <c r="D828" s="0" t="s">
        <v>3713</v>
      </c>
      <c r="E828" s="0" t="n">
        <v>2026</v>
      </c>
      <c r="H828" s="0" t="n">
        <v>1</v>
      </c>
      <c r="I828" s="0" t="n">
        <v>387</v>
      </c>
      <c r="J828" s="0" t="s">
        <v>290</v>
      </c>
      <c r="K828" s="0" t="s">
        <v>3461</v>
      </c>
      <c r="L828" s="0" t="s">
        <v>293</v>
      </c>
      <c r="M828" s="0" t="s">
        <v>3714</v>
      </c>
      <c r="N828" s="0" t="s">
        <v>3714</v>
      </c>
      <c r="O828" s="0" t="s">
        <v>3715</v>
      </c>
      <c r="P828" s="0" t="s">
        <v>3716</v>
      </c>
      <c r="R828" s="0" t="s">
        <v>275</v>
      </c>
      <c r="S828" s="0" t="s">
        <v>290</v>
      </c>
      <c r="T828" s="0" t="s">
        <v>314</v>
      </c>
      <c r="U828" s="0" t="s">
        <v>277</v>
      </c>
      <c r="V828" s="0" t="s">
        <v>3470</v>
      </c>
    </row>
    <row r="829" customFormat="false" ht="15" hidden="false" customHeight="false" outlineLevel="0" collapsed="false">
      <c r="A829" s="0" t="n">
        <v>45</v>
      </c>
      <c r="B829" s="0" t="s">
        <v>90</v>
      </c>
      <c r="C829" s="0" t="s">
        <v>500</v>
      </c>
      <c r="D829" s="0" t="s">
        <v>3717</v>
      </c>
      <c r="E829" s="0" t="n">
        <v>2026</v>
      </c>
      <c r="H829" s="0" t="n">
        <v>12</v>
      </c>
      <c r="I829" s="0" t="n">
        <v>130</v>
      </c>
      <c r="J829" s="0" t="s">
        <v>268</v>
      </c>
      <c r="K829" s="0" t="s">
        <v>3461</v>
      </c>
      <c r="L829" s="0" t="s">
        <v>293</v>
      </c>
      <c r="M829" s="0" t="s">
        <v>3718</v>
      </c>
      <c r="N829" s="0" t="s">
        <v>3718</v>
      </c>
      <c r="O829" s="0" t="s">
        <v>3719</v>
      </c>
      <c r="P829" s="0" t="s">
        <v>3720</v>
      </c>
      <c r="R829" s="0" t="s">
        <v>275</v>
      </c>
      <c r="S829" s="0" t="s">
        <v>290</v>
      </c>
      <c r="T829" s="0" t="s">
        <v>314</v>
      </c>
      <c r="U829" s="0" t="s">
        <v>277</v>
      </c>
      <c r="V829" s="0" t="s">
        <v>3470</v>
      </c>
    </row>
    <row r="830" customFormat="false" ht="15" hidden="false" customHeight="false" outlineLevel="0" collapsed="false">
      <c r="A830" s="0" t="n">
        <v>45</v>
      </c>
      <c r="B830" s="0" t="s">
        <v>90</v>
      </c>
      <c r="C830" s="0" t="s">
        <v>500</v>
      </c>
      <c r="D830" s="0" t="s">
        <v>3721</v>
      </c>
      <c r="E830" s="0" t="n">
        <v>2026</v>
      </c>
      <c r="H830" s="0" t="n">
        <v>1</v>
      </c>
      <c r="I830" s="0" t="n">
        <v>931</v>
      </c>
      <c r="J830" s="0" t="s">
        <v>268</v>
      </c>
      <c r="K830" s="0" t="s">
        <v>3461</v>
      </c>
      <c r="L830" s="0" t="s">
        <v>293</v>
      </c>
      <c r="M830" s="0" t="s">
        <v>3722</v>
      </c>
      <c r="N830" s="0" t="s">
        <v>3722</v>
      </c>
      <c r="O830" s="0" t="s">
        <v>3723</v>
      </c>
      <c r="P830" s="0" t="s">
        <v>3724</v>
      </c>
      <c r="R830" s="0" t="s">
        <v>275</v>
      </c>
      <c r="S830" s="0" t="s">
        <v>290</v>
      </c>
      <c r="T830" s="0" t="s">
        <v>314</v>
      </c>
      <c r="U830" s="0" t="s">
        <v>277</v>
      </c>
      <c r="V830" s="0" t="s">
        <v>3470</v>
      </c>
    </row>
    <row r="831" customFormat="false" ht="15" hidden="false" customHeight="false" outlineLevel="0" collapsed="false">
      <c r="A831" s="0" t="n">
        <v>45</v>
      </c>
      <c r="B831" s="0" t="s">
        <v>90</v>
      </c>
      <c r="C831" s="0" t="s">
        <v>500</v>
      </c>
      <c r="D831" s="0" t="s">
        <v>3725</v>
      </c>
      <c r="E831" s="0" t="n">
        <v>2026</v>
      </c>
      <c r="H831" s="0" t="n">
        <v>1</v>
      </c>
      <c r="I831" s="0" t="n">
        <v>1706</v>
      </c>
      <c r="J831" s="0" t="s">
        <v>268</v>
      </c>
      <c r="K831" s="0" t="s">
        <v>3461</v>
      </c>
      <c r="L831" s="0" t="s">
        <v>293</v>
      </c>
      <c r="M831" s="0" t="s">
        <v>3726</v>
      </c>
      <c r="N831" s="0" t="s">
        <v>3726</v>
      </c>
      <c r="O831" s="0" t="s">
        <v>3727</v>
      </c>
      <c r="P831" s="0" t="s">
        <v>3728</v>
      </c>
      <c r="R831" s="0" t="s">
        <v>275</v>
      </c>
      <c r="S831" s="0" t="s">
        <v>290</v>
      </c>
      <c r="T831" s="0" t="s">
        <v>314</v>
      </c>
      <c r="U831" s="0" t="s">
        <v>277</v>
      </c>
      <c r="V831" s="0" t="s">
        <v>3470</v>
      </c>
    </row>
    <row r="832" customFormat="false" ht="15" hidden="false" customHeight="false" outlineLevel="0" collapsed="false">
      <c r="A832" s="0" t="n">
        <v>45</v>
      </c>
      <c r="B832" s="0" t="s">
        <v>90</v>
      </c>
      <c r="C832" s="0" t="s">
        <v>500</v>
      </c>
      <c r="D832" s="0" t="s">
        <v>3729</v>
      </c>
      <c r="E832" s="0" t="n">
        <v>2026</v>
      </c>
      <c r="H832" s="0" t="n">
        <v>18</v>
      </c>
      <c r="I832" s="0" t="n">
        <v>2180</v>
      </c>
      <c r="J832" s="0" t="s">
        <v>290</v>
      </c>
      <c r="K832" s="0" t="s">
        <v>3461</v>
      </c>
      <c r="L832" s="0" t="s">
        <v>293</v>
      </c>
      <c r="M832" s="0" t="s">
        <v>3730</v>
      </c>
      <c r="N832" s="0" t="s">
        <v>3730</v>
      </c>
      <c r="O832" s="0" t="s">
        <v>3731</v>
      </c>
      <c r="P832" s="0" t="s">
        <v>3732</v>
      </c>
      <c r="R832" s="0" t="s">
        <v>275</v>
      </c>
      <c r="S832" s="0" t="s">
        <v>268</v>
      </c>
      <c r="T832" s="0" t="s">
        <v>314</v>
      </c>
      <c r="U832" s="0" t="s">
        <v>277</v>
      </c>
      <c r="V832" s="0" t="s">
        <v>3470</v>
      </c>
    </row>
    <row r="833" customFormat="false" ht="15" hidden="false" customHeight="false" outlineLevel="0" collapsed="false">
      <c r="A833" s="0" t="n">
        <v>46</v>
      </c>
      <c r="B833" s="0" t="s">
        <v>93</v>
      </c>
      <c r="C833" s="0" t="s">
        <v>56</v>
      </c>
      <c r="D833" s="0" t="s">
        <v>3733</v>
      </c>
      <c r="E833" s="0" t="n">
        <v>2025</v>
      </c>
      <c r="H833" s="0" t="n">
        <v>6</v>
      </c>
      <c r="I833" s="0" t="n">
        <v>7824</v>
      </c>
      <c r="J833" s="0" t="s">
        <v>268</v>
      </c>
      <c r="K833" s="0" t="s">
        <v>298</v>
      </c>
      <c r="L833" s="0" t="s">
        <v>270</v>
      </c>
      <c r="M833" s="0" t="s">
        <v>3734</v>
      </c>
      <c r="N833" s="0" t="s">
        <v>3734</v>
      </c>
      <c r="O833" s="0" t="s">
        <v>3735</v>
      </c>
      <c r="P833" s="0" t="s">
        <v>3736</v>
      </c>
      <c r="R833" s="0" t="s">
        <v>275</v>
      </c>
      <c r="S833" s="0" t="s">
        <v>268</v>
      </c>
      <c r="T833" s="0" t="s">
        <v>276</v>
      </c>
      <c r="U833" s="0" t="s">
        <v>277</v>
      </c>
    </row>
    <row r="834" customFormat="false" ht="15" hidden="false" customHeight="false" outlineLevel="0" collapsed="false">
      <c r="A834" s="0" t="n">
        <v>46</v>
      </c>
      <c r="B834" s="0" t="s">
        <v>93</v>
      </c>
      <c r="C834" s="0" t="s">
        <v>91</v>
      </c>
      <c r="D834" s="0" t="s">
        <v>3737</v>
      </c>
      <c r="E834" s="0" t="n">
        <v>2026</v>
      </c>
      <c r="H834" s="0" t="n">
        <v>27</v>
      </c>
      <c r="I834" s="0" t="n">
        <v>18899</v>
      </c>
      <c r="J834" s="0" t="s">
        <v>268</v>
      </c>
      <c r="K834" s="0" t="s">
        <v>537</v>
      </c>
      <c r="L834" s="0" t="s">
        <v>293</v>
      </c>
      <c r="M834" s="0" t="s">
        <v>3738</v>
      </c>
      <c r="N834" s="0" t="s">
        <v>3738</v>
      </c>
      <c r="O834" s="0" t="s">
        <v>3739</v>
      </c>
      <c r="P834" s="0" t="s">
        <v>3740</v>
      </c>
      <c r="R834" s="0" t="s">
        <v>275</v>
      </c>
      <c r="S834" s="0" t="s">
        <v>268</v>
      </c>
      <c r="T834" s="0" t="s">
        <v>314</v>
      </c>
      <c r="U834" s="0" t="s">
        <v>277</v>
      </c>
      <c r="V834" s="0" t="s">
        <v>3741</v>
      </c>
    </row>
    <row r="835" customFormat="false" ht="15" hidden="false" customHeight="false" outlineLevel="0" collapsed="false">
      <c r="A835" s="0" t="n">
        <v>46</v>
      </c>
      <c r="B835" s="0" t="s">
        <v>93</v>
      </c>
      <c r="C835" s="0" t="s">
        <v>91</v>
      </c>
      <c r="D835" s="0" t="s">
        <v>3742</v>
      </c>
      <c r="E835" s="0" t="n">
        <v>2025</v>
      </c>
      <c r="H835" s="0" t="n">
        <v>8</v>
      </c>
      <c r="I835" s="0" t="n">
        <v>2670</v>
      </c>
      <c r="J835" s="0" t="s">
        <v>268</v>
      </c>
      <c r="K835" s="0" t="s">
        <v>537</v>
      </c>
      <c r="L835" s="0" t="s">
        <v>293</v>
      </c>
      <c r="M835" s="0" t="s">
        <v>3743</v>
      </c>
      <c r="N835" s="0" t="s">
        <v>3743</v>
      </c>
      <c r="O835" s="0" t="s">
        <v>3744</v>
      </c>
      <c r="P835" s="0" t="s">
        <v>3745</v>
      </c>
      <c r="R835" s="0" t="s">
        <v>275</v>
      </c>
      <c r="S835" s="0" t="s">
        <v>290</v>
      </c>
      <c r="T835" s="0" t="s">
        <v>276</v>
      </c>
      <c r="U835" s="0" t="s">
        <v>277</v>
      </c>
    </row>
    <row r="836" customFormat="false" ht="15" hidden="false" customHeight="false" outlineLevel="0" collapsed="false">
      <c r="A836" s="0" t="n">
        <v>46</v>
      </c>
      <c r="B836" s="0" t="s">
        <v>93</v>
      </c>
      <c r="C836" s="0" t="s">
        <v>35</v>
      </c>
      <c r="D836" s="0" t="s">
        <v>3746</v>
      </c>
      <c r="E836" s="0" t="n">
        <v>2026</v>
      </c>
      <c r="H836" s="0" t="n">
        <v>14</v>
      </c>
      <c r="I836" s="0" t="n">
        <v>11870</v>
      </c>
      <c r="J836" s="0" t="s">
        <v>268</v>
      </c>
      <c r="K836" s="0" t="s">
        <v>537</v>
      </c>
      <c r="L836" s="0" t="s">
        <v>293</v>
      </c>
      <c r="M836" s="0" t="s">
        <v>3747</v>
      </c>
      <c r="N836" s="0" t="s">
        <v>3747</v>
      </c>
      <c r="O836" s="0" t="s">
        <v>3748</v>
      </c>
      <c r="P836" s="0" t="s">
        <v>3749</v>
      </c>
      <c r="R836" s="0" t="s">
        <v>275</v>
      </c>
      <c r="S836" s="0" t="s">
        <v>268</v>
      </c>
      <c r="T836" s="0" t="s">
        <v>314</v>
      </c>
      <c r="U836" s="0" t="s">
        <v>277</v>
      </c>
      <c r="V836" s="0" t="s">
        <v>3741</v>
      </c>
    </row>
    <row r="837" customFormat="false" ht="15" hidden="false" customHeight="false" outlineLevel="0" collapsed="false">
      <c r="A837" s="0" t="n">
        <v>46</v>
      </c>
      <c r="B837" s="0" t="s">
        <v>93</v>
      </c>
      <c r="C837" s="0" t="s">
        <v>35</v>
      </c>
      <c r="D837" s="0" t="s">
        <v>3750</v>
      </c>
      <c r="E837" s="0" t="n">
        <v>2026</v>
      </c>
      <c r="H837" s="0" t="n">
        <v>14</v>
      </c>
      <c r="I837" s="0" t="n">
        <v>11858</v>
      </c>
      <c r="J837" s="0" t="s">
        <v>268</v>
      </c>
      <c r="K837" s="0" t="s">
        <v>537</v>
      </c>
      <c r="L837" s="0" t="s">
        <v>293</v>
      </c>
      <c r="M837" s="0" t="s">
        <v>3751</v>
      </c>
      <c r="N837" s="0" t="s">
        <v>3751</v>
      </c>
      <c r="O837" s="0" t="s">
        <v>3752</v>
      </c>
      <c r="P837" s="0" t="s">
        <v>3753</v>
      </c>
      <c r="R837" s="0" t="s">
        <v>275</v>
      </c>
      <c r="S837" s="0" t="s">
        <v>290</v>
      </c>
      <c r="T837" s="0" t="s">
        <v>314</v>
      </c>
      <c r="U837" s="0" t="s">
        <v>277</v>
      </c>
      <c r="V837" s="0" t="s">
        <v>3741</v>
      </c>
    </row>
    <row r="838" customFormat="false" ht="15" hidden="false" customHeight="false" outlineLevel="0" collapsed="false">
      <c r="A838" s="0" t="n">
        <v>46</v>
      </c>
      <c r="B838" s="0" t="s">
        <v>93</v>
      </c>
      <c r="C838" s="0" t="s">
        <v>309</v>
      </c>
      <c r="D838" s="0" t="s">
        <v>3754</v>
      </c>
      <c r="E838" s="0" t="n">
        <v>2026</v>
      </c>
      <c r="H838" s="0" t="n">
        <v>2</v>
      </c>
      <c r="I838" s="0" t="n">
        <v>2330</v>
      </c>
      <c r="J838" s="0" t="s">
        <v>268</v>
      </c>
      <c r="K838" s="0" t="s">
        <v>537</v>
      </c>
      <c r="L838" s="0" t="s">
        <v>293</v>
      </c>
      <c r="M838" s="0" t="s">
        <v>3755</v>
      </c>
      <c r="N838" s="0" t="s">
        <v>3755</v>
      </c>
      <c r="O838" s="0" t="s">
        <v>3756</v>
      </c>
      <c r="P838" s="0" t="s">
        <v>3757</v>
      </c>
      <c r="R838" s="0" t="s">
        <v>275</v>
      </c>
      <c r="S838" s="0" t="s">
        <v>268</v>
      </c>
      <c r="T838" s="0" t="s">
        <v>314</v>
      </c>
      <c r="U838" s="0" t="s">
        <v>277</v>
      </c>
      <c r="V838" s="0" t="s">
        <v>3741</v>
      </c>
    </row>
    <row r="839" customFormat="false" ht="15" hidden="false" customHeight="false" outlineLevel="0" collapsed="false">
      <c r="A839" s="0" t="n">
        <v>46</v>
      </c>
      <c r="B839" s="0" t="s">
        <v>93</v>
      </c>
      <c r="C839" s="0" t="s">
        <v>309</v>
      </c>
      <c r="D839" s="0" t="s">
        <v>3758</v>
      </c>
      <c r="E839" s="0" t="n">
        <v>2025</v>
      </c>
      <c r="H839" s="0" t="n">
        <v>12</v>
      </c>
      <c r="I839" s="0" t="n">
        <v>1542</v>
      </c>
      <c r="J839" s="0" t="s">
        <v>268</v>
      </c>
      <c r="K839" s="0" t="s">
        <v>537</v>
      </c>
      <c r="L839" s="0" t="s">
        <v>293</v>
      </c>
      <c r="M839" s="0" t="s">
        <v>3759</v>
      </c>
      <c r="N839" s="0" t="s">
        <v>3759</v>
      </c>
      <c r="O839" s="0" t="s">
        <v>3760</v>
      </c>
      <c r="P839" s="0" t="s">
        <v>3761</v>
      </c>
      <c r="R839" s="0" t="s">
        <v>275</v>
      </c>
      <c r="S839" s="0" t="s">
        <v>290</v>
      </c>
      <c r="T839" s="0" t="s">
        <v>276</v>
      </c>
      <c r="U839" s="0" t="s">
        <v>277</v>
      </c>
    </row>
    <row r="840" customFormat="false" ht="15" hidden="false" customHeight="false" outlineLevel="0" collapsed="false">
      <c r="A840" s="0" t="n">
        <v>46</v>
      </c>
      <c r="B840" s="0" t="s">
        <v>93</v>
      </c>
      <c r="C840" s="0" t="s">
        <v>309</v>
      </c>
      <c r="D840" s="0" t="s">
        <v>3762</v>
      </c>
      <c r="E840" s="0" t="n">
        <v>2024</v>
      </c>
      <c r="H840" s="0" t="n">
        <v>1</v>
      </c>
      <c r="I840" s="0" t="n">
        <v>939</v>
      </c>
      <c r="J840" s="0" t="s">
        <v>268</v>
      </c>
      <c r="K840" s="0" t="s">
        <v>298</v>
      </c>
      <c r="L840" s="0" t="s">
        <v>270</v>
      </c>
      <c r="M840" s="0" t="s">
        <v>3763</v>
      </c>
      <c r="N840" s="0" t="s">
        <v>3763</v>
      </c>
      <c r="O840" s="0" t="s">
        <v>3764</v>
      </c>
      <c r="P840" s="0" t="s">
        <v>3765</v>
      </c>
      <c r="R840" s="0" t="s">
        <v>284</v>
      </c>
      <c r="S840" s="0" t="s">
        <v>290</v>
      </c>
      <c r="T840" s="0" t="s">
        <v>276</v>
      </c>
      <c r="U840" s="0" t="s">
        <v>277</v>
      </c>
    </row>
    <row r="841" customFormat="false" ht="15" hidden="false" customHeight="false" outlineLevel="0" collapsed="false">
      <c r="A841" s="0" t="n">
        <v>46</v>
      </c>
      <c r="B841" s="0" t="s">
        <v>93</v>
      </c>
      <c r="C841" s="0" t="s">
        <v>586</v>
      </c>
      <c r="D841" s="0" t="s">
        <v>3766</v>
      </c>
      <c r="E841" s="0" t="n">
        <v>2026</v>
      </c>
      <c r="H841" s="0" t="n">
        <v>3</v>
      </c>
      <c r="I841" s="0" t="n">
        <v>4549</v>
      </c>
      <c r="J841" s="0" t="s">
        <v>268</v>
      </c>
      <c r="K841" s="0" t="s">
        <v>537</v>
      </c>
      <c r="L841" s="0" t="s">
        <v>293</v>
      </c>
      <c r="M841" s="0" t="s">
        <v>3767</v>
      </c>
      <c r="N841" s="0" t="s">
        <v>3767</v>
      </c>
      <c r="O841" s="0" t="s">
        <v>3768</v>
      </c>
      <c r="P841" s="0" t="s">
        <v>3769</v>
      </c>
      <c r="R841" s="0" t="s">
        <v>275</v>
      </c>
      <c r="S841" s="0" t="s">
        <v>268</v>
      </c>
      <c r="T841" s="0" t="s">
        <v>314</v>
      </c>
      <c r="U841" s="0" t="s">
        <v>277</v>
      </c>
      <c r="V841" s="0" t="s">
        <v>3741</v>
      </c>
    </row>
    <row r="842" customFormat="false" ht="15" hidden="false" customHeight="false" outlineLevel="0" collapsed="false">
      <c r="A842" s="0" t="n">
        <v>46</v>
      </c>
      <c r="B842" s="0" t="s">
        <v>93</v>
      </c>
      <c r="C842" s="0" t="s">
        <v>266</v>
      </c>
      <c r="D842" s="0" t="s">
        <v>3770</v>
      </c>
      <c r="E842" s="0" t="n">
        <v>2026</v>
      </c>
      <c r="H842" s="0" t="n">
        <v>2</v>
      </c>
      <c r="I842" s="0" t="n">
        <v>438</v>
      </c>
      <c r="J842" s="0" t="s">
        <v>290</v>
      </c>
      <c r="K842" s="0" t="s">
        <v>537</v>
      </c>
      <c r="L842" s="0" t="s">
        <v>293</v>
      </c>
      <c r="M842" s="0" t="s">
        <v>3771</v>
      </c>
      <c r="N842" s="0" t="s">
        <v>3771</v>
      </c>
      <c r="O842" s="0" t="s">
        <v>3772</v>
      </c>
      <c r="P842" s="0" t="s">
        <v>3773</v>
      </c>
      <c r="R842" s="0" t="s">
        <v>275</v>
      </c>
      <c r="S842" s="0" t="s">
        <v>268</v>
      </c>
      <c r="T842" s="0" t="s">
        <v>314</v>
      </c>
      <c r="U842" s="0" t="s">
        <v>277</v>
      </c>
      <c r="V842" s="0" t="s">
        <v>3741</v>
      </c>
    </row>
    <row r="843" customFormat="false" ht="15" hidden="false" customHeight="false" outlineLevel="0" collapsed="false">
      <c r="A843" s="0" t="n">
        <v>46</v>
      </c>
      <c r="B843" s="0" t="s">
        <v>93</v>
      </c>
      <c r="C843" s="0" t="s">
        <v>266</v>
      </c>
      <c r="D843" s="0" t="s">
        <v>3774</v>
      </c>
      <c r="E843" s="0" t="n">
        <v>2026</v>
      </c>
      <c r="H843" s="0" t="n">
        <v>2</v>
      </c>
      <c r="I843" s="0" t="n">
        <v>536</v>
      </c>
      <c r="J843" s="0" t="s">
        <v>268</v>
      </c>
      <c r="K843" s="0" t="s">
        <v>537</v>
      </c>
      <c r="L843" s="0" t="s">
        <v>293</v>
      </c>
      <c r="M843" s="0" t="s">
        <v>3775</v>
      </c>
      <c r="N843" s="0" t="s">
        <v>3775</v>
      </c>
      <c r="O843" s="0" t="s">
        <v>3776</v>
      </c>
      <c r="P843" s="0" t="s">
        <v>3777</v>
      </c>
      <c r="R843" s="0" t="s">
        <v>275</v>
      </c>
      <c r="S843" s="0" t="s">
        <v>290</v>
      </c>
      <c r="T843" s="0" t="s">
        <v>314</v>
      </c>
      <c r="U843" s="0" t="s">
        <v>277</v>
      </c>
      <c r="V843" s="0" t="s">
        <v>3741</v>
      </c>
    </row>
    <row r="844" customFormat="false" ht="15" hidden="false" customHeight="false" outlineLevel="0" collapsed="false">
      <c r="A844" s="0" t="n">
        <v>46</v>
      </c>
      <c r="B844" s="0" t="s">
        <v>93</v>
      </c>
      <c r="C844" s="0" t="s">
        <v>266</v>
      </c>
      <c r="D844" s="0" t="s">
        <v>3778</v>
      </c>
      <c r="E844" s="0" t="n">
        <v>2026</v>
      </c>
      <c r="H844" s="0" t="n">
        <v>1</v>
      </c>
      <c r="I844" s="0" t="n">
        <v>442</v>
      </c>
      <c r="J844" s="0" t="s">
        <v>268</v>
      </c>
      <c r="K844" s="0" t="s">
        <v>537</v>
      </c>
      <c r="L844" s="0" t="s">
        <v>293</v>
      </c>
      <c r="M844" s="0" t="s">
        <v>3779</v>
      </c>
      <c r="N844" s="0" t="s">
        <v>3779</v>
      </c>
      <c r="O844" s="0" t="s">
        <v>3780</v>
      </c>
      <c r="P844" s="0" t="s">
        <v>3781</v>
      </c>
      <c r="R844" s="0" t="s">
        <v>275</v>
      </c>
      <c r="S844" s="0" t="s">
        <v>290</v>
      </c>
      <c r="T844" s="0" t="s">
        <v>314</v>
      </c>
      <c r="U844" s="0" t="s">
        <v>277</v>
      </c>
      <c r="V844" s="0" t="s">
        <v>3741</v>
      </c>
    </row>
    <row r="845" customFormat="false" ht="15" hidden="false" customHeight="false" outlineLevel="0" collapsed="false">
      <c r="A845" s="0" t="n">
        <v>46</v>
      </c>
      <c r="B845" s="0" t="s">
        <v>93</v>
      </c>
      <c r="C845" s="0" t="s">
        <v>266</v>
      </c>
      <c r="D845" s="0" t="s">
        <v>3782</v>
      </c>
      <c r="E845" s="0" t="n">
        <v>2026</v>
      </c>
      <c r="H845" s="0" t="n">
        <v>1</v>
      </c>
      <c r="I845" s="0" t="n">
        <v>49</v>
      </c>
      <c r="J845" s="0" t="s">
        <v>268</v>
      </c>
      <c r="K845" s="0" t="s">
        <v>537</v>
      </c>
      <c r="L845" s="0" t="s">
        <v>293</v>
      </c>
      <c r="M845" s="0" t="s">
        <v>3783</v>
      </c>
      <c r="N845" s="0" t="s">
        <v>3783</v>
      </c>
      <c r="O845" s="0" t="s">
        <v>3784</v>
      </c>
      <c r="P845" s="0" t="s">
        <v>3785</v>
      </c>
      <c r="R845" s="0" t="s">
        <v>275</v>
      </c>
      <c r="S845" s="0" t="s">
        <v>290</v>
      </c>
      <c r="T845" s="0" t="s">
        <v>314</v>
      </c>
      <c r="U845" s="0" t="s">
        <v>277</v>
      </c>
      <c r="V845" s="0" t="s">
        <v>3741</v>
      </c>
    </row>
    <row r="846" customFormat="false" ht="15" hidden="false" customHeight="false" outlineLevel="0" collapsed="false">
      <c r="A846" s="0" t="n">
        <v>46</v>
      </c>
      <c r="B846" s="0" t="s">
        <v>93</v>
      </c>
      <c r="C846" s="0" t="s">
        <v>266</v>
      </c>
      <c r="D846" s="0" t="s">
        <v>3786</v>
      </c>
      <c r="E846" s="0" t="n">
        <v>2025</v>
      </c>
      <c r="H846" s="0" t="n">
        <v>4</v>
      </c>
      <c r="I846" s="0" t="n">
        <v>170</v>
      </c>
      <c r="J846" s="0" t="s">
        <v>268</v>
      </c>
      <c r="K846" s="0" t="s">
        <v>537</v>
      </c>
      <c r="L846" s="0" t="s">
        <v>293</v>
      </c>
      <c r="M846" s="0" t="s">
        <v>3787</v>
      </c>
      <c r="N846" s="0" t="s">
        <v>3787</v>
      </c>
      <c r="O846" s="0" t="s">
        <v>3788</v>
      </c>
      <c r="P846" s="0" t="s">
        <v>3789</v>
      </c>
      <c r="R846" s="0" t="s">
        <v>275</v>
      </c>
      <c r="S846" s="0" t="s">
        <v>290</v>
      </c>
      <c r="T846" s="0" t="s">
        <v>314</v>
      </c>
      <c r="U846" s="0" t="s">
        <v>277</v>
      </c>
      <c r="V846" s="0" t="s">
        <v>3741</v>
      </c>
    </row>
    <row r="847" customFormat="false" ht="15" hidden="false" customHeight="false" outlineLevel="0" collapsed="false">
      <c r="A847" s="0" t="n">
        <v>46</v>
      </c>
      <c r="B847" s="0" t="s">
        <v>93</v>
      </c>
      <c r="C847" s="0" t="s">
        <v>266</v>
      </c>
      <c r="D847" s="0" t="s">
        <v>3790</v>
      </c>
      <c r="E847" s="0" t="n">
        <v>2025</v>
      </c>
      <c r="H847" s="0" t="n">
        <v>4</v>
      </c>
      <c r="I847" s="0" t="n">
        <v>736</v>
      </c>
      <c r="J847" s="0" t="s">
        <v>268</v>
      </c>
      <c r="K847" s="0" t="s">
        <v>537</v>
      </c>
      <c r="L847" s="0" t="s">
        <v>293</v>
      </c>
      <c r="M847" s="0" t="s">
        <v>3791</v>
      </c>
      <c r="N847" s="0" t="s">
        <v>3791</v>
      </c>
      <c r="O847" s="0" t="s">
        <v>3792</v>
      </c>
      <c r="P847" s="0" t="s">
        <v>3793</v>
      </c>
      <c r="R847" s="0" t="s">
        <v>275</v>
      </c>
      <c r="S847" s="0" t="s">
        <v>290</v>
      </c>
      <c r="T847" s="0" t="s">
        <v>276</v>
      </c>
      <c r="U847" s="0" t="s">
        <v>277</v>
      </c>
    </row>
    <row r="848" customFormat="false" ht="15" hidden="false" customHeight="false" outlineLevel="0" collapsed="false">
      <c r="A848" s="0" t="n">
        <v>46</v>
      </c>
      <c r="B848" s="0" t="s">
        <v>93</v>
      </c>
      <c r="C848" s="0" t="s">
        <v>266</v>
      </c>
      <c r="D848" s="0" t="s">
        <v>3794</v>
      </c>
      <c r="E848" s="0" t="n">
        <v>2025</v>
      </c>
      <c r="H848" s="0" t="n">
        <v>24</v>
      </c>
      <c r="I848" s="0" t="n">
        <v>2086</v>
      </c>
      <c r="J848" s="0" t="s">
        <v>268</v>
      </c>
      <c r="K848" s="0" t="s">
        <v>537</v>
      </c>
      <c r="L848" s="0" t="s">
        <v>293</v>
      </c>
      <c r="M848" s="0" t="s">
        <v>3795</v>
      </c>
      <c r="N848" s="0" t="s">
        <v>3795</v>
      </c>
      <c r="O848" s="0" t="s">
        <v>3796</v>
      </c>
      <c r="P848" s="0" t="s">
        <v>3797</v>
      </c>
      <c r="R848" s="0" t="s">
        <v>275</v>
      </c>
      <c r="S848" s="0" t="s">
        <v>290</v>
      </c>
      <c r="T848" s="0" t="s">
        <v>276</v>
      </c>
      <c r="U848" s="0" t="s">
        <v>277</v>
      </c>
    </row>
    <row r="849" customFormat="false" ht="15" hidden="false" customHeight="false" outlineLevel="0" collapsed="false">
      <c r="A849" s="0" t="n">
        <v>46</v>
      </c>
      <c r="B849" s="0" t="s">
        <v>93</v>
      </c>
      <c r="C849" s="0" t="s">
        <v>266</v>
      </c>
      <c r="D849" s="0" t="s">
        <v>3798</v>
      </c>
      <c r="E849" s="0" t="n">
        <v>2025</v>
      </c>
      <c r="H849" s="0" t="n">
        <v>2</v>
      </c>
      <c r="I849" s="0" t="n">
        <v>49</v>
      </c>
      <c r="J849" s="0" t="s">
        <v>268</v>
      </c>
      <c r="K849" s="0" t="s">
        <v>537</v>
      </c>
      <c r="L849" s="0" t="s">
        <v>293</v>
      </c>
      <c r="M849" s="0" t="s">
        <v>3799</v>
      </c>
      <c r="N849" s="0" t="s">
        <v>3799</v>
      </c>
      <c r="O849" s="0" t="s">
        <v>3800</v>
      </c>
      <c r="P849" s="0" t="s">
        <v>3801</v>
      </c>
      <c r="R849" s="0" t="s">
        <v>275</v>
      </c>
      <c r="S849" s="0" t="s">
        <v>290</v>
      </c>
      <c r="T849" s="0" t="s">
        <v>276</v>
      </c>
      <c r="U849" s="0" t="s">
        <v>277</v>
      </c>
    </row>
    <row r="850" customFormat="false" ht="15" hidden="false" customHeight="false" outlineLevel="0" collapsed="false">
      <c r="A850" s="0" t="n">
        <v>46</v>
      </c>
      <c r="B850" s="0" t="s">
        <v>93</v>
      </c>
      <c r="C850" s="0" t="s">
        <v>266</v>
      </c>
      <c r="D850" s="0" t="s">
        <v>3802</v>
      </c>
      <c r="E850" s="0" t="n">
        <v>2025</v>
      </c>
      <c r="H850" s="0" t="n">
        <v>24</v>
      </c>
      <c r="I850" s="0" t="n">
        <v>1315</v>
      </c>
      <c r="J850" s="0" t="s">
        <v>268</v>
      </c>
      <c r="K850" s="0" t="s">
        <v>537</v>
      </c>
      <c r="L850" s="0" t="s">
        <v>293</v>
      </c>
      <c r="M850" s="0" t="s">
        <v>3803</v>
      </c>
      <c r="N850" s="0" t="s">
        <v>3803</v>
      </c>
      <c r="O850" s="0" t="s">
        <v>3804</v>
      </c>
      <c r="P850" s="0" t="s">
        <v>3805</v>
      </c>
      <c r="R850" s="0" t="s">
        <v>275</v>
      </c>
      <c r="S850" s="0" t="s">
        <v>290</v>
      </c>
      <c r="T850" s="0" t="s">
        <v>276</v>
      </c>
      <c r="U850" s="0" t="s">
        <v>277</v>
      </c>
    </row>
    <row r="851" customFormat="false" ht="15" hidden="false" customHeight="false" outlineLevel="0" collapsed="false">
      <c r="A851" s="0" t="n">
        <v>46</v>
      </c>
      <c r="B851" s="0" t="s">
        <v>93</v>
      </c>
      <c r="C851" s="0" t="s">
        <v>266</v>
      </c>
      <c r="D851" s="0" t="s">
        <v>3806</v>
      </c>
      <c r="E851" s="0" t="n">
        <v>2025</v>
      </c>
      <c r="H851" s="0" t="n">
        <v>8</v>
      </c>
      <c r="I851" s="0" t="n">
        <v>371</v>
      </c>
      <c r="J851" s="0" t="s">
        <v>268</v>
      </c>
      <c r="K851" s="0" t="s">
        <v>537</v>
      </c>
      <c r="L851" s="0" t="s">
        <v>293</v>
      </c>
      <c r="M851" s="0" t="s">
        <v>3807</v>
      </c>
      <c r="N851" s="0" t="s">
        <v>3807</v>
      </c>
      <c r="O851" s="0" t="s">
        <v>3808</v>
      </c>
      <c r="P851" s="0" t="s">
        <v>3809</v>
      </c>
      <c r="R851" s="0" t="s">
        <v>275</v>
      </c>
      <c r="S851" s="0" t="s">
        <v>290</v>
      </c>
      <c r="T851" s="0" t="s">
        <v>276</v>
      </c>
      <c r="U851" s="0" t="s">
        <v>277</v>
      </c>
    </row>
    <row r="852" customFormat="false" ht="15" hidden="false" customHeight="false" outlineLevel="0" collapsed="false">
      <c r="A852" s="0" t="n">
        <v>46</v>
      </c>
      <c r="B852" s="0" t="s">
        <v>93</v>
      </c>
      <c r="C852" s="0" t="s">
        <v>266</v>
      </c>
      <c r="D852" s="0" t="s">
        <v>3810</v>
      </c>
      <c r="E852" s="0" t="n">
        <v>2025</v>
      </c>
      <c r="H852" s="0" t="n">
        <v>12</v>
      </c>
      <c r="I852" s="0" t="n">
        <v>614</v>
      </c>
      <c r="J852" s="0" t="s">
        <v>268</v>
      </c>
      <c r="K852" s="0" t="s">
        <v>537</v>
      </c>
      <c r="L852" s="0" t="s">
        <v>293</v>
      </c>
      <c r="M852" s="0" t="s">
        <v>3811</v>
      </c>
      <c r="N852" s="0" t="s">
        <v>3811</v>
      </c>
      <c r="O852" s="0" t="s">
        <v>3812</v>
      </c>
      <c r="P852" s="0" t="s">
        <v>3813</v>
      </c>
      <c r="R852" s="0" t="s">
        <v>275</v>
      </c>
      <c r="S852" s="0" t="s">
        <v>290</v>
      </c>
      <c r="T852" s="0" t="s">
        <v>276</v>
      </c>
      <c r="U852" s="0" t="s">
        <v>277</v>
      </c>
    </row>
    <row r="853" customFormat="false" ht="15" hidden="false" customHeight="false" outlineLevel="0" collapsed="false">
      <c r="A853" s="0" t="n">
        <v>46</v>
      </c>
      <c r="B853" s="0" t="s">
        <v>93</v>
      </c>
      <c r="C853" s="0" t="s">
        <v>266</v>
      </c>
      <c r="D853" s="0" t="s">
        <v>3814</v>
      </c>
      <c r="E853" s="0" t="n">
        <v>2025</v>
      </c>
      <c r="H853" s="0" t="n">
        <v>12</v>
      </c>
      <c r="I853" s="0" t="n">
        <v>623</v>
      </c>
      <c r="J853" s="0" t="s">
        <v>268</v>
      </c>
      <c r="K853" s="0" t="s">
        <v>537</v>
      </c>
      <c r="L853" s="0" t="s">
        <v>293</v>
      </c>
      <c r="M853" s="0" t="s">
        <v>3815</v>
      </c>
      <c r="N853" s="0" t="s">
        <v>3815</v>
      </c>
      <c r="O853" s="0" t="s">
        <v>3816</v>
      </c>
      <c r="P853" s="0" t="s">
        <v>3817</v>
      </c>
      <c r="R853" s="0" t="s">
        <v>275</v>
      </c>
      <c r="S853" s="0" t="s">
        <v>290</v>
      </c>
      <c r="T853" s="0" t="s">
        <v>276</v>
      </c>
      <c r="U853" s="0" t="s">
        <v>277</v>
      </c>
    </row>
    <row r="854" customFormat="false" ht="15" hidden="false" customHeight="false" outlineLevel="0" collapsed="false">
      <c r="A854" s="0" t="n">
        <v>46</v>
      </c>
      <c r="B854" s="0" t="s">
        <v>93</v>
      </c>
      <c r="C854" s="0" t="s">
        <v>266</v>
      </c>
      <c r="D854" s="0" t="s">
        <v>3818</v>
      </c>
      <c r="E854" s="0" t="n">
        <v>2025</v>
      </c>
      <c r="H854" s="0" t="n">
        <v>4</v>
      </c>
      <c r="I854" s="0" t="n">
        <v>297</v>
      </c>
      <c r="J854" s="0" t="s">
        <v>268</v>
      </c>
      <c r="K854" s="0" t="s">
        <v>537</v>
      </c>
      <c r="L854" s="0" t="s">
        <v>293</v>
      </c>
      <c r="M854" s="0" t="s">
        <v>3819</v>
      </c>
      <c r="N854" s="0" t="s">
        <v>3819</v>
      </c>
      <c r="O854" s="0" t="s">
        <v>3820</v>
      </c>
      <c r="P854" s="0" t="s">
        <v>3821</v>
      </c>
      <c r="R854" s="0" t="s">
        <v>275</v>
      </c>
      <c r="S854" s="0" t="s">
        <v>290</v>
      </c>
      <c r="T854" s="0" t="s">
        <v>276</v>
      </c>
      <c r="U854" s="0" t="s">
        <v>277</v>
      </c>
    </row>
    <row r="855" customFormat="false" ht="15" hidden="false" customHeight="false" outlineLevel="0" collapsed="false">
      <c r="A855" s="0" t="n">
        <v>46</v>
      </c>
      <c r="B855" s="0" t="s">
        <v>93</v>
      </c>
      <c r="C855" s="0" t="s">
        <v>266</v>
      </c>
      <c r="D855" s="0" t="s">
        <v>3822</v>
      </c>
      <c r="E855" s="0" t="n">
        <v>2025</v>
      </c>
      <c r="H855" s="0" t="n">
        <v>2</v>
      </c>
      <c r="I855" s="0" t="n">
        <v>2737</v>
      </c>
      <c r="J855" s="0" t="s">
        <v>268</v>
      </c>
      <c r="K855" s="0" t="s">
        <v>537</v>
      </c>
      <c r="L855" s="0" t="s">
        <v>293</v>
      </c>
      <c r="M855" s="0" t="s">
        <v>3823</v>
      </c>
      <c r="N855" s="0" t="s">
        <v>3823</v>
      </c>
      <c r="O855" s="0" t="s">
        <v>3824</v>
      </c>
      <c r="P855" s="0" t="s">
        <v>3825</v>
      </c>
      <c r="R855" s="0" t="s">
        <v>275</v>
      </c>
      <c r="S855" s="0" t="s">
        <v>290</v>
      </c>
      <c r="T855" s="0" t="s">
        <v>276</v>
      </c>
      <c r="U855" s="0" t="s">
        <v>277</v>
      </c>
    </row>
    <row r="856" customFormat="false" ht="15" hidden="false" customHeight="false" outlineLevel="0" collapsed="false">
      <c r="A856" s="0" t="n">
        <v>46</v>
      </c>
      <c r="B856" s="0" t="s">
        <v>93</v>
      </c>
      <c r="C856" s="0" t="s">
        <v>266</v>
      </c>
      <c r="D856" s="0" t="s">
        <v>3826</v>
      </c>
      <c r="E856" s="0" t="n">
        <v>2025</v>
      </c>
      <c r="H856" s="0" t="n">
        <v>1</v>
      </c>
      <c r="I856" s="0" t="n">
        <v>1991</v>
      </c>
      <c r="J856" s="0" t="s">
        <v>268</v>
      </c>
      <c r="K856" s="0" t="s">
        <v>537</v>
      </c>
      <c r="L856" s="0" t="s">
        <v>293</v>
      </c>
      <c r="M856" s="0" t="s">
        <v>3827</v>
      </c>
      <c r="N856" s="0" t="s">
        <v>3827</v>
      </c>
      <c r="O856" s="0" t="s">
        <v>3828</v>
      </c>
      <c r="P856" s="0" t="s">
        <v>3829</v>
      </c>
      <c r="R856" s="0" t="s">
        <v>275</v>
      </c>
      <c r="S856" s="0" t="s">
        <v>290</v>
      </c>
      <c r="T856" s="0" t="s">
        <v>276</v>
      </c>
      <c r="U856" s="0" t="s">
        <v>277</v>
      </c>
    </row>
    <row r="857" customFormat="false" ht="15" hidden="false" customHeight="false" outlineLevel="0" collapsed="false">
      <c r="A857" s="0" t="n">
        <v>46</v>
      </c>
      <c r="B857" s="0" t="s">
        <v>93</v>
      </c>
      <c r="C857" s="0" t="s">
        <v>266</v>
      </c>
      <c r="D857" s="0" t="s">
        <v>3830</v>
      </c>
      <c r="E857" s="0" t="n">
        <v>2025</v>
      </c>
      <c r="H857" s="0" t="n">
        <v>9</v>
      </c>
      <c r="I857" s="0" t="n">
        <v>78</v>
      </c>
      <c r="J857" s="0" t="s">
        <v>268</v>
      </c>
      <c r="K857" s="0" t="s">
        <v>537</v>
      </c>
      <c r="L857" s="0" t="s">
        <v>293</v>
      </c>
      <c r="M857" s="0" t="s">
        <v>3831</v>
      </c>
      <c r="N857" s="0" t="s">
        <v>3831</v>
      </c>
      <c r="O857" s="0" t="s">
        <v>3832</v>
      </c>
      <c r="P857" s="0" t="s">
        <v>3833</v>
      </c>
      <c r="R857" s="0" t="s">
        <v>275</v>
      </c>
      <c r="S857" s="0" t="s">
        <v>290</v>
      </c>
      <c r="T857" s="0" t="s">
        <v>276</v>
      </c>
      <c r="U857" s="0" t="s">
        <v>277</v>
      </c>
    </row>
    <row r="858" customFormat="false" ht="15" hidden="false" customHeight="false" outlineLevel="0" collapsed="false">
      <c r="A858" s="0" t="n">
        <v>46</v>
      </c>
      <c r="B858" s="0" t="s">
        <v>93</v>
      </c>
      <c r="C858" s="0" t="s">
        <v>266</v>
      </c>
      <c r="D858" s="0" t="s">
        <v>3834</v>
      </c>
      <c r="E858" s="0" t="n">
        <v>2025</v>
      </c>
      <c r="H858" s="0" t="n">
        <v>20</v>
      </c>
      <c r="I858" s="0" t="n">
        <v>190</v>
      </c>
      <c r="J858" s="0" t="s">
        <v>268</v>
      </c>
      <c r="K858" s="0" t="s">
        <v>537</v>
      </c>
      <c r="L858" s="0" t="s">
        <v>293</v>
      </c>
      <c r="M858" s="0" t="s">
        <v>3835</v>
      </c>
      <c r="N858" s="0" t="s">
        <v>3835</v>
      </c>
      <c r="O858" s="0" t="s">
        <v>3836</v>
      </c>
      <c r="P858" s="0" t="s">
        <v>3837</v>
      </c>
      <c r="R858" s="0" t="s">
        <v>275</v>
      </c>
      <c r="S858" s="0" t="s">
        <v>290</v>
      </c>
      <c r="T858" s="0" t="s">
        <v>276</v>
      </c>
      <c r="U858" s="0" t="s">
        <v>277</v>
      </c>
    </row>
    <row r="859" customFormat="false" ht="15" hidden="false" customHeight="false" outlineLevel="0" collapsed="false">
      <c r="A859" s="0" t="n">
        <v>46</v>
      </c>
      <c r="B859" s="0" t="s">
        <v>93</v>
      </c>
      <c r="C859" s="0" t="s">
        <v>266</v>
      </c>
      <c r="D859" s="0" t="s">
        <v>3838</v>
      </c>
      <c r="E859" s="0" t="n">
        <v>2025</v>
      </c>
      <c r="H859" s="0" t="n">
        <v>5</v>
      </c>
      <c r="I859" s="0" t="n">
        <v>3698</v>
      </c>
      <c r="J859" s="0" t="s">
        <v>268</v>
      </c>
      <c r="K859" s="0" t="s">
        <v>537</v>
      </c>
      <c r="L859" s="0" t="s">
        <v>293</v>
      </c>
      <c r="M859" s="0" t="s">
        <v>3839</v>
      </c>
      <c r="N859" s="0" t="s">
        <v>3839</v>
      </c>
      <c r="O859" s="0" t="s">
        <v>3840</v>
      </c>
      <c r="P859" s="0" t="s">
        <v>3841</v>
      </c>
      <c r="R859" s="0" t="s">
        <v>275</v>
      </c>
      <c r="S859" s="0" t="s">
        <v>290</v>
      </c>
      <c r="T859" s="0" t="s">
        <v>276</v>
      </c>
      <c r="U859" s="0" t="s">
        <v>277</v>
      </c>
    </row>
    <row r="860" customFormat="false" ht="15" hidden="false" customHeight="false" outlineLevel="0" collapsed="false">
      <c r="A860" s="0" t="n">
        <v>46</v>
      </c>
      <c r="B860" s="0" t="s">
        <v>93</v>
      </c>
      <c r="C860" s="0" t="s">
        <v>266</v>
      </c>
      <c r="D860" s="0" t="s">
        <v>3842</v>
      </c>
      <c r="E860" s="0" t="n">
        <v>2025</v>
      </c>
      <c r="H860" s="0" t="n">
        <v>4</v>
      </c>
      <c r="I860" s="0" t="n">
        <v>4215</v>
      </c>
      <c r="J860" s="0" t="s">
        <v>268</v>
      </c>
      <c r="K860" s="0" t="s">
        <v>537</v>
      </c>
      <c r="L860" s="0" t="s">
        <v>293</v>
      </c>
      <c r="M860" s="0" t="s">
        <v>3843</v>
      </c>
      <c r="N860" s="0" t="s">
        <v>3843</v>
      </c>
      <c r="O860" s="0" t="s">
        <v>3844</v>
      </c>
      <c r="P860" s="0" t="s">
        <v>3845</v>
      </c>
      <c r="R860" s="0" t="s">
        <v>275</v>
      </c>
      <c r="S860" s="0" t="s">
        <v>290</v>
      </c>
      <c r="T860" s="0" t="s">
        <v>276</v>
      </c>
      <c r="U860" s="0" t="s">
        <v>277</v>
      </c>
    </row>
    <row r="861" customFormat="false" ht="15" hidden="false" customHeight="false" outlineLevel="0" collapsed="false">
      <c r="A861" s="0" t="n">
        <v>46</v>
      </c>
      <c r="B861" s="0" t="s">
        <v>93</v>
      </c>
      <c r="C861" s="0" t="s">
        <v>266</v>
      </c>
      <c r="D861" s="0" t="s">
        <v>3846</v>
      </c>
      <c r="E861" s="0" t="n">
        <v>2018</v>
      </c>
      <c r="H861" s="0" t="n">
        <v>12</v>
      </c>
      <c r="I861" s="0" t="n">
        <v>419</v>
      </c>
      <c r="J861" s="0" t="s">
        <v>268</v>
      </c>
      <c r="K861" s="0" t="s">
        <v>537</v>
      </c>
      <c r="L861" s="0" t="s">
        <v>293</v>
      </c>
      <c r="M861" s="0" t="s">
        <v>3847</v>
      </c>
      <c r="N861" s="0" t="s">
        <v>3847</v>
      </c>
      <c r="O861" s="0" t="s">
        <v>3848</v>
      </c>
      <c r="P861" s="0" t="s">
        <v>3849</v>
      </c>
      <c r="R861" s="0" t="s">
        <v>284</v>
      </c>
      <c r="S861" s="0" t="s">
        <v>290</v>
      </c>
      <c r="T861" s="0" t="s">
        <v>276</v>
      </c>
      <c r="U861" s="0" t="s">
        <v>277</v>
      </c>
    </row>
    <row r="862" customFormat="false" ht="15" hidden="false" customHeight="false" outlineLevel="0" collapsed="false">
      <c r="A862" s="0" t="n">
        <v>46</v>
      </c>
      <c r="B862" s="0" t="s">
        <v>93</v>
      </c>
      <c r="C862" s="0" t="s">
        <v>266</v>
      </c>
      <c r="D862" s="0" t="s">
        <v>3850</v>
      </c>
      <c r="E862" s="0" t="n">
        <v>2018</v>
      </c>
      <c r="H862" s="0" t="n">
        <v>12</v>
      </c>
      <c r="I862" s="0" t="n">
        <v>272</v>
      </c>
      <c r="J862" s="0" t="s">
        <v>268</v>
      </c>
      <c r="K862" s="0" t="s">
        <v>537</v>
      </c>
      <c r="L862" s="0" t="s">
        <v>293</v>
      </c>
      <c r="M862" s="0" t="s">
        <v>3851</v>
      </c>
      <c r="N862" s="0" t="s">
        <v>3851</v>
      </c>
      <c r="O862" s="0" t="s">
        <v>3852</v>
      </c>
      <c r="P862" s="0" t="s">
        <v>3853</v>
      </c>
      <c r="R862" s="0" t="s">
        <v>284</v>
      </c>
      <c r="S862" s="0" t="s">
        <v>290</v>
      </c>
      <c r="T862" s="0" t="s">
        <v>276</v>
      </c>
      <c r="U862" s="0" t="s">
        <v>277</v>
      </c>
    </row>
    <row r="863" customFormat="false" ht="15" hidden="false" customHeight="false" outlineLevel="0" collapsed="false">
      <c r="A863" s="0" t="n">
        <v>46</v>
      </c>
      <c r="B863" s="0" t="s">
        <v>93</v>
      </c>
      <c r="C863" s="0" t="s">
        <v>335</v>
      </c>
      <c r="D863" s="0" t="s">
        <v>3854</v>
      </c>
      <c r="E863" s="0" t="n">
        <v>2026</v>
      </c>
      <c r="H863" s="0" t="n">
        <v>1</v>
      </c>
      <c r="I863" s="0" t="n">
        <v>253</v>
      </c>
      <c r="J863" s="0" t="s">
        <v>290</v>
      </c>
      <c r="K863" s="0" t="s">
        <v>537</v>
      </c>
      <c r="L863" s="0" t="s">
        <v>293</v>
      </c>
      <c r="M863" s="0" t="s">
        <v>3855</v>
      </c>
      <c r="N863" s="0" t="s">
        <v>3855</v>
      </c>
      <c r="O863" s="0" t="s">
        <v>3856</v>
      </c>
      <c r="P863" s="0" t="s">
        <v>3857</v>
      </c>
      <c r="R863" s="0" t="s">
        <v>275</v>
      </c>
      <c r="S863" s="0" t="s">
        <v>268</v>
      </c>
      <c r="T863" s="0" t="s">
        <v>276</v>
      </c>
      <c r="U863" s="0" t="s">
        <v>277</v>
      </c>
    </row>
    <row r="864" customFormat="false" ht="15" hidden="false" customHeight="false" outlineLevel="0" collapsed="false">
      <c r="A864" s="0" t="n">
        <v>46</v>
      </c>
      <c r="B864" s="0" t="s">
        <v>93</v>
      </c>
      <c r="C864" s="0" t="s">
        <v>335</v>
      </c>
      <c r="D864" s="0" t="s">
        <v>3858</v>
      </c>
      <c r="E864" s="0" t="n">
        <v>2025</v>
      </c>
      <c r="H864" s="0" t="n">
        <v>10</v>
      </c>
      <c r="I864" s="0" t="n">
        <v>8894</v>
      </c>
      <c r="J864" s="0" t="s">
        <v>268</v>
      </c>
      <c r="K864" s="0" t="s">
        <v>537</v>
      </c>
      <c r="L864" s="0" t="s">
        <v>293</v>
      </c>
      <c r="M864" s="0" t="s">
        <v>3859</v>
      </c>
      <c r="N864" s="0" t="s">
        <v>3859</v>
      </c>
      <c r="O864" s="0" t="s">
        <v>3860</v>
      </c>
      <c r="P864" s="0" t="s">
        <v>3861</v>
      </c>
      <c r="R864" s="0" t="s">
        <v>275</v>
      </c>
      <c r="S864" s="0" t="s">
        <v>290</v>
      </c>
      <c r="T864" s="0" t="s">
        <v>276</v>
      </c>
      <c r="U864" s="0" t="s">
        <v>277</v>
      </c>
    </row>
    <row r="865" customFormat="false" ht="15" hidden="false" customHeight="false" outlineLevel="0" collapsed="false">
      <c r="A865" s="0" t="n">
        <v>46</v>
      </c>
      <c r="B865" s="0" t="s">
        <v>93</v>
      </c>
      <c r="C865" s="0" t="s">
        <v>530</v>
      </c>
      <c r="D865" s="0" t="s">
        <v>3862</v>
      </c>
      <c r="E865" s="0" t="n">
        <v>2025</v>
      </c>
      <c r="H865" s="0" t="n">
        <v>5</v>
      </c>
      <c r="I865" s="0" t="n">
        <v>1545</v>
      </c>
      <c r="J865" s="0" t="s">
        <v>268</v>
      </c>
      <c r="K865" s="0" t="s">
        <v>537</v>
      </c>
      <c r="L865" s="0" t="s">
        <v>293</v>
      </c>
      <c r="M865" s="0" t="s">
        <v>3863</v>
      </c>
      <c r="N865" s="0" t="s">
        <v>3863</v>
      </c>
      <c r="O865" s="0" t="s">
        <v>3864</v>
      </c>
      <c r="P865" s="0" t="s">
        <v>3865</v>
      </c>
      <c r="R865" s="0" t="s">
        <v>275</v>
      </c>
      <c r="S865" s="0" t="s">
        <v>268</v>
      </c>
      <c r="T865" s="0" t="s">
        <v>276</v>
      </c>
      <c r="U865" s="0" t="s">
        <v>277</v>
      </c>
    </row>
    <row r="866" customFormat="false" ht="15" hidden="false" customHeight="false" outlineLevel="0" collapsed="false">
      <c r="A866" s="0" t="n">
        <v>46</v>
      </c>
      <c r="B866" s="0" t="s">
        <v>93</v>
      </c>
      <c r="C866" s="0" t="s">
        <v>530</v>
      </c>
      <c r="D866" s="0" t="s">
        <v>3866</v>
      </c>
      <c r="E866" s="0" t="n">
        <v>2025</v>
      </c>
      <c r="H866" s="0" t="n">
        <v>5</v>
      </c>
      <c r="I866" s="0" t="n">
        <v>1272</v>
      </c>
      <c r="J866" s="0" t="s">
        <v>268</v>
      </c>
      <c r="K866" s="0" t="s">
        <v>537</v>
      </c>
      <c r="L866" s="0" t="s">
        <v>293</v>
      </c>
      <c r="M866" s="0" t="s">
        <v>3867</v>
      </c>
      <c r="N866" s="0" t="s">
        <v>3867</v>
      </c>
      <c r="O866" s="0" t="s">
        <v>3868</v>
      </c>
      <c r="P866" s="0" t="s">
        <v>3869</v>
      </c>
      <c r="R866" s="0" t="s">
        <v>275</v>
      </c>
      <c r="S866" s="0" t="s">
        <v>290</v>
      </c>
      <c r="T866" s="0" t="s">
        <v>276</v>
      </c>
      <c r="U866" s="0" t="s">
        <v>277</v>
      </c>
    </row>
    <row r="867" customFormat="false" ht="15" hidden="false" customHeight="false" outlineLevel="0" collapsed="false">
      <c r="A867" s="0" t="n">
        <v>46</v>
      </c>
      <c r="B867" s="0" t="s">
        <v>93</v>
      </c>
      <c r="C867" s="0" t="s">
        <v>480</v>
      </c>
      <c r="D867" s="0" t="s">
        <v>3870</v>
      </c>
      <c r="E867" s="0" t="n">
        <v>2026</v>
      </c>
      <c r="H867" s="0" t="n">
        <v>2</v>
      </c>
      <c r="I867" s="0" t="n">
        <v>1659</v>
      </c>
      <c r="J867" s="0" t="s">
        <v>268</v>
      </c>
      <c r="K867" s="0" t="s">
        <v>537</v>
      </c>
      <c r="L867" s="0" t="s">
        <v>293</v>
      </c>
      <c r="M867" s="0" t="s">
        <v>3871</v>
      </c>
      <c r="N867" s="0" t="s">
        <v>3871</v>
      </c>
      <c r="O867" s="0" t="s">
        <v>3872</v>
      </c>
      <c r="P867" s="0" t="s">
        <v>3873</v>
      </c>
      <c r="R867" s="0" t="s">
        <v>275</v>
      </c>
      <c r="S867" s="0" t="s">
        <v>268</v>
      </c>
      <c r="T867" s="0" t="s">
        <v>314</v>
      </c>
      <c r="U867" s="0" t="s">
        <v>277</v>
      </c>
      <c r="V867" s="0" t="s">
        <v>3741</v>
      </c>
    </row>
    <row r="868" customFormat="false" ht="15" hidden="false" customHeight="false" outlineLevel="0" collapsed="false">
      <c r="A868" s="0" t="n">
        <v>46</v>
      </c>
      <c r="B868" s="0" t="s">
        <v>93</v>
      </c>
      <c r="C868" s="0" t="s">
        <v>480</v>
      </c>
      <c r="D868" s="0" t="s">
        <v>3874</v>
      </c>
      <c r="E868" s="0" t="n">
        <v>2026</v>
      </c>
      <c r="H868" s="0" t="n">
        <v>2</v>
      </c>
      <c r="I868" s="0" t="n">
        <v>1662</v>
      </c>
      <c r="J868" s="0" t="s">
        <v>268</v>
      </c>
      <c r="K868" s="0" t="s">
        <v>537</v>
      </c>
      <c r="L868" s="0" t="s">
        <v>293</v>
      </c>
      <c r="M868" s="0" t="s">
        <v>3875</v>
      </c>
      <c r="N868" s="0" t="s">
        <v>3875</v>
      </c>
      <c r="O868" s="0" t="s">
        <v>3876</v>
      </c>
      <c r="P868" s="0" t="s">
        <v>3877</v>
      </c>
      <c r="R868" s="0" t="s">
        <v>275</v>
      </c>
      <c r="S868" s="0" t="s">
        <v>290</v>
      </c>
      <c r="T868" s="0" t="s">
        <v>314</v>
      </c>
      <c r="U868" s="0" t="s">
        <v>277</v>
      </c>
      <c r="V868" s="0" t="s">
        <v>3741</v>
      </c>
    </row>
    <row r="869" customFormat="false" ht="15" hidden="false" customHeight="false" outlineLevel="0" collapsed="false">
      <c r="A869" s="0" t="n">
        <v>46</v>
      </c>
      <c r="B869" s="0" t="s">
        <v>93</v>
      </c>
      <c r="C869" s="0" t="s">
        <v>480</v>
      </c>
      <c r="D869" s="0" t="s">
        <v>3878</v>
      </c>
      <c r="E869" s="0" t="n">
        <v>2025</v>
      </c>
      <c r="H869" s="0" t="n">
        <v>1</v>
      </c>
      <c r="I869" s="0" t="n">
        <v>49</v>
      </c>
      <c r="J869" s="0" t="s">
        <v>268</v>
      </c>
      <c r="K869" s="0" t="s">
        <v>537</v>
      </c>
      <c r="L869" s="0" t="s">
        <v>293</v>
      </c>
      <c r="M869" s="0" t="s">
        <v>3879</v>
      </c>
      <c r="N869" s="0" t="s">
        <v>3879</v>
      </c>
      <c r="O869" s="0" t="s">
        <v>3880</v>
      </c>
      <c r="P869" s="0" t="s">
        <v>3881</v>
      </c>
      <c r="R869" s="0" t="s">
        <v>275</v>
      </c>
      <c r="S869" s="0" t="s">
        <v>290</v>
      </c>
      <c r="T869" s="0" t="s">
        <v>276</v>
      </c>
      <c r="U869" s="0" t="s">
        <v>277</v>
      </c>
    </row>
    <row r="870" customFormat="false" ht="15" hidden="false" customHeight="false" outlineLevel="0" collapsed="false">
      <c r="A870" s="0" t="n">
        <v>46</v>
      </c>
      <c r="B870" s="0" t="s">
        <v>93</v>
      </c>
      <c r="C870" s="0" t="s">
        <v>278</v>
      </c>
      <c r="D870" s="0" t="s">
        <v>3882</v>
      </c>
      <c r="E870" s="0" t="n">
        <v>2025</v>
      </c>
      <c r="H870" s="0" t="n">
        <v>4</v>
      </c>
      <c r="I870" s="0" t="n">
        <v>297</v>
      </c>
      <c r="J870" s="0" t="s">
        <v>268</v>
      </c>
      <c r="K870" s="0" t="s">
        <v>537</v>
      </c>
      <c r="L870" s="0" t="s">
        <v>293</v>
      </c>
      <c r="M870" s="0" t="s">
        <v>3883</v>
      </c>
      <c r="N870" s="0" t="s">
        <v>3883</v>
      </c>
      <c r="O870" s="0" t="s">
        <v>3884</v>
      </c>
      <c r="P870" s="0" t="s">
        <v>3885</v>
      </c>
      <c r="R870" s="0" t="s">
        <v>275</v>
      </c>
      <c r="S870" s="0" t="s">
        <v>290</v>
      </c>
      <c r="T870" s="0" t="s">
        <v>276</v>
      </c>
      <c r="U870" s="0" t="s">
        <v>277</v>
      </c>
    </row>
    <row r="871" customFormat="false" ht="15" hidden="false" customHeight="false" outlineLevel="0" collapsed="false">
      <c r="A871" s="0" t="n">
        <v>46</v>
      </c>
      <c r="B871" s="0" t="s">
        <v>93</v>
      </c>
      <c r="C871" s="0" t="s">
        <v>278</v>
      </c>
      <c r="D871" s="0" t="s">
        <v>3886</v>
      </c>
      <c r="E871" s="0" t="n">
        <v>2025</v>
      </c>
      <c r="H871" s="0" t="n">
        <v>6</v>
      </c>
      <c r="I871" s="0" t="n">
        <v>1346</v>
      </c>
      <c r="J871" s="0" t="s">
        <v>268</v>
      </c>
      <c r="K871" s="0" t="s">
        <v>537</v>
      </c>
      <c r="L871" s="0" t="s">
        <v>293</v>
      </c>
      <c r="M871" s="0" t="s">
        <v>3887</v>
      </c>
      <c r="N871" s="0" t="s">
        <v>3887</v>
      </c>
      <c r="O871" s="0" t="s">
        <v>3888</v>
      </c>
      <c r="P871" s="0" t="s">
        <v>3889</v>
      </c>
      <c r="R871" s="0" t="s">
        <v>275</v>
      </c>
      <c r="S871" s="0" t="s">
        <v>268</v>
      </c>
      <c r="T871" s="0" t="s">
        <v>276</v>
      </c>
      <c r="U871" s="0" t="s">
        <v>277</v>
      </c>
    </row>
    <row r="872" customFormat="false" ht="15" hidden="false" customHeight="false" outlineLevel="0" collapsed="false">
      <c r="A872" s="0" t="n">
        <v>46</v>
      </c>
      <c r="B872" s="0" t="s">
        <v>93</v>
      </c>
      <c r="C872" s="0" t="s">
        <v>278</v>
      </c>
      <c r="D872" s="0" t="s">
        <v>3890</v>
      </c>
      <c r="E872" s="0" t="n">
        <v>2024</v>
      </c>
      <c r="H872" s="0" t="n">
        <v>3</v>
      </c>
      <c r="I872" s="0" t="n">
        <v>1646</v>
      </c>
      <c r="J872" s="0" t="s">
        <v>268</v>
      </c>
      <c r="K872" s="0" t="s">
        <v>537</v>
      </c>
      <c r="L872" s="0" t="s">
        <v>293</v>
      </c>
      <c r="M872" s="0" t="s">
        <v>3891</v>
      </c>
      <c r="N872" s="0" t="s">
        <v>3891</v>
      </c>
      <c r="O872" s="0" t="s">
        <v>3892</v>
      </c>
      <c r="P872" s="0" t="s">
        <v>3893</v>
      </c>
      <c r="R872" s="0" t="s">
        <v>284</v>
      </c>
      <c r="S872" s="0" t="s">
        <v>290</v>
      </c>
      <c r="T872" s="0" t="s">
        <v>314</v>
      </c>
      <c r="U872" s="0" t="s">
        <v>277</v>
      </c>
      <c r="V872" s="0" t="s">
        <v>3741</v>
      </c>
    </row>
    <row r="873" customFormat="false" ht="15" hidden="false" customHeight="false" outlineLevel="0" collapsed="false">
      <c r="A873" s="0" t="n">
        <v>46</v>
      </c>
      <c r="B873" s="0" t="s">
        <v>93</v>
      </c>
      <c r="C873" s="0" t="s">
        <v>887</v>
      </c>
      <c r="D873" s="0" t="s">
        <v>3894</v>
      </c>
      <c r="E873" s="0" t="n">
        <v>2026</v>
      </c>
      <c r="H873" s="0" t="n">
        <v>22</v>
      </c>
      <c r="I873" s="0" t="n">
        <v>5930</v>
      </c>
      <c r="J873" s="0" t="s">
        <v>268</v>
      </c>
      <c r="K873" s="0" t="s">
        <v>537</v>
      </c>
      <c r="L873" s="0" t="s">
        <v>293</v>
      </c>
      <c r="M873" s="0" t="s">
        <v>3895</v>
      </c>
      <c r="N873" s="0" t="s">
        <v>3895</v>
      </c>
      <c r="O873" s="0" t="s">
        <v>3896</v>
      </c>
      <c r="P873" s="0" t="s">
        <v>3897</v>
      </c>
      <c r="R873" s="0" t="s">
        <v>275</v>
      </c>
      <c r="S873" s="0" t="s">
        <v>268</v>
      </c>
      <c r="T873" s="0" t="s">
        <v>276</v>
      </c>
      <c r="U873" s="0" t="s">
        <v>277</v>
      </c>
    </row>
    <row r="874" customFormat="false" ht="15" hidden="false" customHeight="false" outlineLevel="0" collapsed="false">
      <c r="A874" s="0" t="n">
        <v>46</v>
      </c>
      <c r="B874" s="0" t="s">
        <v>93</v>
      </c>
      <c r="C874" s="0" t="s">
        <v>887</v>
      </c>
      <c r="D874" s="0" t="s">
        <v>3898</v>
      </c>
      <c r="E874" s="0" t="n">
        <v>2026</v>
      </c>
      <c r="H874" s="0" t="n">
        <v>4</v>
      </c>
      <c r="I874" s="0" t="n">
        <v>407</v>
      </c>
      <c r="J874" s="0" t="s">
        <v>268</v>
      </c>
      <c r="K874" s="0" t="s">
        <v>537</v>
      </c>
      <c r="L874" s="0" t="s">
        <v>293</v>
      </c>
      <c r="M874" s="0" t="s">
        <v>3899</v>
      </c>
      <c r="N874" s="0" t="s">
        <v>3899</v>
      </c>
      <c r="O874" s="0" t="s">
        <v>3900</v>
      </c>
      <c r="P874" s="0" t="s">
        <v>3901</v>
      </c>
      <c r="R874" s="0" t="s">
        <v>275</v>
      </c>
      <c r="S874" s="0" t="s">
        <v>290</v>
      </c>
      <c r="T874" s="0" t="s">
        <v>314</v>
      </c>
      <c r="U874" s="0" t="s">
        <v>277</v>
      </c>
      <c r="V874" s="0" t="s">
        <v>3741</v>
      </c>
    </row>
    <row r="875" customFormat="false" ht="15" hidden="false" customHeight="false" outlineLevel="0" collapsed="false">
      <c r="A875" s="0" t="n">
        <v>46</v>
      </c>
      <c r="B875" s="0" t="s">
        <v>93</v>
      </c>
      <c r="C875" s="0" t="s">
        <v>887</v>
      </c>
      <c r="D875" s="0" t="s">
        <v>3902</v>
      </c>
      <c r="E875" s="0" t="n">
        <v>2026</v>
      </c>
      <c r="H875" s="0" t="n">
        <v>4</v>
      </c>
      <c r="I875" s="0" t="n">
        <v>243</v>
      </c>
      <c r="J875" s="0" t="s">
        <v>268</v>
      </c>
      <c r="K875" s="0" t="s">
        <v>537</v>
      </c>
      <c r="L875" s="0" t="s">
        <v>293</v>
      </c>
      <c r="M875" s="0" t="s">
        <v>3903</v>
      </c>
      <c r="N875" s="0" t="s">
        <v>3903</v>
      </c>
      <c r="O875" s="0" t="s">
        <v>3904</v>
      </c>
      <c r="P875" s="0" t="s">
        <v>3905</v>
      </c>
      <c r="R875" s="0" t="s">
        <v>275</v>
      </c>
      <c r="S875" s="0" t="s">
        <v>290</v>
      </c>
      <c r="T875" s="0" t="s">
        <v>314</v>
      </c>
      <c r="U875" s="0" t="s">
        <v>277</v>
      </c>
      <c r="V875" s="0" t="s">
        <v>3741</v>
      </c>
    </row>
    <row r="876" customFormat="false" ht="15" hidden="false" customHeight="false" outlineLevel="0" collapsed="false">
      <c r="A876" s="0" t="n">
        <v>46</v>
      </c>
      <c r="B876" s="0" t="s">
        <v>93</v>
      </c>
      <c r="C876" s="0" t="s">
        <v>887</v>
      </c>
      <c r="D876" s="0" t="s">
        <v>3906</v>
      </c>
      <c r="E876" s="0" t="n">
        <v>2026</v>
      </c>
      <c r="H876" s="0" t="n">
        <v>4</v>
      </c>
      <c r="I876" s="0" t="n">
        <v>215</v>
      </c>
      <c r="J876" s="0" t="s">
        <v>268</v>
      </c>
      <c r="K876" s="0" t="s">
        <v>537</v>
      </c>
      <c r="L876" s="0" t="s">
        <v>293</v>
      </c>
      <c r="M876" s="0" t="s">
        <v>3907</v>
      </c>
      <c r="N876" s="0" t="s">
        <v>3907</v>
      </c>
      <c r="O876" s="0" t="s">
        <v>3908</v>
      </c>
      <c r="P876" s="0" t="s">
        <v>3909</v>
      </c>
      <c r="R876" s="0" t="s">
        <v>275</v>
      </c>
      <c r="S876" s="0" t="s">
        <v>290</v>
      </c>
      <c r="T876" s="0" t="s">
        <v>314</v>
      </c>
      <c r="U876" s="0" t="s">
        <v>277</v>
      </c>
      <c r="V876" s="0" t="s">
        <v>3741</v>
      </c>
    </row>
    <row r="877" customFormat="false" ht="15" hidden="false" customHeight="false" outlineLevel="0" collapsed="false">
      <c r="A877" s="0" t="n">
        <v>46</v>
      </c>
      <c r="B877" s="0" t="s">
        <v>93</v>
      </c>
      <c r="C877" s="0" t="s">
        <v>887</v>
      </c>
      <c r="D877" s="0" t="s">
        <v>3910</v>
      </c>
      <c r="E877" s="0" t="n">
        <v>2025</v>
      </c>
      <c r="H877" s="0" t="n">
        <v>3</v>
      </c>
      <c r="I877" s="0" t="n">
        <v>262</v>
      </c>
      <c r="J877" s="0" t="s">
        <v>268</v>
      </c>
      <c r="K877" s="0" t="s">
        <v>537</v>
      </c>
      <c r="L877" s="0" t="s">
        <v>293</v>
      </c>
      <c r="M877" s="0" t="s">
        <v>3911</v>
      </c>
      <c r="N877" s="0" t="s">
        <v>3911</v>
      </c>
      <c r="O877" s="0" t="s">
        <v>3912</v>
      </c>
      <c r="P877" s="0" t="s">
        <v>3913</v>
      </c>
      <c r="R877" s="0" t="s">
        <v>275</v>
      </c>
      <c r="S877" s="0" t="s">
        <v>290</v>
      </c>
      <c r="T877" s="0" t="s">
        <v>276</v>
      </c>
      <c r="U877" s="0" t="s">
        <v>277</v>
      </c>
    </row>
    <row r="878" customFormat="false" ht="15" hidden="false" customHeight="false" outlineLevel="0" collapsed="false">
      <c r="A878" s="0" t="n">
        <v>46</v>
      </c>
      <c r="B878" s="0" t="s">
        <v>93</v>
      </c>
      <c r="C878" s="0" t="s">
        <v>887</v>
      </c>
      <c r="D878" s="0" t="s">
        <v>3914</v>
      </c>
      <c r="E878" s="0" t="n">
        <v>2025</v>
      </c>
      <c r="H878" s="0" t="n">
        <v>4</v>
      </c>
      <c r="I878" s="0" t="n">
        <v>378</v>
      </c>
      <c r="J878" s="0" t="s">
        <v>268</v>
      </c>
      <c r="K878" s="0" t="s">
        <v>537</v>
      </c>
      <c r="L878" s="0" t="s">
        <v>293</v>
      </c>
      <c r="M878" s="0" t="s">
        <v>3915</v>
      </c>
      <c r="N878" s="0" t="s">
        <v>3915</v>
      </c>
      <c r="O878" s="0" t="s">
        <v>3916</v>
      </c>
      <c r="P878" s="0" t="s">
        <v>3917</v>
      </c>
      <c r="R878" s="0" t="s">
        <v>275</v>
      </c>
      <c r="S878" s="0" t="s">
        <v>290</v>
      </c>
      <c r="T878" s="0" t="s">
        <v>314</v>
      </c>
      <c r="U878" s="0" t="s">
        <v>277</v>
      </c>
      <c r="V878" s="0" t="s">
        <v>3741</v>
      </c>
    </row>
    <row r="879" customFormat="false" ht="15" hidden="false" customHeight="false" outlineLevel="0" collapsed="false">
      <c r="A879" s="0" t="n">
        <v>46</v>
      </c>
      <c r="B879" s="0" t="s">
        <v>93</v>
      </c>
      <c r="C879" s="0" t="s">
        <v>494</v>
      </c>
      <c r="D879" s="0" t="s">
        <v>3918</v>
      </c>
      <c r="E879" s="0" t="n">
        <v>2026</v>
      </c>
      <c r="H879" s="0" t="n">
        <v>4</v>
      </c>
      <c r="I879" s="0" t="n">
        <v>993</v>
      </c>
      <c r="J879" s="0" t="s">
        <v>268</v>
      </c>
      <c r="K879" s="0" t="s">
        <v>537</v>
      </c>
      <c r="L879" s="0" t="s">
        <v>293</v>
      </c>
      <c r="M879" s="0" t="s">
        <v>3919</v>
      </c>
      <c r="N879" s="0" t="s">
        <v>3919</v>
      </c>
      <c r="O879" s="0" t="s">
        <v>3920</v>
      </c>
      <c r="P879" s="0" t="s">
        <v>3921</v>
      </c>
      <c r="R879" s="0" t="s">
        <v>275</v>
      </c>
      <c r="S879" s="0" t="s">
        <v>268</v>
      </c>
      <c r="T879" s="0" t="s">
        <v>314</v>
      </c>
      <c r="U879" s="0" t="s">
        <v>277</v>
      </c>
      <c r="V879" s="0" t="s">
        <v>3741</v>
      </c>
    </row>
    <row r="880" customFormat="false" ht="15" hidden="false" customHeight="false" outlineLevel="0" collapsed="false">
      <c r="A880" s="0" t="n">
        <v>46</v>
      </c>
      <c r="B880" s="0" t="s">
        <v>93</v>
      </c>
      <c r="C880" s="0" t="s">
        <v>494</v>
      </c>
      <c r="D880" s="0" t="s">
        <v>3922</v>
      </c>
      <c r="E880" s="0" t="n">
        <v>2026</v>
      </c>
      <c r="H880" s="0" t="n">
        <v>4</v>
      </c>
      <c r="I880" s="0" t="n">
        <v>1079</v>
      </c>
      <c r="J880" s="0" t="s">
        <v>268</v>
      </c>
      <c r="K880" s="0" t="s">
        <v>537</v>
      </c>
      <c r="L880" s="0" t="s">
        <v>293</v>
      </c>
      <c r="M880" s="0" t="s">
        <v>3923</v>
      </c>
      <c r="N880" s="0" t="s">
        <v>3923</v>
      </c>
      <c r="O880" s="0" t="s">
        <v>3924</v>
      </c>
      <c r="P880" s="0" t="s">
        <v>3925</v>
      </c>
      <c r="R880" s="0" t="s">
        <v>275</v>
      </c>
      <c r="S880" s="0" t="s">
        <v>290</v>
      </c>
      <c r="T880" s="0" t="s">
        <v>314</v>
      </c>
      <c r="U880" s="0" t="s">
        <v>277</v>
      </c>
      <c r="V880" s="0" t="s">
        <v>3741</v>
      </c>
    </row>
    <row r="881" customFormat="false" ht="15" hidden="false" customHeight="false" outlineLevel="0" collapsed="false">
      <c r="A881" s="0" t="n">
        <v>46</v>
      </c>
      <c r="B881" s="0" t="s">
        <v>93</v>
      </c>
      <c r="C881" s="0" t="s">
        <v>494</v>
      </c>
      <c r="D881" s="0" t="s">
        <v>3926</v>
      </c>
      <c r="E881" s="0" t="n">
        <v>2026</v>
      </c>
      <c r="H881" s="0" t="n">
        <v>3</v>
      </c>
      <c r="I881" s="0" t="n">
        <v>669</v>
      </c>
      <c r="J881" s="0" t="s">
        <v>268</v>
      </c>
      <c r="K881" s="0" t="s">
        <v>537</v>
      </c>
      <c r="L881" s="0" t="s">
        <v>293</v>
      </c>
      <c r="M881" s="0" t="s">
        <v>3927</v>
      </c>
      <c r="N881" s="0" t="s">
        <v>3927</v>
      </c>
      <c r="O881" s="0" t="s">
        <v>3928</v>
      </c>
      <c r="P881" s="0" t="s">
        <v>3929</v>
      </c>
      <c r="R881" s="0" t="s">
        <v>275</v>
      </c>
      <c r="S881" s="0" t="s">
        <v>290</v>
      </c>
      <c r="T881" s="0" t="s">
        <v>276</v>
      </c>
      <c r="U881" s="0" t="s">
        <v>277</v>
      </c>
    </row>
    <row r="882" customFormat="false" ht="15" hidden="false" customHeight="false" outlineLevel="0" collapsed="false">
      <c r="A882" s="0" t="n">
        <v>46</v>
      </c>
      <c r="B882" s="0" t="s">
        <v>93</v>
      </c>
      <c r="C882" s="0" t="s">
        <v>494</v>
      </c>
      <c r="D882" s="0" t="s">
        <v>3930</v>
      </c>
      <c r="E882" s="0" t="n">
        <v>2026</v>
      </c>
      <c r="H882" s="0" t="n">
        <v>2</v>
      </c>
      <c r="I882" s="0" t="n">
        <v>554</v>
      </c>
      <c r="J882" s="0" t="s">
        <v>268</v>
      </c>
      <c r="K882" s="0" t="s">
        <v>537</v>
      </c>
      <c r="L882" s="0" t="s">
        <v>293</v>
      </c>
      <c r="M882" s="0" t="s">
        <v>3931</v>
      </c>
      <c r="N882" s="0" t="s">
        <v>3931</v>
      </c>
      <c r="O882" s="0" t="s">
        <v>3932</v>
      </c>
      <c r="P882" s="0" t="s">
        <v>3933</v>
      </c>
      <c r="R882" s="0" t="s">
        <v>275</v>
      </c>
      <c r="S882" s="0" t="s">
        <v>290</v>
      </c>
      <c r="T882" s="0" t="s">
        <v>314</v>
      </c>
      <c r="U882" s="0" t="s">
        <v>277</v>
      </c>
      <c r="V882" s="0" t="s">
        <v>3741</v>
      </c>
    </row>
    <row r="883" customFormat="false" ht="15" hidden="false" customHeight="false" outlineLevel="0" collapsed="false">
      <c r="A883" s="0" t="n">
        <v>46</v>
      </c>
      <c r="B883" s="0" t="s">
        <v>93</v>
      </c>
      <c r="C883" s="0" t="s">
        <v>494</v>
      </c>
      <c r="D883" s="0" t="s">
        <v>3934</v>
      </c>
      <c r="E883" s="0" t="n">
        <v>2026</v>
      </c>
      <c r="H883" s="0" t="n">
        <v>3</v>
      </c>
      <c r="I883" s="0" t="n">
        <v>2237</v>
      </c>
      <c r="J883" s="0" t="s">
        <v>268</v>
      </c>
      <c r="K883" s="0" t="s">
        <v>537</v>
      </c>
      <c r="L883" s="0" t="s">
        <v>293</v>
      </c>
      <c r="M883" s="0" t="s">
        <v>3935</v>
      </c>
      <c r="N883" s="0" t="s">
        <v>3935</v>
      </c>
      <c r="O883" s="0" t="s">
        <v>3936</v>
      </c>
      <c r="P883" s="0" t="s">
        <v>3937</v>
      </c>
      <c r="R883" s="0" t="s">
        <v>275</v>
      </c>
      <c r="S883" s="0" t="s">
        <v>290</v>
      </c>
      <c r="T883" s="0" t="s">
        <v>314</v>
      </c>
      <c r="U883" s="0" t="s">
        <v>277</v>
      </c>
      <c r="V883" s="0" t="s">
        <v>3741</v>
      </c>
    </row>
    <row r="884" customFormat="false" ht="15" hidden="false" customHeight="false" outlineLevel="0" collapsed="false">
      <c r="A884" s="0" t="n">
        <v>46</v>
      </c>
      <c r="B884" s="0" t="s">
        <v>93</v>
      </c>
      <c r="C884" s="0" t="s">
        <v>494</v>
      </c>
      <c r="D884" s="0" t="s">
        <v>3938</v>
      </c>
      <c r="E884" s="0" t="n">
        <v>2026</v>
      </c>
      <c r="H884" s="0" t="n">
        <v>3</v>
      </c>
      <c r="I884" s="0" t="n">
        <v>627</v>
      </c>
      <c r="J884" s="0" t="s">
        <v>268</v>
      </c>
      <c r="K884" s="0" t="s">
        <v>537</v>
      </c>
      <c r="L884" s="0" t="s">
        <v>293</v>
      </c>
      <c r="M884" s="0" t="s">
        <v>3939</v>
      </c>
      <c r="N884" s="0" t="s">
        <v>3939</v>
      </c>
      <c r="O884" s="0" t="s">
        <v>3940</v>
      </c>
      <c r="P884" s="0" t="s">
        <v>3941</v>
      </c>
      <c r="R884" s="0" t="s">
        <v>275</v>
      </c>
      <c r="S884" s="0" t="s">
        <v>290</v>
      </c>
      <c r="T884" s="0" t="s">
        <v>314</v>
      </c>
      <c r="U884" s="0" t="s">
        <v>277</v>
      </c>
      <c r="V884" s="0" t="s">
        <v>3741</v>
      </c>
    </row>
    <row r="885" customFormat="false" ht="15" hidden="false" customHeight="false" outlineLevel="0" collapsed="false">
      <c r="A885" s="0" t="n">
        <v>46</v>
      </c>
      <c r="B885" s="0" t="s">
        <v>93</v>
      </c>
      <c r="C885" s="0" t="s">
        <v>494</v>
      </c>
      <c r="D885" s="0" t="s">
        <v>3942</v>
      </c>
      <c r="E885" s="0" t="n">
        <v>2026</v>
      </c>
      <c r="H885" s="0" t="n">
        <v>1</v>
      </c>
      <c r="I885" s="0" t="n">
        <v>442</v>
      </c>
      <c r="J885" s="0" t="s">
        <v>268</v>
      </c>
      <c r="K885" s="0" t="s">
        <v>537</v>
      </c>
      <c r="L885" s="0" t="s">
        <v>293</v>
      </c>
      <c r="M885" s="0" t="s">
        <v>3943</v>
      </c>
      <c r="N885" s="0" t="s">
        <v>3943</v>
      </c>
      <c r="O885" s="0" t="s">
        <v>3944</v>
      </c>
      <c r="P885" s="0" t="s">
        <v>3945</v>
      </c>
      <c r="R885" s="0" t="s">
        <v>275</v>
      </c>
      <c r="S885" s="0" t="s">
        <v>290</v>
      </c>
      <c r="T885" s="0" t="s">
        <v>314</v>
      </c>
      <c r="U885" s="0" t="s">
        <v>277</v>
      </c>
      <c r="V885" s="0" t="s">
        <v>3741</v>
      </c>
    </row>
    <row r="886" customFormat="false" ht="15" hidden="false" customHeight="false" outlineLevel="0" collapsed="false">
      <c r="A886" s="0" t="n">
        <v>46</v>
      </c>
      <c r="B886" s="0" t="s">
        <v>93</v>
      </c>
      <c r="C886" s="0" t="s">
        <v>494</v>
      </c>
      <c r="D886" s="0" t="s">
        <v>3946</v>
      </c>
      <c r="E886" s="0" t="n">
        <v>2025</v>
      </c>
      <c r="H886" s="0" t="n">
        <v>3</v>
      </c>
      <c r="I886" s="0" t="n">
        <v>288</v>
      </c>
      <c r="J886" s="0" t="s">
        <v>268</v>
      </c>
      <c r="K886" s="0" t="s">
        <v>537</v>
      </c>
      <c r="L886" s="0" t="s">
        <v>293</v>
      </c>
      <c r="M886" s="0" t="s">
        <v>3947</v>
      </c>
      <c r="N886" s="0" t="s">
        <v>3947</v>
      </c>
      <c r="O886" s="0" t="s">
        <v>3948</v>
      </c>
      <c r="P886" s="0" t="s">
        <v>3949</v>
      </c>
      <c r="R886" s="0" t="s">
        <v>275</v>
      </c>
      <c r="S886" s="0" t="s">
        <v>290</v>
      </c>
      <c r="T886" s="0" t="s">
        <v>276</v>
      </c>
      <c r="U886" s="0" t="s">
        <v>277</v>
      </c>
    </row>
    <row r="887" customFormat="false" ht="15" hidden="false" customHeight="false" outlineLevel="0" collapsed="false">
      <c r="A887" s="0" t="n">
        <v>46</v>
      </c>
      <c r="B887" s="0" t="s">
        <v>93</v>
      </c>
      <c r="C887" s="0" t="s">
        <v>494</v>
      </c>
      <c r="D887" s="0" t="s">
        <v>3950</v>
      </c>
      <c r="E887" s="0" t="n">
        <v>2025</v>
      </c>
      <c r="H887" s="0" t="n">
        <v>3</v>
      </c>
      <c r="I887" s="0" t="n">
        <v>327</v>
      </c>
      <c r="J887" s="0" t="s">
        <v>268</v>
      </c>
      <c r="K887" s="0" t="s">
        <v>537</v>
      </c>
      <c r="L887" s="0" t="s">
        <v>293</v>
      </c>
      <c r="M887" s="0" t="s">
        <v>3951</v>
      </c>
      <c r="N887" s="0" t="s">
        <v>3951</v>
      </c>
      <c r="O887" s="0" t="s">
        <v>3952</v>
      </c>
      <c r="P887" s="0" t="s">
        <v>3953</v>
      </c>
      <c r="R887" s="0" t="s">
        <v>275</v>
      </c>
      <c r="S887" s="0" t="s">
        <v>290</v>
      </c>
      <c r="T887" s="0" t="s">
        <v>276</v>
      </c>
      <c r="U887" s="0" t="s">
        <v>277</v>
      </c>
    </row>
    <row r="888" customFormat="false" ht="15" hidden="false" customHeight="false" outlineLevel="0" collapsed="false">
      <c r="A888" s="0" t="n">
        <v>46</v>
      </c>
      <c r="B888" s="0" t="s">
        <v>93</v>
      </c>
      <c r="C888" s="0" t="s">
        <v>494</v>
      </c>
      <c r="D888" s="0" t="s">
        <v>3954</v>
      </c>
      <c r="E888" s="0" t="n">
        <v>2023</v>
      </c>
      <c r="H888" s="0" t="n">
        <v>8</v>
      </c>
      <c r="I888" s="0" t="n">
        <v>1043</v>
      </c>
      <c r="J888" s="0" t="s">
        <v>268</v>
      </c>
      <c r="K888" s="0" t="s">
        <v>537</v>
      </c>
      <c r="L888" s="0" t="s">
        <v>293</v>
      </c>
      <c r="M888" s="0" t="s">
        <v>3955</v>
      </c>
      <c r="N888" s="0" t="s">
        <v>3955</v>
      </c>
      <c r="O888" s="0" t="s">
        <v>3956</v>
      </c>
      <c r="P888" s="0" t="s">
        <v>3957</v>
      </c>
      <c r="R888" s="0" t="s">
        <v>284</v>
      </c>
      <c r="S888" s="0" t="s">
        <v>290</v>
      </c>
      <c r="T888" s="0" t="s">
        <v>276</v>
      </c>
      <c r="U888" s="0" t="s">
        <v>277</v>
      </c>
    </row>
    <row r="889" customFormat="false" ht="15" hidden="false" customHeight="false" outlineLevel="0" collapsed="false">
      <c r="A889" s="0" t="n">
        <v>46</v>
      </c>
      <c r="B889" s="0" t="s">
        <v>93</v>
      </c>
      <c r="C889" s="0" t="s">
        <v>494</v>
      </c>
      <c r="D889" s="0" t="s">
        <v>3958</v>
      </c>
      <c r="E889" s="0" t="n">
        <v>2023</v>
      </c>
      <c r="H889" s="0" t="n">
        <v>7</v>
      </c>
      <c r="I889" s="0" t="n">
        <v>2140</v>
      </c>
      <c r="J889" s="0" t="s">
        <v>268</v>
      </c>
      <c r="K889" s="0" t="s">
        <v>537</v>
      </c>
      <c r="L889" s="0" t="s">
        <v>293</v>
      </c>
      <c r="M889" s="0" t="s">
        <v>3959</v>
      </c>
      <c r="N889" s="0" t="s">
        <v>3959</v>
      </c>
      <c r="O889" s="0" t="s">
        <v>3960</v>
      </c>
      <c r="P889" s="0" t="s">
        <v>3961</v>
      </c>
      <c r="R889" s="0" t="s">
        <v>284</v>
      </c>
      <c r="S889" s="0" t="s">
        <v>290</v>
      </c>
      <c r="T889" s="0" t="s">
        <v>276</v>
      </c>
      <c r="U889" s="0" t="s">
        <v>277</v>
      </c>
    </row>
    <row r="890" customFormat="false" ht="15" hidden="false" customHeight="false" outlineLevel="0" collapsed="false">
      <c r="A890" s="0" t="n">
        <v>48</v>
      </c>
      <c r="B890" s="0" t="s">
        <v>95</v>
      </c>
      <c r="C890" s="0" t="s">
        <v>56</v>
      </c>
      <c r="D890" s="0" t="s">
        <v>3962</v>
      </c>
      <c r="E890" s="0" t="n">
        <v>2026</v>
      </c>
      <c r="H890" s="0" t="n">
        <v>7</v>
      </c>
      <c r="I890" s="0" t="n">
        <v>7328</v>
      </c>
      <c r="J890" s="0" t="s">
        <v>268</v>
      </c>
      <c r="K890" s="0" t="s">
        <v>298</v>
      </c>
      <c r="L890" s="0" t="s">
        <v>270</v>
      </c>
      <c r="M890" s="0" t="s">
        <v>3963</v>
      </c>
      <c r="N890" s="0" t="s">
        <v>3963</v>
      </c>
      <c r="O890" s="0" t="s">
        <v>3964</v>
      </c>
      <c r="P890" s="0" t="s">
        <v>3965</v>
      </c>
      <c r="R890" s="0" t="s">
        <v>275</v>
      </c>
      <c r="S890" s="0" t="s">
        <v>268</v>
      </c>
      <c r="T890" s="0" t="s">
        <v>276</v>
      </c>
      <c r="U890" s="0" t="s">
        <v>277</v>
      </c>
    </row>
    <row r="891" customFormat="false" ht="15" hidden="false" customHeight="false" outlineLevel="0" collapsed="false">
      <c r="A891" s="0" t="n">
        <v>48</v>
      </c>
      <c r="B891" s="0" t="s">
        <v>95</v>
      </c>
      <c r="C891" s="0" t="s">
        <v>309</v>
      </c>
      <c r="D891" s="0" t="s">
        <v>3966</v>
      </c>
      <c r="E891" s="0" t="n">
        <v>2024</v>
      </c>
      <c r="H891" s="0" t="n">
        <v>2</v>
      </c>
      <c r="I891" s="0" t="n">
        <v>1874</v>
      </c>
      <c r="J891" s="0" t="s">
        <v>268</v>
      </c>
      <c r="K891" s="0" t="s">
        <v>298</v>
      </c>
      <c r="L891" s="0" t="s">
        <v>270</v>
      </c>
      <c r="M891" s="0" t="s">
        <v>3967</v>
      </c>
      <c r="N891" s="0" t="s">
        <v>3967</v>
      </c>
      <c r="O891" s="0" t="s">
        <v>3968</v>
      </c>
      <c r="P891" s="0" t="s">
        <v>3969</v>
      </c>
      <c r="R891" s="0" t="s">
        <v>284</v>
      </c>
      <c r="S891" s="0" t="s">
        <v>268</v>
      </c>
      <c r="T891" s="0" t="s">
        <v>276</v>
      </c>
      <c r="U891" s="0" t="s">
        <v>277</v>
      </c>
    </row>
    <row r="892" customFormat="false" ht="15" hidden="false" customHeight="false" outlineLevel="0" collapsed="false">
      <c r="A892" s="0" t="n">
        <v>48</v>
      </c>
      <c r="B892" s="0" t="s">
        <v>95</v>
      </c>
      <c r="C892" s="0" t="s">
        <v>887</v>
      </c>
      <c r="D892" s="0" t="s">
        <v>3970</v>
      </c>
      <c r="E892" s="0" t="n">
        <v>2026</v>
      </c>
      <c r="H892" s="0" t="n">
        <v>14</v>
      </c>
      <c r="I892" s="0" t="n">
        <v>4501</v>
      </c>
      <c r="J892" s="0" t="s">
        <v>268</v>
      </c>
      <c r="K892" s="0" t="s">
        <v>286</v>
      </c>
      <c r="L892" s="0" t="s">
        <v>270</v>
      </c>
      <c r="M892" s="0" t="s">
        <v>3971</v>
      </c>
      <c r="N892" s="0" t="s">
        <v>3971</v>
      </c>
      <c r="O892" s="0" t="s">
        <v>3972</v>
      </c>
      <c r="P892" s="0" t="s">
        <v>3973</v>
      </c>
      <c r="R892" s="0" t="s">
        <v>275</v>
      </c>
      <c r="S892" s="0" t="s">
        <v>290</v>
      </c>
      <c r="T892" s="0" t="s">
        <v>276</v>
      </c>
      <c r="U892" s="0" t="s">
        <v>277</v>
      </c>
    </row>
    <row r="893" customFormat="false" ht="15" hidden="false" customHeight="false" outlineLevel="0" collapsed="false">
      <c r="A893" s="0" t="n">
        <v>48</v>
      </c>
      <c r="B893" s="0" t="s">
        <v>95</v>
      </c>
      <c r="C893" s="0" t="s">
        <v>887</v>
      </c>
      <c r="D893" s="0" t="s">
        <v>3974</v>
      </c>
      <c r="E893" s="0" t="n">
        <v>2026</v>
      </c>
      <c r="H893" s="0" t="n">
        <v>15</v>
      </c>
      <c r="I893" s="0" t="n">
        <v>4706</v>
      </c>
      <c r="J893" s="0" t="s">
        <v>268</v>
      </c>
      <c r="K893" s="0" t="s">
        <v>286</v>
      </c>
      <c r="L893" s="0" t="s">
        <v>270</v>
      </c>
      <c r="M893" s="0" t="s">
        <v>3975</v>
      </c>
      <c r="N893" s="0" t="s">
        <v>3975</v>
      </c>
      <c r="O893" s="0" t="s">
        <v>3976</v>
      </c>
      <c r="P893" s="0" t="s">
        <v>3977</v>
      </c>
      <c r="R893" s="0" t="s">
        <v>275</v>
      </c>
      <c r="S893" s="0" t="s">
        <v>268</v>
      </c>
      <c r="T893" s="0" t="s">
        <v>276</v>
      </c>
      <c r="U893" s="0" t="s">
        <v>277</v>
      </c>
    </row>
    <row r="894" customFormat="false" ht="15" hidden="false" customHeight="false" outlineLevel="0" collapsed="false">
      <c r="A894" s="0" t="n">
        <v>49</v>
      </c>
      <c r="B894" s="0" t="s">
        <v>96</v>
      </c>
      <c r="C894" s="0" t="s">
        <v>56</v>
      </c>
      <c r="D894" s="0" t="s">
        <v>3978</v>
      </c>
      <c r="E894" s="0" t="n">
        <v>2025</v>
      </c>
      <c r="H894" s="0" t="n">
        <v>4</v>
      </c>
      <c r="I894" s="0" t="n">
        <v>4837</v>
      </c>
      <c r="J894" s="0" t="s">
        <v>268</v>
      </c>
      <c r="K894" s="0" t="s">
        <v>3979</v>
      </c>
      <c r="L894" s="0" t="s">
        <v>293</v>
      </c>
      <c r="M894" s="0" t="s">
        <v>3980</v>
      </c>
      <c r="N894" s="0" t="s">
        <v>3980</v>
      </c>
      <c r="O894" s="0" t="s">
        <v>3981</v>
      </c>
      <c r="P894" s="0" t="s">
        <v>3982</v>
      </c>
      <c r="R894" s="0" t="s">
        <v>275</v>
      </c>
      <c r="S894" s="0" t="s">
        <v>268</v>
      </c>
      <c r="T894" s="0" t="s">
        <v>276</v>
      </c>
      <c r="U894" s="0" t="s">
        <v>277</v>
      </c>
    </row>
    <row r="895" customFormat="false" ht="15" hidden="false" customHeight="false" outlineLevel="0" collapsed="false">
      <c r="A895" s="0" t="n">
        <v>49</v>
      </c>
      <c r="B895" s="0" t="s">
        <v>96</v>
      </c>
      <c r="C895" s="0" t="s">
        <v>56</v>
      </c>
      <c r="D895" s="0" t="s">
        <v>3983</v>
      </c>
      <c r="E895" s="0" t="n">
        <v>2022</v>
      </c>
      <c r="H895" s="0" t="n">
        <v>4</v>
      </c>
      <c r="I895" s="0" t="n">
        <v>5306</v>
      </c>
      <c r="J895" s="0" t="s">
        <v>268</v>
      </c>
      <c r="K895" s="0" t="s">
        <v>298</v>
      </c>
      <c r="L895" s="0" t="s">
        <v>270</v>
      </c>
      <c r="M895" s="0" t="s">
        <v>3984</v>
      </c>
      <c r="N895" s="0" t="s">
        <v>3984</v>
      </c>
      <c r="O895" s="0" t="s">
        <v>3985</v>
      </c>
      <c r="P895" s="0" t="s">
        <v>3986</v>
      </c>
      <c r="R895" s="0" t="s">
        <v>284</v>
      </c>
      <c r="S895" s="0" t="s">
        <v>290</v>
      </c>
      <c r="T895" s="0" t="s">
        <v>276</v>
      </c>
      <c r="U895" s="0" t="s">
        <v>277</v>
      </c>
    </row>
    <row r="896" customFormat="false" ht="15" hidden="false" customHeight="false" outlineLevel="0" collapsed="false">
      <c r="A896" s="0" t="n">
        <v>49</v>
      </c>
      <c r="B896" s="0" t="s">
        <v>96</v>
      </c>
      <c r="C896" s="0" t="s">
        <v>91</v>
      </c>
      <c r="D896" s="0" t="s">
        <v>3987</v>
      </c>
      <c r="E896" s="0" t="n">
        <v>2024</v>
      </c>
      <c r="H896" s="0" t="n">
        <v>9</v>
      </c>
      <c r="I896" s="0" t="n">
        <v>1681</v>
      </c>
      <c r="J896" s="0" t="s">
        <v>268</v>
      </c>
      <c r="K896" s="0" t="s">
        <v>3979</v>
      </c>
      <c r="L896" s="0" t="s">
        <v>293</v>
      </c>
      <c r="M896" s="0" t="s">
        <v>3988</v>
      </c>
      <c r="N896" s="0" t="s">
        <v>3988</v>
      </c>
      <c r="O896" s="0" t="s">
        <v>3989</v>
      </c>
      <c r="P896" s="0" t="s">
        <v>3990</v>
      </c>
      <c r="R896" s="0" t="s">
        <v>284</v>
      </c>
      <c r="S896" s="0" t="s">
        <v>268</v>
      </c>
      <c r="T896" s="0" t="s">
        <v>276</v>
      </c>
      <c r="U896" s="0" t="s">
        <v>277</v>
      </c>
    </row>
    <row r="897" customFormat="false" ht="15" hidden="false" customHeight="false" outlineLevel="0" collapsed="false">
      <c r="A897" s="0" t="n">
        <v>49</v>
      </c>
      <c r="B897" s="0" t="s">
        <v>96</v>
      </c>
      <c r="C897" s="0" t="s">
        <v>91</v>
      </c>
      <c r="D897" s="0" t="s">
        <v>3991</v>
      </c>
      <c r="E897" s="0" t="n">
        <v>2019</v>
      </c>
      <c r="H897" s="0" t="n">
        <v>1</v>
      </c>
      <c r="I897" s="0" t="n">
        <v>179</v>
      </c>
      <c r="J897" s="0" t="s">
        <v>268</v>
      </c>
      <c r="K897" s="0" t="s">
        <v>3979</v>
      </c>
      <c r="L897" s="0" t="s">
        <v>293</v>
      </c>
      <c r="M897" s="0" t="s">
        <v>3992</v>
      </c>
      <c r="N897" s="0" t="s">
        <v>3992</v>
      </c>
      <c r="O897" s="0" t="s">
        <v>3993</v>
      </c>
      <c r="P897" s="0" t="s">
        <v>3994</v>
      </c>
      <c r="R897" s="0" t="s">
        <v>284</v>
      </c>
      <c r="S897" s="0" t="s">
        <v>290</v>
      </c>
      <c r="T897" s="0" t="s">
        <v>276</v>
      </c>
      <c r="U897" s="0" t="s">
        <v>277</v>
      </c>
    </row>
    <row r="898" customFormat="false" ht="15" hidden="false" customHeight="false" outlineLevel="0" collapsed="false">
      <c r="A898" s="0" t="n">
        <v>49</v>
      </c>
      <c r="B898" s="0" t="s">
        <v>96</v>
      </c>
      <c r="C898" s="0" t="s">
        <v>309</v>
      </c>
      <c r="D898" s="0" t="s">
        <v>3995</v>
      </c>
      <c r="E898" s="0" t="n">
        <v>2019</v>
      </c>
      <c r="H898" s="0" t="n">
        <v>1</v>
      </c>
      <c r="I898" s="0" t="n">
        <v>997</v>
      </c>
      <c r="J898" s="0" t="s">
        <v>268</v>
      </c>
      <c r="K898" s="0" t="s">
        <v>298</v>
      </c>
      <c r="L898" s="0" t="s">
        <v>270</v>
      </c>
      <c r="M898" s="0" t="s">
        <v>3996</v>
      </c>
      <c r="N898" s="0" t="s">
        <v>3996</v>
      </c>
      <c r="O898" s="0" t="s">
        <v>3997</v>
      </c>
      <c r="P898" s="0" t="s">
        <v>3998</v>
      </c>
      <c r="R898" s="0" t="s">
        <v>284</v>
      </c>
      <c r="S898" s="0" t="s">
        <v>268</v>
      </c>
      <c r="T898" s="0" t="s">
        <v>276</v>
      </c>
      <c r="U898" s="0" t="s">
        <v>277</v>
      </c>
    </row>
    <row r="899" customFormat="false" ht="15" hidden="false" customHeight="false" outlineLevel="0" collapsed="false">
      <c r="A899" s="0" t="n">
        <v>49</v>
      </c>
      <c r="B899" s="0" t="s">
        <v>96</v>
      </c>
      <c r="C899" s="0" t="s">
        <v>586</v>
      </c>
      <c r="D899" s="0" t="s">
        <v>3999</v>
      </c>
      <c r="E899" s="0" t="n">
        <v>2026</v>
      </c>
      <c r="H899" s="0" t="n">
        <v>19</v>
      </c>
      <c r="I899" s="0" t="n">
        <v>13853</v>
      </c>
      <c r="J899" s="0" t="s">
        <v>268</v>
      </c>
      <c r="K899" s="0" t="s">
        <v>3979</v>
      </c>
      <c r="L899" s="0" t="s">
        <v>293</v>
      </c>
      <c r="M899" s="0" t="s">
        <v>4000</v>
      </c>
      <c r="N899" s="0" t="s">
        <v>4000</v>
      </c>
      <c r="O899" s="0" t="s">
        <v>4001</v>
      </c>
      <c r="P899" s="0" t="s">
        <v>4002</v>
      </c>
      <c r="R899" s="0" t="s">
        <v>275</v>
      </c>
      <c r="S899" s="0" t="s">
        <v>268</v>
      </c>
      <c r="T899" s="0" t="s">
        <v>276</v>
      </c>
      <c r="U899" s="0" t="s">
        <v>277</v>
      </c>
    </row>
    <row r="900" customFormat="false" ht="15" hidden="false" customHeight="false" outlineLevel="0" collapsed="false">
      <c r="A900" s="0" t="n">
        <v>49</v>
      </c>
      <c r="B900" s="0" t="s">
        <v>96</v>
      </c>
      <c r="C900" s="0" t="s">
        <v>586</v>
      </c>
      <c r="D900" s="0" t="s">
        <v>4003</v>
      </c>
      <c r="E900" s="0" t="n">
        <v>2026</v>
      </c>
      <c r="H900" s="0" t="n">
        <v>4</v>
      </c>
      <c r="I900" s="0" t="n">
        <v>11877</v>
      </c>
      <c r="J900" s="0" t="s">
        <v>290</v>
      </c>
      <c r="K900" s="0" t="s">
        <v>3979</v>
      </c>
      <c r="L900" s="0" t="s">
        <v>293</v>
      </c>
      <c r="M900" s="0" t="s">
        <v>4004</v>
      </c>
      <c r="N900" s="0" t="s">
        <v>4004</v>
      </c>
      <c r="O900" s="0" t="s">
        <v>4005</v>
      </c>
      <c r="P900" s="0" t="s">
        <v>4006</v>
      </c>
      <c r="R900" s="0" t="s">
        <v>275</v>
      </c>
      <c r="S900" s="0" t="s">
        <v>290</v>
      </c>
      <c r="T900" s="0" t="s">
        <v>276</v>
      </c>
      <c r="U900" s="0" t="s">
        <v>277</v>
      </c>
    </row>
    <row r="901" customFormat="false" ht="15" hidden="false" customHeight="false" outlineLevel="0" collapsed="false">
      <c r="A901" s="0" t="n">
        <v>49</v>
      </c>
      <c r="B901" s="0" t="s">
        <v>96</v>
      </c>
      <c r="C901" s="0" t="s">
        <v>586</v>
      </c>
      <c r="D901" s="0" t="s">
        <v>4007</v>
      </c>
      <c r="E901" s="0" t="n">
        <v>2026</v>
      </c>
      <c r="H901" s="0" t="n">
        <v>8</v>
      </c>
      <c r="I901" s="0" t="n">
        <v>12834</v>
      </c>
      <c r="J901" s="0" t="s">
        <v>290</v>
      </c>
      <c r="K901" s="0" t="s">
        <v>3979</v>
      </c>
      <c r="L901" s="0" t="s">
        <v>293</v>
      </c>
      <c r="M901" s="0" t="s">
        <v>4008</v>
      </c>
      <c r="N901" s="0" t="s">
        <v>4008</v>
      </c>
      <c r="O901" s="0" t="s">
        <v>4009</v>
      </c>
      <c r="P901" s="0" t="s">
        <v>4010</v>
      </c>
      <c r="R901" s="0" t="s">
        <v>275</v>
      </c>
      <c r="S901" s="0" t="s">
        <v>290</v>
      </c>
      <c r="T901" s="0" t="s">
        <v>276</v>
      </c>
      <c r="U901" s="0" t="s">
        <v>277</v>
      </c>
    </row>
    <row r="902" customFormat="false" ht="15" hidden="false" customHeight="false" outlineLevel="0" collapsed="false">
      <c r="A902" s="0" t="n">
        <v>49</v>
      </c>
      <c r="B902" s="0" t="s">
        <v>96</v>
      </c>
      <c r="C902" s="0" t="s">
        <v>586</v>
      </c>
      <c r="D902" s="0" t="s">
        <v>4011</v>
      </c>
      <c r="E902" s="0" t="n">
        <v>2026</v>
      </c>
      <c r="H902" s="0" t="n">
        <v>4</v>
      </c>
      <c r="I902" s="0" t="n">
        <v>9143</v>
      </c>
      <c r="J902" s="0" t="s">
        <v>268</v>
      </c>
      <c r="K902" s="0" t="s">
        <v>3979</v>
      </c>
      <c r="L902" s="0" t="s">
        <v>293</v>
      </c>
      <c r="M902" s="0" t="s">
        <v>4012</v>
      </c>
      <c r="N902" s="0" t="s">
        <v>4012</v>
      </c>
      <c r="O902" s="0" t="s">
        <v>4013</v>
      </c>
      <c r="P902" s="0" t="s">
        <v>4014</v>
      </c>
      <c r="R902" s="0" t="s">
        <v>275</v>
      </c>
      <c r="S902" s="0" t="s">
        <v>290</v>
      </c>
      <c r="T902" s="0" t="s">
        <v>276</v>
      </c>
      <c r="U902" s="0" t="s">
        <v>277</v>
      </c>
    </row>
    <row r="903" customFormat="false" ht="15" hidden="false" customHeight="false" outlineLevel="0" collapsed="false">
      <c r="A903" s="0" t="n">
        <v>49</v>
      </c>
      <c r="B903" s="0" t="s">
        <v>96</v>
      </c>
      <c r="C903" s="0" t="s">
        <v>266</v>
      </c>
      <c r="D903" s="0" t="s">
        <v>4015</v>
      </c>
      <c r="E903" s="0" t="n">
        <v>2026</v>
      </c>
      <c r="H903" s="0" t="n">
        <v>4</v>
      </c>
      <c r="I903" s="0" t="n">
        <v>1672</v>
      </c>
      <c r="J903" s="0" t="s">
        <v>268</v>
      </c>
      <c r="K903" s="0" t="s">
        <v>3979</v>
      </c>
      <c r="L903" s="0" t="s">
        <v>293</v>
      </c>
      <c r="M903" s="0" t="s">
        <v>4016</v>
      </c>
      <c r="N903" s="0" t="s">
        <v>4016</v>
      </c>
      <c r="O903" s="0" t="s">
        <v>4017</v>
      </c>
      <c r="P903" s="0" t="s">
        <v>4018</v>
      </c>
      <c r="R903" s="0" t="s">
        <v>275</v>
      </c>
      <c r="S903" s="0" t="s">
        <v>290</v>
      </c>
      <c r="T903" s="0" t="s">
        <v>276</v>
      </c>
      <c r="U903" s="0" t="s">
        <v>277</v>
      </c>
    </row>
    <row r="904" customFormat="false" ht="15" hidden="false" customHeight="false" outlineLevel="0" collapsed="false">
      <c r="A904" s="0" t="n">
        <v>49</v>
      </c>
      <c r="B904" s="0" t="s">
        <v>96</v>
      </c>
      <c r="C904" s="0" t="s">
        <v>266</v>
      </c>
      <c r="D904" s="0" t="s">
        <v>4019</v>
      </c>
      <c r="E904" s="0" t="n">
        <v>2026</v>
      </c>
      <c r="H904" s="0" t="n">
        <v>1</v>
      </c>
      <c r="I904" s="0" t="n">
        <v>150</v>
      </c>
      <c r="J904" s="0" t="s">
        <v>268</v>
      </c>
      <c r="K904" s="0" t="s">
        <v>3979</v>
      </c>
      <c r="L904" s="0" t="s">
        <v>293</v>
      </c>
      <c r="M904" s="0" t="s">
        <v>4020</v>
      </c>
      <c r="N904" s="0" t="s">
        <v>4020</v>
      </c>
      <c r="O904" s="0" t="s">
        <v>4021</v>
      </c>
      <c r="P904" s="0" t="s">
        <v>4022</v>
      </c>
      <c r="R904" s="0" t="s">
        <v>275</v>
      </c>
      <c r="S904" s="0" t="s">
        <v>290</v>
      </c>
      <c r="T904" s="0" t="s">
        <v>276</v>
      </c>
      <c r="U904" s="0" t="s">
        <v>277</v>
      </c>
    </row>
    <row r="905" customFormat="false" ht="15" hidden="false" customHeight="false" outlineLevel="0" collapsed="false">
      <c r="A905" s="0" t="n">
        <v>49</v>
      </c>
      <c r="B905" s="0" t="s">
        <v>96</v>
      </c>
      <c r="C905" s="0" t="s">
        <v>266</v>
      </c>
      <c r="D905" s="0" t="s">
        <v>4023</v>
      </c>
      <c r="E905" s="0" t="n">
        <v>2026</v>
      </c>
      <c r="H905" s="0" t="n">
        <v>7</v>
      </c>
      <c r="I905" s="0" t="n">
        <v>288</v>
      </c>
      <c r="J905" s="0" t="s">
        <v>268</v>
      </c>
      <c r="K905" s="0" t="s">
        <v>3979</v>
      </c>
      <c r="L905" s="0" t="s">
        <v>293</v>
      </c>
      <c r="M905" s="0" t="s">
        <v>4024</v>
      </c>
      <c r="N905" s="0" t="s">
        <v>4024</v>
      </c>
      <c r="O905" s="0" t="s">
        <v>4025</v>
      </c>
      <c r="P905" s="0" t="s">
        <v>4026</v>
      </c>
      <c r="R905" s="0" t="s">
        <v>275</v>
      </c>
      <c r="S905" s="0" t="s">
        <v>290</v>
      </c>
      <c r="T905" s="0" t="s">
        <v>276</v>
      </c>
      <c r="U905" s="0" t="s">
        <v>277</v>
      </c>
    </row>
    <row r="906" customFormat="false" ht="15" hidden="false" customHeight="false" outlineLevel="0" collapsed="false">
      <c r="A906" s="0" t="n">
        <v>49</v>
      </c>
      <c r="B906" s="0" t="s">
        <v>96</v>
      </c>
      <c r="C906" s="0" t="s">
        <v>266</v>
      </c>
      <c r="D906" s="0" t="s">
        <v>4027</v>
      </c>
      <c r="E906" s="0" t="n">
        <v>2026</v>
      </c>
      <c r="H906" s="0" t="n">
        <v>4</v>
      </c>
      <c r="I906" s="0" t="n">
        <v>445</v>
      </c>
      <c r="J906" s="0" t="s">
        <v>268</v>
      </c>
      <c r="K906" s="0" t="s">
        <v>3979</v>
      </c>
      <c r="L906" s="0" t="s">
        <v>293</v>
      </c>
      <c r="M906" s="0" t="s">
        <v>4028</v>
      </c>
      <c r="N906" s="0" t="s">
        <v>4028</v>
      </c>
      <c r="O906" s="0" t="s">
        <v>4029</v>
      </c>
      <c r="P906" s="0" t="s">
        <v>4030</v>
      </c>
      <c r="R906" s="0" t="s">
        <v>275</v>
      </c>
      <c r="S906" s="0" t="s">
        <v>290</v>
      </c>
      <c r="T906" s="0" t="s">
        <v>276</v>
      </c>
      <c r="U906" s="0" t="s">
        <v>277</v>
      </c>
    </row>
    <row r="907" customFormat="false" ht="15" hidden="false" customHeight="false" outlineLevel="0" collapsed="false">
      <c r="A907" s="0" t="n">
        <v>49</v>
      </c>
      <c r="B907" s="0" t="s">
        <v>96</v>
      </c>
      <c r="C907" s="0" t="s">
        <v>266</v>
      </c>
      <c r="D907" s="0" t="s">
        <v>4031</v>
      </c>
      <c r="E907" s="0" t="n">
        <v>2026</v>
      </c>
      <c r="H907" s="0" t="n">
        <v>16</v>
      </c>
      <c r="I907" s="0" t="n">
        <v>1101</v>
      </c>
      <c r="J907" s="0" t="s">
        <v>268</v>
      </c>
      <c r="K907" s="0" t="s">
        <v>3979</v>
      </c>
      <c r="L907" s="0" t="s">
        <v>293</v>
      </c>
      <c r="M907" s="0" t="s">
        <v>4032</v>
      </c>
      <c r="N907" s="0" t="s">
        <v>4032</v>
      </c>
      <c r="O907" s="0" t="s">
        <v>4033</v>
      </c>
      <c r="P907" s="0" t="s">
        <v>4034</v>
      </c>
      <c r="R907" s="0" t="s">
        <v>275</v>
      </c>
      <c r="S907" s="0" t="s">
        <v>290</v>
      </c>
      <c r="T907" s="0" t="s">
        <v>276</v>
      </c>
      <c r="U907" s="0" t="s">
        <v>277</v>
      </c>
    </row>
    <row r="908" customFormat="false" ht="15" hidden="false" customHeight="false" outlineLevel="0" collapsed="false">
      <c r="A908" s="0" t="n">
        <v>49</v>
      </c>
      <c r="B908" s="0" t="s">
        <v>96</v>
      </c>
      <c r="C908" s="0" t="s">
        <v>266</v>
      </c>
      <c r="D908" s="0" t="s">
        <v>4035</v>
      </c>
      <c r="E908" s="0" t="n">
        <v>2026</v>
      </c>
      <c r="H908" s="0" t="n">
        <v>20</v>
      </c>
      <c r="I908" s="0" t="n">
        <v>339</v>
      </c>
      <c r="J908" s="0" t="s">
        <v>268</v>
      </c>
      <c r="K908" s="0" t="s">
        <v>3979</v>
      </c>
      <c r="L908" s="0" t="s">
        <v>293</v>
      </c>
      <c r="M908" s="0" t="s">
        <v>4036</v>
      </c>
      <c r="N908" s="0" t="s">
        <v>4036</v>
      </c>
      <c r="O908" s="0" t="s">
        <v>4037</v>
      </c>
      <c r="P908" s="0" t="s">
        <v>4038</v>
      </c>
      <c r="R908" s="0" t="s">
        <v>275</v>
      </c>
      <c r="S908" s="0" t="s">
        <v>290</v>
      </c>
      <c r="T908" s="0" t="s">
        <v>276</v>
      </c>
      <c r="U908" s="0" t="s">
        <v>277</v>
      </c>
    </row>
    <row r="909" customFormat="false" ht="15" hidden="false" customHeight="false" outlineLevel="0" collapsed="false">
      <c r="A909" s="0" t="n">
        <v>49</v>
      </c>
      <c r="B909" s="0" t="s">
        <v>96</v>
      </c>
      <c r="C909" s="0" t="s">
        <v>266</v>
      </c>
      <c r="D909" s="0" t="s">
        <v>4039</v>
      </c>
      <c r="E909" s="0" t="n">
        <v>2026</v>
      </c>
      <c r="H909" s="0" t="n">
        <v>4</v>
      </c>
      <c r="I909" s="0" t="n">
        <v>158</v>
      </c>
      <c r="J909" s="0" t="s">
        <v>268</v>
      </c>
      <c r="K909" s="0" t="s">
        <v>3979</v>
      </c>
      <c r="L909" s="0" t="s">
        <v>293</v>
      </c>
      <c r="M909" s="0" t="s">
        <v>4040</v>
      </c>
      <c r="N909" s="0" t="s">
        <v>4040</v>
      </c>
      <c r="O909" s="0" t="s">
        <v>4041</v>
      </c>
      <c r="P909" s="0" t="s">
        <v>4042</v>
      </c>
      <c r="R909" s="0" t="s">
        <v>275</v>
      </c>
      <c r="S909" s="0" t="s">
        <v>290</v>
      </c>
      <c r="T909" s="0" t="s">
        <v>276</v>
      </c>
      <c r="U909" s="0" t="s">
        <v>277</v>
      </c>
    </row>
    <row r="910" customFormat="false" ht="15" hidden="false" customHeight="false" outlineLevel="0" collapsed="false">
      <c r="A910" s="0" t="n">
        <v>49</v>
      </c>
      <c r="B910" s="0" t="s">
        <v>96</v>
      </c>
      <c r="C910" s="0" t="s">
        <v>266</v>
      </c>
      <c r="D910" s="0" t="s">
        <v>4043</v>
      </c>
      <c r="E910" s="0" t="n">
        <v>2026</v>
      </c>
      <c r="H910" s="0" t="n">
        <v>37</v>
      </c>
      <c r="I910" s="0" t="n">
        <v>8706</v>
      </c>
      <c r="J910" s="0" t="s">
        <v>290</v>
      </c>
      <c r="K910" s="0" t="s">
        <v>3979</v>
      </c>
      <c r="L910" s="0" t="s">
        <v>293</v>
      </c>
      <c r="M910" s="0" t="s">
        <v>4044</v>
      </c>
      <c r="N910" s="0" t="s">
        <v>4044</v>
      </c>
      <c r="O910" s="0" t="s">
        <v>4045</v>
      </c>
      <c r="P910" s="0" t="s">
        <v>4046</v>
      </c>
      <c r="R910" s="0" t="s">
        <v>275</v>
      </c>
      <c r="S910" s="0" t="s">
        <v>268</v>
      </c>
      <c r="T910" s="0" t="s">
        <v>276</v>
      </c>
      <c r="U910" s="0" t="s">
        <v>277</v>
      </c>
    </row>
    <row r="911" customFormat="false" ht="15" hidden="false" customHeight="false" outlineLevel="0" collapsed="false">
      <c r="A911" s="0" t="n">
        <v>49</v>
      </c>
      <c r="B911" s="0" t="s">
        <v>96</v>
      </c>
      <c r="C911" s="0" t="s">
        <v>266</v>
      </c>
      <c r="D911" s="0" t="s">
        <v>4047</v>
      </c>
      <c r="E911" s="0" t="n">
        <v>2026</v>
      </c>
      <c r="H911" s="0" t="n">
        <v>20</v>
      </c>
      <c r="I911" s="0" t="n">
        <v>1129</v>
      </c>
      <c r="J911" s="0" t="s">
        <v>268</v>
      </c>
      <c r="K911" s="0" t="s">
        <v>3979</v>
      </c>
      <c r="L911" s="0" t="s">
        <v>293</v>
      </c>
      <c r="M911" s="0" t="s">
        <v>4048</v>
      </c>
      <c r="N911" s="0" t="s">
        <v>4048</v>
      </c>
      <c r="O911" s="0" t="s">
        <v>4049</v>
      </c>
      <c r="P911" s="0" t="s">
        <v>4050</v>
      </c>
      <c r="R911" s="0" t="s">
        <v>275</v>
      </c>
      <c r="S911" s="0" t="s">
        <v>290</v>
      </c>
      <c r="T911" s="0" t="s">
        <v>276</v>
      </c>
      <c r="U911" s="0" t="s">
        <v>277</v>
      </c>
    </row>
    <row r="912" customFormat="false" ht="15" hidden="false" customHeight="false" outlineLevel="0" collapsed="false">
      <c r="A912" s="0" t="n">
        <v>49</v>
      </c>
      <c r="B912" s="0" t="s">
        <v>96</v>
      </c>
      <c r="C912" s="0" t="s">
        <v>266</v>
      </c>
      <c r="D912" s="0" t="s">
        <v>4051</v>
      </c>
      <c r="E912" s="0" t="n">
        <v>2026</v>
      </c>
      <c r="H912" s="0" t="n">
        <v>10</v>
      </c>
      <c r="I912" s="0" t="n">
        <v>121</v>
      </c>
      <c r="J912" s="0" t="s">
        <v>268</v>
      </c>
      <c r="K912" s="0" t="s">
        <v>3979</v>
      </c>
      <c r="L912" s="0" t="s">
        <v>293</v>
      </c>
      <c r="M912" s="0" t="s">
        <v>4052</v>
      </c>
      <c r="N912" s="0" t="s">
        <v>4052</v>
      </c>
      <c r="O912" s="0" t="s">
        <v>4053</v>
      </c>
      <c r="P912" s="0" t="s">
        <v>4054</v>
      </c>
      <c r="R912" s="0" t="s">
        <v>275</v>
      </c>
      <c r="S912" s="0" t="s">
        <v>290</v>
      </c>
      <c r="T912" s="0" t="s">
        <v>276</v>
      </c>
      <c r="U912" s="0" t="s">
        <v>277</v>
      </c>
    </row>
    <row r="913" customFormat="false" ht="15" hidden="false" customHeight="false" outlineLevel="0" collapsed="false">
      <c r="A913" s="0" t="n">
        <v>49</v>
      </c>
      <c r="B913" s="0" t="s">
        <v>96</v>
      </c>
      <c r="C913" s="0" t="s">
        <v>266</v>
      </c>
      <c r="D913" s="0" t="s">
        <v>4055</v>
      </c>
      <c r="E913" s="0" t="n">
        <v>2019</v>
      </c>
      <c r="H913" s="0" t="n">
        <v>1</v>
      </c>
      <c r="I913" s="0" t="n">
        <v>115</v>
      </c>
      <c r="J913" s="0" t="s">
        <v>268</v>
      </c>
      <c r="K913" s="0" t="s">
        <v>3979</v>
      </c>
      <c r="L913" s="0" t="s">
        <v>293</v>
      </c>
      <c r="M913" s="0" t="s">
        <v>4056</v>
      </c>
      <c r="N913" s="0" t="s">
        <v>4056</v>
      </c>
      <c r="O913" s="0" t="s">
        <v>4057</v>
      </c>
      <c r="P913" s="0" t="s">
        <v>4058</v>
      </c>
      <c r="R913" s="0" t="s">
        <v>284</v>
      </c>
      <c r="S913" s="0" t="s">
        <v>290</v>
      </c>
      <c r="T913" s="0" t="s">
        <v>276</v>
      </c>
      <c r="U913" s="0" t="s">
        <v>277</v>
      </c>
    </row>
    <row r="914" customFormat="false" ht="15" hidden="false" customHeight="false" outlineLevel="0" collapsed="false">
      <c r="A914" s="0" t="n">
        <v>49</v>
      </c>
      <c r="B914" s="0" t="s">
        <v>96</v>
      </c>
      <c r="C914" s="0" t="s">
        <v>266</v>
      </c>
      <c r="D914" s="0" t="s">
        <v>4059</v>
      </c>
      <c r="E914" s="0" t="n">
        <v>2019</v>
      </c>
      <c r="H914" s="0" t="n">
        <v>3</v>
      </c>
      <c r="I914" s="0" t="n">
        <v>241</v>
      </c>
      <c r="J914" s="0" t="s">
        <v>268</v>
      </c>
      <c r="K914" s="0" t="s">
        <v>3979</v>
      </c>
      <c r="L914" s="0" t="s">
        <v>293</v>
      </c>
      <c r="M914" s="0" t="s">
        <v>4060</v>
      </c>
      <c r="N914" s="0" t="s">
        <v>4060</v>
      </c>
      <c r="O914" s="0" t="s">
        <v>4061</v>
      </c>
      <c r="P914" s="0" t="s">
        <v>4062</v>
      </c>
      <c r="R914" s="0" t="s">
        <v>284</v>
      </c>
      <c r="S914" s="0" t="s">
        <v>290</v>
      </c>
      <c r="T914" s="0" t="s">
        <v>276</v>
      </c>
      <c r="U914" s="0" t="s">
        <v>277</v>
      </c>
    </row>
    <row r="915" customFormat="false" ht="15" hidden="false" customHeight="false" outlineLevel="0" collapsed="false">
      <c r="A915" s="0" t="n">
        <v>49</v>
      </c>
      <c r="B915" s="0" t="s">
        <v>96</v>
      </c>
      <c r="C915" s="0" t="s">
        <v>335</v>
      </c>
      <c r="D915" s="0" t="s">
        <v>4063</v>
      </c>
      <c r="E915" s="0" t="n">
        <v>2026</v>
      </c>
      <c r="H915" s="0" t="n">
        <v>1</v>
      </c>
      <c r="I915" s="0" t="n">
        <v>312</v>
      </c>
      <c r="J915" s="0" t="s">
        <v>268</v>
      </c>
      <c r="K915" s="0" t="s">
        <v>3979</v>
      </c>
      <c r="L915" s="0" t="s">
        <v>293</v>
      </c>
      <c r="M915" s="0" t="s">
        <v>4064</v>
      </c>
      <c r="N915" s="0" t="s">
        <v>4064</v>
      </c>
      <c r="O915" s="0" t="s">
        <v>4065</v>
      </c>
      <c r="P915" s="0" t="s">
        <v>4066</v>
      </c>
      <c r="R915" s="0" t="s">
        <v>275</v>
      </c>
      <c r="S915" s="0" t="s">
        <v>268</v>
      </c>
      <c r="T915" s="0" t="s">
        <v>276</v>
      </c>
      <c r="U915" s="0" t="s">
        <v>277</v>
      </c>
    </row>
    <row r="916" customFormat="false" ht="15" hidden="false" customHeight="false" outlineLevel="0" collapsed="false">
      <c r="A916" s="0" t="n">
        <v>49</v>
      </c>
      <c r="B916" s="0" t="s">
        <v>96</v>
      </c>
      <c r="C916" s="0" t="s">
        <v>335</v>
      </c>
      <c r="D916" s="0" t="s">
        <v>4067</v>
      </c>
      <c r="E916" s="0" t="n">
        <v>2024</v>
      </c>
      <c r="H916" s="0" t="n">
        <v>1</v>
      </c>
      <c r="I916" s="0" t="n">
        <v>1442</v>
      </c>
      <c r="J916" s="0" t="s">
        <v>268</v>
      </c>
      <c r="K916" s="0" t="s">
        <v>3979</v>
      </c>
      <c r="L916" s="0" t="s">
        <v>293</v>
      </c>
      <c r="M916" s="0" t="s">
        <v>4068</v>
      </c>
      <c r="N916" s="0" t="s">
        <v>4068</v>
      </c>
      <c r="O916" s="0" t="s">
        <v>4069</v>
      </c>
      <c r="P916" s="0" t="s">
        <v>4070</v>
      </c>
      <c r="R916" s="0" t="s">
        <v>284</v>
      </c>
      <c r="S916" s="0" t="s">
        <v>290</v>
      </c>
      <c r="T916" s="0" t="s">
        <v>276</v>
      </c>
      <c r="U916" s="0" t="s">
        <v>277</v>
      </c>
    </row>
    <row r="917" customFormat="false" ht="15" hidden="false" customHeight="false" outlineLevel="0" collapsed="false">
      <c r="A917" s="0" t="n">
        <v>49</v>
      </c>
      <c r="B917" s="0" t="s">
        <v>96</v>
      </c>
      <c r="C917" s="0" t="s">
        <v>335</v>
      </c>
      <c r="D917" s="0" t="s">
        <v>4071</v>
      </c>
      <c r="E917" s="0" t="n">
        <v>2019</v>
      </c>
      <c r="H917" s="0" t="n">
        <v>2</v>
      </c>
      <c r="I917" s="0" t="n">
        <v>316</v>
      </c>
      <c r="J917" s="0" t="s">
        <v>268</v>
      </c>
      <c r="K917" s="0" t="s">
        <v>3979</v>
      </c>
      <c r="L917" s="0" t="s">
        <v>293</v>
      </c>
      <c r="M917" s="0" t="s">
        <v>4072</v>
      </c>
      <c r="N917" s="0" t="s">
        <v>4072</v>
      </c>
      <c r="O917" s="0" t="s">
        <v>4073</v>
      </c>
      <c r="P917" s="0" t="s">
        <v>4074</v>
      </c>
      <c r="R917" s="0" t="s">
        <v>284</v>
      </c>
      <c r="S917" s="0" t="s">
        <v>290</v>
      </c>
      <c r="T917" s="0" t="s">
        <v>276</v>
      </c>
      <c r="U917" s="0" t="s">
        <v>277</v>
      </c>
    </row>
    <row r="918" customFormat="false" ht="15" hidden="false" customHeight="false" outlineLevel="0" collapsed="false">
      <c r="A918" s="0" t="n">
        <v>49</v>
      </c>
      <c r="B918" s="0" t="s">
        <v>96</v>
      </c>
      <c r="C918" s="0" t="s">
        <v>335</v>
      </c>
      <c r="D918" s="0" t="s">
        <v>4075</v>
      </c>
      <c r="E918" s="0" t="n">
        <v>2019</v>
      </c>
      <c r="H918" s="0" t="n">
        <v>3</v>
      </c>
      <c r="I918" s="0" t="n">
        <v>86</v>
      </c>
      <c r="J918" s="0" t="s">
        <v>268</v>
      </c>
      <c r="K918" s="0" t="s">
        <v>3979</v>
      </c>
      <c r="L918" s="0" t="s">
        <v>293</v>
      </c>
      <c r="M918" s="0" t="s">
        <v>4076</v>
      </c>
      <c r="N918" s="0" t="s">
        <v>4076</v>
      </c>
      <c r="O918" s="0" t="s">
        <v>4077</v>
      </c>
      <c r="P918" s="0" t="s">
        <v>4078</v>
      </c>
      <c r="R918" s="0" t="s">
        <v>284</v>
      </c>
      <c r="S918" s="0" t="s">
        <v>290</v>
      </c>
      <c r="T918" s="0" t="s">
        <v>276</v>
      </c>
      <c r="U918" s="0" t="s">
        <v>277</v>
      </c>
    </row>
    <row r="919" customFormat="false" ht="15" hidden="false" customHeight="false" outlineLevel="0" collapsed="false">
      <c r="A919" s="0" t="n">
        <v>49</v>
      </c>
      <c r="B919" s="0" t="s">
        <v>96</v>
      </c>
      <c r="C919" s="0" t="s">
        <v>530</v>
      </c>
      <c r="D919" s="0" t="s">
        <v>4079</v>
      </c>
      <c r="E919" s="0" t="n">
        <v>2017</v>
      </c>
      <c r="H919" s="0" t="n">
        <v>1</v>
      </c>
      <c r="I919" s="0" t="n">
        <v>164</v>
      </c>
      <c r="J919" s="0" t="s">
        <v>268</v>
      </c>
      <c r="K919" s="0" t="s">
        <v>3979</v>
      </c>
      <c r="L919" s="0" t="s">
        <v>293</v>
      </c>
      <c r="M919" s="0" t="s">
        <v>4080</v>
      </c>
      <c r="N919" s="0" t="s">
        <v>4080</v>
      </c>
      <c r="O919" s="0" t="s">
        <v>4081</v>
      </c>
      <c r="P919" s="0" t="s">
        <v>4082</v>
      </c>
      <c r="R919" s="0" t="s">
        <v>284</v>
      </c>
      <c r="S919" s="0" t="s">
        <v>268</v>
      </c>
      <c r="T919" s="0" t="s">
        <v>276</v>
      </c>
      <c r="U919" s="0" t="s">
        <v>277</v>
      </c>
    </row>
    <row r="920" customFormat="false" ht="15" hidden="false" customHeight="false" outlineLevel="0" collapsed="false">
      <c r="A920" s="0" t="n">
        <v>49</v>
      </c>
      <c r="B920" s="0" t="s">
        <v>96</v>
      </c>
      <c r="C920" s="0" t="s">
        <v>480</v>
      </c>
      <c r="D920" s="0" t="s">
        <v>4083</v>
      </c>
      <c r="E920" s="0" t="n">
        <v>2019</v>
      </c>
      <c r="H920" s="0" t="n">
        <v>2</v>
      </c>
      <c r="I920" s="0" t="n">
        <v>3791</v>
      </c>
      <c r="J920" s="0" t="s">
        <v>268</v>
      </c>
      <c r="K920" s="0" t="s">
        <v>3979</v>
      </c>
      <c r="L920" s="0" t="s">
        <v>293</v>
      </c>
      <c r="M920" s="0" t="s">
        <v>4084</v>
      </c>
      <c r="N920" s="0" t="s">
        <v>4084</v>
      </c>
      <c r="O920" s="0" t="s">
        <v>4085</v>
      </c>
      <c r="P920" s="0" t="s">
        <v>4086</v>
      </c>
      <c r="R920" s="0" t="s">
        <v>284</v>
      </c>
      <c r="S920" s="0" t="s">
        <v>268</v>
      </c>
      <c r="T920" s="0" t="s">
        <v>276</v>
      </c>
      <c r="U920" s="0" t="s">
        <v>277</v>
      </c>
    </row>
    <row r="921" customFormat="false" ht="15" hidden="false" customHeight="false" outlineLevel="0" collapsed="false">
      <c r="A921" s="0" t="n">
        <v>49</v>
      </c>
      <c r="B921" s="0" t="s">
        <v>96</v>
      </c>
      <c r="C921" s="0" t="s">
        <v>887</v>
      </c>
      <c r="D921" s="0" t="s">
        <v>4087</v>
      </c>
      <c r="E921" s="0" t="n">
        <v>2024</v>
      </c>
      <c r="H921" s="0" t="n">
        <v>11</v>
      </c>
      <c r="I921" s="0" t="n">
        <v>6279</v>
      </c>
      <c r="J921" s="0" t="s">
        <v>268</v>
      </c>
      <c r="K921" s="0" t="s">
        <v>3979</v>
      </c>
      <c r="L921" s="0" t="s">
        <v>293</v>
      </c>
      <c r="M921" s="0" t="s">
        <v>4088</v>
      </c>
      <c r="N921" s="0" t="s">
        <v>4088</v>
      </c>
      <c r="O921" s="0" t="s">
        <v>4089</v>
      </c>
      <c r="P921" s="0" t="s">
        <v>4090</v>
      </c>
      <c r="R921" s="0" t="s">
        <v>284</v>
      </c>
      <c r="S921" s="0" t="s">
        <v>268</v>
      </c>
      <c r="T921" s="0" t="s">
        <v>276</v>
      </c>
      <c r="U921" s="0" t="s">
        <v>277</v>
      </c>
    </row>
    <row r="922" customFormat="false" ht="15" hidden="false" customHeight="false" outlineLevel="0" collapsed="false">
      <c r="A922" s="0" t="n">
        <v>49</v>
      </c>
      <c r="B922" s="0" t="s">
        <v>96</v>
      </c>
      <c r="C922" s="0" t="s">
        <v>887</v>
      </c>
      <c r="D922" s="0" t="s">
        <v>4091</v>
      </c>
      <c r="E922" s="0" t="n">
        <v>2023</v>
      </c>
      <c r="H922" s="0" t="n">
        <v>11</v>
      </c>
      <c r="I922" s="0" t="n">
        <v>4786</v>
      </c>
      <c r="J922" s="0" t="s">
        <v>290</v>
      </c>
      <c r="K922" s="0" t="s">
        <v>3979</v>
      </c>
      <c r="L922" s="0" t="s">
        <v>293</v>
      </c>
      <c r="M922" s="0" t="s">
        <v>4092</v>
      </c>
      <c r="N922" s="0" t="s">
        <v>4092</v>
      </c>
      <c r="O922" s="0" t="s">
        <v>4093</v>
      </c>
      <c r="P922" s="0" t="s">
        <v>4094</v>
      </c>
      <c r="R922" s="0" t="s">
        <v>284</v>
      </c>
      <c r="S922" s="0" t="s">
        <v>290</v>
      </c>
      <c r="T922" s="0" t="s">
        <v>276</v>
      </c>
      <c r="U922" s="0" t="s">
        <v>277</v>
      </c>
    </row>
    <row r="923" customFormat="false" ht="15" hidden="false" customHeight="false" outlineLevel="0" collapsed="false">
      <c r="A923" s="0" t="n">
        <v>49</v>
      </c>
      <c r="B923" s="0" t="s">
        <v>96</v>
      </c>
      <c r="C923" s="0" t="s">
        <v>887</v>
      </c>
      <c r="D923" s="0" t="s">
        <v>4095</v>
      </c>
      <c r="E923" s="0" t="n">
        <v>2023</v>
      </c>
      <c r="H923" s="0" t="n">
        <v>1</v>
      </c>
      <c r="I923" s="0" t="n">
        <v>298</v>
      </c>
      <c r="J923" s="0" t="s">
        <v>268</v>
      </c>
      <c r="K923" s="0" t="s">
        <v>286</v>
      </c>
      <c r="L923" s="0" t="s">
        <v>270</v>
      </c>
      <c r="M923" s="0" t="s">
        <v>4096</v>
      </c>
      <c r="N923" s="0" t="s">
        <v>4096</v>
      </c>
      <c r="O923" s="0" t="s">
        <v>4097</v>
      </c>
      <c r="P923" s="0" t="s">
        <v>4098</v>
      </c>
      <c r="R923" s="0" t="s">
        <v>284</v>
      </c>
      <c r="S923" s="0" t="s">
        <v>290</v>
      </c>
      <c r="T923" s="0" t="s">
        <v>276</v>
      </c>
      <c r="U923" s="0" t="s">
        <v>277</v>
      </c>
    </row>
    <row r="924" customFormat="false" ht="15" hidden="false" customHeight="false" outlineLevel="0" collapsed="false">
      <c r="A924" s="0" t="n">
        <v>49</v>
      </c>
      <c r="B924" s="0" t="s">
        <v>96</v>
      </c>
      <c r="C924" s="0" t="s">
        <v>489</v>
      </c>
      <c r="D924" s="0" t="s">
        <v>4099</v>
      </c>
      <c r="E924" s="0" t="n">
        <v>2026</v>
      </c>
      <c r="H924" s="0" t="n">
        <v>19</v>
      </c>
      <c r="I924" s="0" t="n">
        <v>16945</v>
      </c>
      <c r="J924" s="0" t="s">
        <v>268</v>
      </c>
      <c r="K924" s="0" t="s">
        <v>3979</v>
      </c>
      <c r="L924" s="0" t="s">
        <v>293</v>
      </c>
      <c r="M924" s="0" t="s">
        <v>4100</v>
      </c>
      <c r="N924" s="0" t="s">
        <v>4100</v>
      </c>
      <c r="O924" s="0" t="s">
        <v>4101</v>
      </c>
      <c r="P924" s="0" t="s">
        <v>4102</v>
      </c>
      <c r="R924" s="0" t="s">
        <v>275</v>
      </c>
      <c r="S924" s="0" t="s">
        <v>268</v>
      </c>
      <c r="T924" s="0" t="s">
        <v>276</v>
      </c>
      <c r="U924" s="0" t="s">
        <v>277</v>
      </c>
    </row>
    <row r="925" customFormat="false" ht="15" hidden="false" customHeight="false" outlineLevel="0" collapsed="false">
      <c r="A925" s="0" t="n">
        <v>49</v>
      </c>
      <c r="B925" s="0" t="s">
        <v>96</v>
      </c>
      <c r="C925" s="0" t="s">
        <v>489</v>
      </c>
      <c r="D925" s="0" t="s">
        <v>4103</v>
      </c>
      <c r="E925" s="0" t="n">
        <v>2026</v>
      </c>
      <c r="H925" s="0" t="n">
        <v>19</v>
      </c>
      <c r="I925" s="0" t="n">
        <v>12236</v>
      </c>
      <c r="J925" s="0" t="s">
        <v>268</v>
      </c>
      <c r="K925" s="0" t="s">
        <v>3979</v>
      </c>
      <c r="L925" s="0" t="s">
        <v>293</v>
      </c>
      <c r="M925" s="0" t="s">
        <v>4104</v>
      </c>
      <c r="N925" s="0" t="s">
        <v>4104</v>
      </c>
      <c r="O925" s="0" t="s">
        <v>4105</v>
      </c>
      <c r="P925" s="0" t="s">
        <v>4106</v>
      </c>
      <c r="R925" s="0" t="s">
        <v>275</v>
      </c>
      <c r="S925" s="0" t="s">
        <v>290</v>
      </c>
      <c r="T925" s="0" t="s">
        <v>276</v>
      </c>
      <c r="U925" s="0" t="s">
        <v>277</v>
      </c>
    </row>
    <row r="926" customFormat="false" ht="15" hidden="false" customHeight="false" outlineLevel="0" collapsed="false">
      <c r="A926" s="0" t="n">
        <v>49</v>
      </c>
      <c r="B926" s="0" t="s">
        <v>96</v>
      </c>
      <c r="C926" s="0" t="s">
        <v>489</v>
      </c>
      <c r="D926" s="0" t="s">
        <v>4107</v>
      </c>
      <c r="E926" s="0" t="n">
        <v>2025</v>
      </c>
      <c r="H926" s="0" t="n">
        <v>1</v>
      </c>
      <c r="I926" s="0" t="n">
        <v>1191</v>
      </c>
      <c r="J926" s="0" t="s">
        <v>268</v>
      </c>
      <c r="K926" s="0" t="s">
        <v>3979</v>
      </c>
      <c r="L926" s="0" t="s">
        <v>293</v>
      </c>
      <c r="M926" s="0" t="s">
        <v>4108</v>
      </c>
      <c r="N926" s="0" t="s">
        <v>4108</v>
      </c>
      <c r="O926" s="0" t="s">
        <v>4109</v>
      </c>
      <c r="P926" s="0" t="s">
        <v>4110</v>
      </c>
      <c r="R926" s="0" t="s">
        <v>275</v>
      </c>
      <c r="S926" s="0" t="s">
        <v>290</v>
      </c>
      <c r="T926" s="0" t="s">
        <v>276</v>
      </c>
      <c r="U926" s="0" t="s">
        <v>277</v>
      </c>
    </row>
    <row r="927" customFormat="false" ht="15" hidden="false" customHeight="false" outlineLevel="0" collapsed="false">
      <c r="A927" s="0" t="n">
        <v>49</v>
      </c>
      <c r="B927" s="0" t="s">
        <v>96</v>
      </c>
      <c r="C927" s="0" t="s">
        <v>494</v>
      </c>
      <c r="D927" s="0" t="s">
        <v>4111</v>
      </c>
      <c r="E927" s="0" t="n">
        <v>2022</v>
      </c>
      <c r="H927" s="0" t="n">
        <v>3</v>
      </c>
      <c r="I927" s="0" t="n">
        <v>283</v>
      </c>
      <c r="J927" s="0" t="s">
        <v>268</v>
      </c>
      <c r="K927" s="0" t="s">
        <v>3979</v>
      </c>
      <c r="L927" s="0" t="s">
        <v>293</v>
      </c>
      <c r="M927" s="0" t="s">
        <v>4112</v>
      </c>
      <c r="N927" s="0" t="s">
        <v>4112</v>
      </c>
      <c r="O927" s="0" t="s">
        <v>4113</v>
      </c>
      <c r="P927" s="0" t="s">
        <v>4114</v>
      </c>
      <c r="R927" s="0" t="s">
        <v>284</v>
      </c>
      <c r="S927" s="0" t="s">
        <v>268</v>
      </c>
      <c r="T927" s="0" t="s">
        <v>276</v>
      </c>
      <c r="U927" s="0" t="s">
        <v>277</v>
      </c>
    </row>
    <row r="928" customFormat="false" ht="15" hidden="false" customHeight="false" outlineLevel="0" collapsed="false">
      <c r="A928" s="0" t="n">
        <v>49</v>
      </c>
      <c r="B928" s="0" t="s">
        <v>96</v>
      </c>
      <c r="C928" s="0" t="s">
        <v>500</v>
      </c>
      <c r="D928" s="0" t="s">
        <v>4115</v>
      </c>
      <c r="E928" s="0" t="n">
        <v>2019</v>
      </c>
      <c r="H928" s="0" t="n">
        <v>1</v>
      </c>
      <c r="I928" s="0" t="n">
        <v>1299</v>
      </c>
      <c r="J928" s="0" t="s">
        <v>290</v>
      </c>
      <c r="K928" s="0" t="s">
        <v>3979</v>
      </c>
      <c r="L928" s="0" t="s">
        <v>293</v>
      </c>
      <c r="M928" s="0" t="s">
        <v>4116</v>
      </c>
      <c r="N928" s="0" t="s">
        <v>4116</v>
      </c>
      <c r="O928" s="0" t="s">
        <v>4117</v>
      </c>
      <c r="P928" s="0" t="s">
        <v>4118</v>
      </c>
      <c r="R928" s="0" t="s">
        <v>284</v>
      </c>
      <c r="S928" s="0" t="s">
        <v>268</v>
      </c>
      <c r="T928" s="0" t="s">
        <v>276</v>
      </c>
      <c r="U928" s="0" t="s">
        <v>277</v>
      </c>
    </row>
    <row r="929" customFormat="false" ht="15" hidden="false" customHeight="false" outlineLevel="0" collapsed="false">
      <c r="A929" s="0" t="n">
        <v>50</v>
      </c>
      <c r="B929" s="0" t="s">
        <v>97</v>
      </c>
      <c r="C929" s="0" t="s">
        <v>56</v>
      </c>
      <c r="D929" s="0" t="s">
        <v>4119</v>
      </c>
      <c r="E929" s="0" t="n">
        <v>2026</v>
      </c>
      <c r="H929" s="0" t="n">
        <v>6</v>
      </c>
      <c r="I929" s="0" t="n">
        <v>3873</v>
      </c>
      <c r="J929" s="0" t="s">
        <v>268</v>
      </c>
      <c r="K929" s="0" t="s">
        <v>4120</v>
      </c>
      <c r="L929" s="0" t="s">
        <v>293</v>
      </c>
      <c r="M929" s="0" t="s">
        <v>4121</v>
      </c>
      <c r="N929" s="0" t="s">
        <v>4121</v>
      </c>
      <c r="O929" s="0" t="s">
        <v>4122</v>
      </c>
      <c r="P929" s="0" t="s">
        <v>4123</v>
      </c>
      <c r="R929" s="0" t="s">
        <v>275</v>
      </c>
      <c r="S929" s="0" t="s">
        <v>268</v>
      </c>
      <c r="T929" s="0" t="s">
        <v>276</v>
      </c>
      <c r="U929" s="0" t="s">
        <v>277</v>
      </c>
    </row>
    <row r="930" customFormat="false" ht="15" hidden="false" customHeight="false" outlineLevel="0" collapsed="false">
      <c r="A930" s="0" t="n">
        <v>50</v>
      </c>
      <c r="B930" s="0" t="s">
        <v>97</v>
      </c>
      <c r="C930" s="0" t="s">
        <v>56</v>
      </c>
      <c r="D930" s="0" t="s">
        <v>4124</v>
      </c>
      <c r="E930" s="0" t="n">
        <v>2025</v>
      </c>
      <c r="H930" s="0" t="n">
        <v>8</v>
      </c>
      <c r="I930" s="0" t="n">
        <v>6395</v>
      </c>
      <c r="J930" s="0" t="s">
        <v>268</v>
      </c>
      <c r="K930" s="0" t="s">
        <v>298</v>
      </c>
      <c r="L930" s="0" t="s">
        <v>270</v>
      </c>
      <c r="M930" s="0" t="s">
        <v>4125</v>
      </c>
      <c r="N930" s="0" t="s">
        <v>4125</v>
      </c>
      <c r="O930" s="0" t="s">
        <v>4126</v>
      </c>
      <c r="P930" s="0" t="s">
        <v>4127</v>
      </c>
      <c r="R930" s="0" t="s">
        <v>275</v>
      </c>
      <c r="S930" s="0" t="s">
        <v>290</v>
      </c>
      <c r="T930" s="0" t="s">
        <v>276</v>
      </c>
      <c r="U930" s="0" t="s">
        <v>277</v>
      </c>
    </row>
    <row r="931" customFormat="false" ht="15" hidden="false" customHeight="false" outlineLevel="0" collapsed="false">
      <c r="A931" s="0" t="n">
        <v>50</v>
      </c>
      <c r="B931" s="0" t="s">
        <v>97</v>
      </c>
      <c r="C931" s="0" t="s">
        <v>91</v>
      </c>
      <c r="D931" s="0" t="s">
        <v>4128</v>
      </c>
      <c r="E931" s="0" t="n">
        <v>2025</v>
      </c>
      <c r="H931" s="0" t="n">
        <v>1</v>
      </c>
      <c r="I931" s="0" t="n">
        <v>1402</v>
      </c>
      <c r="J931" s="0" t="s">
        <v>268</v>
      </c>
      <c r="K931" s="0" t="s">
        <v>298</v>
      </c>
      <c r="L931" s="0" t="s">
        <v>270</v>
      </c>
      <c r="M931" s="0" t="s">
        <v>4129</v>
      </c>
      <c r="N931" s="0" t="s">
        <v>4129</v>
      </c>
      <c r="O931" s="0" t="s">
        <v>4130</v>
      </c>
      <c r="P931" s="0" t="s">
        <v>4131</v>
      </c>
      <c r="R931" s="0" t="s">
        <v>275</v>
      </c>
      <c r="S931" s="0" t="s">
        <v>290</v>
      </c>
      <c r="T931" s="0" t="s">
        <v>276</v>
      </c>
      <c r="U931" s="0" t="s">
        <v>277</v>
      </c>
    </row>
    <row r="932" customFormat="false" ht="15" hidden="false" customHeight="false" outlineLevel="0" collapsed="false">
      <c r="A932" s="0" t="n">
        <v>50</v>
      </c>
      <c r="B932" s="0" t="s">
        <v>97</v>
      </c>
      <c r="C932" s="0" t="s">
        <v>91</v>
      </c>
      <c r="D932" s="0" t="s">
        <v>4132</v>
      </c>
      <c r="E932" s="0" t="n">
        <v>2025</v>
      </c>
      <c r="H932" s="0" t="n">
        <v>1</v>
      </c>
      <c r="I932" s="0" t="n">
        <v>488</v>
      </c>
      <c r="J932" s="0" t="s">
        <v>268</v>
      </c>
      <c r="K932" s="0" t="s">
        <v>4120</v>
      </c>
      <c r="L932" s="0" t="s">
        <v>293</v>
      </c>
      <c r="M932" s="0" t="s">
        <v>4133</v>
      </c>
      <c r="N932" s="0" t="s">
        <v>4133</v>
      </c>
      <c r="O932" s="0" t="s">
        <v>4134</v>
      </c>
      <c r="P932" s="0" t="s">
        <v>4135</v>
      </c>
      <c r="R932" s="0" t="s">
        <v>275</v>
      </c>
      <c r="S932" s="0" t="s">
        <v>290</v>
      </c>
      <c r="T932" s="0" t="s">
        <v>276</v>
      </c>
      <c r="U932" s="0" t="s">
        <v>277</v>
      </c>
    </row>
    <row r="933" customFormat="false" ht="15" hidden="false" customHeight="false" outlineLevel="0" collapsed="false">
      <c r="A933" s="0" t="n">
        <v>50</v>
      </c>
      <c r="B933" s="0" t="s">
        <v>97</v>
      </c>
      <c r="C933" s="0" t="s">
        <v>91</v>
      </c>
      <c r="D933" s="0" t="s">
        <v>4136</v>
      </c>
      <c r="E933" s="0" t="n">
        <v>2025</v>
      </c>
      <c r="H933" s="0" t="n">
        <v>5</v>
      </c>
      <c r="I933" s="0" t="n">
        <v>1152</v>
      </c>
      <c r="J933" s="0" t="s">
        <v>268</v>
      </c>
      <c r="K933" s="0" t="s">
        <v>4120</v>
      </c>
      <c r="L933" s="0" t="s">
        <v>293</v>
      </c>
      <c r="M933" s="0" t="s">
        <v>4137</v>
      </c>
      <c r="N933" s="0" t="s">
        <v>4137</v>
      </c>
      <c r="O933" s="0" t="s">
        <v>4138</v>
      </c>
      <c r="P933" s="0" t="s">
        <v>4139</v>
      </c>
      <c r="R933" s="0" t="s">
        <v>275</v>
      </c>
      <c r="S933" s="0" t="s">
        <v>268</v>
      </c>
      <c r="T933" s="0" t="s">
        <v>276</v>
      </c>
      <c r="U933" s="0" t="s">
        <v>277</v>
      </c>
    </row>
    <row r="934" customFormat="false" ht="15" hidden="false" customHeight="false" outlineLevel="0" collapsed="false">
      <c r="A934" s="0" t="n">
        <v>50</v>
      </c>
      <c r="B934" s="0" t="s">
        <v>97</v>
      </c>
      <c r="C934" s="0" t="s">
        <v>35</v>
      </c>
      <c r="D934" s="0" t="s">
        <v>4140</v>
      </c>
      <c r="E934" s="0" t="n">
        <v>2026</v>
      </c>
      <c r="H934" s="0" t="n">
        <v>41</v>
      </c>
      <c r="I934" s="0" t="n">
        <v>16453</v>
      </c>
      <c r="J934" s="0" t="s">
        <v>268</v>
      </c>
      <c r="K934" s="0" t="s">
        <v>4120</v>
      </c>
      <c r="L934" s="0" t="s">
        <v>293</v>
      </c>
      <c r="M934" s="0" t="s">
        <v>4141</v>
      </c>
      <c r="N934" s="0" t="s">
        <v>4141</v>
      </c>
      <c r="O934" s="0" t="s">
        <v>4142</v>
      </c>
      <c r="P934" s="0" t="s">
        <v>4143</v>
      </c>
      <c r="R934" s="0" t="s">
        <v>275</v>
      </c>
      <c r="S934" s="0" t="s">
        <v>268</v>
      </c>
      <c r="T934" s="0" t="s">
        <v>314</v>
      </c>
      <c r="U934" s="0" t="s">
        <v>277</v>
      </c>
      <c r="V934" s="0" t="s">
        <v>4144</v>
      </c>
    </row>
    <row r="935" customFormat="false" ht="15" hidden="false" customHeight="false" outlineLevel="0" collapsed="false">
      <c r="A935" s="0" t="n">
        <v>50</v>
      </c>
      <c r="B935" s="0" t="s">
        <v>97</v>
      </c>
      <c r="C935" s="0" t="s">
        <v>309</v>
      </c>
      <c r="D935" s="0" t="s">
        <v>4145</v>
      </c>
      <c r="E935" s="0" t="n">
        <v>2026</v>
      </c>
      <c r="H935" s="0" t="n">
        <v>2</v>
      </c>
      <c r="I935" s="0" t="n">
        <v>1227</v>
      </c>
      <c r="J935" s="0" t="s">
        <v>268</v>
      </c>
      <c r="K935" s="0" t="s">
        <v>4120</v>
      </c>
      <c r="L935" s="0" t="s">
        <v>293</v>
      </c>
      <c r="M935" s="0" t="s">
        <v>4146</v>
      </c>
      <c r="N935" s="0" t="s">
        <v>4146</v>
      </c>
      <c r="O935" s="0" t="s">
        <v>4147</v>
      </c>
      <c r="P935" s="0" t="s">
        <v>4148</v>
      </c>
      <c r="R935" s="0" t="s">
        <v>275</v>
      </c>
      <c r="S935" s="0" t="s">
        <v>268</v>
      </c>
      <c r="T935" s="0" t="s">
        <v>314</v>
      </c>
      <c r="U935" s="0" t="s">
        <v>277</v>
      </c>
      <c r="V935" s="0" t="s">
        <v>4144</v>
      </c>
    </row>
    <row r="936" customFormat="false" ht="15" hidden="false" customHeight="false" outlineLevel="0" collapsed="false">
      <c r="A936" s="0" t="n">
        <v>50</v>
      </c>
      <c r="B936" s="0" t="s">
        <v>97</v>
      </c>
      <c r="C936" s="0" t="s">
        <v>586</v>
      </c>
      <c r="D936" s="0" t="s">
        <v>4149</v>
      </c>
      <c r="E936" s="0" t="n">
        <v>2025</v>
      </c>
      <c r="H936" s="0" t="n">
        <v>1</v>
      </c>
      <c r="I936" s="0" t="n">
        <v>280</v>
      </c>
      <c r="J936" s="0" t="s">
        <v>268</v>
      </c>
      <c r="K936" s="0" t="s">
        <v>4120</v>
      </c>
      <c r="L936" s="0" t="s">
        <v>293</v>
      </c>
      <c r="M936" s="0" t="s">
        <v>4150</v>
      </c>
      <c r="N936" s="0" t="s">
        <v>4150</v>
      </c>
      <c r="O936" s="0" t="s">
        <v>4151</v>
      </c>
      <c r="P936" s="0" t="s">
        <v>4152</v>
      </c>
      <c r="R936" s="0" t="s">
        <v>275</v>
      </c>
      <c r="S936" s="0" t="s">
        <v>268</v>
      </c>
      <c r="T936" s="0" t="s">
        <v>276</v>
      </c>
      <c r="U936" s="0" t="s">
        <v>277</v>
      </c>
    </row>
    <row r="937" customFormat="false" ht="15" hidden="false" customHeight="false" outlineLevel="0" collapsed="false">
      <c r="A937" s="0" t="n">
        <v>50</v>
      </c>
      <c r="B937" s="0" t="s">
        <v>97</v>
      </c>
      <c r="C937" s="0" t="s">
        <v>324</v>
      </c>
      <c r="D937" s="0" t="s">
        <v>4153</v>
      </c>
      <c r="E937" s="0" t="n">
        <v>2026</v>
      </c>
      <c r="H937" s="0" t="n">
        <v>9</v>
      </c>
      <c r="I937" s="0" t="n">
        <v>3374</v>
      </c>
      <c r="J937" s="0" t="s">
        <v>268</v>
      </c>
      <c r="K937" s="0" t="s">
        <v>4120</v>
      </c>
      <c r="L937" s="0" t="s">
        <v>293</v>
      </c>
      <c r="M937" s="0" t="s">
        <v>4154</v>
      </c>
      <c r="N937" s="0" t="s">
        <v>4154</v>
      </c>
      <c r="O937" s="0" t="s">
        <v>4155</v>
      </c>
      <c r="P937" s="0" t="s">
        <v>4156</v>
      </c>
      <c r="R937" s="0" t="s">
        <v>275</v>
      </c>
      <c r="S937" s="0" t="s">
        <v>268</v>
      </c>
      <c r="T937" s="0" t="s">
        <v>276</v>
      </c>
      <c r="U937" s="0" t="s">
        <v>277</v>
      </c>
    </row>
    <row r="938" customFormat="false" ht="15" hidden="false" customHeight="false" outlineLevel="0" collapsed="false">
      <c r="A938" s="0" t="n">
        <v>50</v>
      </c>
      <c r="B938" s="0" t="s">
        <v>97</v>
      </c>
      <c r="C938" s="0" t="s">
        <v>335</v>
      </c>
      <c r="D938" s="0" t="s">
        <v>4157</v>
      </c>
      <c r="E938" s="0" t="n">
        <v>2026</v>
      </c>
      <c r="H938" s="0" t="n">
        <v>8</v>
      </c>
      <c r="I938" s="0" t="n">
        <v>1752</v>
      </c>
      <c r="J938" s="0" t="s">
        <v>268</v>
      </c>
      <c r="K938" s="0" t="s">
        <v>286</v>
      </c>
      <c r="L938" s="0" t="s">
        <v>270</v>
      </c>
      <c r="M938" s="0" t="s">
        <v>4158</v>
      </c>
      <c r="N938" s="0" t="s">
        <v>4158</v>
      </c>
      <c r="O938" s="0" t="s">
        <v>4159</v>
      </c>
      <c r="P938" s="0" t="s">
        <v>4160</v>
      </c>
      <c r="R938" s="0" t="s">
        <v>275</v>
      </c>
      <c r="S938" s="0" t="s">
        <v>268</v>
      </c>
      <c r="T938" s="0" t="s">
        <v>276</v>
      </c>
      <c r="U938" s="0" t="s">
        <v>277</v>
      </c>
    </row>
    <row r="939" customFormat="false" ht="15" hidden="false" customHeight="false" outlineLevel="0" collapsed="false">
      <c r="A939" s="0" t="n">
        <v>50</v>
      </c>
      <c r="B939" s="0" t="s">
        <v>97</v>
      </c>
      <c r="C939" s="0" t="s">
        <v>887</v>
      </c>
      <c r="D939" s="0" t="s">
        <v>4161</v>
      </c>
      <c r="E939" s="0" t="n">
        <v>2027</v>
      </c>
      <c r="H939" s="0" t="n">
        <v>8</v>
      </c>
      <c r="I939" s="0" t="n">
        <v>1959</v>
      </c>
      <c r="J939" s="0" t="s">
        <v>268</v>
      </c>
      <c r="K939" s="0" t="s">
        <v>4120</v>
      </c>
      <c r="L939" s="0" t="s">
        <v>293</v>
      </c>
      <c r="M939" s="0" t="s">
        <v>4162</v>
      </c>
      <c r="N939" s="0" t="s">
        <v>4162</v>
      </c>
      <c r="O939" s="0" t="s">
        <v>4163</v>
      </c>
      <c r="P939" s="0" t="s">
        <v>4164</v>
      </c>
      <c r="R939" s="0" t="s">
        <v>275</v>
      </c>
      <c r="S939" s="0" t="s">
        <v>268</v>
      </c>
      <c r="T939" s="0" t="s">
        <v>276</v>
      </c>
      <c r="U939" s="0" t="s">
        <v>277</v>
      </c>
    </row>
    <row r="940" customFormat="false" ht="15" hidden="false" customHeight="false" outlineLevel="0" collapsed="false">
      <c r="A940" s="0" t="n">
        <v>50</v>
      </c>
      <c r="B940" s="0" t="s">
        <v>97</v>
      </c>
      <c r="C940" s="0" t="s">
        <v>887</v>
      </c>
      <c r="D940" s="0" t="s">
        <v>4165</v>
      </c>
      <c r="E940" s="0" t="n">
        <v>2026</v>
      </c>
      <c r="H940" s="0" t="n">
        <v>8</v>
      </c>
      <c r="I940" s="0" t="n">
        <v>1953</v>
      </c>
      <c r="J940" s="0" t="s">
        <v>268</v>
      </c>
      <c r="K940" s="0" t="s">
        <v>4120</v>
      </c>
      <c r="L940" s="0" t="s">
        <v>293</v>
      </c>
      <c r="M940" s="0" t="s">
        <v>4166</v>
      </c>
      <c r="N940" s="0" t="s">
        <v>4166</v>
      </c>
      <c r="O940" s="0" t="s">
        <v>4167</v>
      </c>
      <c r="P940" s="0" t="s">
        <v>4168</v>
      </c>
      <c r="R940" s="0" t="s">
        <v>275</v>
      </c>
      <c r="S940" s="0" t="s">
        <v>290</v>
      </c>
      <c r="T940" s="0" t="s">
        <v>276</v>
      </c>
      <c r="U940" s="0" t="s">
        <v>277</v>
      </c>
    </row>
    <row r="941" customFormat="false" ht="15" hidden="false" customHeight="false" outlineLevel="0" collapsed="false">
      <c r="A941" s="0" t="n">
        <v>50</v>
      </c>
      <c r="B941" s="0" t="s">
        <v>97</v>
      </c>
      <c r="C941" s="0" t="s">
        <v>887</v>
      </c>
      <c r="D941" s="0" t="s">
        <v>4169</v>
      </c>
      <c r="E941" s="0" t="n">
        <v>2022</v>
      </c>
      <c r="H941" s="0" t="n">
        <v>22</v>
      </c>
      <c r="I941" s="0" t="n">
        <v>8064</v>
      </c>
      <c r="J941" s="0" t="s">
        <v>268</v>
      </c>
      <c r="K941" s="0" t="s">
        <v>286</v>
      </c>
      <c r="L941" s="0" t="s">
        <v>270</v>
      </c>
      <c r="M941" s="0" t="s">
        <v>4170</v>
      </c>
      <c r="N941" s="0" t="s">
        <v>4170</v>
      </c>
      <c r="O941" s="0" t="s">
        <v>4171</v>
      </c>
      <c r="P941" s="0" t="s">
        <v>4172</v>
      </c>
      <c r="R941" s="0" t="s">
        <v>284</v>
      </c>
      <c r="S941" s="0" t="s">
        <v>290</v>
      </c>
      <c r="T941" s="0" t="s">
        <v>276</v>
      </c>
      <c r="U941" s="0" t="s">
        <v>277</v>
      </c>
    </row>
    <row r="942" customFormat="false" ht="15" hidden="false" customHeight="false" outlineLevel="0" collapsed="false">
      <c r="A942" s="0" t="n">
        <v>50</v>
      </c>
      <c r="B942" s="0" t="s">
        <v>97</v>
      </c>
      <c r="C942" s="0" t="s">
        <v>500</v>
      </c>
      <c r="D942" s="0" t="s">
        <v>4173</v>
      </c>
      <c r="E942" s="0" t="n">
        <v>2023</v>
      </c>
      <c r="H942" s="0" t="n">
        <v>1</v>
      </c>
      <c r="I942" s="0" t="n">
        <v>947</v>
      </c>
      <c r="J942" s="0" t="s">
        <v>290</v>
      </c>
      <c r="K942" s="0" t="s">
        <v>4120</v>
      </c>
      <c r="L942" s="0" t="s">
        <v>293</v>
      </c>
      <c r="M942" s="0" t="s">
        <v>4174</v>
      </c>
      <c r="N942" s="0" t="s">
        <v>4174</v>
      </c>
      <c r="O942" s="0" t="s">
        <v>4175</v>
      </c>
      <c r="P942" s="0" t="s">
        <v>4176</v>
      </c>
      <c r="R942" s="0" t="s">
        <v>284</v>
      </c>
      <c r="S942" s="0" t="s">
        <v>268</v>
      </c>
      <c r="T942" s="0" t="s">
        <v>276</v>
      </c>
      <c r="U942" s="0" t="s">
        <v>277</v>
      </c>
    </row>
    <row r="943" customFormat="false" ht="15" hidden="false" customHeight="false" outlineLevel="0" collapsed="false">
      <c r="A943" s="0" t="n">
        <v>51</v>
      </c>
      <c r="B943" s="0" t="s">
        <v>99</v>
      </c>
      <c r="C943" s="0" t="s">
        <v>309</v>
      </c>
      <c r="D943" s="0" t="s">
        <v>4177</v>
      </c>
      <c r="E943" s="0" t="n">
        <v>2025</v>
      </c>
      <c r="H943" s="0" t="n">
        <v>18</v>
      </c>
      <c r="I943" s="0" t="n">
        <v>2173</v>
      </c>
      <c r="J943" s="0" t="s">
        <v>268</v>
      </c>
      <c r="K943" s="0" t="s">
        <v>4178</v>
      </c>
      <c r="L943" s="0" t="s">
        <v>293</v>
      </c>
      <c r="M943" s="0" t="s">
        <v>4179</v>
      </c>
      <c r="N943" s="0" t="s">
        <v>4179</v>
      </c>
      <c r="O943" s="0" t="s">
        <v>4180</v>
      </c>
      <c r="P943" s="0" t="s">
        <v>4181</v>
      </c>
      <c r="R943" s="0" t="s">
        <v>275</v>
      </c>
      <c r="S943" s="0" t="s">
        <v>268</v>
      </c>
      <c r="T943" s="0" t="s">
        <v>276</v>
      </c>
      <c r="U943" s="0" t="s">
        <v>277</v>
      </c>
    </row>
    <row r="944" customFormat="false" ht="15" hidden="false" customHeight="false" outlineLevel="0" collapsed="false">
      <c r="A944" s="0" t="n">
        <v>51</v>
      </c>
      <c r="B944" s="0" t="s">
        <v>99</v>
      </c>
      <c r="C944" s="0" t="s">
        <v>309</v>
      </c>
      <c r="D944" s="0" t="s">
        <v>4182</v>
      </c>
      <c r="E944" s="0" t="n">
        <v>2024</v>
      </c>
      <c r="H944" s="0" t="n">
        <v>12</v>
      </c>
      <c r="I944" s="0" t="n">
        <v>797</v>
      </c>
      <c r="J944" s="0" t="s">
        <v>268</v>
      </c>
      <c r="K944" s="0" t="s">
        <v>4178</v>
      </c>
      <c r="L944" s="0" t="s">
        <v>293</v>
      </c>
      <c r="M944" s="0" t="s">
        <v>4183</v>
      </c>
      <c r="N944" s="0" t="s">
        <v>4183</v>
      </c>
      <c r="O944" s="0" t="s">
        <v>4184</v>
      </c>
      <c r="P944" s="0" t="s">
        <v>4185</v>
      </c>
      <c r="R944" s="0" t="s">
        <v>284</v>
      </c>
      <c r="S944" s="0" t="s">
        <v>290</v>
      </c>
      <c r="T944" s="0" t="s">
        <v>276</v>
      </c>
      <c r="U944" s="0" t="s">
        <v>277</v>
      </c>
    </row>
    <row r="945" customFormat="false" ht="15" hidden="false" customHeight="false" outlineLevel="0" collapsed="false">
      <c r="A945" s="0" t="n">
        <v>51</v>
      </c>
      <c r="B945" s="0" t="s">
        <v>99</v>
      </c>
      <c r="C945" s="0" t="s">
        <v>309</v>
      </c>
      <c r="D945" s="0" t="s">
        <v>4186</v>
      </c>
      <c r="E945" s="0" t="n">
        <v>2019</v>
      </c>
      <c r="H945" s="0" t="n">
        <v>1</v>
      </c>
      <c r="I945" s="0" t="n">
        <v>6925</v>
      </c>
      <c r="J945" s="0" t="s">
        <v>290</v>
      </c>
      <c r="K945" s="0" t="s">
        <v>298</v>
      </c>
      <c r="L945" s="0" t="s">
        <v>270</v>
      </c>
      <c r="M945" s="0" t="s">
        <v>4187</v>
      </c>
      <c r="N945" s="0" t="s">
        <v>4187</v>
      </c>
      <c r="O945" s="0" t="s">
        <v>4188</v>
      </c>
      <c r="P945" s="0" t="s">
        <v>4189</v>
      </c>
      <c r="R945" s="0" t="s">
        <v>284</v>
      </c>
      <c r="S945" s="0" t="s">
        <v>290</v>
      </c>
      <c r="T945" s="0" t="s">
        <v>276</v>
      </c>
      <c r="U945" s="0" t="s">
        <v>277</v>
      </c>
    </row>
    <row r="946" customFormat="false" ht="15" hidden="false" customHeight="false" outlineLevel="0" collapsed="false">
      <c r="A946" s="0" t="n">
        <v>51</v>
      </c>
      <c r="B946" s="0" t="s">
        <v>99</v>
      </c>
      <c r="C946" s="0" t="s">
        <v>586</v>
      </c>
      <c r="D946" s="0" t="s">
        <v>4190</v>
      </c>
      <c r="E946" s="0" t="n">
        <v>2022</v>
      </c>
      <c r="H946" s="0" t="n">
        <v>19</v>
      </c>
      <c r="I946" s="0" t="n">
        <v>4467</v>
      </c>
      <c r="J946" s="0" t="s">
        <v>268</v>
      </c>
      <c r="K946" s="0" t="s">
        <v>4178</v>
      </c>
      <c r="L946" s="0" t="s">
        <v>293</v>
      </c>
      <c r="M946" s="0" t="s">
        <v>4191</v>
      </c>
      <c r="N946" s="0" t="s">
        <v>4191</v>
      </c>
      <c r="O946" s="0" t="s">
        <v>4192</v>
      </c>
      <c r="P946" s="0" t="s">
        <v>4193</v>
      </c>
      <c r="R946" s="0" t="s">
        <v>284</v>
      </c>
      <c r="S946" s="0" t="s">
        <v>268</v>
      </c>
      <c r="T946" s="0" t="s">
        <v>276</v>
      </c>
      <c r="U946" s="0" t="s">
        <v>277</v>
      </c>
    </row>
    <row r="947" customFormat="false" ht="15" hidden="false" customHeight="false" outlineLevel="0" collapsed="false">
      <c r="A947" s="0" t="n">
        <v>51</v>
      </c>
      <c r="B947" s="0" t="s">
        <v>99</v>
      </c>
      <c r="C947" s="0" t="s">
        <v>586</v>
      </c>
      <c r="D947" s="0" t="s">
        <v>4194</v>
      </c>
      <c r="E947" s="0" t="n">
        <v>2020</v>
      </c>
      <c r="H947" s="0" t="n">
        <v>6</v>
      </c>
      <c r="I947" s="0" t="n">
        <v>9654</v>
      </c>
      <c r="J947" s="0" t="s">
        <v>268</v>
      </c>
      <c r="K947" s="0" t="s">
        <v>4178</v>
      </c>
      <c r="L947" s="0" t="s">
        <v>293</v>
      </c>
      <c r="M947" s="0" t="s">
        <v>4195</v>
      </c>
      <c r="N947" s="0" t="s">
        <v>4195</v>
      </c>
      <c r="O947" s="0" t="s">
        <v>4196</v>
      </c>
      <c r="P947" s="0" t="s">
        <v>4197</v>
      </c>
      <c r="R947" s="0" t="s">
        <v>284</v>
      </c>
      <c r="S947" s="0" t="s">
        <v>290</v>
      </c>
      <c r="T947" s="0" t="s">
        <v>276</v>
      </c>
      <c r="U947" s="0" t="s">
        <v>277</v>
      </c>
    </row>
    <row r="948" customFormat="false" ht="15" hidden="false" customHeight="false" outlineLevel="0" collapsed="false">
      <c r="A948" s="0" t="n">
        <v>51</v>
      </c>
      <c r="B948" s="0" t="s">
        <v>99</v>
      </c>
      <c r="C948" s="0" t="s">
        <v>586</v>
      </c>
      <c r="D948" s="0" t="s">
        <v>4198</v>
      </c>
      <c r="E948" s="0" t="n">
        <v>2020</v>
      </c>
      <c r="H948" s="0" t="n">
        <v>3</v>
      </c>
      <c r="I948" s="0" t="n">
        <v>192</v>
      </c>
      <c r="J948" s="0" t="s">
        <v>268</v>
      </c>
      <c r="K948" s="0" t="s">
        <v>4178</v>
      </c>
      <c r="L948" s="0" t="s">
        <v>293</v>
      </c>
      <c r="M948" s="0" t="s">
        <v>4199</v>
      </c>
      <c r="N948" s="0" t="s">
        <v>4199</v>
      </c>
      <c r="O948" s="0" t="s">
        <v>4200</v>
      </c>
      <c r="P948" s="0" t="s">
        <v>4201</v>
      </c>
      <c r="R948" s="0" t="s">
        <v>284</v>
      </c>
      <c r="S948" s="0" t="s">
        <v>290</v>
      </c>
      <c r="T948" s="0" t="s">
        <v>276</v>
      </c>
      <c r="U948" s="0" t="s">
        <v>277</v>
      </c>
    </row>
    <row r="949" customFormat="false" ht="15" hidden="false" customHeight="false" outlineLevel="0" collapsed="false">
      <c r="A949" s="0" t="n">
        <v>51</v>
      </c>
      <c r="B949" s="0" t="s">
        <v>99</v>
      </c>
      <c r="C949" s="0" t="s">
        <v>586</v>
      </c>
      <c r="D949" s="0" t="s">
        <v>4202</v>
      </c>
      <c r="E949" s="0" t="n">
        <v>2019</v>
      </c>
      <c r="H949" s="0" t="n">
        <v>6</v>
      </c>
      <c r="I949" s="0" t="n">
        <v>5941</v>
      </c>
      <c r="J949" s="0" t="s">
        <v>268</v>
      </c>
      <c r="K949" s="0" t="s">
        <v>298</v>
      </c>
      <c r="L949" s="0" t="s">
        <v>270</v>
      </c>
      <c r="M949" s="0" t="s">
        <v>4203</v>
      </c>
      <c r="N949" s="0" t="s">
        <v>4203</v>
      </c>
      <c r="O949" s="0" t="s">
        <v>4204</v>
      </c>
      <c r="P949" s="0" t="s">
        <v>4205</v>
      </c>
      <c r="R949" s="0" t="s">
        <v>284</v>
      </c>
      <c r="S949" s="0" t="s">
        <v>290</v>
      </c>
      <c r="T949" s="0" t="s">
        <v>276</v>
      </c>
      <c r="U949" s="0" t="s">
        <v>277</v>
      </c>
    </row>
    <row r="950" customFormat="false" ht="15" hidden="false" customHeight="false" outlineLevel="0" collapsed="false">
      <c r="A950" s="0" t="n">
        <v>51</v>
      </c>
      <c r="B950" s="0" t="s">
        <v>99</v>
      </c>
      <c r="C950" s="0" t="s">
        <v>586</v>
      </c>
      <c r="D950" s="0" t="s">
        <v>4206</v>
      </c>
      <c r="E950" s="0" t="n">
        <v>2019</v>
      </c>
      <c r="H950" s="0" t="n">
        <v>13</v>
      </c>
      <c r="I950" s="0" t="n">
        <v>3891</v>
      </c>
      <c r="J950" s="0" t="s">
        <v>268</v>
      </c>
      <c r="K950" s="0" t="s">
        <v>4178</v>
      </c>
      <c r="L950" s="0" t="s">
        <v>293</v>
      </c>
      <c r="M950" s="0" t="s">
        <v>4207</v>
      </c>
      <c r="N950" s="0" t="s">
        <v>4207</v>
      </c>
      <c r="O950" s="0" t="s">
        <v>4208</v>
      </c>
      <c r="P950" s="0" t="s">
        <v>4209</v>
      </c>
      <c r="R950" s="0" t="s">
        <v>284</v>
      </c>
      <c r="S950" s="0" t="s">
        <v>290</v>
      </c>
      <c r="T950" s="0" t="s">
        <v>314</v>
      </c>
      <c r="U950" s="0" t="s">
        <v>277</v>
      </c>
      <c r="V950" s="0" t="s">
        <v>4210</v>
      </c>
    </row>
    <row r="951" customFormat="false" ht="15" hidden="false" customHeight="false" outlineLevel="0" collapsed="false">
      <c r="A951" s="0" t="n">
        <v>51</v>
      </c>
      <c r="B951" s="0" t="s">
        <v>99</v>
      </c>
      <c r="C951" s="0" t="s">
        <v>324</v>
      </c>
      <c r="D951" s="0" t="s">
        <v>4211</v>
      </c>
      <c r="E951" s="0" t="n">
        <v>2026</v>
      </c>
      <c r="H951" s="0" t="n">
        <v>4</v>
      </c>
      <c r="I951" s="0" t="n">
        <v>282</v>
      </c>
      <c r="J951" s="0" t="s">
        <v>268</v>
      </c>
      <c r="K951" s="0" t="s">
        <v>4178</v>
      </c>
      <c r="L951" s="0" t="s">
        <v>293</v>
      </c>
      <c r="M951" s="0" t="s">
        <v>4212</v>
      </c>
      <c r="N951" s="0" t="s">
        <v>4212</v>
      </c>
      <c r="O951" s="0" t="s">
        <v>4213</v>
      </c>
      <c r="P951" s="0" t="s">
        <v>4214</v>
      </c>
      <c r="R951" s="0" t="s">
        <v>275</v>
      </c>
      <c r="S951" s="0" t="s">
        <v>268</v>
      </c>
      <c r="T951" s="0" t="s">
        <v>276</v>
      </c>
      <c r="U951" s="0" t="s">
        <v>277</v>
      </c>
    </row>
    <row r="952" customFormat="false" ht="15" hidden="false" customHeight="false" outlineLevel="0" collapsed="false">
      <c r="A952" s="0" t="n">
        <v>51</v>
      </c>
      <c r="B952" s="0" t="s">
        <v>99</v>
      </c>
      <c r="C952" s="0" t="s">
        <v>530</v>
      </c>
      <c r="D952" s="0" t="s">
        <v>4215</v>
      </c>
      <c r="E952" s="0" t="n">
        <v>2022</v>
      </c>
      <c r="H952" s="0" t="n">
        <v>6</v>
      </c>
      <c r="I952" s="0" t="n">
        <v>6994</v>
      </c>
      <c r="J952" s="0" t="s">
        <v>268</v>
      </c>
      <c r="K952" s="0" t="s">
        <v>4178</v>
      </c>
      <c r="L952" s="0" t="s">
        <v>293</v>
      </c>
      <c r="M952" s="0" t="s">
        <v>4216</v>
      </c>
      <c r="N952" s="0" t="s">
        <v>4216</v>
      </c>
      <c r="O952" s="0" t="s">
        <v>4217</v>
      </c>
      <c r="P952" s="0" t="s">
        <v>4218</v>
      </c>
      <c r="R952" s="0" t="s">
        <v>284</v>
      </c>
      <c r="S952" s="0" t="s">
        <v>268</v>
      </c>
      <c r="T952" s="0" t="s">
        <v>314</v>
      </c>
      <c r="U952" s="0" t="s">
        <v>277</v>
      </c>
      <c r="V952" s="0" t="s">
        <v>4210</v>
      </c>
    </row>
    <row r="953" customFormat="false" ht="15" hidden="false" customHeight="false" outlineLevel="0" collapsed="false">
      <c r="A953" s="0" t="n">
        <v>51</v>
      </c>
      <c r="B953" s="0" t="s">
        <v>99</v>
      </c>
      <c r="C953" s="0" t="s">
        <v>480</v>
      </c>
      <c r="D953" s="0" t="s">
        <v>4219</v>
      </c>
      <c r="E953" s="0" t="n">
        <v>2020</v>
      </c>
      <c r="H953" s="0" t="n">
        <v>3</v>
      </c>
      <c r="I953" s="0" t="n">
        <v>1942</v>
      </c>
      <c r="J953" s="0" t="s">
        <v>268</v>
      </c>
      <c r="K953" s="0" t="s">
        <v>4178</v>
      </c>
      <c r="L953" s="0" t="s">
        <v>293</v>
      </c>
      <c r="M953" s="0" t="s">
        <v>4220</v>
      </c>
      <c r="N953" s="0" t="s">
        <v>4220</v>
      </c>
      <c r="O953" s="0" t="s">
        <v>4221</v>
      </c>
      <c r="P953" s="0" t="s">
        <v>4222</v>
      </c>
      <c r="R953" s="0" t="s">
        <v>284</v>
      </c>
      <c r="S953" s="0" t="s">
        <v>268</v>
      </c>
      <c r="T953" s="0" t="s">
        <v>276</v>
      </c>
      <c r="U953" s="0" t="s">
        <v>277</v>
      </c>
    </row>
    <row r="954" customFormat="false" ht="15" hidden="false" customHeight="false" outlineLevel="0" collapsed="false">
      <c r="A954" s="0" t="n">
        <v>51</v>
      </c>
      <c r="B954" s="0" t="s">
        <v>99</v>
      </c>
      <c r="C954" s="0" t="s">
        <v>278</v>
      </c>
      <c r="D954" s="0" t="s">
        <v>4223</v>
      </c>
      <c r="E954" s="0" t="n">
        <v>2025</v>
      </c>
      <c r="H954" s="0" t="n">
        <v>8</v>
      </c>
      <c r="I954" s="0" t="n">
        <v>3578</v>
      </c>
      <c r="J954" s="0" t="s">
        <v>268</v>
      </c>
      <c r="K954" s="0" t="s">
        <v>4178</v>
      </c>
      <c r="L954" s="0" t="s">
        <v>293</v>
      </c>
      <c r="M954" s="0" t="s">
        <v>4224</v>
      </c>
      <c r="N954" s="0" t="s">
        <v>4224</v>
      </c>
      <c r="O954" s="0" t="s">
        <v>4225</v>
      </c>
      <c r="P954" s="0" t="s">
        <v>4226</v>
      </c>
      <c r="R954" s="0" t="s">
        <v>275</v>
      </c>
      <c r="S954" s="0" t="s">
        <v>290</v>
      </c>
      <c r="T954" s="0" t="s">
        <v>276</v>
      </c>
      <c r="U954" s="0" t="s">
        <v>277</v>
      </c>
    </row>
    <row r="955" customFormat="false" ht="15" hidden="false" customHeight="false" outlineLevel="0" collapsed="false">
      <c r="A955" s="0" t="n">
        <v>51</v>
      </c>
      <c r="B955" s="0" t="s">
        <v>99</v>
      </c>
      <c r="C955" s="0" t="s">
        <v>278</v>
      </c>
      <c r="D955" s="0" t="s">
        <v>4227</v>
      </c>
      <c r="E955" s="0" t="n">
        <v>2025</v>
      </c>
      <c r="H955" s="0" t="n">
        <v>21</v>
      </c>
      <c r="I955" s="0" t="n">
        <v>2596</v>
      </c>
      <c r="J955" s="0" t="s">
        <v>268</v>
      </c>
      <c r="K955" s="0" t="s">
        <v>4178</v>
      </c>
      <c r="L955" s="0" t="s">
        <v>293</v>
      </c>
      <c r="M955" s="0" t="s">
        <v>4228</v>
      </c>
      <c r="N955" s="0" t="s">
        <v>4228</v>
      </c>
      <c r="O955" s="0" t="s">
        <v>4229</v>
      </c>
      <c r="P955" s="0" t="s">
        <v>4230</v>
      </c>
      <c r="R955" s="0" t="s">
        <v>275</v>
      </c>
      <c r="S955" s="0" t="s">
        <v>268</v>
      </c>
      <c r="T955" s="0" t="s">
        <v>276</v>
      </c>
      <c r="U955" s="0" t="s">
        <v>277</v>
      </c>
    </row>
    <row r="956" customFormat="false" ht="15" hidden="false" customHeight="false" outlineLevel="0" collapsed="false">
      <c r="A956" s="0" t="n">
        <v>51</v>
      </c>
      <c r="B956" s="0" t="s">
        <v>99</v>
      </c>
      <c r="C956" s="0" t="s">
        <v>278</v>
      </c>
      <c r="D956" s="0" t="s">
        <v>4231</v>
      </c>
      <c r="E956" s="0" t="n">
        <v>2024</v>
      </c>
      <c r="H956" s="0" t="n">
        <v>14</v>
      </c>
      <c r="I956" s="0" t="n">
        <v>1130</v>
      </c>
      <c r="J956" s="0" t="s">
        <v>268</v>
      </c>
      <c r="K956" s="0" t="s">
        <v>4178</v>
      </c>
      <c r="L956" s="0" t="s">
        <v>293</v>
      </c>
      <c r="M956" s="0" t="s">
        <v>4232</v>
      </c>
      <c r="N956" s="0" t="s">
        <v>4233</v>
      </c>
      <c r="O956" s="0" t="s">
        <v>4234</v>
      </c>
      <c r="P956" s="0" t="s">
        <v>4235</v>
      </c>
      <c r="R956" s="0" t="s">
        <v>284</v>
      </c>
      <c r="S956" s="0" t="s">
        <v>290</v>
      </c>
      <c r="T956" s="0" t="s">
        <v>314</v>
      </c>
      <c r="U956" s="0" t="s">
        <v>277</v>
      </c>
      <c r="V956" s="0" t="s">
        <v>4210</v>
      </c>
    </row>
    <row r="957" customFormat="false" ht="15" hidden="false" customHeight="false" outlineLevel="0" collapsed="false">
      <c r="A957" s="0" t="n">
        <v>51</v>
      </c>
      <c r="B957" s="0" t="s">
        <v>99</v>
      </c>
      <c r="C957" s="0" t="s">
        <v>278</v>
      </c>
      <c r="D957" s="0" t="s">
        <v>4236</v>
      </c>
      <c r="E957" s="0" t="n">
        <v>2024</v>
      </c>
      <c r="H957" s="0" t="n">
        <v>12</v>
      </c>
      <c r="I957" s="0" t="n">
        <v>792</v>
      </c>
      <c r="J957" s="0" t="s">
        <v>268</v>
      </c>
      <c r="K957" s="0" t="s">
        <v>4178</v>
      </c>
      <c r="L957" s="0" t="s">
        <v>293</v>
      </c>
      <c r="M957" s="0" t="s">
        <v>4237</v>
      </c>
      <c r="N957" s="0" t="s">
        <v>4237</v>
      </c>
      <c r="O957" s="0" t="s">
        <v>4238</v>
      </c>
      <c r="P957" s="0" t="s">
        <v>4239</v>
      </c>
      <c r="R957" s="0" t="s">
        <v>284</v>
      </c>
      <c r="S957" s="0" t="s">
        <v>290</v>
      </c>
      <c r="T957" s="0" t="s">
        <v>276</v>
      </c>
      <c r="U957" s="0" t="s">
        <v>277</v>
      </c>
    </row>
    <row r="958" customFormat="false" ht="15" hidden="false" customHeight="false" outlineLevel="0" collapsed="false">
      <c r="A958" s="0" t="n">
        <v>51</v>
      </c>
      <c r="B958" s="0" t="s">
        <v>99</v>
      </c>
      <c r="C958" s="0" t="s">
        <v>278</v>
      </c>
      <c r="D958" s="0" t="s">
        <v>4240</v>
      </c>
      <c r="E958" s="0" t="n">
        <v>2012</v>
      </c>
      <c r="H958" s="0" t="n">
        <v>32</v>
      </c>
      <c r="I958" s="0" t="n">
        <v>2857</v>
      </c>
      <c r="J958" s="0" t="s">
        <v>268</v>
      </c>
      <c r="K958" s="0" t="s">
        <v>4178</v>
      </c>
      <c r="L958" s="0" t="s">
        <v>293</v>
      </c>
      <c r="M958" s="0" t="s">
        <v>4241</v>
      </c>
      <c r="N958" s="0" t="s">
        <v>4241</v>
      </c>
      <c r="O958" s="0" t="s">
        <v>4242</v>
      </c>
      <c r="P958" s="0" t="s">
        <v>4243</v>
      </c>
      <c r="R958" s="0" t="s">
        <v>284</v>
      </c>
      <c r="S958" s="0" t="s">
        <v>290</v>
      </c>
      <c r="T958" s="0" t="s">
        <v>276</v>
      </c>
      <c r="U958" s="0" t="s">
        <v>277</v>
      </c>
    </row>
    <row r="959" customFormat="false" ht="15" hidden="false" customHeight="false" outlineLevel="0" collapsed="false">
      <c r="A959" s="0" t="n">
        <v>51</v>
      </c>
      <c r="B959" s="0" t="s">
        <v>99</v>
      </c>
      <c r="C959" s="0" t="s">
        <v>489</v>
      </c>
      <c r="D959" s="0" t="s">
        <v>4244</v>
      </c>
      <c r="E959" s="0" t="n">
        <v>2026</v>
      </c>
      <c r="H959" s="0" t="n">
        <v>6</v>
      </c>
      <c r="I959" s="0" t="n">
        <v>7632</v>
      </c>
      <c r="J959" s="0" t="s">
        <v>268</v>
      </c>
      <c r="K959" s="0" t="s">
        <v>4178</v>
      </c>
      <c r="L959" s="0" t="s">
        <v>293</v>
      </c>
      <c r="M959" s="0" t="s">
        <v>4245</v>
      </c>
      <c r="N959" s="0" t="s">
        <v>4245</v>
      </c>
      <c r="O959" s="0" t="s">
        <v>4246</v>
      </c>
      <c r="P959" s="0" t="s">
        <v>4247</v>
      </c>
      <c r="R959" s="0" t="s">
        <v>275</v>
      </c>
      <c r="S959" s="0" t="s">
        <v>268</v>
      </c>
      <c r="T959" s="0" t="s">
        <v>276</v>
      </c>
      <c r="U959" s="0" t="s">
        <v>277</v>
      </c>
    </row>
    <row r="960" customFormat="false" ht="15" hidden="false" customHeight="false" outlineLevel="0" collapsed="false">
      <c r="A960" s="0" t="n">
        <v>51</v>
      </c>
      <c r="B960" s="0" t="s">
        <v>99</v>
      </c>
      <c r="C960" s="0" t="s">
        <v>500</v>
      </c>
      <c r="D960" s="0" t="s">
        <v>4248</v>
      </c>
      <c r="E960" s="0" t="n">
        <v>2026</v>
      </c>
      <c r="H960" s="0" t="n">
        <v>12</v>
      </c>
      <c r="I960" s="0" t="n">
        <v>5679</v>
      </c>
      <c r="J960" s="0" t="s">
        <v>290</v>
      </c>
      <c r="K960" s="0" t="s">
        <v>4178</v>
      </c>
      <c r="L960" s="0" t="s">
        <v>293</v>
      </c>
      <c r="M960" s="0" t="s">
        <v>4249</v>
      </c>
      <c r="N960" s="0" t="s">
        <v>4249</v>
      </c>
      <c r="O960" s="0" t="s">
        <v>4250</v>
      </c>
      <c r="P960" s="0" t="s">
        <v>4251</v>
      </c>
      <c r="R960" s="0" t="s">
        <v>275</v>
      </c>
      <c r="S960" s="0" t="s">
        <v>268</v>
      </c>
      <c r="T960" s="0" t="s">
        <v>314</v>
      </c>
      <c r="U960" s="0" t="s">
        <v>277</v>
      </c>
      <c r="V960" s="0" t="s">
        <v>4210</v>
      </c>
    </row>
    <row r="961" customFormat="false" ht="15" hidden="false" customHeight="false" outlineLevel="0" collapsed="false">
      <c r="A961" s="0" t="n">
        <v>52</v>
      </c>
      <c r="B961" s="0" t="s">
        <v>100</v>
      </c>
      <c r="C961" s="0" t="s">
        <v>56</v>
      </c>
      <c r="D961" s="0" t="s">
        <v>4252</v>
      </c>
      <c r="E961" s="0" t="n">
        <v>2026</v>
      </c>
      <c r="H961" s="0" t="n">
        <v>5</v>
      </c>
      <c r="I961" s="0" t="n">
        <v>7367</v>
      </c>
      <c r="J961" s="0" t="s">
        <v>268</v>
      </c>
      <c r="K961" s="0" t="s">
        <v>4253</v>
      </c>
      <c r="L961" s="0" t="s">
        <v>1697</v>
      </c>
      <c r="M961" s="0" t="s">
        <v>4254</v>
      </c>
      <c r="N961" s="0" t="s">
        <v>4254</v>
      </c>
      <c r="O961" s="0" t="s">
        <v>4255</v>
      </c>
      <c r="P961" s="0" t="s">
        <v>4256</v>
      </c>
      <c r="R961" s="0" t="s">
        <v>275</v>
      </c>
      <c r="S961" s="0" t="s">
        <v>268</v>
      </c>
      <c r="T961" s="0" t="s">
        <v>276</v>
      </c>
      <c r="U961" s="0" t="s">
        <v>277</v>
      </c>
    </row>
    <row r="962" customFormat="false" ht="15" hidden="false" customHeight="false" outlineLevel="0" collapsed="false">
      <c r="A962" s="0" t="n">
        <v>52</v>
      </c>
      <c r="B962" s="0" t="s">
        <v>100</v>
      </c>
      <c r="C962" s="0" t="s">
        <v>56</v>
      </c>
      <c r="D962" s="0" t="s">
        <v>4257</v>
      </c>
      <c r="E962" s="0" t="n">
        <v>2024</v>
      </c>
      <c r="H962" s="0" t="n">
        <v>4</v>
      </c>
      <c r="I962" s="0" t="n">
        <v>5097</v>
      </c>
      <c r="J962" s="0" t="s">
        <v>268</v>
      </c>
      <c r="K962" s="0" t="s">
        <v>298</v>
      </c>
      <c r="L962" s="0" t="s">
        <v>270</v>
      </c>
      <c r="M962" s="0" t="s">
        <v>4258</v>
      </c>
      <c r="N962" s="0" t="s">
        <v>4258</v>
      </c>
      <c r="O962" s="0" t="s">
        <v>4259</v>
      </c>
      <c r="P962" s="0" t="s">
        <v>4260</v>
      </c>
      <c r="R962" s="0" t="s">
        <v>284</v>
      </c>
      <c r="S962" s="0" t="s">
        <v>290</v>
      </c>
      <c r="T962" s="0" t="s">
        <v>276</v>
      </c>
      <c r="U962" s="0" t="s">
        <v>277</v>
      </c>
    </row>
    <row r="963" customFormat="false" ht="15" hidden="false" customHeight="false" outlineLevel="0" collapsed="false">
      <c r="A963" s="0" t="n">
        <v>52</v>
      </c>
      <c r="B963" s="0" t="s">
        <v>100</v>
      </c>
      <c r="C963" s="0" t="s">
        <v>91</v>
      </c>
      <c r="D963" s="0" t="s">
        <v>4261</v>
      </c>
      <c r="E963" s="0" t="n">
        <v>2026</v>
      </c>
      <c r="H963" s="0" t="n">
        <v>14</v>
      </c>
      <c r="I963" s="0" t="n">
        <v>44731</v>
      </c>
      <c r="J963" s="0" t="s">
        <v>268</v>
      </c>
      <c r="K963" s="0" t="s">
        <v>4253</v>
      </c>
      <c r="L963" s="0" t="s">
        <v>1697</v>
      </c>
      <c r="M963" s="0" t="s">
        <v>4262</v>
      </c>
      <c r="N963" s="0" t="s">
        <v>4262</v>
      </c>
      <c r="O963" s="0" t="s">
        <v>4263</v>
      </c>
      <c r="P963" s="0" t="s">
        <v>4264</v>
      </c>
      <c r="R963" s="0" t="s">
        <v>275</v>
      </c>
      <c r="S963" s="0" t="s">
        <v>268</v>
      </c>
      <c r="T963" s="0" t="s">
        <v>276</v>
      </c>
      <c r="U963" s="0" t="s">
        <v>277</v>
      </c>
    </row>
    <row r="964" customFormat="false" ht="15" hidden="false" customHeight="false" outlineLevel="0" collapsed="false">
      <c r="A964" s="0" t="n">
        <v>52</v>
      </c>
      <c r="B964" s="0" t="s">
        <v>100</v>
      </c>
      <c r="C964" s="0" t="s">
        <v>309</v>
      </c>
      <c r="D964" s="0" t="s">
        <v>4265</v>
      </c>
      <c r="E964" s="0" t="n">
        <v>2026</v>
      </c>
      <c r="H964" s="0" t="n">
        <v>1</v>
      </c>
      <c r="I964" s="0" t="n">
        <v>16049</v>
      </c>
      <c r="J964" s="0" t="s">
        <v>290</v>
      </c>
      <c r="K964" s="0" t="s">
        <v>4253</v>
      </c>
      <c r="L964" s="0" t="s">
        <v>1697</v>
      </c>
      <c r="M964" s="0" t="s">
        <v>4266</v>
      </c>
      <c r="N964" s="0" t="s">
        <v>4266</v>
      </c>
      <c r="O964" s="0" t="s">
        <v>4267</v>
      </c>
      <c r="P964" s="0" t="s">
        <v>4268</v>
      </c>
      <c r="R964" s="0" t="s">
        <v>275</v>
      </c>
      <c r="S964" s="0" t="s">
        <v>268</v>
      </c>
      <c r="T964" s="0" t="s">
        <v>276</v>
      </c>
      <c r="U964" s="0" t="s">
        <v>277</v>
      </c>
    </row>
    <row r="965" customFormat="false" ht="15" hidden="false" customHeight="false" outlineLevel="0" collapsed="false">
      <c r="A965" s="0" t="n">
        <v>52</v>
      </c>
      <c r="B965" s="0" t="s">
        <v>100</v>
      </c>
      <c r="C965" s="0" t="s">
        <v>309</v>
      </c>
      <c r="D965" s="0" t="s">
        <v>4269</v>
      </c>
      <c r="E965" s="0" t="n">
        <v>2024</v>
      </c>
      <c r="H965" s="0" t="n">
        <v>1</v>
      </c>
      <c r="I965" s="0" t="n">
        <v>3145</v>
      </c>
      <c r="J965" s="0" t="s">
        <v>290</v>
      </c>
      <c r="K965" s="0" t="s">
        <v>298</v>
      </c>
      <c r="L965" s="0" t="s">
        <v>270</v>
      </c>
      <c r="M965" s="0" t="s">
        <v>4270</v>
      </c>
      <c r="N965" s="0" t="s">
        <v>4270</v>
      </c>
      <c r="O965" s="0" t="s">
        <v>4271</v>
      </c>
      <c r="P965" s="0" t="s">
        <v>4272</v>
      </c>
      <c r="R965" s="0" t="s">
        <v>284</v>
      </c>
      <c r="S965" s="0" t="s">
        <v>290</v>
      </c>
      <c r="T965" s="0" t="s">
        <v>314</v>
      </c>
      <c r="U965" s="0" t="s">
        <v>277</v>
      </c>
      <c r="V965" s="0" t="s">
        <v>4273</v>
      </c>
    </row>
    <row r="966" customFormat="false" ht="15" hidden="false" customHeight="false" outlineLevel="0" collapsed="false">
      <c r="A966" s="0" t="n">
        <v>52</v>
      </c>
      <c r="B966" s="0" t="s">
        <v>100</v>
      </c>
      <c r="C966" s="0" t="s">
        <v>586</v>
      </c>
      <c r="D966" s="0" t="s">
        <v>4274</v>
      </c>
      <c r="E966" s="0" t="n">
        <v>2026</v>
      </c>
      <c r="H966" s="0" t="n">
        <v>3</v>
      </c>
      <c r="I966" s="0" t="n">
        <v>120</v>
      </c>
      <c r="J966" s="0" t="s">
        <v>268</v>
      </c>
      <c r="K966" s="0" t="s">
        <v>4253</v>
      </c>
      <c r="L966" s="0" t="s">
        <v>1697</v>
      </c>
      <c r="M966" s="0" t="s">
        <v>4275</v>
      </c>
      <c r="N966" s="0" t="s">
        <v>4275</v>
      </c>
      <c r="O966" s="0" t="s">
        <v>4276</v>
      </c>
      <c r="P966" s="0" t="s">
        <v>4277</v>
      </c>
      <c r="R966" s="0" t="s">
        <v>275</v>
      </c>
      <c r="S966" s="0" t="s">
        <v>268</v>
      </c>
      <c r="T966" s="0" t="s">
        <v>276</v>
      </c>
      <c r="U966" s="0" t="s">
        <v>277</v>
      </c>
    </row>
    <row r="967" customFormat="false" ht="15" hidden="false" customHeight="false" outlineLevel="0" collapsed="false">
      <c r="A967" s="0" t="n">
        <v>52</v>
      </c>
      <c r="B967" s="0" t="s">
        <v>100</v>
      </c>
      <c r="C967" s="0" t="s">
        <v>586</v>
      </c>
      <c r="D967" s="0" t="s">
        <v>4278</v>
      </c>
      <c r="E967" s="0" t="n">
        <v>2026</v>
      </c>
      <c r="H967" s="0" t="n">
        <v>1</v>
      </c>
      <c r="I967" s="0" t="n">
        <v>565</v>
      </c>
      <c r="J967" s="0" t="s">
        <v>268</v>
      </c>
      <c r="K967" s="0" t="s">
        <v>4253</v>
      </c>
      <c r="L967" s="0" t="s">
        <v>1697</v>
      </c>
      <c r="M967" s="0" t="s">
        <v>4279</v>
      </c>
      <c r="N967" s="0" t="s">
        <v>4279</v>
      </c>
      <c r="O967" s="0" t="s">
        <v>4280</v>
      </c>
      <c r="P967" s="0" t="s">
        <v>4281</v>
      </c>
      <c r="R967" s="0" t="s">
        <v>275</v>
      </c>
      <c r="S967" s="0" t="s">
        <v>290</v>
      </c>
      <c r="T967" s="0" t="s">
        <v>276</v>
      </c>
      <c r="U967" s="0" t="s">
        <v>277</v>
      </c>
    </row>
    <row r="968" customFormat="false" ht="15" hidden="false" customHeight="false" outlineLevel="0" collapsed="false">
      <c r="A968" s="0" t="n">
        <v>52</v>
      </c>
      <c r="B968" s="0" t="s">
        <v>100</v>
      </c>
      <c r="C968" s="0" t="s">
        <v>266</v>
      </c>
      <c r="D968" s="0" t="s">
        <v>4282</v>
      </c>
      <c r="E968" s="0" t="n">
        <v>2026</v>
      </c>
      <c r="H968" s="0" t="n">
        <v>5</v>
      </c>
      <c r="I968" s="0" t="n">
        <v>3471</v>
      </c>
      <c r="J968" s="0" t="s">
        <v>268</v>
      </c>
      <c r="K968" s="0" t="s">
        <v>4253</v>
      </c>
      <c r="L968" s="0" t="s">
        <v>1697</v>
      </c>
      <c r="M968" s="0" t="s">
        <v>4283</v>
      </c>
      <c r="N968" s="0" t="s">
        <v>4283</v>
      </c>
      <c r="O968" s="0" t="s">
        <v>4284</v>
      </c>
      <c r="P968" s="0" t="s">
        <v>4285</v>
      </c>
      <c r="R968" s="0" t="s">
        <v>275</v>
      </c>
      <c r="S968" s="0" t="s">
        <v>268</v>
      </c>
      <c r="T968" s="0" t="s">
        <v>276</v>
      </c>
      <c r="U968" s="0" t="s">
        <v>277</v>
      </c>
    </row>
    <row r="969" customFormat="false" ht="15" hidden="false" customHeight="false" outlineLevel="0" collapsed="false">
      <c r="A969" s="0" t="n">
        <v>52</v>
      </c>
      <c r="B969" s="0" t="s">
        <v>100</v>
      </c>
      <c r="C969" s="0" t="s">
        <v>266</v>
      </c>
      <c r="D969" s="0" t="s">
        <v>4286</v>
      </c>
      <c r="E969" s="0" t="n">
        <v>2026</v>
      </c>
      <c r="H969" s="0" t="n">
        <v>2</v>
      </c>
      <c r="I969" s="0" t="n">
        <v>155</v>
      </c>
      <c r="J969" s="0" t="s">
        <v>268</v>
      </c>
      <c r="K969" s="0" t="s">
        <v>4253</v>
      </c>
      <c r="L969" s="0" t="s">
        <v>1697</v>
      </c>
      <c r="M969" s="0" t="s">
        <v>4287</v>
      </c>
      <c r="N969" s="0" t="s">
        <v>4287</v>
      </c>
      <c r="O969" s="0" t="s">
        <v>4288</v>
      </c>
      <c r="P969" s="0" t="s">
        <v>4289</v>
      </c>
      <c r="R969" s="0" t="s">
        <v>275</v>
      </c>
      <c r="S969" s="0" t="s">
        <v>290</v>
      </c>
      <c r="T969" s="0" t="s">
        <v>276</v>
      </c>
      <c r="U969" s="0" t="s">
        <v>277</v>
      </c>
    </row>
    <row r="970" customFormat="false" ht="15" hidden="false" customHeight="false" outlineLevel="0" collapsed="false">
      <c r="A970" s="0" t="n">
        <v>52</v>
      </c>
      <c r="B970" s="0" t="s">
        <v>100</v>
      </c>
      <c r="C970" s="0" t="s">
        <v>266</v>
      </c>
      <c r="D970" s="0" t="s">
        <v>4290</v>
      </c>
      <c r="E970" s="0" t="n">
        <v>2026</v>
      </c>
      <c r="H970" s="0" t="n">
        <v>4</v>
      </c>
      <c r="I970" s="0" t="n">
        <v>322</v>
      </c>
      <c r="J970" s="0" t="s">
        <v>268</v>
      </c>
      <c r="K970" s="0" t="s">
        <v>4253</v>
      </c>
      <c r="L970" s="0" t="s">
        <v>1697</v>
      </c>
      <c r="M970" s="0" t="s">
        <v>4291</v>
      </c>
      <c r="N970" s="0" t="s">
        <v>4291</v>
      </c>
      <c r="O970" s="0" t="s">
        <v>4292</v>
      </c>
      <c r="P970" s="0" t="s">
        <v>4293</v>
      </c>
      <c r="R970" s="0" t="s">
        <v>275</v>
      </c>
      <c r="S970" s="0" t="s">
        <v>290</v>
      </c>
      <c r="T970" s="0" t="s">
        <v>276</v>
      </c>
      <c r="U970" s="0" t="s">
        <v>277</v>
      </c>
    </row>
    <row r="971" customFormat="false" ht="15" hidden="false" customHeight="false" outlineLevel="0" collapsed="false">
      <c r="A971" s="0" t="n">
        <v>52</v>
      </c>
      <c r="B971" s="0" t="s">
        <v>100</v>
      </c>
      <c r="C971" s="0" t="s">
        <v>266</v>
      </c>
      <c r="D971" s="0" t="s">
        <v>4294</v>
      </c>
      <c r="E971" s="0" t="n">
        <v>2025</v>
      </c>
      <c r="H971" s="0" t="n">
        <v>4</v>
      </c>
      <c r="I971" s="0" t="n">
        <v>869</v>
      </c>
      <c r="J971" s="0" t="s">
        <v>268</v>
      </c>
      <c r="K971" s="0" t="s">
        <v>4253</v>
      </c>
      <c r="L971" s="0" t="s">
        <v>1697</v>
      </c>
      <c r="M971" s="0" t="s">
        <v>4295</v>
      </c>
      <c r="N971" s="0" t="s">
        <v>4295</v>
      </c>
      <c r="O971" s="0" t="s">
        <v>4296</v>
      </c>
      <c r="P971" s="0" t="s">
        <v>4297</v>
      </c>
      <c r="R971" s="0" t="s">
        <v>275</v>
      </c>
      <c r="S971" s="0" t="s">
        <v>290</v>
      </c>
      <c r="T971" s="0" t="s">
        <v>276</v>
      </c>
      <c r="U971" s="0" t="s">
        <v>277</v>
      </c>
    </row>
    <row r="972" customFormat="false" ht="15" hidden="false" customHeight="false" outlineLevel="0" collapsed="false">
      <c r="A972" s="0" t="n">
        <v>52</v>
      </c>
      <c r="B972" s="0" t="s">
        <v>100</v>
      </c>
      <c r="C972" s="0" t="s">
        <v>266</v>
      </c>
      <c r="D972" s="0" t="s">
        <v>4298</v>
      </c>
      <c r="E972" s="0" t="n">
        <v>2023</v>
      </c>
      <c r="H972" s="0" t="n">
        <v>10</v>
      </c>
      <c r="I972" s="0" t="n">
        <v>303</v>
      </c>
      <c r="J972" s="0" t="s">
        <v>268</v>
      </c>
      <c r="K972" s="0" t="s">
        <v>4253</v>
      </c>
      <c r="L972" s="0" t="s">
        <v>1697</v>
      </c>
      <c r="M972" s="0" t="s">
        <v>4299</v>
      </c>
      <c r="N972" s="0" t="s">
        <v>4299</v>
      </c>
      <c r="O972" s="0" t="s">
        <v>4300</v>
      </c>
      <c r="P972" s="0" t="s">
        <v>4301</v>
      </c>
      <c r="R972" s="0" t="s">
        <v>284</v>
      </c>
      <c r="S972" s="0" t="s">
        <v>290</v>
      </c>
      <c r="T972" s="0" t="s">
        <v>276</v>
      </c>
      <c r="U972" s="0" t="s">
        <v>277</v>
      </c>
    </row>
    <row r="973" customFormat="false" ht="15" hidden="false" customHeight="false" outlineLevel="0" collapsed="false">
      <c r="A973" s="0" t="n">
        <v>52</v>
      </c>
      <c r="B973" s="0" t="s">
        <v>100</v>
      </c>
      <c r="C973" s="0" t="s">
        <v>324</v>
      </c>
      <c r="D973" s="0" t="s">
        <v>4302</v>
      </c>
      <c r="E973" s="0" t="n">
        <v>2026</v>
      </c>
      <c r="H973" s="0" t="n">
        <v>14</v>
      </c>
      <c r="I973" s="0" t="n">
        <v>3944</v>
      </c>
      <c r="J973" s="0" t="s">
        <v>268</v>
      </c>
      <c r="K973" s="0" t="s">
        <v>4253</v>
      </c>
      <c r="L973" s="0" t="s">
        <v>1697</v>
      </c>
      <c r="M973" s="0" t="s">
        <v>4303</v>
      </c>
      <c r="N973" s="0" t="s">
        <v>4303</v>
      </c>
      <c r="O973" s="0" t="s">
        <v>4304</v>
      </c>
      <c r="P973" s="0" t="s">
        <v>4305</v>
      </c>
      <c r="R973" s="0" t="s">
        <v>275</v>
      </c>
      <c r="S973" s="0" t="s">
        <v>268</v>
      </c>
      <c r="T973" s="0" t="s">
        <v>276</v>
      </c>
      <c r="U973" s="0" t="s">
        <v>277</v>
      </c>
    </row>
    <row r="974" customFormat="false" ht="15" hidden="false" customHeight="false" outlineLevel="0" collapsed="false">
      <c r="A974" s="0" t="n">
        <v>52</v>
      </c>
      <c r="B974" s="0" t="s">
        <v>100</v>
      </c>
      <c r="C974" s="0" t="s">
        <v>324</v>
      </c>
      <c r="D974" s="0" t="s">
        <v>4306</v>
      </c>
      <c r="E974" s="0" t="n">
        <v>2025</v>
      </c>
      <c r="H974" s="0" t="n">
        <v>8</v>
      </c>
      <c r="I974" s="0" t="n">
        <v>3130</v>
      </c>
      <c r="J974" s="0" t="s">
        <v>268</v>
      </c>
      <c r="K974" s="0" t="s">
        <v>4253</v>
      </c>
      <c r="L974" s="0" t="s">
        <v>1697</v>
      </c>
      <c r="M974" s="0" t="s">
        <v>4307</v>
      </c>
      <c r="N974" s="0" t="s">
        <v>4307</v>
      </c>
      <c r="O974" s="0" t="s">
        <v>4308</v>
      </c>
      <c r="P974" s="0" t="s">
        <v>4309</v>
      </c>
      <c r="R974" s="0" t="s">
        <v>275</v>
      </c>
      <c r="S974" s="0" t="s">
        <v>290</v>
      </c>
      <c r="T974" s="0" t="s">
        <v>276</v>
      </c>
      <c r="U974" s="0" t="s">
        <v>277</v>
      </c>
    </row>
    <row r="975" customFormat="false" ht="15" hidden="false" customHeight="false" outlineLevel="0" collapsed="false">
      <c r="A975" s="0" t="n">
        <v>52</v>
      </c>
      <c r="B975" s="0" t="s">
        <v>100</v>
      </c>
      <c r="C975" s="0" t="s">
        <v>335</v>
      </c>
      <c r="D975" s="0" t="s">
        <v>4310</v>
      </c>
      <c r="E975" s="0" t="n">
        <v>2025</v>
      </c>
      <c r="H975" s="0" t="n">
        <v>8</v>
      </c>
      <c r="I975" s="0" t="n">
        <v>11785</v>
      </c>
      <c r="J975" s="0" t="s">
        <v>268</v>
      </c>
      <c r="K975" s="0" t="s">
        <v>4253</v>
      </c>
      <c r="L975" s="0" t="s">
        <v>1697</v>
      </c>
      <c r="M975" s="0" t="s">
        <v>4311</v>
      </c>
      <c r="N975" s="0" t="s">
        <v>4311</v>
      </c>
      <c r="O975" s="0" t="s">
        <v>4312</v>
      </c>
      <c r="P975" s="0" t="s">
        <v>4313</v>
      </c>
      <c r="R975" s="0" t="s">
        <v>275</v>
      </c>
      <c r="S975" s="0" t="s">
        <v>268</v>
      </c>
      <c r="T975" s="0" t="s">
        <v>276</v>
      </c>
      <c r="U975" s="0" t="s">
        <v>277</v>
      </c>
    </row>
    <row r="976" customFormat="false" ht="15" hidden="false" customHeight="false" outlineLevel="0" collapsed="false">
      <c r="A976" s="0" t="n">
        <v>52</v>
      </c>
      <c r="B976" s="0" t="s">
        <v>100</v>
      </c>
      <c r="C976" s="0" t="s">
        <v>480</v>
      </c>
      <c r="D976" s="0" t="s">
        <v>4314</v>
      </c>
      <c r="E976" s="0" t="n">
        <v>2028</v>
      </c>
      <c r="H976" s="0" t="n">
        <v>4</v>
      </c>
      <c r="I976" s="0" t="n">
        <v>1752</v>
      </c>
      <c r="J976" s="0" t="s">
        <v>268</v>
      </c>
      <c r="K976" s="0" t="s">
        <v>286</v>
      </c>
      <c r="L976" s="0" t="s">
        <v>270</v>
      </c>
      <c r="M976" s="0" t="s">
        <v>4315</v>
      </c>
      <c r="N976" s="0" t="s">
        <v>4315</v>
      </c>
      <c r="O976" s="0" t="s">
        <v>4316</v>
      </c>
      <c r="P976" s="0" t="s">
        <v>4317</v>
      </c>
      <c r="R976" s="0" t="s">
        <v>275</v>
      </c>
      <c r="S976" s="0" t="s">
        <v>268</v>
      </c>
      <c r="T976" s="0" t="s">
        <v>276</v>
      </c>
      <c r="U976" s="0" t="s">
        <v>277</v>
      </c>
    </row>
    <row r="977" customFormat="false" ht="15" hidden="false" customHeight="false" outlineLevel="0" collapsed="false">
      <c r="A977" s="0" t="n">
        <v>52</v>
      </c>
      <c r="B977" s="0" t="s">
        <v>100</v>
      </c>
      <c r="C977" s="0" t="s">
        <v>489</v>
      </c>
      <c r="D977" s="0" t="s">
        <v>4318</v>
      </c>
      <c r="E977" s="0" t="n">
        <v>2026</v>
      </c>
      <c r="H977" s="0" t="n">
        <v>29</v>
      </c>
      <c r="I977" s="0" t="n">
        <v>32368</v>
      </c>
      <c r="J977" s="0" t="s">
        <v>268</v>
      </c>
      <c r="K977" s="0" t="s">
        <v>4253</v>
      </c>
      <c r="L977" s="0" t="s">
        <v>1697</v>
      </c>
      <c r="M977" s="0" t="s">
        <v>4319</v>
      </c>
      <c r="N977" s="0" t="s">
        <v>4319</v>
      </c>
      <c r="O977" s="0" t="s">
        <v>4320</v>
      </c>
      <c r="P977" s="0" t="s">
        <v>4321</v>
      </c>
      <c r="R977" s="0" t="s">
        <v>275</v>
      </c>
      <c r="S977" s="0" t="s">
        <v>268</v>
      </c>
      <c r="T977" s="0" t="s">
        <v>276</v>
      </c>
      <c r="U977" s="0" t="s">
        <v>277</v>
      </c>
    </row>
    <row r="978" customFormat="false" ht="15" hidden="false" customHeight="false" outlineLevel="0" collapsed="false">
      <c r="A978" s="0" t="n">
        <v>54</v>
      </c>
      <c r="B978" s="0" t="s">
        <v>102</v>
      </c>
      <c r="C978" s="0" t="s">
        <v>309</v>
      </c>
      <c r="D978" s="0" t="s">
        <v>4322</v>
      </c>
      <c r="E978" s="0" t="n">
        <v>2026</v>
      </c>
      <c r="H978" s="0" t="n">
        <v>1</v>
      </c>
      <c r="I978" s="0" t="n">
        <v>539</v>
      </c>
      <c r="J978" s="0" t="s">
        <v>290</v>
      </c>
      <c r="K978" s="0" t="s">
        <v>298</v>
      </c>
      <c r="L978" s="0" t="s">
        <v>270</v>
      </c>
      <c r="M978" s="0" t="s">
        <v>4323</v>
      </c>
      <c r="N978" s="0" t="s">
        <v>4323</v>
      </c>
      <c r="O978" s="0" t="s">
        <v>4324</v>
      </c>
      <c r="P978" s="0" t="s">
        <v>4325</v>
      </c>
      <c r="R978" s="0" t="s">
        <v>275</v>
      </c>
      <c r="S978" s="0" t="s">
        <v>290</v>
      </c>
      <c r="T978" s="0" t="s">
        <v>276</v>
      </c>
      <c r="U978" s="0" t="s">
        <v>277</v>
      </c>
    </row>
    <row r="979" customFormat="false" ht="15" hidden="false" customHeight="false" outlineLevel="0" collapsed="false">
      <c r="A979" s="0" t="n">
        <v>54</v>
      </c>
      <c r="B979" s="0" t="s">
        <v>102</v>
      </c>
      <c r="C979" s="0" t="s">
        <v>309</v>
      </c>
      <c r="D979" s="0" t="s">
        <v>4326</v>
      </c>
      <c r="E979" s="0" t="n">
        <v>2026</v>
      </c>
      <c r="H979" s="0" t="n">
        <v>17</v>
      </c>
      <c r="I979" s="0" t="n">
        <v>2602</v>
      </c>
      <c r="J979" s="0" t="s">
        <v>268</v>
      </c>
      <c r="K979" s="0" t="s">
        <v>4327</v>
      </c>
      <c r="L979" s="0" t="s">
        <v>293</v>
      </c>
      <c r="M979" s="0" t="s">
        <v>4328</v>
      </c>
      <c r="N979" s="0" t="s">
        <v>4328</v>
      </c>
      <c r="O979" s="0" t="s">
        <v>4329</v>
      </c>
      <c r="P979" s="0" t="s">
        <v>4330</v>
      </c>
      <c r="R979" s="0" t="s">
        <v>275</v>
      </c>
      <c r="S979" s="0" t="s">
        <v>268</v>
      </c>
      <c r="T979" s="0" t="s">
        <v>276</v>
      </c>
      <c r="U979" s="0" t="s">
        <v>277</v>
      </c>
    </row>
    <row r="980" customFormat="false" ht="15" hidden="false" customHeight="false" outlineLevel="0" collapsed="false">
      <c r="A980" s="0" t="n">
        <v>54</v>
      </c>
      <c r="B980" s="0" t="s">
        <v>102</v>
      </c>
      <c r="C980" s="0" t="s">
        <v>309</v>
      </c>
      <c r="D980" s="0" t="s">
        <v>4331</v>
      </c>
      <c r="E980" s="0" t="n">
        <v>2025</v>
      </c>
      <c r="H980" s="0" t="n">
        <v>12</v>
      </c>
      <c r="I980" s="0" t="n">
        <v>413</v>
      </c>
      <c r="J980" s="0" t="s">
        <v>268</v>
      </c>
      <c r="K980" s="0" t="s">
        <v>4327</v>
      </c>
      <c r="L980" s="0" t="s">
        <v>293</v>
      </c>
      <c r="M980" s="0" t="s">
        <v>4332</v>
      </c>
      <c r="N980" s="0" t="s">
        <v>4332</v>
      </c>
      <c r="O980" s="0" t="s">
        <v>4333</v>
      </c>
      <c r="P980" s="0" t="s">
        <v>4334</v>
      </c>
      <c r="R980" s="0" t="s">
        <v>275</v>
      </c>
      <c r="S980" s="0" t="s">
        <v>290</v>
      </c>
      <c r="T980" s="0" t="s">
        <v>276</v>
      </c>
      <c r="U980" s="0" t="s">
        <v>277</v>
      </c>
    </row>
    <row r="981" customFormat="false" ht="15" hidden="false" customHeight="false" outlineLevel="0" collapsed="false">
      <c r="A981" s="0" t="n">
        <v>54</v>
      </c>
      <c r="B981" s="0" t="s">
        <v>102</v>
      </c>
      <c r="C981" s="0" t="s">
        <v>586</v>
      </c>
      <c r="D981" s="0" t="s">
        <v>4335</v>
      </c>
      <c r="E981" s="0" t="n">
        <v>2025</v>
      </c>
      <c r="H981" s="0" t="n">
        <v>21</v>
      </c>
      <c r="I981" s="0" t="n">
        <v>1825</v>
      </c>
      <c r="J981" s="0" t="s">
        <v>268</v>
      </c>
      <c r="K981" s="0" t="s">
        <v>4327</v>
      </c>
      <c r="L981" s="0" t="s">
        <v>293</v>
      </c>
      <c r="M981" s="0" t="s">
        <v>4336</v>
      </c>
      <c r="N981" s="0" t="s">
        <v>4336</v>
      </c>
      <c r="O981" s="0" t="s">
        <v>4337</v>
      </c>
      <c r="P981" s="0" t="s">
        <v>4338</v>
      </c>
      <c r="R981" s="0" t="s">
        <v>275</v>
      </c>
      <c r="S981" s="0" t="s">
        <v>268</v>
      </c>
      <c r="T981" s="0" t="s">
        <v>276</v>
      </c>
      <c r="U981" s="0" t="s">
        <v>277</v>
      </c>
    </row>
    <row r="982" customFormat="false" ht="15" hidden="false" customHeight="false" outlineLevel="0" collapsed="false">
      <c r="A982" s="0" t="n">
        <v>54</v>
      </c>
      <c r="B982" s="0" t="s">
        <v>102</v>
      </c>
      <c r="C982" s="0" t="s">
        <v>586</v>
      </c>
      <c r="D982" s="0" t="s">
        <v>4339</v>
      </c>
      <c r="E982" s="0" t="n">
        <v>2022</v>
      </c>
      <c r="H982" s="0" t="n">
        <v>4</v>
      </c>
      <c r="I982" s="0" t="n">
        <v>8269</v>
      </c>
      <c r="J982" s="0" t="s">
        <v>268</v>
      </c>
      <c r="K982" s="0" t="s">
        <v>4327</v>
      </c>
      <c r="L982" s="0" t="s">
        <v>293</v>
      </c>
      <c r="M982" s="0" t="s">
        <v>4340</v>
      </c>
      <c r="N982" s="0" t="s">
        <v>4340</v>
      </c>
      <c r="O982" s="0" t="s">
        <v>4341</v>
      </c>
      <c r="P982" s="0" t="s">
        <v>4342</v>
      </c>
      <c r="R982" s="0" t="s">
        <v>284</v>
      </c>
      <c r="S982" s="0" t="s">
        <v>290</v>
      </c>
      <c r="T982" s="0" t="s">
        <v>276</v>
      </c>
      <c r="U982" s="0" t="s">
        <v>277</v>
      </c>
    </row>
    <row r="983" customFormat="false" ht="15" hidden="false" customHeight="false" outlineLevel="0" collapsed="false">
      <c r="A983" s="0" t="n">
        <v>54</v>
      </c>
      <c r="B983" s="0" t="s">
        <v>102</v>
      </c>
      <c r="C983" s="0" t="s">
        <v>324</v>
      </c>
      <c r="D983" s="0" t="s">
        <v>4343</v>
      </c>
      <c r="E983" s="0" t="n">
        <v>2023</v>
      </c>
      <c r="H983" s="0" t="n">
        <v>6</v>
      </c>
      <c r="I983" s="0" t="n">
        <v>287</v>
      </c>
      <c r="J983" s="0" t="s">
        <v>268</v>
      </c>
      <c r="K983" s="0" t="s">
        <v>4327</v>
      </c>
      <c r="L983" s="0" t="s">
        <v>293</v>
      </c>
      <c r="M983" s="0" t="s">
        <v>4344</v>
      </c>
      <c r="N983" s="0" t="s">
        <v>4344</v>
      </c>
      <c r="O983" s="0" t="s">
        <v>4345</v>
      </c>
      <c r="P983" s="0" t="s">
        <v>4346</v>
      </c>
      <c r="R983" s="0" t="s">
        <v>284</v>
      </c>
      <c r="S983" s="0" t="s">
        <v>268</v>
      </c>
      <c r="T983" s="0" t="s">
        <v>314</v>
      </c>
      <c r="U983" s="0" t="s">
        <v>277</v>
      </c>
      <c r="V983" s="0" t="s">
        <v>4347</v>
      </c>
    </row>
    <row r="984" customFormat="false" ht="15" hidden="false" customHeight="false" outlineLevel="0" collapsed="false">
      <c r="A984" s="0" t="n">
        <v>54</v>
      </c>
      <c r="B984" s="0" t="s">
        <v>102</v>
      </c>
      <c r="C984" s="0" t="s">
        <v>480</v>
      </c>
      <c r="D984" s="0" t="s">
        <v>4348</v>
      </c>
      <c r="E984" s="0" t="n">
        <v>2025</v>
      </c>
      <c r="H984" s="0" t="n">
        <v>2</v>
      </c>
      <c r="I984" s="0" t="n">
        <v>2592</v>
      </c>
      <c r="J984" s="0" t="s">
        <v>268</v>
      </c>
      <c r="K984" s="0" t="s">
        <v>4327</v>
      </c>
      <c r="L984" s="0" t="s">
        <v>293</v>
      </c>
      <c r="M984" s="0" t="s">
        <v>4349</v>
      </c>
      <c r="N984" s="0" t="s">
        <v>4349</v>
      </c>
      <c r="O984" s="0" t="s">
        <v>4350</v>
      </c>
      <c r="P984" s="0" t="s">
        <v>4351</v>
      </c>
      <c r="R984" s="0" t="s">
        <v>275</v>
      </c>
      <c r="S984" s="0" t="s">
        <v>268</v>
      </c>
      <c r="T984" s="0" t="s">
        <v>276</v>
      </c>
      <c r="U984" s="0" t="s">
        <v>277</v>
      </c>
    </row>
    <row r="985" customFormat="false" ht="15" hidden="false" customHeight="false" outlineLevel="0" collapsed="false">
      <c r="A985" s="0" t="n">
        <v>54</v>
      </c>
      <c r="B985" s="0" t="s">
        <v>102</v>
      </c>
      <c r="C985" s="0" t="s">
        <v>480</v>
      </c>
      <c r="D985" s="0" t="s">
        <v>4352</v>
      </c>
      <c r="E985" s="0" t="n">
        <v>2022</v>
      </c>
      <c r="H985" s="0" t="n">
        <v>2</v>
      </c>
      <c r="I985" s="0" t="n">
        <v>3841</v>
      </c>
      <c r="J985" s="0" t="s">
        <v>268</v>
      </c>
      <c r="K985" s="0" t="s">
        <v>4327</v>
      </c>
      <c r="L985" s="0" t="s">
        <v>293</v>
      </c>
      <c r="M985" s="0" t="s">
        <v>4353</v>
      </c>
      <c r="N985" s="0" t="s">
        <v>4353</v>
      </c>
      <c r="O985" s="0" t="s">
        <v>4354</v>
      </c>
      <c r="P985" s="0" t="s">
        <v>4355</v>
      </c>
      <c r="R985" s="0" t="s">
        <v>284</v>
      </c>
      <c r="S985" s="0" t="s">
        <v>290</v>
      </c>
      <c r="T985" s="0" t="s">
        <v>276</v>
      </c>
      <c r="U985" s="0" t="s">
        <v>277</v>
      </c>
    </row>
    <row r="986" customFormat="false" ht="15" hidden="false" customHeight="false" outlineLevel="0" collapsed="false">
      <c r="A986" s="0" t="n">
        <v>54</v>
      </c>
      <c r="B986" s="0" t="s">
        <v>102</v>
      </c>
      <c r="C986" s="0" t="s">
        <v>278</v>
      </c>
      <c r="D986" s="0" t="s">
        <v>4356</v>
      </c>
      <c r="E986" s="0" t="n">
        <v>2025</v>
      </c>
      <c r="H986" s="0" t="n">
        <v>7</v>
      </c>
      <c r="I986" s="0" t="n">
        <v>443</v>
      </c>
      <c r="J986" s="0" t="s">
        <v>268</v>
      </c>
      <c r="K986" s="0" t="s">
        <v>4327</v>
      </c>
      <c r="L986" s="0" t="s">
        <v>293</v>
      </c>
      <c r="M986" s="0" t="s">
        <v>4357</v>
      </c>
      <c r="N986" s="0" t="s">
        <v>4357</v>
      </c>
      <c r="O986" s="0" t="s">
        <v>4358</v>
      </c>
      <c r="P986" s="0" t="s">
        <v>4359</v>
      </c>
      <c r="R986" s="0" t="s">
        <v>275</v>
      </c>
      <c r="S986" s="0" t="s">
        <v>268</v>
      </c>
      <c r="T986" s="0" t="s">
        <v>276</v>
      </c>
      <c r="U986" s="0" t="s">
        <v>277</v>
      </c>
    </row>
    <row r="987" customFormat="false" ht="15" hidden="false" customHeight="false" outlineLevel="0" collapsed="false">
      <c r="A987" s="0" t="n">
        <v>54</v>
      </c>
      <c r="B987" s="0" t="s">
        <v>102</v>
      </c>
      <c r="C987" s="0" t="s">
        <v>278</v>
      </c>
      <c r="D987" s="0" t="s">
        <v>4360</v>
      </c>
      <c r="E987" s="0" t="n">
        <v>2025</v>
      </c>
      <c r="H987" s="0" t="n">
        <v>6</v>
      </c>
      <c r="I987" s="0" t="n">
        <v>391</v>
      </c>
      <c r="J987" s="0" t="s">
        <v>268</v>
      </c>
      <c r="K987" s="0" t="s">
        <v>4327</v>
      </c>
      <c r="L987" s="0" t="s">
        <v>293</v>
      </c>
      <c r="M987" s="0" t="s">
        <v>4361</v>
      </c>
      <c r="N987" s="0" t="s">
        <v>4361</v>
      </c>
      <c r="O987" s="0" t="s">
        <v>4362</v>
      </c>
      <c r="P987" s="0" t="s">
        <v>4363</v>
      </c>
      <c r="R987" s="0" t="s">
        <v>275</v>
      </c>
      <c r="S987" s="0" t="s">
        <v>290</v>
      </c>
      <c r="T987" s="0" t="s">
        <v>276</v>
      </c>
      <c r="U987" s="0" t="s">
        <v>277</v>
      </c>
    </row>
    <row r="988" customFormat="false" ht="15" hidden="false" customHeight="false" outlineLevel="0" collapsed="false">
      <c r="A988" s="0" t="n">
        <v>54</v>
      </c>
      <c r="B988" s="0" t="s">
        <v>102</v>
      </c>
      <c r="C988" s="0" t="s">
        <v>489</v>
      </c>
      <c r="D988" s="0" t="s">
        <v>4364</v>
      </c>
      <c r="E988" s="0" t="n">
        <v>2025</v>
      </c>
      <c r="H988" s="0" t="n">
        <v>4</v>
      </c>
      <c r="I988" s="0" t="n">
        <v>9463</v>
      </c>
      <c r="J988" s="0" t="s">
        <v>268</v>
      </c>
      <c r="K988" s="0" t="s">
        <v>298</v>
      </c>
      <c r="L988" s="0" t="s">
        <v>270</v>
      </c>
      <c r="M988" s="0" t="s">
        <v>4365</v>
      </c>
      <c r="N988" s="0" t="s">
        <v>4365</v>
      </c>
      <c r="O988" s="0" t="s">
        <v>4366</v>
      </c>
      <c r="P988" s="0" t="s">
        <v>4367</v>
      </c>
      <c r="R988" s="0" t="s">
        <v>275</v>
      </c>
      <c r="S988" s="0" t="s">
        <v>268</v>
      </c>
      <c r="T988" s="0" t="s">
        <v>276</v>
      </c>
      <c r="U988" s="0" t="s">
        <v>277</v>
      </c>
    </row>
    <row r="989" customFormat="false" ht="15" hidden="false" customHeight="false" outlineLevel="0" collapsed="false">
      <c r="A989" s="0" t="n">
        <v>54</v>
      </c>
      <c r="B989" s="0" t="s">
        <v>102</v>
      </c>
      <c r="C989" s="0" t="s">
        <v>489</v>
      </c>
      <c r="D989" s="0" t="s">
        <v>4368</v>
      </c>
      <c r="E989" s="0" t="n">
        <v>2023</v>
      </c>
      <c r="H989" s="0" t="n">
        <v>4</v>
      </c>
      <c r="I989" s="0" t="n">
        <v>5987</v>
      </c>
      <c r="J989" s="0" t="s">
        <v>268</v>
      </c>
      <c r="K989" s="0" t="s">
        <v>4327</v>
      </c>
      <c r="L989" s="0" t="s">
        <v>293</v>
      </c>
      <c r="M989" s="0" t="s">
        <v>4369</v>
      </c>
      <c r="N989" s="0" t="s">
        <v>4369</v>
      </c>
      <c r="O989" s="0" t="s">
        <v>4370</v>
      </c>
      <c r="P989" s="0" t="s">
        <v>4371</v>
      </c>
      <c r="R989" s="0" t="s">
        <v>284</v>
      </c>
      <c r="S989" s="0" t="s">
        <v>290</v>
      </c>
      <c r="T989" s="0" t="s">
        <v>276</v>
      </c>
      <c r="U989" s="0" t="s">
        <v>277</v>
      </c>
    </row>
    <row r="990" customFormat="false" ht="15" hidden="false" customHeight="false" outlineLevel="0" collapsed="false">
      <c r="A990" s="0" t="n">
        <v>54</v>
      </c>
      <c r="B990" s="0" t="s">
        <v>102</v>
      </c>
      <c r="C990" s="0" t="s">
        <v>494</v>
      </c>
      <c r="D990" s="0" t="s">
        <v>4372</v>
      </c>
      <c r="E990" s="0" t="n">
        <v>2026</v>
      </c>
      <c r="H990" s="0" t="n">
        <v>15</v>
      </c>
      <c r="I990" s="0" t="n">
        <v>1889</v>
      </c>
      <c r="J990" s="0" t="s">
        <v>268</v>
      </c>
      <c r="K990" s="0" t="s">
        <v>4327</v>
      </c>
      <c r="L990" s="0" t="s">
        <v>293</v>
      </c>
      <c r="M990" s="0" t="s">
        <v>4373</v>
      </c>
      <c r="N990" s="0" t="s">
        <v>4373</v>
      </c>
      <c r="O990" s="0" t="s">
        <v>4374</v>
      </c>
      <c r="P990" s="0" t="s">
        <v>4375</v>
      </c>
      <c r="R990" s="0" t="s">
        <v>275</v>
      </c>
      <c r="S990" s="0" t="s">
        <v>268</v>
      </c>
      <c r="T990" s="0" t="s">
        <v>276</v>
      </c>
      <c r="U990" s="0" t="s">
        <v>277</v>
      </c>
    </row>
    <row r="991" customFormat="false" ht="15" hidden="false" customHeight="false" outlineLevel="0" collapsed="false">
      <c r="A991" s="0" t="n">
        <v>56</v>
      </c>
      <c r="B991" s="0" t="s">
        <v>104</v>
      </c>
      <c r="C991" s="0" t="s">
        <v>309</v>
      </c>
      <c r="D991" s="0" t="s">
        <v>4376</v>
      </c>
      <c r="E991" s="0" t="n">
        <v>2019</v>
      </c>
      <c r="H991" s="0" t="n">
        <v>1</v>
      </c>
      <c r="I991" s="0" t="n">
        <v>111</v>
      </c>
      <c r="J991" s="0" t="s">
        <v>290</v>
      </c>
      <c r="K991" s="0" t="s">
        <v>298</v>
      </c>
      <c r="L991" s="0" t="s">
        <v>270</v>
      </c>
      <c r="M991" s="0" t="s">
        <v>4377</v>
      </c>
      <c r="N991" s="0" t="s">
        <v>4377</v>
      </c>
      <c r="O991" s="0" t="s">
        <v>4378</v>
      </c>
      <c r="P991" s="0" t="s">
        <v>4379</v>
      </c>
      <c r="R991" s="0" t="s">
        <v>284</v>
      </c>
      <c r="S991" s="0" t="s">
        <v>268</v>
      </c>
      <c r="T991" s="0" t="s">
        <v>314</v>
      </c>
      <c r="U991" s="0" t="s">
        <v>277</v>
      </c>
      <c r="V991" s="0" t="s">
        <v>4380</v>
      </c>
    </row>
    <row r="992" customFormat="false" ht="15" hidden="false" customHeight="false" outlineLevel="0" collapsed="false">
      <c r="A992" s="0" t="n">
        <v>56</v>
      </c>
      <c r="B992" s="0" t="s">
        <v>104</v>
      </c>
      <c r="C992" s="0" t="s">
        <v>586</v>
      </c>
      <c r="D992" s="0" t="s">
        <v>4381</v>
      </c>
      <c r="E992" s="0" t="n">
        <v>2019</v>
      </c>
      <c r="H992" s="0" t="n">
        <v>5</v>
      </c>
      <c r="I992" s="0" t="n">
        <v>132</v>
      </c>
      <c r="J992" s="0" t="s">
        <v>268</v>
      </c>
      <c r="K992" s="0" t="s">
        <v>298</v>
      </c>
      <c r="L992" s="0" t="s">
        <v>270</v>
      </c>
      <c r="M992" s="0" t="s">
        <v>4382</v>
      </c>
      <c r="N992" s="0" t="s">
        <v>4382</v>
      </c>
      <c r="O992" s="0" t="s">
        <v>4383</v>
      </c>
      <c r="P992" s="0" t="s">
        <v>4384</v>
      </c>
      <c r="R992" s="0" t="s">
        <v>284</v>
      </c>
      <c r="S992" s="0" t="s">
        <v>268</v>
      </c>
      <c r="T992" s="0" t="s">
        <v>276</v>
      </c>
      <c r="U992" s="0" t="s">
        <v>277</v>
      </c>
    </row>
    <row r="993" customFormat="false" ht="15" hidden="false" customHeight="false" outlineLevel="0" collapsed="false">
      <c r="A993" s="0" t="n">
        <v>57</v>
      </c>
      <c r="B993" s="0" t="s">
        <v>105</v>
      </c>
      <c r="C993" s="0" t="s">
        <v>887</v>
      </c>
      <c r="D993" s="0" t="s">
        <v>4385</v>
      </c>
      <c r="E993" s="0" t="n">
        <v>2024</v>
      </c>
      <c r="H993" s="0" t="n">
        <v>1</v>
      </c>
      <c r="I993" s="0" t="n">
        <v>2508</v>
      </c>
      <c r="J993" s="0" t="s">
        <v>268</v>
      </c>
      <c r="K993" s="0" t="s">
        <v>286</v>
      </c>
      <c r="L993" s="0" t="s">
        <v>270</v>
      </c>
      <c r="M993" s="0" t="s">
        <v>4386</v>
      </c>
      <c r="N993" s="0" t="s">
        <v>4386</v>
      </c>
      <c r="O993" s="0" t="s">
        <v>4387</v>
      </c>
      <c r="P993" s="0" t="s">
        <v>4388</v>
      </c>
      <c r="R993" s="0" t="s">
        <v>284</v>
      </c>
      <c r="S993" s="0" t="s">
        <v>268</v>
      </c>
      <c r="T993" s="0" t="s">
        <v>276</v>
      </c>
      <c r="U993" s="0" t="s">
        <v>277</v>
      </c>
    </row>
    <row r="994" customFormat="false" ht="15" hidden="false" customHeight="false" outlineLevel="0" collapsed="false">
      <c r="A994" s="0" t="n">
        <v>58</v>
      </c>
      <c r="B994" s="0" t="s">
        <v>107</v>
      </c>
      <c r="C994" s="0" t="s">
        <v>56</v>
      </c>
      <c r="D994" s="0" t="s">
        <v>4389</v>
      </c>
      <c r="E994" s="0" t="n">
        <v>2023</v>
      </c>
      <c r="H994" s="0" t="n">
        <v>4</v>
      </c>
      <c r="I994" s="0" t="n">
        <v>7587</v>
      </c>
      <c r="J994" s="0" t="s">
        <v>268</v>
      </c>
      <c r="K994" s="0" t="s">
        <v>298</v>
      </c>
      <c r="L994" s="0" t="s">
        <v>270</v>
      </c>
      <c r="M994" s="0" t="s">
        <v>4390</v>
      </c>
      <c r="N994" s="0" t="s">
        <v>4390</v>
      </c>
      <c r="O994" s="0" t="s">
        <v>4391</v>
      </c>
      <c r="P994" s="0" t="s">
        <v>4392</v>
      </c>
      <c r="R994" s="0" t="s">
        <v>284</v>
      </c>
      <c r="S994" s="0" t="s">
        <v>268</v>
      </c>
      <c r="T994" s="0" t="s">
        <v>276</v>
      </c>
      <c r="U994" s="0" t="s">
        <v>277</v>
      </c>
    </row>
    <row r="995" customFormat="false" ht="15" hidden="false" customHeight="false" outlineLevel="0" collapsed="false">
      <c r="A995" s="0" t="n">
        <v>58</v>
      </c>
      <c r="B995" s="0" t="s">
        <v>107</v>
      </c>
      <c r="C995" s="0" t="s">
        <v>309</v>
      </c>
      <c r="D995" s="0" t="s">
        <v>4393</v>
      </c>
      <c r="E995" s="0" t="n">
        <v>2019</v>
      </c>
      <c r="H995" s="0" t="n">
        <v>2</v>
      </c>
      <c r="I995" s="0" t="n">
        <v>587</v>
      </c>
      <c r="J995" s="0" t="s">
        <v>268</v>
      </c>
      <c r="K995" s="0" t="s">
        <v>298</v>
      </c>
      <c r="L995" s="0" t="s">
        <v>270</v>
      </c>
      <c r="M995" s="0" t="s">
        <v>4394</v>
      </c>
      <c r="N995" s="0" t="s">
        <v>4394</v>
      </c>
      <c r="O995" s="0" t="s">
        <v>4395</v>
      </c>
      <c r="P995" s="0" t="s">
        <v>4396</v>
      </c>
      <c r="R995" s="0" t="s">
        <v>284</v>
      </c>
      <c r="S995" s="0" t="s">
        <v>268</v>
      </c>
      <c r="T995" s="0" t="s">
        <v>276</v>
      </c>
      <c r="U995" s="0" t="s">
        <v>277</v>
      </c>
    </row>
    <row r="996" customFormat="false" ht="15" hidden="false" customHeight="false" outlineLevel="0" collapsed="false">
      <c r="A996" s="0" t="n">
        <v>58</v>
      </c>
      <c r="B996" s="0" t="s">
        <v>107</v>
      </c>
      <c r="C996" s="0" t="s">
        <v>324</v>
      </c>
      <c r="D996" s="0" t="s">
        <v>4397</v>
      </c>
      <c r="E996" s="0" t="n">
        <v>2026</v>
      </c>
      <c r="H996" s="0" t="n">
        <v>4</v>
      </c>
      <c r="I996" s="0" t="n">
        <v>1786</v>
      </c>
      <c r="J996" s="0" t="s">
        <v>268</v>
      </c>
      <c r="K996" s="0" t="s">
        <v>286</v>
      </c>
      <c r="L996" s="0" t="s">
        <v>270</v>
      </c>
      <c r="M996" s="0" t="s">
        <v>4398</v>
      </c>
      <c r="N996" s="0" t="s">
        <v>4398</v>
      </c>
      <c r="O996" s="0" t="s">
        <v>4399</v>
      </c>
      <c r="P996" s="0" t="s">
        <v>4400</v>
      </c>
      <c r="R996" s="0" t="s">
        <v>275</v>
      </c>
      <c r="S996" s="0" t="s">
        <v>268</v>
      </c>
      <c r="T996" s="0" t="s">
        <v>276</v>
      </c>
      <c r="U996" s="0" t="s">
        <v>277</v>
      </c>
    </row>
    <row r="997" customFormat="false" ht="15" hidden="false" customHeight="false" outlineLevel="0" collapsed="false">
      <c r="A997" s="0" t="n">
        <v>58</v>
      </c>
      <c r="B997" s="0" t="s">
        <v>107</v>
      </c>
      <c r="C997" s="0" t="s">
        <v>324</v>
      </c>
      <c r="D997" s="0" t="s">
        <v>4401</v>
      </c>
      <c r="E997" s="0" t="n">
        <v>2019</v>
      </c>
      <c r="H997" s="0" t="n">
        <v>1</v>
      </c>
      <c r="I997" s="0" t="n">
        <v>2652</v>
      </c>
      <c r="J997" s="0" t="s">
        <v>268</v>
      </c>
      <c r="K997" s="0" t="s">
        <v>298</v>
      </c>
      <c r="L997" s="0" t="s">
        <v>270</v>
      </c>
      <c r="M997" s="0" t="s">
        <v>4402</v>
      </c>
      <c r="N997" s="0" t="s">
        <v>4402</v>
      </c>
      <c r="O997" s="0" t="s">
        <v>4403</v>
      </c>
      <c r="P997" s="0" t="s">
        <v>4404</v>
      </c>
      <c r="R997" s="0" t="s">
        <v>284</v>
      </c>
      <c r="S997" s="0" t="s">
        <v>290</v>
      </c>
      <c r="T997" s="0" t="s">
        <v>276</v>
      </c>
      <c r="U997" s="0" t="s">
        <v>277</v>
      </c>
    </row>
    <row r="998" customFormat="false" ht="15" hidden="false" customHeight="false" outlineLevel="0" collapsed="false">
      <c r="A998" s="0" t="n">
        <v>59</v>
      </c>
      <c r="B998" s="0" t="s">
        <v>109</v>
      </c>
      <c r="C998" s="0" t="s">
        <v>56</v>
      </c>
      <c r="D998" s="0" t="s">
        <v>4405</v>
      </c>
      <c r="E998" s="0" t="n">
        <v>2025</v>
      </c>
      <c r="H998" s="0" t="n">
        <v>12</v>
      </c>
      <c r="I998" s="0" t="n">
        <v>2725</v>
      </c>
      <c r="J998" s="0" t="s">
        <v>268</v>
      </c>
      <c r="K998" s="0" t="s">
        <v>298</v>
      </c>
      <c r="L998" s="0" t="s">
        <v>270</v>
      </c>
      <c r="M998" s="0" t="s">
        <v>4406</v>
      </c>
      <c r="N998" s="0" t="s">
        <v>4406</v>
      </c>
      <c r="O998" s="0" t="s">
        <v>4407</v>
      </c>
      <c r="P998" s="0" t="s">
        <v>4408</v>
      </c>
      <c r="R998" s="0" t="s">
        <v>275</v>
      </c>
      <c r="S998" s="0" t="s">
        <v>268</v>
      </c>
      <c r="T998" s="0" t="s">
        <v>276</v>
      </c>
      <c r="U998" s="0" t="s">
        <v>277</v>
      </c>
    </row>
    <row r="999" customFormat="false" ht="15" hidden="false" customHeight="false" outlineLevel="0" collapsed="false">
      <c r="A999" s="0" t="n">
        <v>59</v>
      </c>
      <c r="B999" s="0" t="s">
        <v>109</v>
      </c>
      <c r="C999" s="0" t="s">
        <v>309</v>
      </c>
      <c r="D999" s="0" t="s">
        <v>4409</v>
      </c>
      <c r="E999" s="0" t="n">
        <v>2025</v>
      </c>
      <c r="H999" s="0" t="n">
        <v>1</v>
      </c>
      <c r="I999" s="0" t="n">
        <v>1365</v>
      </c>
      <c r="J999" s="0" t="s">
        <v>290</v>
      </c>
      <c r="K999" s="0" t="s">
        <v>298</v>
      </c>
      <c r="L999" s="0" t="s">
        <v>270</v>
      </c>
      <c r="M999" s="0" t="s">
        <v>4410</v>
      </c>
      <c r="N999" s="0" t="s">
        <v>4410</v>
      </c>
      <c r="O999" s="0" t="s">
        <v>4411</v>
      </c>
      <c r="P999" s="0" t="s">
        <v>4412</v>
      </c>
      <c r="R999" s="0" t="s">
        <v>275</v>
      </c>
      <c r="S999" s="0" t="s">
        <v>268</v>
      </c>
      <c r="T999" s="0" t="s">
        <v>276</v>
      </c>
      <c r="U999" s="0" t="s">
        <v>277</v>
      </c>
    </row>
    <row r="1000" customFormat="false" ht="15" hidden="false" customHeight="false" outlineLevel="0" collapsed="false">
      <c r="A1000" s="0" t="n">
        <v>59</v>
      </c>
      <c r="B1000" s="0" t="s">
        <v>109</v>
      </c>
      <c r="C1000" s="0" t="s">
        <v>586</v>
      </c>
      <c r="D1000" s="0" t="s">
        <v>4413</v>
      </c>
      <c r="E1000" s="0" t="n">
        <v>2022</v>
      </c>
      <c r="H1000" s="0" t="n">
        <v>28</v>
      </c>
      <c r="I1000" s="0" t="n">
        <v>1031</v>
      </c>
      <c r="J1000" s="0" t="s">
        <v>268</v>
      </c>
      <c r="K1000" s="0" t="s">
        <v>280</v>
      </c>
      <c r="L1000" s="0" t="s">
        <v>270</v>
      </c>
      <c r="M1000" s="0" t="s">
        <v>4414</v>
      </c>
      <c r="N1000" s="0" t="s">
        <v>4414</v>
      </c>
      <c r="O1000" s="0" t="s">
        <v>4415</v>
      </c>
      <c r="P1000" s="0" t="s">
        <v>4416</v>
      </c>
      <c r="R1000" s="0" t="s">
        <v>284</v>
      </c>
      <c r="S1000" s="0" t="s">
        <v>268</v>
      </c>
      <c r="T1000" s="0" t="s">
        <v>314</v>
      </c>
      <c r="U1000" s="0" t="s">
        <v>277</v>
      </c>
      <c r="V1000" s="0" t="s">
        <v>4417</v>
      </c>
    </row>
    <row r="1001" customFormat="false" ht="15" hidden="false" customHeight="false" outlineLevel="0" collapsed="false">
      <c r="A1001" s="0" t="n">
        <v>133</v>
      </c>
      <c r="B1001" s="0" t="s">
        <v>188</v>
      </c>
      <c r="C1001" s="0" t="s">
        <v>586</v>
      </c>
      <c r="D1001" s="0" t="s">
        <v>4413</v>
      </c>
      <c r="E1001" s="0" t="n">
        <v>2022</v>
      </c>
      <c r="H1001" s="0" t="n">
        <v>28</v>
      </c>
      <c r="I1001" s="0" t="n">
        <v>1031</v>
      </c>
      <c r="J1001" s="0" t="s">
        <v>268</v>
      </c>
      <c r="K1001" s="0" t="s">
        <v>280</v>
      </c>
      <c r="L1001" s="0" t="s">
        <v>270</v>
      </c>
      <c r="M1001" s="0" t="s">
        <v>4414</v>
      </c>
      <c r="N1001" s="0" t="s">
        <v>4414</v>
      </c>
      <c r="O1001" s="0" t="s">
        <v>4415</v>
      </c>
      <c r="P1001" s="0" t="s">
        <v>4416</v>
      </c>
      <c r="R1001" s="0" t="s">
        <v>284</v>
      </c>
      <c r="S1001" s="0" t="s">
        <v>268</v>
      </c>
      <c r="T1001" s="0" t="s">
        <v>314</v>
      </c>
      <c r="U1001" s="0" t="s">
        <v>277</v>
      </c>
      <c r="V1001" s="0" t="s">
        <v>4417</v>
      </c>
    </row>
    <row r="1002" customFormat="false" ht="15" hidden="false" customHeight="false" outlineLevel="0" collapsed="false">
      <c r="A1002" s="0" t="n">
        <v>27</v>
      </c>
      <c r="B1002" s="0" t="s">
        <v>66</v>
      </c>
      <c r="C1002" s="0" t="s">
        <v>586</v>
      </c>
      <c r="D1002" s="0" t="s">
        <v>4413</v>
      </c>
      <c r="E1002" s="0" t="n">
        <v>2022</v>
      </c>
      <c r="H1002" s="0" t="n">
        <v>28</v>
      </c>
      <c r="I1002" s="0" t="n">
        <v>1031</v>
      </c>
      <c r="J1002" s="0" t="s">
        <v>268</v>
      </c>
      <c r="K1002" s="0" t="s">
        <v>280</v>
      </c>
      <c r="L1002" s="0" t="s">
        <v>270</v>
      </c>
      <c r="M1002" s="0" t="s">
        <v>4414</v>
      </c>
      <c r="N1002" s="0" t="s">
        <v>4414</v>
      </c>
      <c r="O1002" s="0" t="s">
        <v>4415</v>
      </c>
      <c r="P1002" s="0" t="s">
        <v>4416</v>
      </c>
      <c r="R1002" s="0" t="s">
        <v>284</v>
      </c>
      <c r="S1002" s="0" t="s">
        <v>268</v>
      </c>
      <c r="T1002" s="0" t="s">
        <v>314</v>
      </c>
      <c r="U1002" s="0" t="s">
        <v>277</v>
      </c>
      <c r="V1002" s="0" t="s">
        <v>4417</v>
      </c>
    </row>
    <row r="1003" customFormat="false" ht="15" hidden="false" customHeight="false" outlineLevel="0" collapsed="false">
      <c r="A1003" s="0" t="n">
        <v>41</v>
      </c>
      <c r="B1003" s="0" t="s">
        <v>84</v>
      </c>
      <c r="C1003" s="0" t="s">
        <v>586</v>
      </c>
      <c r="D1003" s="0" t="s">
        <v>4413</v>
      </c>
      <c r="E1003" s="0" t="n">
        <v>2022</v>
      </c>
      <c r="H1003" s="0" t="n">
        <v>28</v>
      </c>
      <c r="I1003" s="0" t="n">
        <v>1031</v>
      </c>
      <c r="J1003" s="0" t="s">
        <v>268</v>
      </c>
      <c r="K1003" s="0" t="s">
        <v>280</v>
      </c>
      <c r="L1003" s="0" t="s">
        <v>270</v>
      </c>
      <c r="M1003" s="0" t="s">
        <v>4414</v>
      </c>
      <c r="N1003" s="0" t="s">
        <v>4414</v>
      </c>
      <c r="O1003" s="0" t="s">
        <v>4415</v>
      </c>
      <c r="P1003" s="0" t="s">
        <v>4416</v>
      </c>
      <c r="R1003" s="0" t="s">
        <v>284</v>
      </c>
      <c r="S1003" s="0" t="s">
        <v>268</v>
      </c>
      <c r="T1003" s="0" t="s">
        <v>314</v>
      </c>
      <c r="U1003" s="0" t="s">
        <v>277</v>
      </c>
      <c r="V1003" s="0" t="s">
        <v>4417</v>
      </c>
    </row>
    <row r="1004" customFormat="false" ht="15" hidden="false" customHeight="false" outlineLevel="0" collapsed="false">
      <c r="A1004" s="0" t="n">
        <v>171</v>
      </c>
      <c r="B1004" s="0" t="s">
        <v>231</v>
      </c>
      <c r="C1004" s="0" t="s">
        <v>586</v>
      </c>
      <c r="D1004" s="0" t="s">
        <v>4413</v>
      </c>
      <c r="E1004" s="0" t="n">
        <v>2022</v>
      </c>
      <c r="H1004" s="0" t="n">
        <v>28</v>
      </c>
      <c r="I1004" s="0" t="n">
        <v>1031</v>
      </c>
      <c r="J1004" s="0" t="s">
        <v>268</v>
      </c>
      <c r="K1004" s="0" t="s">
        <v>280</v>
      </c>
      <c r="L1004" s="0" t="s">
        <v>270</v>
      </c>
      <c r="M1004" s="0" t="s">
        <v>4414</v>
      </c>
      <c r="N1004" s="0" t="s">
        <v>4414</v>
      </c>
      <c r="O1004" s="0" t="s">
        <v>4415</v>
      </c>
      <c r="P1004" s="0" t="s">
        <v>4416</v>
      </c>
      <c r="R1004" s="0" t="s">
        <v>284</v>
      </c>
      <c r="S1004" s="0" t="s">
        <v>268</v>
      </c>
      <c r="T1004" s="0" t="s">
        <v>314</v>
      </c>
      <c r="U1004" s="0" t="s">
        <v>277</v>
      </c>
      <c r="V1004" s="0" t="s">
        <v>4417</v>
      </c>
    </row>
    <row r="1005" customFormat="false" ht="15" hidden="false" customHeight="false" outlineLevel="0" collapsed="false">
      <c r="A1005" s="0" t="n">
        <v>50</v>
      </c>
      <c r="B1005" s="0" t="s">
        <v>97</v>
      </c>
      <c r="C1005" s="0" t="s">
        <v>586</v>
      </c>
      <c r="D1005" s="0" t="s">
        <v>4413</v>
      </c>
      <c r="E1005" s="0" t="n">
        <v>2022</v>
      </c>
      <c r="H1005" s="0" t="n">
        <v>28</v>
      </c>
      <c r="I1005" s="0" t="n">
        <v>1031</v>
      </c>
      <c r="J1005" s="0" t="s">
        <v>268</v>
      </c>
      <c r="K1005" s="0" t="s">
        <v>280</v>
      </c>
      <c r="L1005" s="0" t="s">
        <v>270</v>
      </c>
      <c r="M1005" s="0" t="s">
        <v>4414</v>
      </c>
      <c r="N1005" s="0" t="s">
        <v>4414</v>
      </c>
      <c r="O1005" s="0" t="s">
        <v>4415</v>
      </c>
      <c r="P1005" s="0" t="s">
        <v>4416</v>
      </c>
      <c r="R1005" s="0" t="s">
        <v>284</v>
      </c>
      <c r="S1005" s="0" t="s">
        <v>268</v>
      </c>
      <c r="T1005" s="0" t="s">
        <v>314</v>
      </c>
      <c r="U1005" s="0" t="s">
        <v>277</v>
      </c>
      <c r="V1005" s="0" t="s">
        <v>4417</v>
      </c>
    </row>
    <row r="1006" customFormat="false" ht="15" hidden="false" customHeight="false" outlineLevel="0" collapsed="false">
      <c r="A1006" s="0" t="n">
        <v>110</v>
      </c>
      <c r="B1006" s="0" t="s">
        <v>164</v>
      </c>
      <c r="C1006" s="0" t="s">
        <v>586</v>
      </c>
      <c r="D1006" s="0" t="s">
        <v>4413</v>
      </c>
      <c r="E1006" s="0" t="n">
        <v>2022</v>
      </c>
      <c r="H1006" s="0" t="n">
        <v>28</v>
      </c>
      <c r="I1006" s="0" t="n">
        <v>1031</v>
      </c>
      <c r="J1006" s="0" t="s">
        <v>268</v>
      </c>
      <c r="K1006" s="0" t="s">
        <v>280</v>
      </c>
      <c r="L1006" s="0" t="s">
        <v>270</v>
      </c>
      <c r="M1006" s="0" t="s">
        <v>4414</v>
      </c>
      <c r="N1006" s="0" t="s">
        <v>4414</v>
      </c>
      <c r="O1006" s="0" t="s">
        <v>4415</v>
      </c>
      <c r="P1006" s="0" t="s">
        <v>4416</v>
      </c>
      <c r="R1006" s="0" t="s">
        <v>284</v>
      </c>
      <c r="S1006" s="0" t="s">
        <v>268</v>
      </c>
      <c r="T1006" s="0" t="s">
        <v>314</v>
      </c>
      <c r="U1006" s="0" t="s">
        <v>277</v>
      </c>
      <c r="V1006" s="0" t="s">
        <v>4417</v>
      </c>
    </row>
    <row r="1007" customFormat="false" ht="15" hidden="false" customHeight="false" outlineLevel="0" collapsed="false">
      <c r="A1007" s="0" t="n">
        <v>44</v>
      </c>
      <c r="B1007" s="0" t="s">
        <v>88</v>
      </c>
      <c r="C1007" s="0" t="s">
        <v>586</v>
      </c>
      <c r="D1007" s="0" t="s">
        <v>4413</v>
      </c>
      <c r="E1007" s="0" t="n">
        <v>2022</v>
      </c>
      <c r="H1007" s="0" t="n">
        <v>28</v>
      </c>
      <c r="I1007" s="0" t="n">
        <v>1031</v>
      </c>
      <c r="J1007" s="0" t="s">
        <v>268</v>
      </c>
      <c r="K1007" s="0" t="s">
        <v>280</v>
      </c>
      <c r="L1007" s="0" t="s">
        <v>270</v>
      </c>
      <c r="M1007" s="0" t="s">
        <v>4414</v>
      </c>
      <c r="N1007" s="0" t="s">
        <v>4414</v>
      </c>
      <c r="O1007" s="0" t="s">
        <v>4415</v>
      </c>
      <c r="P1007" s="0" t="s">
        <v>4416</v>
      </c>
      <c r="R1007" s="0" t="s">
        <v>284</v>
      </c>
      <c r="S1007" s="0" t="s">
        <v>268</v>
      </c>
      <c r="T1007" s="0" t="s">
        <v>314</v>
      </c>
      <c r="U1007" s="0" t="s">
        <v>277</v>
      </c>
      <c r="V1007" s="0" t="s">
        <v>4417</v>
      </c>
    </row>
    <row r="1008" customFormat="false" ht="15" hidden="false" customHeight="false" outlineLevel="0" collapsed="false">
      <c r="A1008" s="0" t="n">
        <v>19</v>
      </c>
      <c r="B1008" s="0" t="s">
        <v>55</v>
      </c>
      <c r="C1008" s="0" t="s">
        <v>586</v>
      </c>
      <c r="D1008" s="0" t="s">
        <v>4413</v>
      </c>
      <c r="E1008" s="0" t="n">
        <v>2022</v>
      </c>
      <c r="H1008" s="0" t="n">
        <v>28</v>
      </c>
      <c r="I1008" s="0" t="n">
        <v>1031</v>
      </c>
      <c r="J1008" s="0" t="s">
        <v>268</v>
      </c>
      <c r="K1008" s="0" t="s">
        <v>280</v>
      </c>
      <c r="L1008" s="0" t="s">
        <v>270</v>
      </c>
      <c r="M1008" s="0" t="s">
        <v>4414</v>
      </c>
      <c r="N1008" s="0" t="s">
        <v>4414</v>
      </c>
      <c r="O1008" s="0" t="s">
        <v>4415</v>
      </c>
      <c r="P1008" s="0" t="s">
        <v>4416</v>
      </c>
      <c r="R1008" s="0" t="s">
        <v>284</v>
      </c>
      <c r="S1008" s="0" t="s">
        <v>268</v>
      </c>
      <c r="T1008" s="0" t="s">
        <v>314</v>
      </c>
      <c r="U1008" s="0" t="s">
        <v>277</v>
      </c>
      <c r="V1008" s="0" t="s">
        <v>4417</v>
      </c>
    </row>
    <row r="1009" customFormat="false" ht="15" hidden="false" customHeight="false" outlineLevel="0" collapsed="false">
      <c r="A1009" s="0" t="n">
        <v>59</v>
      </c>
      <c r="B1009" s="0" t="s">
        <v>109</v>
      </c>
      <c r="C1009" s="0" t="s">
        <v>887</v>
      </c>
      <c r="D1009" s="0" t="s">
        <v>4418</v>
      </c>
      <c r="E1009" s="0" t="n">
        <v>2026</v>
      </c>
      <c r="H1009" s="0" t="n">
        <v>9</v>
      </c>
      <c r="I1009" s="0" t="n">
        <v>4663</v>
      </c>
      <c r="J1009" s="0" t="s">
        <v>268</v>
      </c>
      <c r="K1009" s="0" t="s">
        <v>286</v>
      </c>
      <c r="L1009" s="0" t="s">
        <v>270</v>
      </c>
      <c r="M1009" s="0" t="s">
        <v>4419</v>
      </c>
      <c r="N1009" s="0" t="s">
        <v>4419</v>
      </c>
      <c r="O1009" s="0" t="s">
        <v>4420</v>
      </c>
      <c r="P1009" s="0" t="s">
        <v>4421</v>
      </c>
      <c r="R1009" s="0" t="s">
        <v>275</v>
      </c>
      <c r="S1009" s="0" t="s">
        <v>268</v>
      </c>
      <c r="T1009" s="0" t="s">
        <v>276</v>
      </c>
      <c r="U1009" s="0" t="s">
        <v>277</v>
      </c>
    </row>
    <row r="1010" customFormat="false" ht="15" hidden="false" customHeight="false" outlineLevel="0" collapsed="false">
      <c r="A1010" s="0" t="n">
        <v>59</v>
      </c>
      <c r="B1010" s="0" t="s">
        <v>109</v>
      </c>
      <c r="C1010" s="0" t="s">
        <v>887</v>
      </c>
      <c r="D1010" s="0" t="s">
        <v>4422</v>
      </c>
      <c r="E1010" s="0" t="n">
        <v>2026</v>
      </c>
      <c r="H1010" s="0" t="n">
        <v>9</v>
      </c>
      <c r="I1010" s="0" t="n">
        <v>4559</v>
      </c>
      <c r="J1010" s="0" t="s">
        <v>268</v>
      </c>
      <c r="K1010" s="0" t="s">
        <v>286</v>
      </c>
      <c r="L1010" s="0" t="s">
        <v>270</v>
      </c>
      <c r="M1010" s="0" t="s">
        <v>4423</v>
      </c>
      <c r="N1010" s="0" t="s">
        <v>4424</v>
      </c>
      <c r="O1010" s="0" t="s">
        <v>4425</v>
      </c>
      <c r="P1010" s="0" t="s">
        <v>4426</v>
      </c>
      <c r="R1010" s="0" t="s">
        <v>275</v>
      </c>
      <c r="S1010" s="0" t="s">
        <v>290</v>
      </c>
      <c r="T1010" s="0" t="s">
        <v>276</v>
      </c>
      <c r="U1010" s="0" t="s">
        <v>277</v>
      </c>
    </row>
    <row r="1011" customFormat="false" ht="15" hidden="false" customHeight="false" outlineLevel="0" collapsed="false">
      <c r="A1011" s="0" t="n">
        <v>62</v>
      </c>
      <c r="B1011" s="0" t="s">
        <v>113</v>
      </c>
      <c r="C1011" s="0" t="s">
        <v>56</v>
      </c>
      <c r="D1011" s="0" t="s">
        <v>4427</v>
      </c>
      <c r="E1011" s="0" t="n">
        <v>2021</v>
      </c>
      <c r="H1011" s="0" t="n">
        <v>6</v>
      </c>
      <c r="I1011" s="0" t="n">
        <v>3244</v>
      </c>
      <c r="J1011" s="0" t="s">
        <v>268</v>
      </c>
      <c r="K1011" s="0" t="s">
        <v>298</v>
      </c>
      <c r="L1011" s="0" t="s">
        <v>270</v>
      </c>
      <c r="M1011" s="0" t="s">
        <v>4428</v>
      </c>
      <c r="N1011" s="0" t="s">
        <v>4428</v>
      </c>
      <c r="O1011" s="0" t="s">
        <v>4429</v>
      </c>
      <c r="P1011" s="0" t="s">
        <v>4430</v>
      </c>
      <c r="R1011" s="0" t="s">
        <v>284</v>
      </c>
      <c r="S1011" s="0" t="s">
        <v>268</v>
      </c>
      <c r="T1011" s="0" t="s">
        <v>276</v>
      </c>
      <c r="U1011" s="0" t="s">
        <v>277</v>
      </c>
    </row>
    <row r="1012" customFormat="false" ht="15" hidden="false" customHeight="false" outlineLevel="0" collapsed="false">
      <c r="A1012" s="0" t="n">
        <v>62</v>
      </c>
      <c r="B1012" s="0" t="s">
        <v>113</v>
      </c>
      <c r="C1012" s="0" t="s">
        <v>309</v>
      </c>
      <c r="D1012" s="0" t="s">
        <v>4431</v>
      </c>
      <c r="E1012" s="0" t="n">
        <v>2025</v>
      </c>
      <c r="H1012" s="0" t="n">
        <v>1</v>
      </c>
      <c r="I1012" s="0" t="n">
        <v>4089</v>
      </c>
      <c r="J1012" s="0" t="s">
        <v>268</v>
      </c>
      <c r="K1012" s="0" t="s">
        <v>298</v>
      </c>
      <c r="L1012" s="0" t="s">
        <v>270</v>
      </c>
      <c r="M1012" s="0" t="s">
        <v>4432</v>
      </c>
      <c r="N1012" s="0" t="s">
        <v>4432</v>
      </c>
      <c r="O1012" s="0" t="s">
        <v>4433</v>
      </c>
      <c r="P1012" s="0" t="s">
        <v>4434</v>
      </c>
      <c r="R1012" s="0" t="s">
        <v>275</v>
      </c>
      <c r="S1012" s="0" t="s">
        <v>268</v>
      </c>
      <c r="T1012" s="0" t="s">
        <v>314</v>
      </c>
      <c r="U1012" s="0" t="s">
        <v>277</v>
      </c>
      <c r="V1012" s="0" t="s">
        <v>4435</v>
      </c>
    </row>
    <row r="1013" customFormat="false" ht="15" hidden="false" customHeight="false" outlineLevel="0" collapsed="false">
      <c r="A1013" s="0" t="n">
        <v>64</v>
      </c>
      <c r="B1013" s="0" t="s">
        <v>115</v>
      </c>
      <c r="C1013" s="0" t="s">
        <v>309</v>
      </c>
      <c r="D1013" s="0" t="s">
        <v>4436</v>
      </c>
      <c r="E1013" s="0" t="n">
        <v>2025</v>
      </c>
      <c r="H1013" s="0" t="n">
        <v>1</v>
      </c>
      <c r="I1013" s="0" t="n">
        <v>1626</v>
      </c>
      <c r="J1013" s="0" t="s">
        <v>290</v>
      </c>
      <c r="K1013" s="0" t="s">
        <v>298</v>
      </c>
      <c r="L1013" s="0" t="s">
        <v>270</v>
      </c>
      <c r="M1013" s="0" t="s">
        <v>4437</v>
      </c>
      <c r="N1013" s="0" t="s">
        <v>4437</v>
      </c>
      <c r="O1013" s="0" t="s">
        <v>4438</v>
      </c>
      <c r="P1013" s="0" t="s">
        <v>4439</v>
      </c>
      <c r="R1013" s="0" t="s">
        <v>275</v>
      </c>
      <c r="S1013" s="0" t="s">
        <v>268</v>
      </c>
      <c r="T1013" s="0" t="s">
        <v>276</v>
      </c>
      <c r="U1013" s="0" t="s">
        <v>277</v>
      </c>
    </row>
    <row r="1014" customFormat="false" ht="15" hidden="false" customHeight="false" outlineLevel="0" collapsed="false">
      <c r="A1014" s="0" t="n">
        <v>64</v>
      </c>
      <c r="B1014" s="0" t="s">
        <v>115</v>
      </c>
      <c r="C1014" s="0" t="s">
        <v>266</v>
      </c>
      <c r="D1014" s="0" t="s">
        <v>4440</v>
      </c>
      <c r="E1014" s="0" t="n">
        <v>2026</v>
      </c>
      <c r="H1014" s="0" t="n">
        <v>7</v>
      </c>
      <c r="I1014" s="0" t="n">
        <v>1887</v>
      </c>
      <c r="J1014" s="0" t="s">
        <v>268</v>
      </c>
      <c r="K1014" s="0" t="s">
        <v>286</v>
      </c>
      <c r="L1014" s="0" t="s">
        <v>270</v>
      </c>
      <c r="M1014" s="0" t="s">
        <v>4441</v>
      </c>
      <c r="N1014" s="0" t="s">
        <v>4441</v>
      </c>
      <c r="O1014" s="0" t="s">
        <v>4442</v>
      </c>
      <c r="P1014" s="0" t="s">
        <v>4443</v>
      </c>
      <c r="R1014" s="0" t="s">
        <v>275</v>
      </c>
      <c r="S1014" s="0" t="s">
        <v>268</v>
      </c>
      <c r="T1014" s="0" t="s">
        <v>276</v>
      </c>
      <c r="U1014" s="0" t="s">
        <v>277</v>
      </c>
    </row>
    <row r="1015" customFormat="false" ht="15" hidden="false" customHeight="false" outlineLevel="0" collapsed="false">
      <c r="A1015" s="0" t="n">
        <v>64</v>
      </c>
      <c r="B1015" s="0" t="s">
        <v>115</v>
      </c>
      <c r="C1015" s="0" t="s">
        <v>494</v>
      </c>
      <c r="D1015" s="0" t="s">
        <v>4444</v>
      </c>
      <c r="E1015" s="0" t="n">
        <v>2025</v>
      </c>
      <c r="H1015" s="0" t="n">
        <v>19</v>
      </c>
      <c r="I1015" s="0" t="n">
        <v>5207</v>
      </c>
      <c r="J1015" s="0" t="s">
        <v>268</v>
      </c>
      <c r="K1015" s="0" t="s">
        <v>298</v>
      </c>
      <c r="L1015" s="0" t="s">
        <v>270</v>
      </c>
      <c r="M1015" s="0" t="s">
        <v>4445</v>
      </c>
      <c r="N1015" s="0" t="s">
        <v>4445</v>
      </c>
      <c r="O1015" s="0" t="s">
        <v>4446</v>
      </c>
      <c r="P1015" s="0" t="s">
        <v>4447</v>
      </c>
      <c r="R1015" s="0" t="s">
        <v>275</v>
      </c>
      <c r="S1015" s="0" t="s">
        <v>268</v>
      </c>
      <c r="T1015" s="0" t="s">
        <v>276</v>
      </c>
      <c r="U1015" s="0" t="s">
        <v>277</v>
      </c>
    </row>
    <row r="1016" customFormat="false" ht="15" hidden="false" customHeight="false" outlineLevel="0" collapsed="false">
      <c r="A1016" s="0" t="n">
        <v>65</v>
      </c>
      <c r="B1016" s="0" t="s">
        <v>116</v>
      </c>
      <c r="C1016" s="0" t="s">
        <v>56</v>
      </c>
      <c r="D1016" s="0" t="s">
        <v>4448</v>
      </c>
      <c r="E1016" s="0" t="n">
        <v>2026</v>
      </c>
      <c r="H1016" s="0" t="n">
        <v>11</v>
      </c>
      <c r="I1016" s="0" t="n">
        <v>3310</v>
      </c>
      <c r="J1016" s="0" t="s">
        <v>268</v>
      </c>
      <c r="K1016" s="0" t="s">
        <v>269</v>
      </c>
      <c r="L1016" s="0" t="s">
        <v>270</v>
      </c>
      <c r="M1016" s="0" t="s">
        <v>4449</v>
      </c>
      <c r="N1016" s="0" t="s">
        <v>4449</v>
      </c>
      <c r="O1016" s="0" t="s">
        <v>4450</v>
      </c>
      <c r="P1016" s="0" t="s">
        <v>4451</v>
      </c>
      <c r="R1016" s="0" t="s">
        <v>275</v>
      </c>
      <c r="S1016" s="0" t="s">
        <v>268</v>
      </c>
      <c r="T1016" s="0" t="s">
        <v>276</v>
      </c>
      <c r="U1016" s="0" t="s">
        <v>277</v>
      </c>
    </row>
    <row r="1017" customFormat="false" ht="15" hidden="false" customHeight="false" outlineLevel="0" collapsed="false">
      <c r="A1017" s="0" t="n">
        <v>65</v>
      </c>
      <c r="B1017" s="0" t="s">
        <v>116</v>
      </c>
      <c r="C1017" s="0" t="s">
        <v>56</v>
      </c>
      <c r="D1017" s="0" t="s">
        <v>4452</v>
      </c>
      <c r="E1017" s="0" t="n">
        <v>2022</v>
      </c>
      <c r="H1017" s="0" t="n">
        <v>2</v>
      </c>
      <c r="I1017" s="0" t="n">
        <v>580</v>
      </c>
      <c r="J1017" s="0" t="s">
        <v>268</v>
      </c>
      <c r="K1017" s="0" t="s">
        <v>298</v>
      </c>
      <c r="L1017" s="0" t="s">
        <v>270</v>
      </c>
      <c r="M1017" s="0" t="s">
        <v>4453</v>
      </c>
      <c r="N1017" s="0" t="s">
        <v>4453</v>
      </c>
      <c r="O1017" s="0" t="s">
        <v>4454</v>
      </c>
      <c r="P1017" s="0" t="s">
        <v>4455</v>
      </c>
      <c r="R1017" s="0" t="s">
        <v>284</v>
      </c>
      <c r="S1017" s="0" t="s">
        <v>290</v>
      </c>
      <c r="T1017" s="0" t="s">
        <v>276</v>
      </c>
      <c r="U1017" s="0" t="s">
        <v>277</v>
      </c>
    </row>
    <row r="1018" customFormat="false" ht="15" hidden="false" customHeight="false" outlineLevel="0" collapsed="false">
      <c r="A1018" s="0" t="n">
        <v>65</v>
      </c>
      <c r="B1018" s="0" t="s">
        <v>116</v>
      </c>
      <c r="C1018" s="0" t="s">
        <v>56</v>
      </c>
      <c r="D1018" s="0" t="s">
        <v>4456</v>
      </c>
      <c r="E1018" s="0" t="n">
        <v>2018</v>
      </c>
      <c r="H1018" s="0" t="n">
        <v>2</v>
      </c>
      <c r="I1018" s="0" t="n">
        <v>455</v>
      </c>
      <c r="J1018" s="0" t="s">
        <v>268</v>
      </c>
      <c r="K1018" s="0" t="s">
        <v>298</v>
      </c>
      <c r="L1018" s="0" t="s">
        <v>270</v>
      </c>
      <c r="M1018" s="0" t="s">
        <v>4457</v>
      </c>
      <c r="N1018" s="0" t="s">
        <v>4457</v>
      </c>
      <c r="O1018" s="0" t="s">
        <v>4458</v>
      </c>
      <c r="P1018" s="0" t="s">
        <v>4459</v>
      </c>
      <c r="R1018" s="0" t="s">
        <v>284</v>
      </c>
      <c r="S1018" s="0" t="s">
        <v>290</v>
      </c>
      <c r="T1018" s="0" t="s">
        <v>276</v>
      </c>
      <c r="U1018" s="0" t="s">
        <v>277</v>
      </c>
    </row>
    <row r="1019" customFormat="false" ht="15" hidden="false" customHeight="false" outlineLevel="0" collapsed="false">
      <c r="A1019" s="0" t="n">
        <v>66</v>
      </c>
      <c r="B1019" s="0" t="s">
        <v>117</v>
      </c>
      <c r="C1019" s="0" t="s">
        <v>56</v>
      </c>
      <c r="D1019" s="0" t="s">
        <v>4460</v>
      </c>
      <c r="E1019" s="0" t="n">
        <v>2019</v>
      </c>
      <c r="H1019" s="0" t="n">
        <v>11</v>
      </c>
      <c r="I1019" s="0" t="n">
        <v>7349</v>
      </c>
      <c r="J1019" s="0" t="s">
        <v>268</v>
      </c>
      <c r="K1019" s="0" t="s">
        <v>298</v>
      </c>
      <c r="L1019" s="0" t="s">
        <v>270</v>
      </c>
      <c r="M1019" s="0" t="s">
        <v>4461</v>
      </c>
      <c r="N1019" s="0" t="s">
        <v>4461</v>
      </c>
      <c r="O1019" s="0" t="s">
        <v>4462</v>
      </c>
      <c r="P1019" s="0" t="s">
        <v>4463</v>
      </c>
      <c r="R1019" s="0" t="s">
        <v>284</v>
      </c>
      <c r="S1019" s="0" t="s">
        <v>268</v>
      </c>
      <c r="T1019" s="0" t="s">
        <v>276</v>
      </c>
      <c r="U1019" s="0" t="s">
        <v>277</v>
      </c>
    </row>
    <row r="1020" customFormat="false" ht="15" hidden="false" customHeight="false" outlineLevel="0" collapsed="false">
      <c r="A1020" s="0" t="n">
        <v>66</v>
      </c>
      <c r="B1020" s="0" t="s">
        <v>117</v>
      </c>
      <c r="C1020" s="0" t="s">
        <v>309</v>
      </c>
      <c r="D1020" s="0" t="s">
        <v>4464</v>
      </c>
      <c r="E1020" s="0" t="n">
        <v>2019</v>
      </c>
      <c r="H1020" s="0" t="n">
        <v>1</v>
      </c>
      <c r="I1020" s="0" t="n">
        <v>2478</v>
      </c>
      <c r="J1020" s="0" t="s">
        <v>290</v>
      </c>
      <c r="K1020" s="0" t="s">
        <v>298</v>
      </c>
      <c r="L1020" s="0" t="s">
        <v>270</v>
      </c>
      <c r="M1020" s="0" t="s">
        <v>4465</v>
      </c>
      <c r="N1020" s="0" t="s">
        <v>4465</v>
      </c>
      <c r="O1020" s="0" t="s">
        <v>4466</v>
      </c>
      <c r="P1020" s="0" t="s">
        <v>4467</v>
      </c>
      <c r="R1020" s="0" t="s">
        <v>284</v>
      </c>
      <c r="S1020" s="0" t="s">
        <v>268</v>
      </c>
      <c r="T1020" s="0" t="s">
        <v>276</v>
      </c>
      <c r="U1020" s="0" t="s">
        <v>277</v>
      </c>
    </row>
    <row r="1021" customFormat="false" ht="15" hidden="false" customHeight="false" outlineLevel="0" collapsed="false">
      <c r="A1021" s="0" t="n">
        <v>67</v>
      </c>
      <c r="B1021" s="0" t="s">
        <v>118</v>
      </c>
      <c r="C1021" s="0" t="s">
        <v>56</v>
      </c>
      <c r="D1021" s="0" t="s">
        <v>4468</v>
      </c>
      <c r="E1021" s="0" t="n">
        <v>2025</v>
      </c>
      <c r="H1021" s="0" t="n">
        <v>4</v>
      </c>
      <c r="I1021" s="0" t="n">
        <v>2535</v>
      </c>
      <c r="J1021" s="0" t="s">
        <v>268</v>
      </c>
      <c r="K1021" s="0" t="s">
        <v>298</v>
      </c>
      <c r="L1021" s="0" t="s">
        <v>270</v>
      </c>
      <c r="M1021" s="0" t="s">
        <v>4469</v>
      </c>
      <c r="N1021" s="0" t="s">
        <v>4469</v>
      </c>
      <c r="O1021" s="0" t="s">
        <v>4470</v>
      </c>
      <c r="P1021" s="0" t="s">
        <v>4471</v>
      </c>
      <c r="R1021" s="0" t="s">
        <v>275</v>
      </c>
      <c r="S1021" s="0" t="s">
        <v>268</v>
      </c>
      <c r="T1021" s="0" t="s">
        <v>276</v>
      </c>
      <c r="U1021" s="0" t="s">
        <v>277</v>
      </c>
    </row>
    <row r="1022" customFormat="false" ht="15" hidden="false" customHeight="false" outlineLevel="0" collapsed="false">
      <c r="A1022" s="0" t="n">
        <v>67</v>
      </c>
      <c r="B1022" s="0" t="s">
        <v>118</v>
      </c>
      <c r="C1022" s="0" t="s">
        <v>56</v>
      </c>
      <c r="D1022" s="0" t="s">
        <v>4472</v>
      </c>
      <c r="E1022" s="0" t="n">
        <v>2023</v>
      </c>
      <c r="H1022" s="0" t="n">
        <v>4</v>
      </c>
      <c r="I1022" s="0" t="n">
        <v>1461</v>
      </c>
      <c r="J1022" s="0" t="s">
        <v>268</v>
      </c>
      <c r="K1022" s="0" t="s">
        <v>298</v>
      </c>
      <c r="L1022" s="0" t="s">
        <v>270</v>
      </c>
      <c r="M1022" s="0" t="s">
        <v>4473</v>
      </c>
      <c r="N1022" s="0" t="s">
        <v>4473</v>
      </c>
      <c r="O1022" s="0" t="s">
        <v>4474</v>
      </c>
      <c r="P1022" s="0" t="s">
        <v>4475</v>
      </c>
      <c r="R1022" s="0" t="s">
        <v>284</v>
      </c>
      <c r="S1022" s="0" t="s">
        <v>290</v>
      </c>
      <c r="T1022" s="0" t="s">
        <v>276</v>
      </c>
      <c r="U1022" s="0" t="s">
        <v>277</v>
      </c>
    </row>
    <row r="1023" customFormat="false" ht="15" hidden="false" customHeight="false" outlineLevel="0" collapsed="false">
      <c r="A1023" s="0" t="n">
        <v>67</v>
      </c>
      <c r="B1023" s="0" t="s">
        <v>118</v>
      </c>
      <c r="C1023" s="0" t="s">
        <v>309</v>
      </c>
      <c r="D1023" s="0" t="s">
        <v>4476</v>
      </c>
      <c r="E1023" s="0" t="n">
        <v>2025</v>
      </c>
      <c r="H1023" s="0" t="n">
        <v>1</v>
      </c>
      <c r="I1023" s="0" t="n">
        <v>4106</v>
      </c>
      <c r="J1023" s="0" t="s">
        <v>268</v>
      </c>
      <c r="K1023" s="0" t="s">
        <v>298</v>
      </c>
      <c r="L1023" s="0" t="s">
        <v>270</v>
      </c>
      <c r="M1023" s="0" t="s">
        <v>4477</v>
      </c>
      <c r="N1023" s="0" t="s">
        <v>4477</v>
      </c>
      <c r="O1023" s="0" t="s">
        <v>4478</v>
      </c>
      <c r="P1023" s="0" t="s">
        <v>4479</v>
      </c>
      <c r="R1023" s="0" t="s">
        <v>275</v>
      </c>
      <c r="S1023" s="0" t="s">
        <v>268</v>
      </c>
      <c r="T1023" s="0" t="s">
        <v>314</v>
      </c>
      <c r="U1023" s="0" t="s">
        <v>277</v>
      </c>
      <c r="V1023" s="0" t="s">
        <v>4480</v>
      </c>
    </row>
    <row r="1024" customFormat="false" ht="15" hidden="false" customHeight="false" outlineLevel="0" collapsed="false">
      <c r="A1024" s="0" t="n">
        <v>67</v>
      </c>
      <c r="B1024" s="0" t="s">
        <v>118</v>
      </c>
      <c r="C1024" s="0" t="s">
        <v>309</v>
      </c>
      <c r="D1024" s="0" t="s">
        <v>4481</v>
      </c>
      <c r="E1024" s="0" t="n">
        <v>2025</v>
      </c>
      <c r="H1024" s="0" t="n">
        <v>1</v>
      </c>
      <c r="I1024" s="0" t="n">
        <v>2747</v>
      </c>
      <c r="J1024" s="0" t="s">
        <v>268</v>
      </c>
      <c r="K1024" s="0" t="s">
        <v>298</v>
      </c>
      <c r="L1024" s="0" t="s">
        <v>270</v>
      </c>
      <c r="M1024" s="0" t="s">
        <v>4482</v>
      </c>
      <c r="N1024" s="0" t="s">
        <v>4482</v>
      </c>
      <c r="O1024" s="0" t="s">
        <v>4483</v>
      </c>
      <c r="P1024" s="0" t="s">
        <v>4484</v>
      </c>
      <c r="R1024" s="0" t="s">
        <v>275</v>
      </c>
      <c r="S1024" s="0" t="s">
        <v>290</v>
      </c>
      <c r="T1024" s="0" t="s">
        <v>276</v>
      </c>
      <c r="U1024" s="0" t="s">
        <v>277</v>
      </c>
    </row>
    <row r="1025" customFormat="false" ht="15" hidden="false" customHeight="false" outlineLevel="0" collapsed="false">
      <c r="A1025" s="0" t="n">
        <v>67</v>
      </c>
      <c r="B1025" s="0" t="s">
        <v>118</v>
      </c>
      <c r="C1025" s="0" t="s">
        <v>335</v>
      </c>
      <c r="D1025" s="0" t="s">
        <v>4485</v>
      </c>
      <c r="E1025" s="0" t="n">
        <v>2026</v>
      </c>
      <c r="H1025" s="0" t="n">
        <v>8</v>
      </c>
      <c r="I1025" s="0" t="n">
        <v>8492</v>
      </c>
      <c r="J1025" s="0" t="s">
        <v>268</v>
      </c>
      <c r="K1025" s="0" t="s">
        <v>286</v>
      </c>
      <c r="L1025" s="0" t="s">
        <v>270</v>
      </c>
      <c r="M1025" s="0" t="s">
        <v>4486</v>
      </c>
      <c r="N1025" s="0" t="s">
        <v>4486</v>
      </c>
      <c r="O1025" s="0" t="s">
        <v>4487</v>
      </c>
      <c r="P1025" s="0" t="s">
        <v>4488</v>
      </c>
      <c r="R1025" s="0" t="s">
        <v>275</v>
      </c>
      <c r="S1025" s="0" t="s">
        <v>268</v>
      </c>
      <c r="T1025" s="0" t="s">
        <v>276</v>
      </c>
      <c r="U1025" s="0" t="s">
        <v>277</v>
      </c>
    </row>
    <row r="1026" customFormat="false" ht="15" hidden="false" customHeight="false" outlineLevel="0" collapsed="false">
      <c r="A1026" s="0" t="n">
        <v>68</v>
      </c>
      <c r="B1026" s="0" t="s">
        <v>119</v>
      </c>
      <c r="C1026" s="0" t="s">
        <v>56</v>
      </c>
      <c r="D1026" s="0" t="s">
        <v>4489</v>
      </c>
      <c r="E1026" s="0" t="n">
        <v>2024</v>
      </c>
      <c r="H1026" s="0" t="n">
        <v>13</v>
      </c>
      <c r="I1026" s="0" t="n">
        <v>4911</v>
      </c>
      <c r="J1026" s="0" t="s">
        <v>268</v>
      </c>
      <c r="K1026" s="0" t="s">
        <v>298</v>
      </c>
      <c r="L1026" s="0" t="s">
        <v>270</v>
      </c>
      <c r="M1026" s="0" t="s">
        <v>4490</v>
      </c>
      <c r="N1026" s="0" t="s">
        <v>4490</v>
      </c>
      <c r="O1026" s="0" t="s">
        <v>4491</v>
      </c>
      <c r="P1026" s="0" t="s">
        <v>4492</v>
      </c>
      <c r="R1026" s="0" t="s">
        <v>284</v>
      </c>
      <c r="S1026" s="0" t="s">
        <v>268</v>
      </c>
      <c r="T1026" s="0" t="s">
        <v>276</v>
      </c>
      <c r="U1026" s="0" t="s">
        <v>277</v>
      </c>
    </row>
    <row r="1027" customFormat="false" ht="15" hidden="false" customHeight="false" outlineLevel="0" collapsed="false">
      <c r="A1027" s="0" t="n">
        <v>68</v>
      </c>
      <c r="B1027" s="0" t="s">
        <v>119</v>
      </c>
      <c r="C1027" s="0" t="s">
        <v>309</v>
      </c>
      <c r="D1027" s="0" t="s">
        <v>4493</v>
      </c>
      <c r="E1027" s="0" t="n">
        <v>2024</v>
      </c>
      <c r="H1027" s="0" t="n">
        <v>1</v>
      </c>
      <c r="I1027" s="0" t="n">
        <v>1974</v>
      </c>
      <c r="J1027" s="0" t="s">
        <v>290</v>
      </c>
      <c r="K1027" s="0" t="s">
        <v>298</v>
      </c>
      <c r="L1027" s="0" t="s">
        <v>270</v>
      </c>
      <c r="M1027" s="0" t="s">
        <v>4494</v>
      </c>
      <c r="N1027" s="0" t="s">
        <v>4494</v>
      </c>
      <c r="O1027" s="0" t="s">
        <v>4495</v>
      </c>
      <c r="P1027" s="0" t="s">
        <v>4496</v>
      </c>
      <c r="R1027" s="0" t="s">
        <v>284</v>
      </c>
      <c r="S1027" s="0" t="s">
        <v>268</v>
      </c>
      <c r="T1027" s="0" t="s">
        <v>276</v>
      </c>
      <c r="U1027" s="0" t="s">
        <v>277</v>
      </c>
    </row>
    <row r="1028" customFormat="false" ht="15" hidden="false" customHeight="false" outlineLevel="0" collapsed="false">
      <c r="A1028" s="0" t="n">
        <v>68</v>
      </c>
      <c r="B1028" s="0" t="s">
        <v>119</v>
      </c>
      <c r="C1028" s="0" t="s">
        <v>887</v>
      </c>
      <c r="D1028" s="0" t="s">
        <v>4497</v>
      </c>
      <c r="E1028" s="0" t="n">
        <v>2027</v>
      </c>
      <c r="H1028" s="0" t="n">
        <v>9</v>
      </c>
      <c r="I1028" s="0" t="n">
        <v>4737</v>
      </c>
      <c r="J1028" s="0" t="s">
        <v>268</v>
      </c>
      <c r="K1028" s="0" t="s">
        <v>286</v>
      </c>
      <c r="L1028" s="0" t="s">
        <v>270</v>
      </c>
      <c r="M1028" s="0" t="s">
        <v>4498</v>
      </c>
      <c r="N1028" s="0" t="s">
        <v>4498</v>
      </c>
      <c r="O1028" s="0" t="s">
        <v>4499</v>
      </c>
      <c r="P1028" s="0" t="s">
        <v>4500</v>
      </c>
      <c r="R1028" s="0" t="s">
        <v>275</v>
      </c>
      <c r="S1028" s="0" t="s">
        <v>268</v>
      </c>
      <c r="T1028" s="0" t="s">
        <v>276</v>
      </c>
      <c r="U1028" s="0" t="s">
        <v>277</v>
      </c>
    </row>
    <row r="1029" customFormat="false" ht="15" hidden="false" customHeight="false" outlineLevel="0" collapsed="false">
      <c r="A1029" s="0" t="n">
        <v>69</v>
      </c>
      <c r="B1029" s="0" t="s">
        <v>120</v>
      </c>
      <c r="C1029" s="0" t="s">
        <v>56</v>
      </c>
      <c r="D1029" s="0" t="s">
        <v>4501</v>
      </c>
      <c r="E1029" s="0" t="n">
        <v>2025</v>
      </c>
      <c r="H1029" s="0" t="n">
        <v>13</v>
      </c>
      <c r="I1029" s="0" t="n">
        <v>4919</v>
      </c>
      <c r="J1029" s="0" t="s">
        <v>268</v>
      </c>
      <c r="K1029" s="0" t="s">
        <v>298</v>
      </c>
      <c r="L1029" s="0" t="s">
        <v>270</v>
      </c>
      <c r="M1029" s="0" t="s">
        <v>4502</v>
      </c>
      <c r="N1029" s="0" t="s">
        <v>4502</v>
      </c>
      <c r="O1029" s="0" t="s">
        <v>4503</v>
      </c>
      <c r="P1029" s="0" t="s">
        <v>4504</v>
      </c>
      <c r="R1029" s="0" t="s">
        <v>275</v>
      </c>
      <c r="S1029" s="0" t="s">
        <v>268</v>
      </c>
      <c r="T1029" s="0" t="s">
        <v>276</v>
      </c>
      <c r="U1029" s="0" t="s">
        <v>277</v>
      </c>
    </row>
    <row r="1030" customFormat="false" ht="15" hidden="false" customHeight="false" outlineLevel="0" collapsed="false">
      <c r="A1030" s="0" t="n">
        <v>69</v>
      </c>
      <c r="B1030" s="0" t="s">
        <v>120</v>
      </c>
      <c r="C1030" s="0" t="s">
        <v>309</v>
      </c>
      <c r="D1030" s="0" t="s">
        <v>4505</v>
      </c>
      <c r="E1030" s="0" t="n">
        <v>2020</v>
      </c>
      <c r="H1030" s="0" t="n">
        <v>1</v>
      </c>
      <c r="I1030" s="0" t="n">
        <v>2412</v>
      </c>
      <c r="J1030" s="0" t="s">
        <v>290</v>
      </c>
      <c r="K1030" s="0" t="s">
        <v>298</v>
      </c>
      <c r="L1030" s="0" t="s">
        <v>270</v>
      </c>
      <c r="M1030" s="0" t="s">
        <v>4506</v>
      </c>
      <c r="N1030" s="0" t="s">
        <v>4506</v>
      </c>
      <c r="O1030" s="0" t="s">
        <v>4507</v>
      </c>
      <c r="P1030" s="0" t="s">
        <v>4508</v>
      </c>
      <c r="R1030" s="0" t="s">
        <v>284</v>
      </c>
      <c r="S1030" s="0" t="s">
        <v>268</v>
      </c>
      <c r="T1030" s="0" t="s">
        <v>314</v>
      </c>
      <c r="U1030" s="0" t="s">
        <v>277</v>
      </c>
      <c r="V1030" s="0" t="s">
        <v>4509</v>
      </c>
    </row>
    <row r="1031" customFormat="false" ht="15" hidden="false" customHeight="false" outlineLevel="0" collapsed="false">
      <c r="A1031" s="0" t="n">
        <v>69</v>
      </c>
      <c r="B1031" s="0" t="s">
        <v>120</v>
      </c>
      <c r="C1031" s="0" t="s">
        <v>278</v>
      </c>
      <c r="D1031" s="0" t="s">
        <v>4510</v>
      </c>
      <c r="E1031" s="0" t="n">
        <v>2025</v>
      </c>
      <c r="H1031" s="0" t="n">
        <v>21</v>
      </c>
      <c r="I1031" s="0" t="n">
        <v>4473</v>
      </c>
      <c r="J1031" s="0" t="s">
        <v>268</v>
      </c>
      <c r="K1031" s="0" t="s">
        <v>292</v>
      </c>
      <c r="L1031" s="0" t="s">
        <v>293</v>
      </c>
      <c r="M1031" s="0" t="s">
        <v>4511</v>
      </c>
      <c r="N1031" s="0" t="s">
        <v>4511</v>
      </c>
      <c r="O1031" s="0" t="s">
        <v>4512</v>
      </c>
      <c r="P1031" s="0" t="s">
        <v>4513</v>
      </c>
      <c r="R1031" s="0" t="s">
        <v>275</v>
      </c>
      <c r="S1031" s="0" t="s">
        <v>268</v>
      </c>
      <c r="T1031" s="0" t="s">
        <v>276</v>
      </c>
      <c r="U1031" s="0" t="s">
        <v>277</v>
      </c>
    </row>
    <row r="1032" customFormat="false" ht="15" hidden="false" customHeight="false" outlineLevel="0" collapsed="false">
      <c r="A1032" s="0" t="n">
        <v>69</v>
      </c>
      <c r="B1032" s="0" t="s">
        <v>120</v>
      </c>
      <c r="C1032" s="0" t="s">
        <v>278</v>
      </c>
      <c r="D1032" s="0" t="s">
        <v>4514</v>
      </c>
      <c r="E1032" s="0" t="n">
        <v>2024</v>
      </c>
      <c r="H1032" s="0" t="n">
        <v>19</v>
      </c>
      <c r="I1032" s="0" t="n">
        <v>2771</v>
      </c>
      <c r="J1032" s="0" t="s">
        <v>268</v>
      </c>
      <c r="K1032" s="0" t="s">
        <v>292</v>
      </c>
      <c r="L1032" s="0" t="s">
        <v>293</v>
      </c>
      <c r="M1032" s="0" t="s">
        <v>4515</v>
      </c>
      <c r="N1032" s="0" t="s">
        <v>4515</v>
      </c>
      <c r="O1032" s="0" t="s">
        <v>4516</v>
      </c>
      <c r="P1032" s="0" t="s">
        <v>4517</v>
      </c>
      <c r="R1032" s="0" t="s">
        <v>284</v>
      </c>
      <c r="S1032" s="0" t="s">
        <v>290</v>
      </c>
      <c r="T1032" s="0" t="s">
        <v>276</v>
      </c>
      <c r="U1032" s="0" t="s">
        <v>277</v>
      </c>
    </row>
    <row r="1033" customFormat="false" ht="15" hidden="false" customHeight="false" outlineLevel="0" collapsed="false">
      <c r="A1033" s="0" t="n">
        <v>69</v>
      </c>
      <c r="B1033" s="0" t="s">
        <v>120</v>
      </c>
      <c r="C1033" s="0" t="s">
        <v>278</v>
      </c>
      <c r="D1033" s="0" t="s">
        <v>4518</v>
      </c>
      <c r="E1033" s="0" t="n">
        <v>2023</v>
      </c>
      <c r="H1033" s="0" t="n">
        <v>17</v>
      </c>
      <c r="I1033" s="0" t="n">
        <v>1981</v>
      </c>
      <c r="J1033" s="0" t="s">
        <v>268</v>
      </c>
      <c r="K1033" s="0" t="s">
        <v>292</v>
      </c>
      <c r="L1033" s="0" t="s">
        <v>293</v>
      </c>
      <c r="M1033" s="0" t="s">
        <v>4519</v>
      </c>
      <c r="N1033" s="0" t="s">
        <v>4519</v>
      </c>
      <c r="O1033" s="0" t="s">
        <v>4520</v>
      </c>
      <c r="P1033" s="0" t="s">
        <v>4521</v>
      </c>
      <c r="R1033" s="0" t="s">
        <v>284</v>
      </c>
      <c r="S1033" s="0" t="s">
        <v>290</v>
      </c>
      <c r="T1033" s="0" t="s">
        <v>276</v>
      </c>
      <c r="U1033" s="0" t="s">
        <v>277</v>
      </c>
    </row>
    <row r="1034" customFormat="false" ht="15" hidden="false" customHeight="false" outlineLevel="0" collapsed="false">
      <c r="A1034" s="0" t="n">
        <v>69</v>
      </c>
      <c r="B1034" s="0" t="s">
        <v>120</v>
      </c>
      <c r="C1034" s="0" t="s">
        <v>278</v>
      </c>
      <c r="D1034" s="0" t="s">
        <v>4522</v>
      </c>
      <c r="E1034" s="0" t="n">
        <v>2022</v>
      </c>
      <c r="H1034" s="0" t="n">
        <v>16</v>
      </c>
      <c r="I1034" s="0" t="n">
        <v>4982</v>
      </c>
      <c r="J1034" s="0" t="s">
        <v>268</v>
      </c>
      <c r="K1034" s="0" t="s">
        <v>292</v>
      </c>
      <c r="L1034" s="0" t="s">
        <v>293</v>
      </c>
      <c r="M1034" s="0" t="s">
        <v>4523</v>
      </c>
      <c r="N1034" s="0" t="s">
        <v>4523</v>
      </c>
      <c r="O1034" s="0" t="s">
        <v>4524</v>
      </c>
      <c r="P1034" s="0" t="s">
        <v>4525</v>
      </c>
      <c r="R1034" s="0" t="s">
        <v>284</v>
      </c>
      <c r="S1034" s="0" t="s">
        <v>290</v>
      </c>
      <c r="T1034" s="0" t="s">
        <v>276</v>
      </c>
      <c r="U1034" s="0" t="s">
        <v>277</v>
      </c>
    </row>
    <row r="1035" customFormat="false" ht="15" hidden="false" customHeight="false" outlineLevel="0" collapsed="false">
      <c r="A1035" s="0" t="n">
        <v>69</v>
      </c>
      <c r="B1035" s="0" t="s">
        <v>120</v>
      </c>
      <c r="C1035" s="0" t="s">
        <v>278</v>
      </c>
      <c r="D1035" s="0" t="s">
        <v>4526</v>
      </c>
      <c r="E1035" s="0" t="n">
        <v>2021</v>
      </c>
      <c r="H1035" s="0" t="n">
        <v>19</v>
      </c>
      <c r="I1035" s="0" t="n">
        <v>5179</v>
      </c>
      <c r="J1035" s="0" t="s">
        <v>268</v>
      </c>
      <c r="K1035" s="0" t="s">
        <v>292</v>
      </c>
      <c r="L1035" s="0" t="s">
        <v>293</v>
      </c>
      <c r="M1035" s="0" t="s">
        <v>4527</v>
      </c>
      <c r="N1035" s="0" t="s">
        <v>4527</v>
      </c>
      <c r="O1035" s="0" t="s">
        <v>4528</v>
      </c>
      <c r="P1035" s="0" t="s">
        <v>4529</v>
      </c>
      <c r="R1035" s="0" t="s">
        <v>284</v>
      </c>
      <c r="S1035" s="0" t="s">
        <v>290</v>
      </c>
      <c r="T1035" s="0" t="s">
        <v>276</v>
      </c>
      <c r="U1035" s="0" t="s">
        <v>277</v>
      </c>
    </row>
    <row r="1036" customFormat="false" ht="15" hidden="false" customHeight="false" outlineLevel="0" collapsed="false">
      <c r="A1036" s="0" t="n">
        <v>69</v>
      </c>
      <c r="B1036" s="0" t="s">
        <v>120</v>
      </c>
      <c r="C1036" s="0" t="s">
        <v>278</v>
      </c>
      <c r="D1036" s="0" t="s">
        <v>4530</v>
      </c>
      <c r="E1036" s="0" t="n">
        <v>2019</v>
      </c>
      <c r="H1036" s="0" t="n">
        <v>16</v>
      </c>
      <c r="I1036" s="0" t="n">
        <v>3602</v>
      </c>
      <c r="J1036" s="0" t="s">
        <v>290</v>
      </c>
      <c r="K1036" s="0" t="s">
        <v>292</v>
      </c>
      <c r="L1036" s="0" t="s">
        <v>293</v>
      </c>
      <c r="M1036" s="0" t="s">
        <v>4531</v>
      </c>
      <c r="N1036" s="0" t="s">
        <v>4531</v>
      </c>
      <c r="O1036" s="0" t="s">
        <v>4532</v>
      </c>
      <c r="P1036" s="0" t="s">
        <v>4533</v>
      </c>
      <c r="R1036" s="0" t="s">
        <v>284</v>
      </c>
      <c r="S1036" s="0" t="s">
        <v>290</v>
      </c>
      <c r="T1036" s="0" t="s">
        <v>276</v>
      </c>
      <c r="U1036" s="0" t="s">
        <v>277</v>
      </c>
    </row>
    <row r="1037" customFormat="false" ht="15" hidden="false" customHeight="false" outlineLevel="0" collapsed="false">
      <c r="A1037" s="0" t="n">
        <v>70</v>
      </c>
      <c r="B1037" s="0" t="s">
        <v>121</v>
      </c>
      <c r="C1037" s="0" t="s">
        <v>56</v>
      </c>
      <c r="D1037" s="0" t="s">
        <v>4534</v>
      </c>
      <c r="E1037" s="0" t="n">
        <v>2026</v>
      </c>
      <c r="H1037" s="0" t="n">
        <v>17</v>
      </c>
      <c r="I1037" s="0" t="n">
        <v>20308</v>
      </c>
      <c r="J1037" s="0" t="s">
        <v>268</v>
      </c>
      <c r="K1037" s="0" t="s">
        <v>4535</v>
      </c>
      <c r="L1037" s="0" t="s">
        <v>1697</v>
      </c>
      <c r="M1037" s="0" t="s">
        <v>4536</v>
      </c>
      <c r="N1037" s="0" t="s">
        <v>4536</v>
      </c>
      <c r="O1037" s="0" t="s">
        <v>4537</v>
      </c>
      <c r="P1037" s="0" t="s">
        <v>4538</v>
      </c>
      <c r="R1037" s="0" t="s">
        <v>275</v>
      </c>
      <c r="S1037" s="0" t="s">
        <v>268</v>
      </c>
      <c r="T1037" s="0" t="s">
        <v>314</v>
      </c>
      <c r="U1037" s="0" t="s">
        <v>277</v>
      </c>
      <c r="V1037" s="0" t="s">
        <v>4539</v>
      </c>
    </row>
    <row r="1038" customFormat="false" ht="15" hidden="false" customHeight="false" outlineLevel="0" collapsed="false">
      <c r="A1038" s="0" t="n">
        <v>176</v>
      </c>
      <c r="B1038" s="0" t="s">
        <v>237</v>
      </c>
      <c r="C1038" s="0" t="s">
        <v>56</v>
      </c>
      <c r="D1038" s="0" t="s">
        <v>4534</v>
      </c>
      <c r="E1038" s="0" t="n">
        <v>2026</v>
      </c>
      <c r="H1038" s="0" t="n">
        <v>17</v>
      </c>
      <c r="I1038" s="0" t="n">
        <v>20308</v>
      </c>
      <c r="J1038" s="0" t="s">
        <v>268</v>
      </c>
      <c r="K1038" s="0" t="s">
        <v>4535</v>
      </c>
      <c r="L1038" s="0" t="s">
        <v>1697</v>
      </c>
      <c r="M1038" s="0" t="s">
        <v>4536</v>
      </c>
      <c r="N1038" s="0" t="s">
        <v>4536</v>
      </c>
      <c r="O1038" s="0" t="s">
        <v>4537</v>
      </c>
      <c r="P1038" s="0" t="s">
        <v>4538</v>
      </c>
      <c r="R1038" s="0" t="s">
        <v>275</v>
      </c>
      <c r="S1038" s="0" t="s">
        <v>268</v>
      </c>
      <c r="T1038" s="0" t="s">
        <v>314</v>
      </c>
      <c r="U1038" s="0" t="s">
        <v>277</v>
      </c>
      <c r="V1038" s="0" t="s">
        <v>4539</v>
      </c>
    </row>
    <row r="1039" customFormat="false" ht="15" hidden="false" customHeight="false" outlineLevel="0" collapsed="false">
      <c r="A1039" s="0" t="n">
        <v>70</v>
      </c>
      <c r="B1039" s="0" t="s">
        <v>121</v>
      </c>
      <c r="C1039" s="0" t="s">
        <v>56</v>
      </c>
      <c r="D1039" s="0" t="s">
        <v>4540</v>
      </c>
      <c r="E1039" s="0" t="n">
        <v>2025</v>
      </c>
      <c r="H1039" s="0" t="n">
        <v>7</v>
      </c>
      <c r="I1039" s="0" t="n">
        <v>13099</v>
      </c>
      <c r="J1039" s="0" t="s">
        <v>268</v>
      </c>
      <c r="K1039" s="0" t="s">
        <v>298</v>
      </c>
      <c r="L1039" s="0" t="s">
        <v>270</v>
      </c>
      <c r="M1039" s="0" t="s">
        <v>4541</v>
      </c>
      <c r="N1039" s="0" t="s">
        <v>4541</v>
      </c>
      <c r="O1039" s="0" t="s">
        <v>4542</v>
      </c>
      <c r="P1039" s="0" t="s">
        <v>4543</v>
      </c>
      <c r="R1039" s="0" t="s">
        <v>275</v>
      </c>
      <c r="S1039" s="0" t="s">
        <v>290</v>
      </c>
      <c r="T1039" s="0" t="s">
        <v>276</v>
      </c>
      <c r="U1039" s="0" t="s">
        <v>277</v>
      </c>
    </row>
    <row r="1040" customFormat="false" ht="15" hidden="false" customHeight="false" outlineLevel="0" collapsed="false">
      <c r="A1040" s="0" t="n">
        <v>70</v>
      </c>
      <c r="B1040" s="0" t="s">
        <v>121</v>
      </c>
      <c r="C1040" s="0" t="s">
        <v>309</v>
      </c>
      <c r="D1040" s="0" t="s">
        <v>4544</v>
      </c>
      <c r="E1040" s="0" t="n">
        <v>2025</v>
      </c>
      <c r="H1040" s="0" t="n">
        <v>1</v>
      </c>
      <c r="I1040" s="0" t="n">
        <v>4674</v>
      </c>
      <c r="J1040" s="0" t="s">
        <v>268</v>
      </c>
      <c r="K1040" s="0" t="s">
        <v>298</v>
      </c>
      <c r="L1040" s="0" t="s">
        <v>270</v>
      </c>
      <c r="M1040" s="0" t="s">
        <v>4545</v>
      </c>
      <c r="N1040" s="0" t="s">
        <v>4545</v>
      </c>
      <c r="O1040" s="0" t="s">
        <v>4546</v>
      </c>
      <c r="P1040" s="0" t="s">
        <v>4547</v>
      </c>
      <c r="R1040" s="0" t="s">
        <v>275</v>
      </c>
      <c r="S1040" s="0" t="s">
        <v>268</v>
      </c>
      <c r="T1040" s="0" t="s">
        <v>276</v>
      </c>
      <c r="U1040" s="0" t="s">
        <v>277</v>
      </c>
    </row>
    <row r="1041" customFormat="false" ht="15" hidden="false" customHeight="false" outlineLevel="0" collapsed="false">
      <c r="A1041" s="0" t="n">
        <v>70</v>
      </c>
      <c r="B1041" s="0" t="s">
        <v>121</v>
      </c>
      <c r="C1041" s="0" t="s">
        <v>887</v>
      </c>
      <c r="D1041" s="0" t="s">
        <v>4548</v>
      </c>
      <c r="E1041" s="0" t="n">
        <v>2026</v>
      </c>
      <c r="H1041" s="0" t="n">
        <v>10</v>
      </c>
      <c r="I1041" s="0" t="n">
        <v>10829</v>
      </c>
      <c r="J1041" s="0" t="s">
        <v>268</v>
      </c>
      <c r="K1041" s="0" t="s">
        <v>286</v>
      </c>
      <c r="L1041" s="0" t="s">
        <v>270</v>
      </c>
      <c r="M1041" s="0" t="s">
        <v>4549</v>
      </c>
      <c r="N1041" s="0" t="s">
        <v>4549</v>
      </c>
      <c r="O1041" s="0" t="s">
        <v>4550</v>
      </c>
      <c r="P1041" s="0" t="s">
        <v>4551</v>
      </c>
      <c r="R1041" s="0" t="s">
        <v>275</v>
      </c>
      <c r="S1041" s="0" t="s">
        <v>268</v>
      </c>
      <c r="T1041" s="0" t="s">
        <v>276</v>
      </c>
      <c r="U1041" s="0" t="s">
        <v>277</v>
      </c>
    </row>
    <row r="1042" customFormat="false" ht="15" hidden="false" customHeight="false" outlineLevel="0" collapsed="false">
      <c r="A1042" s="0" t="n">
        <v>71</v>
      </c>
      <c r="B1042" s="0" t="s">
        <v>122</v>
      </c>
      <c r="C1042" s="0" t="s">
        <v>56</v>
      </c>
      <c r="D1042" s="0" t="s">
        <v>4552</v>
      </c>
      <c r="E1042" s="0" t="n">
        <v>2023</v>
      </c>
      <c r="H1042" s="0" t="n">
        <v>7</v>
      </c>
      <c r="I1042" s="0" t="n">
        <v>600</v>
      </c>
      <c r="J1042" s="0" t="s">
        <v>268</v>
      </c>
      <c r="K1042" s="0" t="s">
        <v>1696</v>
      </c>
      <c r="L1042" s="0" t="s">
        <v>1697</v>
      </c>
      <c r="M1042" s="0" t="s">
        <v>4553</v>
      </c>
      <c r="N1042" s="0" t="s">
        <v>4553</v>
      </c>
      <c r="O1042" s="0" t="s">
        <v>4554</v>
      </c>
      <c r="P1042" s="0" t="s">
        <v>4555</v>
      </c>
      <c r="R1042" s="0" t="s">
        <v>284</v>
      </c>
      <c r="S1042" s="0" t="s">
        <v>268</v>
      </c>
      <c r="T1042" s="0" t="s">
        <v>276</v>
      </c>
      <c r="U1042" s="0" t="s">
        <v>277</v>
      </c>
    </row>
    <row r="1043" customFormat="false" ht="15" hidden="false" customHeight="false" outlineLevel="0" collapsed="false">
      <c r="A1043" s="0" t="n">
        <v>71</v>
      </c>
      <c r="B1043" s="0" t="s">
        <v>122</v>
      </c>
      <c r="C1043" s="0" t="s">
        <v>56</v>
      </c>
      <c r="D1043" s="0" t="s">
        <v>4556</v>
      </c>
      <c r="E1043" s="0" t="n">
        <v>2020</v>
      </c>
      <c r="F1043" s="0" t="s">
        <v>1776</v>
      </c>
      <c r="G1043" s="0" t="s">
        <v>1777</v>
      </c>
      <c r="H1043" s="0" t="n">
        <v>7</v>
      </c>
      <c r="I1043" s="0" t="n">
        <v>997</v>
      </c>
      <c r="J1043" s="0" t="s">
        <v>268</v>
      </c>
      <c r="K1043" s="0" t="s">
        <v>1696</v>
      </c>
      <c r="L1043" s="0" t="s">
        <v>1697</v>
      </c>
      <c r="M1043" s="0" t="s">
        <v>4557</v>
      </c>
      <c r="N1043" s="0" t="s">
        <v>4557</v>
      </c>
      <c r="O1043" s="0" t="s">
        <v>4558</v>
      </c>
      <c r="P1043" s="0" t="s">
        <v>4559</v>
      </c>
      <c r="R1043" s="0" t="s">
        <v>284</v>
      </c>
      <c r="S1043" s="0" t="s">
        <v>290</v>
      </c>
      <c r="T1043" s="0" t="s">
        <v>276</v>
      </c>
      <c r="U1043" s="0" t="s">
        <v>277</v>
      </c>
    </row>
    <row r="1044" customFormat="false" ht="15" hidden="false" customHeight="false" outlineLevel="0" collapsed="false">
      <c r="A1044" s="0" t="n">
        <v>71</v>
      </c>
      <c r="B1044" s="0" t="s">
        <v>122</v>
      </c>
      <c r="C1044" s="0" t="s">
        <v>309</v>
      </c>
      <c r="D1044" s="0" t="s">
        <v>4560</v>
      </c>
      <c r="E1044" s="0" t="n">
        <v>2025</v>
      </c>
      <c r="H1044" s="0" t="n">
        <v>1</v>
      </c>
      <c r="I1044" s="0" t="n">
        <v>1245</v>
      </c>
      <c r="J1044" s="0" t="s">
        <v>268</v>
      </c>
      <c r="K1044" s="0" t="s">
        <v>1696</v>
      </c>
      <c r="L1044" s="0" t="s">
        <v>1697</v>
      </c>
      <c r="M1044" s="0" t="s">
        <v>4561</v>
      </c>
      <c r="N1044" s="0" t="s">
        <v>4561</v>
      </c>
      <c r="O1044" s="0" t="s">
        <v>4562</v>
      </c>
      <c r="P1044" s="0" t="s">
        <v>4563</v>
      </c>
      <c r="R1044" s="0" t="s">
        <v>275</v>
      </c>
      <c r="S1044" s="0" t="s">
        <v>268</v>
      </c>
      <c r="T1044" s="0" t="s">
        <v>276</v>
      </c>
      <c r="U1044" s="0" t="s">
        <v>277</v>
      </c>
    </row>
    <row r="1045" customFormat="false" ht="15" hidden="false" customHeight="false" outlineLevel="0" collapsed="false">
      <c r="A1045" s="0" t="n">
        <v>71</v>
      </c>
      <c r="B1045" s="0" t="s">
        <v>122</v>
      </c>
      <c r="C1045" s="0" t="s">
        <v>309</v>
      </c>
      <c r="D1045" s="0" t="s">
        <v>4564</v>
      </c>
      <c r="E1045" s="0" t="n">
        <v>2023</v>
      </c>
      <c r="H1045" s="0" t="n">
        <v>1</v>
      </c>
      <c r="I1045" s="0" t="n">
        <v>642</v>
      </c>
      <c r="J1045" s="0" t="s">
        <v>268</v>
      </c>
      <c r="K1045" s="0" t="s">
        <v>1696</v>
      </c>
      <c r="L1045" s="0" t="s">
        <v>1697</v>
      </c>
      <c r="M1045" s="0" t="s">
        <v>4565</v>
      </c>
      <c r="N1045" s="0" t="s">
        <v>4565</v>
      </c>
      <c r="O1045" s="0" t="s">
        <v>4566</v>
      </c>
      <c r="P1045" s="0" t="s">
        <v>4567</v>
      </c>
      <c r="R1045" s="0" t="s">
        <v>284</v>
      </c>
      <c r="S1045" s="0" t="s">
        <v>290</v>
      </c>
      <c r="T1045" s="0" t="s">
        <v>276</v>
      </c>
      <c r="U1045" s="0" t="s">
        <v>277</v>
      </c>
    </row>
    <row r="1046" customFormat="false" ht="15" hidden="false" customHeight="false" outlineLevel="0" collapsed="false">
      <c r="A1046" s="0" t="n">
        <v>71</v>
      </c>
      <c r="B1046" s="0" t="s">
        <v>122</v>
      </c>
      <c r="C1046" s="0" t="s">
        <v>586</v>
      </c>
      <c r="D1046" s="0" t="s">
        <v>4568</v>
      </c>
      <c r="E1046" s="0" t="n">
        <v>2019</v>
      </c>
      <c r="H1046" s="0" t="n">
        <v>13</v>
      </c>
      <c r="I1046" s="0" t="n">
        <v>1077</v>
      </c>
      <c r="J1046" s="0" t="s">
        <v>268</v>
      </c>
      <c r="K1046" s="0" t="s">
        <v>1696</v>
      </c>
      <c r="L1046" s="0" t="s">
        <v>1697</v>
      </c>
      <c r="M1046" s="0" t="s">
        <v>4569</v>
      </c>
      <c r="N1046" s="0" t="s">
        <v>4569</v>
      </c>
      <c r="O1046" s="0" t="s">
        <v>4570</v>
      </c>
      <c r="P1046" s="0" t="s">
        <v>4571</v>
      </c>
      <c r="R1046" s="0" t="s">
        <v>284</v>
      </c>
      <c r="S1046" s="0" t="s">
        <v>268</v>
      </c>
      <c r="T1046" s="0" t="s">
        <v>276</v>
      </c>
      <c r="U1046" s="0" t="s">
        <v>277</v>
      </c>
    </row>
    <row r="1047" customFormat="false" ht="15" hidden="false" customHeight="false" outlineLevel="0" collapsed="false">
      <c r="A1047" s="0" t="n">
        <v>71</v>
      </c>
      <c r="B1047" s="0" t="s">
        <v>122</v>
      </c>
      <c r="C1047" s="0" t="s">
        <v>266</v>
      </c>
      <c r="D1047" s="0" t="s">
        <v>4572</v>
      </c>
      <c r="E1047" s="0" t="n">
        <v>2026</v>
      </c>
      <c r="H1047" s="0" t="n">
        <v>13</v>
      </c>
      <c r="I1047" s="0" t="n">
        <v>68</v>
      </c>
      <c r="J1047" s="0" t="s">
        <v>268</v>
      </c>
      <c r="K1047" s="0" t="s">
        <v>3461</v>
      </c>
      <c r="L1047" s="0" t="s">
        <v>293</v>
      </c>
      <c r="M1047" s="0" t="s">
        <v>4573</v>
      </c>
      <c r="N1047" s="0" t="s">
        <v>4573</v>
      </c>
      <c r="O1047" s="0" t="s">
        <v>4574</v>
      </c>
      <c r="P1047" s="0" t="s">
        <v>4575</v>
      </c>
      <c r="R1047" s="0" t="s">
        <v>275</v>
      </c>
      <c r="S1047" s="0" t="s">
        <v>268</v>
      </c>
      <c r="T1047" s="0" t="s">
        <v>276</v>
      </c>
      <c r="U1047" s="0" t="s">
        <v>277</v>
      </c>
    </row>
    <row r="1048" customFormat="false" ht="15" hidden="false" customHeight="false" outlineLevel="0" collapsed="false">
      <c r="A1048" s="0" t="n">
        <v>71</v>
      </c>
      <c r="B1048" s="0" t="s">
        <v>122</v>
      </c>
      <c r="C1048" s="0" t="s">
        <v>266</v>
      </c>
      <c r="D1048" s="0" t="s">
        <v>4576</v>
      </c>
      <c r="E1048" s="0" t="n">
        <v>2026</v>
      </c>
      <c r="H1048" s="0" t="n">
        <v>2</v>
      </c>
      <c r="I1048" s="0" t="n">
        <v>840</v>
      </c>
      <c r="J1048" s="0" t="s">
        <v>268</v>
      </c>
      <c r="K1048" s="0" t="s">
        <v>3327</v>
      </c>
      <c r="L1048" s="0" t="s">
        <v>293</v>
      </c>
      <c r="M1048" s="0" t="s">
        <v>4577</v>
      </c>
      <c r="N1048" s="0" t="s">
        <v>4577</v>
      </c>
      <c r="O1048" s="0" t="s">
        <v>4578</v>
      </c>
      <c r="P1048" s="0" t="s">
        <v>4579</v>
      </c>
      <c r="R1048" s="0" t="s">
        <v>275</v>
      </c>
      <c r="S1048" s="0" t="s">
        <v>290</v>
      </c>
      <c r="T1048" s="0" t="s">
        <v>276</v>
      </c>
      <c r="U1048" s="0" t="s">
        <v>277</v>
      </c>
    </row>
    <row r="1049" customFormat="false" ht="15" hidden="false" customHeight="false" outlineLevel="0" collapsed="false">
      <c r="A1049" s="0" t="n">
        <v>71</v>
      </c>
      <c r="B1049" s="0" t="s">
        <v>122</v>
      </c>
      <c r="C1049" s="0" t="s">
        <v>266</v>
      </c>
      <c r="D1049" s="0" t="s">
        <v>4580</v>
      </c>
      <c r="E1049" s="0" t="n">
        <v>2026</v>
      </c>
      <c r="H1049" s="0" t="n">
        <v>2</v>
      </c>
      <c r="I1049" s="0" t="n">
        <v>787</v>
      </c>
      <c r="J1049" s="0" t="s">
        <v>268</v>
      </c>
      <c r="K1049" s="0" t="s">
        <v>3327</v>
      </c>
      <c r="L1049" s="0" t="s">
        <v>293</v>
      </c>
      <c r="M1049" s="0" t="s">
        <v>4581</v>
      </c>
      <c r="N1049" s="0" t="s">
        <v>4581</v>
      </c>
      <c r="O1049" s="0" t="s">
        <v>4582</v>
      </c>
      <c r="P1049" s="0" t="s">
        <v>4583</v>
      </c>
      <c r="R1049" s="0" t="s">
        <v>275</v>
      </c>
      <c r="S1049" s="0" t="s">
        <v>290</v>
      </c>
      <c r="T1049" s="0" t="s">
        <v>276</v>
      </c>
      <c r="U1049" s="0" t="s">
        <v>277</v>
      </c>
    </row>
    <row r="1050" customFormat="false" ht="15" hidden="false" customHeight="false" outlineLevel="0" collapsed="false">
      <c r="A1050" s="0" t="n">
        <v>71</v>
      </c>
      <c r="B1050" s="0" t="s">
        <v>122</v>
      </c>
      <c r="C1050" s="0" t="s">
        <v>266</v>
      </c>
      <c r="D1050" s="0" t="s">
        <v>4584</v>
      </c>
      <c r="E1050" s="0" t="n">
        <v>2018</v>
      </c>
      <c r="H1050" s="0" t="n">
        <v>15</v>
      </c>
      <c r="I1050" s="0" t="n">
        <v>6888</v>
      </c>
      <c r="J1050" s="0" t="s">
        <v>268</v>
      </c>
      <c r="K1050" s="0" t="s">
        <v>1696</v>
      </c>
      <c r="L1050" s="0" t="s">
        <v>1697</v>
      </c>
      <c r="M1050" s="0" t="s">
        <v>4585</v>
      </c>
      <c r="N1050" s="0" t="s">
        <v>4585</v>
      </c>
      <c r="O1050" s="0" t="s">
        <v>4586</v>
      </c>
      <c r="P1050" s="0" t="s">
        <v>4587</v>
      </c>
      <c r="R1050" s="0" t="s">
        <v>284</v>
      </c>
      <c r="S1050" s="0" t="s">
        <v>290</v>
      </c>
      <c r="T1050" s="0" t="s">
        <v>314</v>
      </c>
      <c r="U1050" s="0" t="s">
        <v>277</v>
      </c>
      <c r="V1050" s="0" t="s">
        <v>4588</v>
      </c>
    </row>
    <row r="1051" customFormat="false" ht="15" hidden="false" customHeight="false" outlineLevel="0" collapsed="false">
      <c r="A1051" s="0" t="n">
        <v>71</v>
      </c>
      <c r="B1051" s="0" t="s">
        <v>122</v>
      </c>
      <c r="C1051" s="0" t="s">
        <v>530</v>
      </c>
      <c r="D1051" s="0" t="s">
        <v>4589</v>
      </c>
      <c r="E1051" s="0" t="n">
        <v>2019</v>
      </c>
      <c r="H1051" s="0" t="n">
        <v>1</v>
      </c>
      <c r="I1051" s="0" t="n">
        <v>398</v>
      </c>
      <c r="J1051" s="0" t="s">
        <v>290</v>
      </c>
      <c r="K1051" s="0" t="s">
        <v>1696</v>
      </c>
      <c r="L1051" s="0" t="s">
        <v>1697</v>
      </c>
      <c r="M1051" s="0" t="s">
        <v>4590</v>
      </c>
      <c r="N1051" s="0" t="s">
        <v>4590</v>
      </c>
      <c r="O1051" s="0" t="s">
        <v>4591</v>
      </c>
      <c r="P1051" s="0" t="s">
        <v>4592</v>
      </c>
      <c r="R1051" s="0" t="s">
        <v>284</v>
      </c>
      <c r="S1051" s="0" t="s">
        <v>268</v>
      </c>
      <c r="T1051" s="0" t="s">
        <v>276</v>
      </c>
      <c r="U1051" s="0" t="s">
        <v>277</v>
      </c>
    </row>
    <row r="1052" customFormat="false" ht="15" hidden="false" customHeight="false" outlineLevel="0" collapsed="false">
      <c r="A1052" s="0" t="n">
        <v>71</v>
      </c>
      <c r="B1052" s="0" t="s">
        <v>122</v>
      </c>
      <c r="C1052" s="0" t="s">
        <v>530</v>
      </c>
      <c r="D1052" s="0" t="s">
        <v>4593</v>
      </c>
      <c r="E1052" s="0" t="n">
        <v>2019</v>
      </c>
      <c r="H1052" s="0" t="n">
        <v>1</v>
      </c>
      <c r="I1052" s="0" t="n">
        <v>288</v>
      </c>
      <c r="J1052" s="0" t="s">
        <v>290</v>
      </c>
      <c r="K1052" s="0" t="s">
        <v>1696</v>
      </c>
      <c r="L1052" s="0" t="s">
        <v>1697</v>
      </c>
      <c r="M1052" s="0" t="s">
        <v>4594</v>
      </c>
      <c r="N1052" s="0" t="s">
        <v>4594</v>
      </c>
      <c r="O1052" s="0" t="s">
        <v>4595</v>
      </c>
      <c r="P1052" s="0" t="s">
        <v>4596</v>
      </c>
      <c r="R1052" s="0" t="s">
        <v>284</v>
      </c>
      <c r="S1052" s="0" t="s">
        <v>290</v>
      </c>
      <c r="T1052" s="0" t="s">
        <v>276</v>
      </c>
      <c r="U1052" s="0" t="s">
        <v>277</v>
      </c>
    </row>
    <row r="1053" customFormat="false" ht="15" hidden="false" customHeight="false" outlineLevel="0" collapsed="false">
      <c r="A1053" s="0" t="n">
        <v>71</v>
      </c>
      <c r="B1053" s="0" t="s">
        <v>122</v>
      </c>
      <c r="C1053" s="0" t="s">
        <v>530</v>
      </c>
      <c r="D1053" s="0" t="s">
        <v>4597</v>
      </c>
      <c r="E1053" s="0" t="n">
        <v>2018</v>
      </c>
      <c r="H1053" s="0" t="n">
        <v>1</v>
      </c>
      <c r="I1053" s="0" t="n">
        <v>652</v>
      </c>
      <c r="J1053" s="0" t="s">
        <v>268</v>
      </c>
      <c r="K1053" s="0" t="s">
        <v>1696</v>
      </c>
      <c r="L1053" s="0" t="s">
        <v>1697</v>
      </c>
      <c r="M1053" s="0" t="s">
        <v>4598</v>
      </c>
      <c r="N1053" s="0" t="s">
        <v>4599</v>
      </c>
      <c r="O1053" s="0" t="s">
        <v>4600</v>
      </c>
      <c r="P1053" s="0" t="s">
        <v>4601</v>
      </c>
      <c r="R1053" s="0" t="s">
        <v>284</v>
      </c>
      <c r="S1053" s="0" t="s">
        <v>290</v>
      </c>
      <c r="T1053" s="0" t="s">
        <v>276</v>
      </c>
      <c r="U1053" s="0" t="s">
        <v>277</v>
      </c>
    </row>
    <row r="1054" customFormat="false" ht="15" hidden="false" customHeight="false" outlineLevel="0" collapsed="false">
      <c r="A1054" s="0" t="n">
        <v>71</v>
      </c>
      <c r="B1054" s="0" t="s">
        <v>122</v>
      </c>
      <c r="C1054" s="0" t="s">
        <v>480</v>
      </c>
      <c r="D1054" s="0" t="s">
        <v>4602</v>
      </c>
      <c r="E1054" s="0" t="n">
        <v>2023</v>
      </c>
      <c r="F1054" s="0" t="s">
        <v>1770</v>
      </c>
      <c r="G1054" s="0" t="s">
        <v>1771</v>
      </c>
      <c r="H1054" s="0" t="n">
        <v>3</v>
      </c>
      <c r="I1054" s="0" t="n">
        <v>573</v>
      </c>
      <c r="J1054" s="0" t="s">
        <v>268</v>
      </c>
      <c r="K1054" s="0" t="s">
        <v>1696</v>
      </c>
      <c r="L1054" s="0" t="s">
        <v>1697</v>
      </c>
      <c r="M1054" s="0" t="s">
        <v>4603</v>
      </c>
      <c r="N1054" s="0" t="s">
        <v>4603</v>
      </c>
      <c r="O1054" s="0" t="s">
        <v>4604</v>
      </c>
      <c r="P1054" s="0" t="s">
        <v>4605</v>
      </c>
      <c r="R1054" s="0" t="s">
        <v>284</v>
      </c>
      <c r="S1054" s="0" t="s">
        <v>268</v>
      </c>
      <c r="T1054" s="0" t="s">
        <v>276</v>
      </c>
      <c r="U1054" s="0" t="s">
        <v>277</v>
      </c>
    </row>
    <row r="1055" customFormat="false" ht="15" hidden="false" customHeight="false" outlineLevel="0" collapsed="false">
      <c r="A1055" s="0" t="n">
        <v>71</v>
      </c>
      <c r="B1055" s="0" t="s">
        <v>122</v>
      </c>
      <c r="C1055" s="0" t="s">
        <v>480</v>
      </c>
      <c r="D1055" s="0" t="s">
        <v>4606</v>
      </c>
      <c r="E1055" s="0" t="n">
        <v>2022</v>
      </c>
      <c r="F1055" s="0" t="s">
        <v>1790</v>
      </c>
      <c r="G1055" s="0" t="s">
        <v>1791</v>
      </c>
      <c r="H1055" s="0" t="n">
        <v>3</v>
      </c>
      <c r="I1055" s="0" t="n">
        <v>1062</v>
      </c>
      <c r="J1055" s="0" t="s">
        <v>268</v>
      </c>
      <c r="K1055" s="0" t="s">
        <v>1696</v>
      </c>
      <c r="L1055" s="0" t="s">
        <v>1697</v>
      </c>
      <c r="M1055" s="0" t="s">
        <v>4607</v>
      </c>
      <c r="N1055" s="0" t="s">
        <v>4607</v>
      </c>
      <c r="O1055" s="0" t="s">
        <v>4608</v>
      </c>
      <c r="P1055" s="0" t="s">
        <v>4609</v>
      </c>
      <c r="R1055" s="0" t="s">
        <v>284</v>
      </c>
      <c r="S1055" s="0" t="s">
        <v>290</v>
      </c>
      <c r="T1055" s="0" t="s">
        <v>276</v>
      </c>
      <c r="U1055" s="0" t="s">
        <v>277</v>
      </c>
    </row>
    <row r="1056" customFormat="false" ht="15" hidden="false" customHeight="false" outlineLevel="0" collapsed="false">
      <c r="A1056" s="0" t="n">
        <v>71</v>
      </c>
      <c r="B1056" s="0" t="s">
        <v>122</v>
      </c>
      <c r="C1056" s="0" t="s">
        <v>278</v>
      </c>
      <c r="D1056" s="0" t="s">
        <v>4610</v>
      </c>
      <c r="E1056" s="0" t="n">
        <v>2023</v>
      </c>
      <c r="H1056" s="0" t="n">
        <v>1</v>
      </c>
      <c r="I1056" s="0" t="n">
        <v>117</v>
      </c>
      <c r="J1056" s="0" t="s">
        <v>268</v>
      </c>
      <c r="K1056" s="0" t="s">
        <v>2264</v>
      </c>
      <c r="L1056" s="0" t="s">
        <v>293</v>
      </c>
      <c r="M1056" s="0" t="s">
        <v>4611</v>
      </c>
      <c r="N1056" s="0" t="s">
        <v>4612</v>
      </c>
      <c r="O1056" s="0" t="s">
        <v>4613</v>
      </c>
      <c r="P1056" s="0" t="s">
        <v>4614</v>
      </c>
      <c r="R1056" s="0" t="s">
        <v>284</v>
      </c>
      <c r="S1056" s="0" t="s">
        <v>268</v>
      </c>
      <c r="T1056" s="0" t="s">
        <v>276</v>
      </c>
      <c r="U1056" s="0" t="s">
        <v>277</v>
      </c>
    </row>
    <row r="1057" customFormat="false" ht="15" hidden="false" customHeight="false" outlineLevel="0" collapsed="false">
      <c r="A1057" s="0" t="n">
        <v>71</v>
      </c>
      <c r="B1057" s="0" t="s">
        <v>122</v>
      </c>
      <c r="C1057" s="0" t="s">
        <v>500</v>
      </c>
      <c r="D1057" s="0" t="s">
        <v>4615</v>
      </c>
      <c r="E1057" s="0" t="n">
        <v>2018</v>
      </c>
      <c r="H1057" s="0" t="n">
        <v>24</v>
      </c>
      <c r="I1057" s="0" t="n">
        <v>5820</v>
      </c>
      <c r="J1057" s="0" t="s">
        <v>268</v>
      </c>
      <c r="K1057" s="0" t="s">
        <v>1696</v>
      </c>
      <c r="L1057" s="0" t="s">
        <v>1697</v>
      </c>
      <c r="M1057" s="0" t="s">
        <v>4616</v>
      </c>
      <c r="N1057" s="0" t="s">
        <v>4616</v>
      </c>
      <c r="O1057" s="0" t="s">
        <v>4617</v>
      </c>
      <c r="P1057" s="0" t="s">
        <v>4618</v>
      </c>
      <c r="R1057" s="0" t="s">
        <v>284</v>
      </c>
      <c r="S1057" s="0" t="s">
        <v>268</v>
      </c>
      <c r="T1057" s="0" t="s">
        <v>276</v>
      </c>
      <c r="U1057" s="0" t="s">
        <v>277</v>
      </c>
    </row>
    <row r="1058" customFormat="false" ht="15" hidden="false" customHeight="false" outlineLevel="0" collapsed="false">
      <c r="A1058" s="0" t="n">
        <v>74</v>
      </c>
      <c r="B1058" s="0" t="s">
        <v>125</v>
      </c>
      <c r="C1058" s="0" t="s">
        <v>56</v>
      </c>
      <c r="D1058" s="0" t="s">
        <v>4619</v>
      </c>
      <c r="E1058" s="0" t="n">
        <v>2019</v>
      </c>
      <c r="H1058" s="0" t="n">
        <v>11</v>
      </c>
      <c r="I1058" s="0" t="n">
        <v>1883</v>
      </c>
      <c r="J1058" s="0" t="s">
        <v>268</v>
      </c>
      <c r="K1058" s="0" t="s">
        <v>298</v>
      </c>
      <c r="L1058" s="0" t="s">
        <v>270</v>
      </c>
      <c r="M1058" s="0" t="s">
        <v>4620</v>
      </c>
      <c r="N1058" s="0" t="s">
        <v>4620</v>
      </c>
      <c r="O1058" s="0" t="s">
        <v>4621</v>
      </c>
      <c r="P1058" s="0" t="s">
        <v>4622</v>
      </c>
      <c r="R1058" s="0" t="s">
        <v>284</v>
      </c>
      <c r="S1058" s="0" t="s">
        <v>268</v>
      </c>
      <c r="T1058" s="0" t="s">
        <v>276</v>
      </c>
      <c r="U1058" s="0" t="s">
        <v>277</v>
      </c>
    </row>
    <row r="1059" customFormat="false" ht="15" hidden="false" customHeight="false" outlineLevel="0" collapsed="false">
      <c r="A1059" s="0" t="n">
        <v>74</v>
      </c>
      <c r="B1059" s="0" t="s">
        <v>125</v>
      </c>
      <c r="C1059" s="0" t="s">
        <v>309</v>
      </c>
      <c r="D1059" s="0" t="s">
        <v>4623</v>
      </c>
      <c r="E1059" s="0" t="n">
        <v>2019</v>
      </c>
      <c r="H1059" s="0" t="n">
        <v>1</v>
      </c>
      <c r="I1059" s="0" t="n">
        <v>225</v>
      </c>
      <c r="J1059" s="0" t="s">
        <v>290</v>
      </c>
      <c r="K1059" s="0" t="s">
        <v>298</v>
      </c>
      <c r="L1059" s="0" t="s">
        <v>270</v>
      </c>
      <c r="M1059" s="0" t="s">
        <v>4624</v>
      </c>
      <c r="N1059" s="0" t="s">
        <v>4624</v>
      </c>
      <c r="O1059" s="0" t="s">
        <v>4625</v>
      </c>
      <c r="P1059" s="0" t="s">
        <v>4626</v>
      </c>
      <c r="R1059" s="0" t="s">
        <v>284</v>
      </c>
      <c r="S1059" s="0" t="s">
        <v>268</v>
      </c>
      <c r="T1059" s="0" t="s">
        <v>276</v>
      </c>
      <c r="U1059" s="0" t="s">
        <v>277</v>
      </c>
    </row>
    <row r="1060" customFormat="false" ht="15" hidden="false" customHeight="false" outlineLevel="0" collapsed="false">
      <c r="A1060" s="0" t="n">
        <v>75</v>
      </c>
      <c r="B1060" s="0" t="s">
        <v>126</v>
      </c>
      <c r="C1060" s="0" t="s">
        <v>56</v>
      </c>
      <c r="D1060" s="0" t="s">
        <v>4627</v>
      </c>
      <c r="E1060" s="0" t="n">
        <v>2025</v>
      </c>
      <c r="H1060" s="0" t="n">
        <v>4</v>
      </c>
      <c r="I1060" s="0" t="n">
        <v>5242</v>
      </c>
      <c r="J1060" s="0" t="s">
        <v>268</v>
      </c>
      <c r="K1060" s="0" t="s">
        <v>4253</v>
      </c>
      <c r="L1060" s="0" t="s">
        <v>1697</v>
      </c>
      <c r="M1060" s="0" t="s">
        <v>4628</v>
      </c>
      <c r="N1060" s="0" t="s">
        <v>4628</v>
      </c>
      <c r="O1060" s="0" t="s">
        <v>4629</v>
      </c>
      <c r="P1060" s="0" t="s">
        <v>4630</v>
      </c>
      <c r="R1060" s="0" t="s">
        <v>275</v>
      </c>
      <c r="S1060" s="0" t="s">
        <v>268</v>
      </c>
      <c r="T1060" s="0" t="s">
        <v>276</v>
      </c>
      <c r="U1060" s="0" t="s">
        <v>277</v>
      </c>
    </row>
    <row r="1061" customFormat="false" ht="15" hidden="false" customHeight="false" outlineLevel="0" collapsed="false">
      <c r="A1061" s="0" t="n">
        <v>75</v>
      </c>
      <c r="B1061" s="0" t="s">
        <v>126</v>
      </c>
      <c r="C1061" s="0" t="s">
        <v>56</v>
      </c>
      <c r="D1061" s="0" t="s">
        <v>4631</v>
      </c>
      <c r="E1061" s="0" t="n">
        <v>2024</v>
      </c>
      <c r="H1061" s="0" t="n">
        <v>4</v>
      </c>
      <c r="I1061" s="0" t="n">
        <v>1653</v>
      </c>
      <c r="J1061" s="0" t="s">
        <v>268</v>
      </c>
      <c r="K1061" s="0" t="s">
        <v>4253</v>
      </c>
      <c r="L1061" s="0" t="s">
        <v>1697</v>
      </c>
      <c r="M1061" s="0" t="s">
        <v>4632</v>
      </c>
      <c r="N1061" s="0" t="s">
        <v>4632</v>
      </c>
      <c r="O1061" s="0" t="s">
        <v>4633</v>
      </c>
      <c r="P1061" s="0" t="s">
        <v>4634</v>
      </c>
      <c r="R1061" s="0" t="s">
        <v>284</v>
      </c>
      <c r="S1061" s="0" t="s">
        <v>290</v>
      </c>
      <c r="T1061" s="0" t="s">
        <v>276</v>
      </c>
      <c r="U1061" s="0" t="s">
        <v>277</v>
      </c>
    </row>
    <row r="1062" customFormat="false" ht="15" hidden="false" customHeight="false" outlineLevel="0" collapsed="false">
      <c r="A1062" s="0" t="n">
        <v>75</v>
      </c>
      <c r="B1062" s="0" t="s">
        <v>126</v>
      </c>
      <c r="C1062" s="0" t="s">
        <v>56</v>
      </c>
      <c r="D1062" s="0" t="s">
        <v>4635</v>
      </c>
      <c r="E1062" s="0" t="n">
        <v>2019</v>
      </c>
      <c r="H1062" s="0" t="n">
        <v>6</v>
      </c>
      <c r="I1062" s="0" t="n">
        <v>1718</v>
      </c>
      <c r="J1062" s="0" t="s">
        <v>268</v>
      </c>
      <c r="K1062" s="0" t="s">
        <v>298</v>
      </c>
      <c r="L1062" s="0" t="s">
        <v>270</v>
      </c>
      <c r="M1062" s="0" t="s">
        <v>4636</v>
      </c>
      <c r="N1062" s="0" t="s">
        <v>4636</v>
      </c>
      <c r="O1062" s="0" t="s">
        <v>4637</v>
      </c>
      <c r="P1062" s="0" t="s">
        <v>4638</v>
      </c>
      <c r="R1062" s="0" t="s">
        <v>284</v>
      </c>
      <c r="S1062" s="0" t="s">
        <v>290</v>
      </c>
      <c r="T1062" s="0" t="s">
        <v>276</v>
      </c>
      <c r="U1062" s="0" t="s">
        <v>277</v>
      </c>
    </row>
    <row r="1063" customFormat="false" ht="15" hidden="false" customHeight="false" outlineLevel="0" collapsed="false">
      <c r="A1063" s="0" t="n">
        <v>75</v>
      </c>
      <c r="B1063" s="0" t="s">
        <v>126</v>
      </c>
      <c r="C1063" s="0" t="s">
        <v>91</v>
      </c>
      <c r="D1063" s="0" t="s">
        <v>4639</v>
      </c>
      <c r="E1063" s="0" t="n">
        <v>2024</v>
      </c>
      <c r="H1063" s="0" t="n">
        <v>20</v>
      </c>
      <c r="I1063" s="0" t="n">
        <v>23249</v>
      </c>
      <c r="J1063" s="0" t="s">
        <v>268</v>
      </c>
      <c r="K1063" s="0" t="s">
        <v>4253</v>
      </c>
      <c r="L1063" s="0" t="s">
        <v>1697</v>
      </c>
      <c r="M1063" s="0" t="s">
        <v>4640</v>
      </c>
      <c r="N1063" s="0" t="s">
        <v>4640</v>
      </c>
      <c r="O1063" s="0" t="s">
        <v>4641</v>
      </c>
      <c r="P1063" s="0" t="s">
        <v>4642</v>
      </c>
      <c r="R1063" s="0" t="s">
        <v>284</v>
      </c>
      <c r="S1063" s="0" t="s">
        <v>268</v>
      </c>
      <c r="T1063" s="0" t="s">
        <v>276</v>
      </c>
      <c r="U1063" s="0" t="s">
        <v>277</v>
      </c>
    </row>
    <row r="1064" customFormat="false" ht="15" hidden="false" customHeight="false" outlineLevel="0" collapsed="false">
      <c r="A1064" s="0" t="n">
        <v>75</v>
      </c>
      <c r="B1064" s="0" t="s">
        <v>126</v>
      </c>
      <c r="C1064" s="0" t="s">
        <v>309</v>
      </c>
      <c r="D1064" s="0" t="s">
        <v>4643</v>
      </c>
      <c r="E1064" s="0" t="n">
        <v>2025</v>
      </c>
      <c r="H1064" s="0" t="n">
        <v>1</v>
      </c>
      <c r="I1064" s="0" t="n">
        <v>17312</v>
      </c>
      <c r="J1064" s="0" t="s">
        <v>290</v>
      </c>
      <c r="K1064" s="0" t="s">
        <v>4253</v>
      </c>
      <c r="L1064" s="0" t="s">
        <v>1697</v>
      </c>
      <c r="M1064" s="0" t="s">
        <v>4644</v>
      </c>
      <c r="N1064" s="0" t="s">
        <v>4644</v>
      </c>
      <c r="O1064" s="0" t="s">
        <v>4645</v>
      </c>
      <c r="P1064" s="0" t="s">
        <v>4646</v>
      </c>
      <c r="R1064" s="0" t="s">
        <v>275</v>
      </c>
      <c r="S1064" s="0" t="s">
        <v>268</v>
      </c>
      <c r="T1064" s="0" t="s">
        <v>276</v>
      </c>
      <c r="U1064" s="0" t="s">
        <v>277</v>
      </c>
    </row>
    <row r="1065" customFormat="false" ht="15" hidden="false" customHeight="false" outlineLevel="0" collapsed="false">
      <c r="A1065" s="0" t="n">
        <v>75</v>
      </c>
      <c r="B1065" s="0" t="s">
        <v>126</v>
      </c>
      <c r="C1065" s="0" t="s">
        <v>309</v>
      </c>
      <c r="D1065" s="0" t="s">
        <v>4647</v>
      </c>
      <c r="E1065" s="0" t="n">
        <v>2019</v>
      </c>
      <c r="H1065" s="0" t="n">
        <v>1</v>
      </c>
      <c r="I1065" s="0" t="n">
        <v>64</v>
      </c>
      <c r="J1065" s="0" t="s">
        <v>290</v>
      </c>
      <c r="K1065" s="0" t="s">
        <v>298</v>
      </c>
      <c r="L1065" s="0" t="s">
        <v>270</v>
      </c>
      <c r="M1065" s="0" t="s">
        <v>4648</v>
      </c>
      <c r="N1065" s="0" t="s">
        <v>4648</v>
      </c>
      <c r="O1065" s="0" t="s">
        <v>4649</v>
      </c>
      <c r="P1065" s="0" t="s">
        <v>4650</v>
      </c>
      <c r="R1065" s="0" t="s">
        <v>284</v>
      </c>
      <c r="S1065" s="0" t="s">
        <v>290</v>
      </c>
      <c r="T1065" s="0" t="s">
        <v>276</v>
      </c>
      <c r="U1065" s="0" t="s">
        <v>277</v>
      </c>
    </row>
    <row r="1066" customFormat="false" ht="15" hidden="false" customHeight="false" outlineLevel="0" collapsed="false">
      <c r="A1066" s="0" t="n">
        <v>75</v>
      </c>
      <c r="B1066" s="0" t="s">
        <v>126</v>
      </c>
      <c r="C1066" s="0" t="s">
        <v>266</v>
      </c>
      <c r="D1066" s="0" t="s">
        <v>4651</v>
      </c>
      <c r="E1066" s="0" t="n">
        <v>2026</v>
      </c>
      <c r="H1066" s="0" t="n">
        <v>1</v>
      </c>
      <c r="I1066" s="0" t="n">
        <v>2677</v>
      </c>
      <c r="J1066" s="0" t="s">
        <v>268</v>
      </c>
      <c r="K1066" s="0" t="s">
        <v>4253</v>
      </c>
      <c r="L1066" s="0" t="s">
        <v>1697</v>
      </c>
      <c r="M1066" s="0" t="s">
        <v>4652</v>
      </c>
      <c r="N1066" s="0" t="s">
        <v>4652</v>
      </c>
      <c r="O1066" s="0" t="s">
        <v>4653</v>
      </c>
      <c r="P1066" s="0" t="s">
        <v>4654</v>
      </c>
      <c r="R1066" s="0" t="s">
        <v>275</v>
      </c>
      <c r="S1066" s="0" t="s">
        <v>268</v>
      </c>
      <c r="T1066" s="0" t="s">
        <v>276</v>
      </c>
      <c r="U1066" s="0" t="s">
        <v>277</v>
      </c>
    </row>
    <row r="1067" customFormat="false" ht="15" hidden="false" customHeight="false" outlineLevel="0" collapsed="false">
      <c r="A1067" s="0" t="n">
        <v>75</v>
      </c>
      <c r="B1067" s="0" t="s">
        <v>126</v>
      </c>
      <c r="C1067" s="0" t="s">
        <v>266</v>
      </c>
      <c r="D1067" s="0" t="s">
        <v>4655</v>
      </c>
      <c r="E1067" s="0" t="n">
        <v>2026</v>
      </c>
      <c r="H1067" s="0" t="n">
        <v>1</v>
      </c>
      <c r="I1067" s="0" t="n">
        <v>790</v>
      </c>
      <c r="J1067" s="0" t="s">
        <v>268</v>
      </c>
      <c r="K1067" s="0" t="s">
        <v>4253</v>
      </c>
      <c r="L1067" s="0" t="s">
        <v>1697</v>
      </c>
      <c r="M1067" s="0" t="s">
        <v>4656</v>
      </c>
      <c r="N1067" s="0" t="s">
        <v>4656</v>
      </c>
      <c r="O1067" s="0" t="s">
        <v>4657</v>
      </c>
      <c r="P1067" s="0" t="s">
        <v>4658</v>
      </c>
      <c r="R1067" s="0" t="s">
        <v>275</v>
      </c>
      <c r="S1067" s="0" t="s">
        <v>290</v>
      </c>
      <c r="T1067" s="0" t="s">
        <v>276</v>
      </c>
      <c r="U1067" s="0" t="s">
        <v>277</v>
      </c>
    </row>
    <row r="1068" customFormat="false" ht="15" hidden="false" customHeight="false" outlineLevel="0" collapsed="false">
      <c r="A1068" s="0" t="n">
        <v>75</v>
      </c>
      <c r="B1068" s="0" t="s">
        <v>126</v>
      </c>
      <c r="C1068" s="0" t="s">
        <v>530</v>
      </c>
      <c r="D1068" s="0" t="s">
        <v>4659</v>
      </c>
      <c r="E1068" s="0" t="n">
        <v>2024</v>
      </c>
      <c r="H1068" s="0" t="n">
        <v>9</v>
      </c>
      <c r="I1068" s="0" t="n">
        <v>25227</v>
      </c>
      <c r="J1068" s="0" t="s">
        <v>268</v>
      </c>
      <c r="K1068" s="0" t="s">
        <v>4253</v>
      </c>
      <c r="L1068" s="0" t="s">
        <v>1697</v>
      </c>
      <c r="M1068" s="0" t="s">
        <v>4660</v>
      </c>
      <c r="N1068" s="0" t="s">
        <v>4660</v>
      </c>
      <c r="O1068" s="0" t="s">
        <v>4661</v>
      </c>
      <c r="P1068" s="0" t="s">
        <v>4662</v>
      </c>
      <c r="R1068" s="0" t="s">
        <v>284</v>
      </c>
      <c r="S1068" s="0" t="s">
        <v>268</v>
      </c>
      <c r="T1068" s="0" t="s">
        <v>276</v>
      </c>
      <c r="U1068" s="0" t="s">
        <v>277</v>
      </c>
    </row>
    <row r="1069" customFormat="false" ht="15" hidden="false" customHeight="false" outlineLevel="0" collapsed="false">
      <c r="A1069" s="0" t="n">
        <v>75</v>
      </c>
      <c r="B1069" s="0" t="s">
        <v>126</v>
      </c>
      <c r="C1069" s="0" t="s">
        <v>887</v>
      </c>
      <c r="D1069" s="0" t="s">
        <v>4663</v>
      </c>
      <c r="E1069" s="0" t="n">
        <v>2023</v>
      </c>
      <c r="H1069" s="0" t="n">
        <v>16</v>
      </c>
      <c r="I1069" s="0" t="n">
        <v>40956</v>
      </c>
      <c r="J1069" s="0" t="s">
        <v>268</v>
      </c>
      <c r="K1069" s="0" t="s">
        <v>286</v>
      </c>
      <c r="L1069" s="0" t="s">
        <v>270</v>
      </c>
      <c r="M1069" s="0" t="s">
        <v>4664</v>
      </c>
      <c r="N1069" s="0" t="s">
        <v>4664</v>
      </c>
      <c r="O1069" s="0" t="s">
        <v>4665</v>
      </c>
      <c r="P1069" s="0" t="s">
        <v>4666</v>
      </c>
      <c r="R1069" s="0" t="s">
        <v>284</v>
      </c>
      <c r="S1069" s="0" t="s">
        <v>268</v>
      </c>
      <c r="T1069" s="0" t="s">
        <v>276</v>
      </c>
      <c r="U1069" s="0" t="s">
        <v>277</v>
      </c>
    </row>
    <row r="1070" customFormat="false" ht="15" hidden="false" customHeight="false" outlineLevel="0" collapsed="false">
      <c r="A1070" s="0" t="n">
        <v>75</v>
      </c>
      <c r="B1070" s="0" t="s">
        <v>126</v>
      </c>
      <c r="C1070" s="0" t="s">
        <v>489</v>
      </c>
      <c r="D1070" s="0" t="s">
        <v>4667</v>
      </c>
      <c r="E1070" s="0" t="n">
        <v>2024</v>
      </c>
      <c r="H1070" s="0" t="n">
        <v>12</v>
      </c>
      <c r="I1070" s="0" t="n">
        <v>2795</v>
      </c>
      <c r="J1070" s="0" t="s">
        <v>268</v>
      </c>
      <c r="K1070" s="0" t="s">
        <v>4253</v>
      </c>
      <c r="L1070" s="0" t="s">
        <v>1697</v>
      </c>
      <c r="M1070" s="0" t="s">
        <v>4668</v>
      </c>
      <c r="N1070" s="0" t="s">
        <v>4668</v>
      </c>
      <c r="O1070" s="0" t="s">
        <v>4669</v>
      </c>
      <c r="P1070" s="0" t="s">
        <v>4670</v>
      </c>
      <c r="R1070" s="0" t="s">
        <v>284</v>
      </c>
      <c r="S1070" s="0" t="s">
        <v>268</v>
      </c>
      <c r="T1070" s="0" t="s">
        <v>276</v>
      </c>
      <c r="U1070" s="0" t="s">
        <v>277</v>
      </c>
    </row>
    <row r="1071" customFormat="false" ht="15" hidden="false" customHeight="false" outlineLevel="0" collapsed="false">
      <c r="A1071" s="0" t="n">
        <v>75</v>
      </c>
      <c r="B1071" s="0" t="s">
        <v>126</v>
      </c>
      <c r="C1071" s="0" t="s">
        <v>489</v>
      </c>
      <c r="D1071" s="0" t="s">
        <v>4671</v>
      </c>
      <c r="E1071" s="0" t="n">
        <v>2022</v>
      </c>
      <c r="H1071" s="0" t="n">
        <v>9</v>
      </c>
      <c r="I1071" s="0" t="n">
        <v>5984</v>
      </c>
      <c r="J1071" s="0" t="s">
        <v>268</v>
      </c>
      <c r="K1071" s="0" t="s">
        <v>4253</v>
      </c>
      <c r="L1071" s="0" t="s">
        <v>1697</v>
      </c>
      <c r="M1071" s="0" t="s">
        <v>4672</v>
      </c>
      <c r="N1071" s="0" t="s">
        <v>4672</v>
      </c>
      <c r="O1071" s="0" t="s">
        <v>4673</v>
      </c>
      <c r="P1071" s="0" t="s">
        <v>4674</v>
      </c>
      <c r="R1071" s="0" t="s">
        <v>284</v>
      </c>
      <c r="S1071" s="0" t="s">
        <v>290</v>
      </c>
      <c r="T1071" s="0" t="s">
        <v>276</v>
      </c>
      <c r="U1071" s="0" t="s">
        <v>277</v>
      </c>
    </row>
    <row r="1072" customFormat="false" ht="15" hidden="false" customHeight="false" outlineLevel="0" collapsed="false">
      <c r="A1072" s="0" t="n">
        <v>75</v>
      </c>
      <c r="B1072" s="0" t="s">
        <v>126</v>
      </c>
      <c r="C1072" s="0" t="s">
        <v>500</v>
      </c>
      <c r="D1072" s="0" t="s">
        <v>4675</v>
      </c>
      <c r="E1072" s="0" t="n">
        <v>2017</v>
      </c>
      <c r="H1072" s="0" t="n">
        <v>1</v>
      </c>
      <c r="I1072" s="0" t="n">
        <v>62</v>
      </c>
      <c r="J1072" s="0" t="s">
        <v>290</v>
      </c>
      <c r="K1072" s="0" t="s">
        <v>4253</v>
      </c>
      <c r="L1072" s="0" t="s">
        <v>1697</v>
      </c>
      <c r="M1072" s="0" t="s">
        <v>4676</v>
      </c>
      <c r="N1072" s="0" t="s">
        <v>4676</v>
      </c>
      <c r="O1072" s="0" t="s">
        <v>4677</v>
      </c>
      <c r="P1072" s="0" t="s">
        <v>4678</v>
      </c>
      <c r="R1072" s="0" t="s">
        <v>284</v>
      </c>
      <c r="S1072" s="0" t="s">
        <v>268</v>
      </c>
      <c r="T1072" s="0" t="s">
        <v>276</v>
      </c>
      <c r="U1072" s="0" t="s">
        <v>277</v>
      </c>
    </row>
    <row r="1073" customFormat="false" ht="15" hidden="false" customHeight="false" outlineLevel="0" collapsed="false">
      <c r="A1073" s="0" t="n">
        <v>76</v>
      </c>
      <c r="B1073" s="0" t="s">
        <v>127</v>
      </c>
      <c r="C1073" s="0" t="s">
        <v>56</v>
      </c>
      <c r="D1073" s="0" t="s">
        <v>4679</v>
      </c>
      <c r="E1073" s="0" t="n">
        <v>2020</v>
      </c>
      <c r="H1073" s="0" t="n">
        <v>17</v>
      </c>
      <c r="I1073" s="0" t="n">
        <v>4507</v>
      </c>
      <c r="J1073" s="0" t="s">
        <v>290</v>
      </c>
      <c r="K1073" s="0" t="s">
        <v>298</v>
      </c>
      <c r="L1073" s="0" t="s">
        <v>270</v>
      </c>
      <c r="M1073" s="0" t="s">
        <v>4680</v>
      </c>
      <c r="N1073" s="0" t="s">
        <v>4680</v>
      </c>
      <c r="O1073" s="0" t="s">
        <v>4681</v>
      </c>
      <c r="P1073" s="0" t="s">
        <v>4682</v>
      </c>
      <c r="R1073" s="0" t="s">
        <v>284</v>
      </c>
      <c r="S1073" s="0" t="s">
        <v>268</v>
      </c>
      <c r="T1073" s="0" t="s">
        <v>276</v>
      </c>
      <c r="U1073" s="0" t="s">
        <v>277</v>
      </c>
    </row>
    <row r="1074" customFormat="false" ht="15" hidden="false" customHeight="false" outlineLevel="0" collapsed="false">
      <c r="A1074" s="0" t="n">
        <v>76</v>
      </c>
      <c r="B1074" s="0" t="s">
        <v>127</v>
      </c>
      <c r="C1074" s="0" t="s">
        <v>309</v>
      </c>
      <c r="D1074" s="0" t="s">
        <v>4683</v>
      </c>
      <c r="E1074" s="0" t="n">
        <v>2018</v>
      </c>
      <c r="H1074" s="0" t="n">
        <v>2</v>
      </c>
      <c r="I1074" s="0" t="n">
        <v>1202</v>
      </c>
      <c r="J1074" s="0" t="s">
        <v>268</v>
      </c>
      <c r="K1074" s="0" t="s">
        <v>298</v>
      </c>
      <c r="L1074" s="0" t="s">
        <v>270</v>
      </c>
      <c r="M1074" s="0" t="s">
        <v>4684</v>
      </c>
      <c r="N1074" s="0" t="s">
        <v>4684</v>
      </c>
      <c r="O1074" s="0" t="s">
        <v>4685</v>
      </c>
      <c r="P1074" s="0" t="s">
        <v>4686</v>
      </c>
      <c r="R1074" s="0" t="s">
        <v>284</v>
      </c>
      <c r="S1074" s="0" t="s">
        <v>268</v>
      </c>
      <c r="T1074" s="0" t="s">
        <v>276</v>
      </c>
      <c r="U1074" s="0" t="s">
        <v>277</v>
      </c>
    </row>
    <row r="1075" customFormat="false" ht="15" hidden="false" customHeight="false" outlineLevel="0" collapsed="false">
      <c r="A1075" s="0" t="n">
        <v>77</v>
      </c>
      <c r="B1075" s="0" t="s">
        <v>128</v>
      </c>
      <c r="C1075" s="0" t="s">
        <v>309</v>
      </c>
      <c r="D1075" s="0" t="s">
        <v>4687</v>
      </c>
      <c r="E1075" s="0" t="n">
        <v>2019</v>
      </c>
      <c r="H1075" s="0" t="n">
        <v>1</v>
      </c>
      <c r="I1075" s="0" t="n">
        <v>977</v>
      </c>
      <c r="J1075" s="0" t="s">
        <v>268</v>
      </c>
      <c r="K1075" s="0" t="s">
        <v>298</v>
      </c>
      <c r="L1075" s="0" t="s">
        <v>270</v>
      </c>
      <c r="M1075" s="0" t="s">
        <v>4688</v>
      </c>
      <c r="N1075" s="0" t="s">
        <v>4688</v>
      </c>
      <c r="O1075" s="0" t="s">
        <v>4689</v>
      </c>
      <c r="P1075" s="0" t="s">
        <v>4690</v>
      </c>
      <c r="R1075" s="0" t="s">
        <v>284</v>
      </c>
      <c r="S1075" s="0" t="s">
        <v>268</v>
      </c>
      <c r="T1075" s="0" t="s">
        <v>276</v>
      </c>
      <c r="U1075" s="0" t="s">
        <v>277</v>
      </c>
    </row>
    <row r="1076" customFormat="false" ht="15" hidden="false" customHeight="false" outlineLevel="0" collapsed="false">
      <c r="A1076" s="0" t="n">
        <v>77</v>
      </c>
      <c r="B1076" s="0" t="s">
        <v>128</v>
      </c>
      <c r="C1076" s="0" t="s">
        <v>887</v>
      </c>
      <c r="D1076" s="0" t="s">
        <v>4691</v>
      </c>
      <c r="E1076" s="0" t="n">
        <v>2024</v>
      </c>
      <c r="H1076" s="0" t="n">
        <v>9</v>
      </c>
      <c r="I1076" s="0" t="n">
        <v>4846</v>
      </c>
      <c r="J1076" s="0" t="s">
        <v>268</v>
      </c>
      <c r="K1076" s="0" t="s">
        <v>286</v>
      </c>
      <c r="L1076" s="0" t="s">
        <v>270</v>
      </c>
      <c r="M1076" s="0" t="s">
        <v>4692</v>
      </c>
      <c r="N1076" s="0" t="s">
        <v>4692</v>
      </c>
      <c r="O1076" s="0" t="s">
        <v>4693</v>
      </c>
      <c r="P1076" s="0" t="s">
        <v>4694</v>
      </c>
      <c r="R1076" s="0" t="s">
        <v>284</v>
      </c>
      <c r="S1076" s="0" t="s">
        <v>268</v>
      </c>
      <c r="T1076" s="0" t="s">
        <v>276</v>
      </c>
      <c r="U1076" s="0" t="s">
        <v>277</v>
      </c>
    </row>
    <row r="1077" customFormat="false" ht="15" hidden="false" customHeight="false" outlineLevel="0" collapsed="false">
      <c r="A1077" s="0" t="n">
        <v>77</v>
      </c>
      <c r="B1077" s="0" t="s">
        <v>128</v>
      </c>
      <c r="C1077" s="0" t="s">
        <v>489</v>
      </c>
      <c r="D1077" s="0" t="s">
        <v>4695</v>
      </c>
      <c r="E1077" s="0" t="n">
        <v>2025</v>
      </c>
      <c r="H1077" s="0" t="n">
        <v>21</v>
      </c>
      <c r="I1077" s="0" t="n">
        <v>10617</v>
      </c>
      <c r="J1077" s="0" t="s">
        <v>268</v>
      </c>
      <c r="K1077" s="0" t="s">
        <v>298</v>
      </c>
      <c r="L1077" s="0" t="s">
        <v>270</v>
      </c>
      <c r="M1077" s="0" t="s">
        <v>4696</v>
      </c>
      <c r="N1077" s="0" t="s">
        <v>4696</v>
      </c>
      <c r="O1077" s="0" t="s">
        <v>4697</v>
      </c>
      <c r="P1077" s="0" t="s">
        <v>4698</v>
      </c>
      <c r="R1077" s="0" t="s">
        <v>275</v>
      </c>
      <c r="S1077" s="0" t="s">
        <v>268</v>
      </c>
      <c r="T1077" s="0" t="s">
        <v>276</v>
      </c>
      <c r="U1077" s="0" t="s">
        <v>277</v>
      </c>
    </row>
    <row r="1078" customFormat="false" ht="15" hidden="false" customHeight="false" outlineLevel="0" collapsed="false">
      <c r="A1078" s="0" t="n">
        <v>78</v>
      </c>
      <c r="B1078" s="0" t="s">
        <v>129</v>
      </c>
      <c r="C1078" s="0" t="s">
        <v>56</v>
      </c>
      <c r="D1078" s="0" t="s">
        <v>4699</v>
      </c>
      <c r="E1078" s="0" t="n">
        <v>2025</v>
      </c>
      <c r="F1078" s="0" t="s">
        <v>1694</v>
      </c>
      <c r="G1078" s="0" t="s">
        <v>1695</v>
      </c>
      <c r="H1078" s="0" t="n">
        <v>0</v>
      </c>
      <c r="I1078" s="0" t="n">
        <v>1596</v>
      </c>
      <c r="J1078" s="0" t="s">
        <v>290</v>
      </c>
      <c r="K1078" s="0" t="s">
        <v>1696</v>
      </c>
      <c r="L1078" s="0" t="s">
        <v>1697</v>
      </c>
      <c r="M1078" s="0" t="s">
        <v>4700</v>
      </c>
      <c r="N1078" s="0" t="s">
        <v>4700</v>
      </c>
      <c r="O1078" s="0" t="s">
        <v>4701</v>
      </c>
      <c r="P1078" s="0" t="s">
        <v>4702</v>
      </c>
      <c r="R1078" s="0" t="s">
        <v>275</v>
      </c>
      <c r="S1078" s="0" t="s">
        <v>290</v>
      </c>
      <c r="T1078" s="0" t="s">
        <v>276</v>
      </c>
      <c r="U1078" s="0" t="s">
        <v>277</v>
      </c>
    </row>
    <row r="1079" customFormat="false" ht="15" hidden="false" customHeight="false" outlineLevel="0" collapsed="false">
      <c r="A1079" s="0" t="n">
        <v>78</v>
      </c>
      <c r="B1079" s="0" t="s">
        <v>129</v>
      </c>
      <c r="C1079" s="0" t="s">
        <v>56</v>
      </c>
      <c r="D1079" s="0" t="s">
        <v>4703</v>
      </c>
      <c r="E1079" s="0" t="n">
        <v>2025</v>
      </c>
      <c r="F1079" s="0" t="s">
        <v>1694</v>
      </c>
      <c r="G1079" s="0" t="s">
        <v>1695</v>
      </c>
      <c r="H1079" s="0" t="n">
        <v>12</v>
      </c>
      <c r="I1079" s="0" t="n">
        <v>1932</v>
      </c>
      <c r="J1079" s="0" t="s">
        <v>268</v>
      </c>
      <c r="K1079" s="0" t="s">
        <v>1696</v>
      </c>
      <c r="L1079" s="0" t="s">
        <v>1697</v>
      </c>
      <c r="M1079" s="0" t="s">
        <v>4704</v>
      </c>
      <c r="N1079" s="0" t="s">
        <v>4704</v>
      </c>
      <c r="O1079" s="0" t="s">
        <v>4705</v>
      </c>
      <c r="P1079" s="0" t="s">
        <v>4706</v>
      </c>
      <c r="R1079" s="0" t="s">
        <v>275</v>
      </c>
      <c r="S1079" s="0" t="s">
        <v>268</v>
      </c>
      <c r="T1079" s="0" t="s">
        <v>276</v>
      </c>
      <c r="U1079" s="0" t="s">
        <v>277</v>
      </c>
    </row>
    <row r="1080" customFormat="false" ht="15" hidden="false" customHeight="false" outlineLevel="0" collapsed="false">
      <c r="A1080" s="0" t="n">
        <v>78</v>
      </c>
      <c r="B1080" s="0" t="s">
        <v>129</v>
      </c>
      <c r="C1080" s="0" t="s">
        <v>56</v>
      </c>
      <c r="D1080" s="0" t="s">
        <v>4707</v>
      </c>
      <c r="E1080" s="0" t="n">
        <v>2022</v>
      </c>
      <c r="F1080" s="0" t="s">
        <v>1790</v>
      </c>
      <c r="G1080" s="0" t="s">
        <v>1791</v>
      </c>
      <c r="H1080" s="0" t="n">
        <v>7</v>
      </c>
      <c r="I1080" s="0" t="n">
        <v>1913</v>
      </c>
      <c r="J1080" s="0" t="s">
        <v>268</v>
      </c>
      <c r="K1080" s="0" t="s">
        <v>1696</v>
      </c>
      <c r="L1080" s="0" t="s">
        <v>1697</v>
      </c>
      <c r="M1080" s="0" t="s">
        <v>4708</v>
      </c>
      <c r="N1080" s="0" t="s">
        <v>4708</v>
      </c>
      <c r="O1080" s="0" t="s">
        <v>4709</v>
      </c>
      <c r="P1080" s="0" t="s">
        <v>4710</v>
      </c>
      <c r="R1080" s="0" t="s">
        <v>284</v>
      </c>
      <c r="S1080" s="0" t="s">
        <v>290</v>
      </c>
      <c r="T1080" s="0" t="s">
        <v>276</v>
      </c>
      <c r="U1080" s="0" t="s">
        <v>277</v>
      </c>
    </row>
    <row r="1081" customFormat="false" ht="15" hidden="false" customHeight="false" outlineLevel="0" collapsed="false">
      <c r="A1081" s="0" t="n">
        <v>78</v>
      </c>
      <c r="B1081" s="0" t="s">
        <v>129</v>
      </c>
      <c r="C1081" s="0" t="s">
        <v>56</v>
      </c>
      <c r="D1081" s="0" t="s">
        <v>4711</v>
      </c>
      <c r="E1081" s="0" t="n">
        <v>2019</v>
      </c>
      <c r="F1081" s="0" t="s">
        <v>1708</v>
      </c>
      <c r="G1081" s="0" t="s">
        <v>1709</v>
      </c>
      <c r="H1081" s="0" t="n">
        <v>4</v>
      </c>
      <c r="I1081" s="0" t="n">
        <v>607</v>
      </c>
      <c r="J1081" s="0" t="s">
        <v>268</v>
      </c>
      <c r="K1081" s="0" t="s">
        <v>1696</v>
      </c>
      <c r="L1081" s="0" t="s">
        <v>1697</v>
      </c>
      <c r="M1081" s="0" t="s">
        <v>4712</v>
      </c>
      <c r="N1081" s="0" t="s">
        <v>4712</v>
      </c>
      <c r="O1081" s="0" t="s">
        <v>4713</v>
      </c>
      <c r="P1081" s="0" t="s">
        <v>4714</v>
      </c>
      <c r="R1081" s="0" t="s">
        <v>284</v>
      </c>
      <c r="S1081" s="0" t="s">
        <v>290</v>
      </c>
      <c r="T1081" s="0" t="s">
        <v>276</v>
      </c>
      <c r="U1081" s="0" t="s">
        <v>277</v>
      </c>
    </row>
    <row r="1082" customFormat="false" ht="15" hidden="false" customHeight="false" outlineLevel="0" collapsed="false">
      <c r="A1082" s="0" t="n">
        <v>78</v>
      </c>
      <c r="B1082" s="0" t="s">
        <v>129</v>
      </c>
      <c r="C1082" s="0" t="s">
        <v>56</v>
      </c>
      <c r="D1082" s="0" t="s">
        <v>4715</v>
      </c>
      <c r="E1082" s="0" t="n">
        <v>2018</v>
      </c>
      <c r="F1082" s="0" t="s">
        <v>4716</v>
      </c>
      <c r="G1082" s="0" t="s">
        <v>1719</v>
      </c>
      <c r="H1082" s="0" t="n">
        <v>2</v>
      </c>
      <c r="I1082" s="0" t="n">
        <v>189</v>
      </c>
      <c r="J1082" s="0" t="s">
        <v>268</v>
      </c>
      <c r="K1082" s="0" t="s">
        <v>1696</v>
      </c>
      <c r="L1082" s="0" t="s">
        <v>1697</v>
      </c>
      <c r="M1082" s="0" t="s">
        <v>4717</v>
      </c>
      <c r="N1082" s="0" t="s">
        <v>4717</v>
      </c>
      <c r="O1082" s="0" t="s">
        <v>4718</v>
      </c>
      <c r="P1082" s="0" t="s">
        <v>4719</v>
      </c>
      <c r="R1082" s="0" t="s">
        <v>284</v>
      </c>
      <c r="S1082" s="0" t="s">
        <v>290</v>
      </c>
      <c r="T1082" s="0" t="s">
        <v>276</v>
      </c>
      <c r="U1082" s="0" t="s">
        <v>277</v>
      </c>
    </row>
    <row r="1083" customFormat="false" ht="15" hidden="false" customHeight="false" outlineLevel="0" collapsed="false">
      <c r="A1083" s="0" t="n">
        <v>78</v>
      </c>
      <c r="B1083" s="0" t="s">
        <v>129</v>
      </c>
      <c r="C1083" s="0" t="s">
        <v>56</v>
      </c>
      <c r="D1083" s="0" t="s">
        <v>4720</v>
      </c>
      <c r="E1083" s="0" t="n">
        <v>2018</v>
      </c>
      <c r="F1083" s="0" t="s">
        <v>4721</v>
      </c>
      <c r="G1083" s="0" t="s">
        <v>4722</v>
      </c>
      <c r="H1083" s="0" t="n">
        <v>4</v>
      </c>
      <c r="I1083" s="0" t="n">
        <v>303</v>
      </c>
      <c r="J1083" s="0" t="s">
        <v>268</v>
      </c>
      <c r="K1083" s="0" t="s">
        <v>1696</v>
      </c>
      <c r="L1083" s="0" t="s">
        <v>1697</v>
      </c>
      <c r="M1083" s="0" t="s">
        <v>4723</v>
      </c>
      <c r="N1083" s="0" t="s">
        <v>4723</v>
      </c>
      <c r="O1083" s="0" t="s">
        <v>4724</v>
      </c>
      <c r="P1083" s="0" t="s">
        <v>4725</v>
      </c>
      <c r="R1083" s="0" t="s">
        <v>284</v>
      </c>
      <c r="S1083" s="0" t="s">
        <v>290</v>
      </c>
      <c r="T1083" s="0" t="s">
        <v>276</v>
      </c>
      <c r="U1083" s="0" t="s">
        <v>277</v>
      </c>
    </row>
    <row r="1084" customFormat="false" ht="15" hidden="false" customHeight="false" outlineLevel="0" collapsed="false">
      <c r="A1084" s="0" t="n">
        <v>78</v>
      </c>
      <c r="B1084" s="0" t="s">
        <v>129</v>
      </c>
      <c r="C1084" s="0" t="s">
        <v>309</v>
      </c>
      <c r="D1084" s="0" t="s">
        <v>4726</v>
      </c>
      <c r="E1084" s="0" t="n">
        <v>2025</v>
      </c>
      <c r="F1084" s="0" t="s">
        <v>1694</v>
      </c>
      <c r="G1084" s="0" t="s">
        <v>1695</v>
      </c>
      <c r="H1084" s="0" t="n">
        <v>1</v>
      </c>
      <c r="I1084" s="0" t="n">
        <v>602</v>
      </c>
      <c r="J1084" s="0" t="s">
        <v>268</v>
      </c>
      <c r="K1084" s="0" t="s">
        <v>1696</v>
      </c>
      <c r="L1084" s="0" t="s">
        <v>1697</v>
      </c>
      <c r="M1084" s="0" t="s">
        <v>4727</v>
      </c>
      <c r="N1084" s="0" t="s">
        <v>4727</v>
      </c>
      <c r="O1084" s="0" t="s">
        <v>4728</v>
      </c>
      <c r="P1084" s="0" t="s">
        <v>4729</v>
      </c>
      <c r="R1084" s="0" t="s">
        <v>275</v>
      </c>
      <c r="S1084" s="0" t="s">
        <v>268</v>
      </c>
      <c r="T1084" s="0" t="s">
        <v>276</v>
      </c>
      <c r="U1084" s="0" t="s">
        <v>277</v>
      </c>
    </row>
    <row r="1085" customFormat="false" ht="15" hidden="false" customHeight="false" outlineLevel="0" collapsed="false">
      <c r="A1085" s="0" t="n">
        <v>78</v>
      </c>
      <c r="B1085" s="0" t="s">
        <v>129</v>
      </c>
      <c r="C1085" s="0" t="s">
        <v>309</v>
      </c>
      <c r="D1085" s="0" t="s">
        <v>4730</v>
      </c>
      <c r="E1085" s="0" t="n">
        <v>2018</v>
      </c>
      <c r="H1085" s="0" t="n">
        <v>1</v>
      </c>
      <c r="I1085" s="0" t="n">
        <v>931</v>
      </c>
      <c r="J1085" s="0" t="s">
        <v>268</v>
      </c>
      <c r="K1085" s="0" t="s">
        <v>1696</v>
      </c>
      <c r="L1085" s="0" t="s">
        <v>1697</v>
      </c>
      <c r="M1085" s="0" t="s">
        <v>4731</v>
      </c>
      <c r="N1085" s="0" t="s">
        <v>4731</v>
      </c>
      <c r="O1085" s="0" t="s">
        <v>4732</v>
      </c>
      <c r="P1085" s="0" t="s">
        <v>4733</v>
      </c>
      <c r="R1085" s="0" t="s">
        <v>284</v>
      </c>
      <c r="S1085" s="0" t="s">
        <v>290</v>
      </c>
      <c r="T1085" s="0" t="s">
        <v>276</v>
      </c>
      <c r="U1085" s="0" t="s">
        <v>277</v>
      </c>
    </row>
    <row r="1086" customFormat="false" ht="15" hidden="false" customHeight="false" outlineLevel="0" collapsed="false">
      <c r="A1086" s="0" t="n">
        <v>78</v>
      </c>
      <c r="B1086" s="0" t="s">
        <v>129</v>
      </c>
      <c r="C1086" s="0" t="s">
        <v>4734</v>
      </c>
      <c r="D1086" s="0" t="s">
        <v>4735</v>
      </c>
      <c r="E1086" s="0" t="n">
        <v>2020</v>
      </c>
      <c r="H1086" s="0" t="n">
        <v>7</v>
      </c>
      <c r="I1086" s="0" t="n">
        <v>253</v>
      </c>
      <c r="J1086" s="0" t="s">
        <v>268</v>
      </c>
      <c r="K1086" s="0" t="s">
        <v>1696</v>
      </c>
      <c r="L1086" s="0" t="s">
        <v>1697</v>
      </c>
      <c r="M1086" s="0" t="s">
        <v>4736</v>
      </c>
      <c r="N1086" s="0" t="s">
        <v>4736</v>
      </c>
      <c r="O1086" s="0" t="s">
        <v>4737</v>
      </c>
      <c r="P1086" s="0" t="s">
        <v>4738</v>
      </c>
      <c r="R1086" s="0" t="s">
        <v>4734</v>
      </c>
      <c r="S1086" s="0" t="s">
        <v>268</v>
      </c>
      <c r="T1086" s="0" t="s">
        <v>276</v>
      </c>
      <c r="U1086" s="0" t="s">
        <v>277</v>
      </c>
    </row>
    <row r="1087" customFormat="false" ht="15" hidden="false" customHeight="false" outlineLevel="0" collapsed="false">
      <c r="A1087" s="0" t="n">
        <v>79</v>
      </c>
      <c r="B1087" s="0" t="s">
        <v>130</v>
      </c>
      <c r="C1087" s="0" t="s">
        <v>56</v>
      </c>
      <c r="D1087" s="0" t="s">
        <v>4739</v>
      </c>
      <c r="E1087" s="0" t="n">
        <v>2025</v>
      </c>
      <c r="F1087" s="0" t="s">
        <v>1694</v>
      </c>
      <c r="G1087" s="0" t="s">
        <v>1695</v>
      </c>
      <c r="H1087" s="0" t="n">
        <v>9</v>
      </c>
      <c r="I1087" s="0" t="n">
        <v>1526</v>
      </c>
      <c r="J1087" s="0" t="s">
        <v>268</v>
      </c>
      <c r="K1087" s="0" t="s">
        <v>1696</v>
      </c>
      <c r="L1087" s="0" t="s">
        <v>1697</v>
      </c>
      <c r="M1087" s="0" t="s">
        <v>4740</v>
      </c>
      <c r="N1087" s="0" t="s">
        <v>4740</v>
      </c>
      <c r="O1087" s="0" t="s">
        <v>4741</v>
      </c>
      <c r="P1087" s="0" t="s">
        <v>4742</v>
      </c>
      <c r="R1087" s="0" t="s">
        <v>275</v>
      </c>
      <c r="S1087" s="0" t="s">
        <v>268</v>
      </c>
      <c r="T1087" s="0" t="s">
        <v>276</v>
      </c>
      <c r="U1087" s="0" t="s">
        <v>277</v>
      </c>
    </row>
    <row r="1088" customFormat="false" ht="15" hidden="false" customHeight="false" outlineLevel="0" collapsed="false">
      <c r="A1088" s="0" t="n">
        <v>79</v>
      </c>
      <c r="B1088" s="0" t="s">
        <v>130</v>
      </c>
      <c r="C1088" s="0" t="s">
        <v>56</v>
      </c>
      <c r="D1088" s="0" t="s">
        <v>4743</v>
      </c>
      <c r="E1088" s="0" t="n">
        <v>2021</v>
      </c>
      <c r="F1088" s="0" t="s">
        <v>1702</v>
      </c>
      <c r="G1088" s="0" t="s">
        <v>1703</v>
      </c>
      <c r="H1088" s="0" t="n">
        <v>3</v>
      </c>
      <c r="I1088" s="0" t="n">
        <v>708</v>
      </c>
      <c r="J1088" s="0" t="s">
        <v>268</v>
      </c>
      <c r="K1088" s="0" t="s">
        <v>1696</v>
      </c>
      <c r="L1088" s="0" t="s">
        <v>1697</v>
      </c>
      <c r="M1088" s="0" t="s">
        <v>4744</v>
      </c>
      <c r="N1088" s="0" t="s">
        <v>4744</v>
      </c>
      <c r="O1088" s="0" t="s">
        <v>4745</v>
      </c>
      <c r="P1088" s="0" t="s">
        <v>4746</v>
      </c>
      <c r="R1088" s="0" t="s">
        <v>284</v>
      </c>
      <c r="S1088" s="0" t="s">
        <v>290</v>
      </c>
      <c r="T1088" s="0" t="s">
        <v>276</v>
      </c>
      <c r="U1088" s="0" t="s">
        <v>277</v>
      </c>
    </row>
    <row r="1089" customFormat="false" ht="15" hidden="false" customHeight="false" outlineLevel="0" collapsed="false">
      <c r="A1089" s="0" t="n">
        <v>79</v>
      </c>
      <c r="B1089" s="0" t="s">
        <v>130</v>
      </c>
      <c r="C1089" s="0" t="s">
        <v>56</v>
      </c>
      <c r="D1089" s="0" t="s">
        <v>4747</v>
      </c>
      <c r="E1089" s="0" t="n">
        <v>2019</v>
      </c>
      <c r="F1089" s="0" t="s">
        <v>1708</v>
      </c>
      <c r="G1089" s="0" t="s">
        <v>1709</v>
      </c>
      <c r="H1089" s="0" t="n">
        <v>3</v>
      </c>
      <c r="I1089" s="0" t="n">
        <v>1261</v>
      </c>
      <c r="J1089" s="0" t="s">
        <v>268</v>
      </c>
      <c r="K1089" s="0" t="s">
        <v>1696</v>
      </c>
      <c r="L1089" s="0" t="s">
        <v>1697</v>
      </c>
      <c r="M1089" s="0" t="s">
        <v>4748</v>
      </c>
      <c r="N1089" s="0" t="s">
        <v>4748</v>
      </c>
      <c r="O1089" s="0" t="s">
        <v>4749</v>
      </c>
      <c r="P1089" s="0" t="s">
        <v>4750</v>
      </c>
      <c r="R1089" s="0" t="s">
        <v>284</v>
      </c>
      <c r="S1089" s="0" t="s">
        <v>290</v>
      </c>
      <c r="T1089" s="0" t="s">
        <v>276</v>
      </c>
      <c r="U1089" s="0" t="s">
        <v>277</v>
      </c>
    </row>
    <row r="1090" customFormat="false" ht="15" hidden="false" customHeight="false" outlineLevel="0" collapsed="false">
      <c r="A1090" s="0" t="n">
        <v>79</v>
      </c>
      <c r="B1090" s="0" t="s">
        <v>130</v>
      </c>
      <c r="C1090" s="0" t="s">
        <v>56</v>
      </c>
      <c r="D1090" s="0" t="s">
        <v>4751</v>
      </c>
      <c r="E1090" s="0" t="n">
        <v>2018</v>
      </c>
      <c r="F1090" s="0" t="s">
        <v>4716</v>
      </c>
      <c r="G1090" s="0" t="s">
        <v>1719</v>
      </c>
      <c r="H1090" s="0" t="n">
        <v>2</v>
      </c>
      <c r="I1090" s="0" t="n">
        <v>133</v>
      </c>
      <c r="J1090" s="0" t="s">
        <v>268</v>
      </c>
      <c r="K1090" s="0" t="s">
        <v>1696</v>
      </c>
      <c r="L1090" s="0" t="s">
        <v>1697</v>
      </c>
      <c r="M1090" s="0" t="s">
        <v>4752</v>
      </c>
      <c r="N1090" s="0" t="s">
        <v>4752</v>
      </c>
      <c r="O1090" s="0" t="s">
        <v>4753</v>
      </c>
      <c r="P1090" s="0" t="s">
        <v>4754</v>
      </c>
      <c r="R1090" s="0" t="s">
        <v>284</v>
      </c>
      <c r="S1090" s="0" t="s">
        <v>290</v>
      </c>
      <c r="T1090" s="0" t="s">
        <v>276</v>
      </c>
      <c r="U1090" s="0" t="s">
        <v>277</v>
      </c>
    </row>
    <row r="1091" customFormat="false" ht="15" hidden="false" customHeight="false" outlineLevel="0" collapsed="false">
      <c r="A1091" s="0" t="n">
        <v>79</v>
      </c>
      <c r="B1091" s="0" t="s">
        <v>130</v>
      </c>
      <c r="C1091" s="0" t="s">
        <v>309</v>
      </c>
      <c r="D1091" s="0" t="s">
        <v>4755</v>
      </c>
      <c r="E1091" s="0" t="n">
        <v>2025</v>
      </c>
      <c r="F1091" s="0" t="s">
        <v>1694</v>
      </c>
      <c r="G1091" s="0" t="s">
        <v>1695</v>
      </c>
      <c r="H1091" s="0" t="n">
        <v>1</v>
      </c>
      <c r="I1091" s="0" t="n">
        <v>112</v>
      </c>
      <c r="J1091" s="0" t="s">
        <v>290</v>
      </c>
      <c r="K1091" s="0" t="s">
        <v>1696</v>
      </c>
      <c r="L1091" s="0" t="s">
        <v>1697</v>
      </c>
      <c r="M1091" s="0" t="s">
        <v>4756</v>
      </c>
      <c r="N1091" s="0" t="s">
        <v>4756</v>
      </c>
      <c r="O1091" s="0" t="s">
        <v>4757</v>
      </c>
      <c r="P1091" s="0" t="s">
        <v>4758</v>
      </c>
      <c r="R1091" s="0" t="s">
        <v>275</v>
      </c>
      <c r="S1091" s="0" t="s">
        <v>268</v>
      </c>
      <c r="T1091" s="0" t="s">
        <v>276</v>
      </c>
      <c r="U1091" s="0" t="s">
        <v>277</v>
      </c>
    </row>
    <row r="1092" customFormat="false" ht="15" hidden="false" customHeight="false" outlineLevel="0" collapsed="false">
      <c r="A1092" s="0" t="n">
        <v>79</v>
      </c>
      <c r="B1092" s="0" t="s">
        <v>130</v>
      </c>
      <c r="C1092" s="0" t="s">
        <v>309</v>
      </c>
      <c r="D1092" s="0" t="s">
        <v>4759</v>
      </c>
      <c r="E1092" s="0" t="n">
        <v>2019</v>
      </c>
      <c r="H1092" s="0" t="n">
        <v>1</v>
      </c>
      <c r="I1092" s="0" t="n">
        <v>1695</v>
      </c>
      <c r="J1092" s="0" t="s">
        <v>290</v>
      </c>
      <c r="K1092" s="0" t="s">
        <v>1696</v>
      </c>
      <c r="L1092" s="0" t="s">
        <v>1697</v>
      </c>
      <c r="M1092" s="0" t="s">
        <v>4760</v>
      </c>
      <c r="N1092" s="0" t="s">
        <v>4760</v>
      </c>
      <c r="O1092" s="0" t="s">
        <v>4761</v>
      </c>
      <c r="P1092" s="0" t="s">
        <v>4762</v>
      </c>
      <c r="R1092" s="0" t="s">
        <v>284</v>
      </c>
      <c r="S1092" s="0" t="s">
        <v>290</v>
      </c>
      <c r="T1092" s="0" t="s">
        <v>276</v>
      </c>
      <c r="U1092" s="0" t="s">
        <v>277</v>
      </c>
    </row>
    <row r="1093" customFormat="false" ht="15" hidden="false" customHeight="false" outlineLevel="0" collapsed="false">
      <c r="A1093" s="0" t="n">
        <v>79</v>
      </c>
      <c r="B1093" s="0" t="s">
        <v>130</v>
      </c>
      <c r="C1093" s="0" t="s">
        <v>480</v>
      </c>
      <c r="D1093" s="0" t="s">
        <v>4763</v>
      </c>
      <c r="E1093" s="0" t="n">
        <v>2025</v>
      </c>
      <c r="F1093" s="0" t="s">
        <v>1694</v>
      </c>
      <c r="G1093" s="0" t="s">
        <v>1695</v>
      </c>
      <c r="H1093" s="0" t="n">
        <v>2</v>
      </c>
      <c r="I1093" s="0" t="n">
        <v>664</v>
      </c>
      <c r="J1093" s="0" t="s">
        <v>268</v>
      </c>
      <c r="K1093" s="0" t="s">
        <v>1696</v>
      </c>
      <c r="L1093" s="0" t="s">
        <v>1697</v>
      </c>
      <c r="M1093" s="0" t="s">
        <v>4764</v>
      </c>
      <c r="N1093" s="0" t="s">
        <v>4764</v>
      </c>
      <c r="O1093" s="0" t="s">
        <v>4765</v>
      </c>
      <c r="P1093" s="0" t="s">
        <v>4766</v>
      </c>
      <c r="R1093" s="0" t="s">
        <v>275</v>
      </c>
      <c r="S1093" s="0" t="s">
        <v>268</v>
      </c>
      <c r="T1093" s="0" t="s">
        <v>276</v>
      </c>
      <c r="U1093" s="0" t="s">
        <v>277</v>
      </c>
    </row>
    <row r="1094" customFormat="false" ht="15" hidden="false" customHeight="false" outlineLevel="0" collapsed="false">
      <c r="A1094" s="0" t="n">
        <v>80</v>
      </c>
      <c r="B1094" s="0" t="s">
        <v>131</v>
      </c>
      <c r="C1094" s="0" t="s">
        <v>309</v>
      </c>
      <c r="D1094" s="0" t="s">
        <v>4767</v>
      </c>
      <c r="E1094" s="0" t="n">
        <v>2025</v>
      </c>
      <c r="H1094" s="0" t="n">
        <v>1</v>
      </c>
      <c r="I1094" s="0" t="n">
        <v>1631</v>
      </c>
      <c r="J1094" s="0" t="s">
        <v>268</v>
      </c>
      <c r="K1094" s="0" t="s">
        <v>298</v>
      </c>
      <c r="L1094" s="0" t="s">
        <v>270</v>
      </c>
      <c r="M1094" s="0" t="s">
        <v>4768</v>
      </c>
      <c r="N1094" s="0" t="s">
        <v>4768</v>
      </c>
      <c r="O1094" s="0" t="s">
        <v>4769</v>
      </c>
      <c r="P1094" s="0" t="s">
        <v>4770</v>
      </c>
      <c r="R1094" s="0" t="s">
        <v>275</v>
      </c>
      <c r="S1094" s="0" t="s">
        <v>268</v>
      </c>
      <c r="T1094" s="0" t="s">
        <v>276</v>
      </c>
      <c r="U1094" s="0" t="s">
        <v>277</v>
      </c>
    </row>
    <row r="1095" customFormat="false" ht="15" hidden="false" customHeight="false" outlineLevel="0" collapsed="false">
      <c r="A1095" s="0" t="n">
        <v>80</v>
      </c>
      <c r="B1095" s="0" t="s">
        <v>131</v>
      </c>
      <c r="C1095" s="0" t="s">
        <v>489</v>
      </c>
      <c r="D1095" s="0" t="s">
        <v>4771</v>
      </c>
      <c r="E1095" s="0" t="n">
        <v>2025</v>
      </c>
      <c r="H1095" s="0" t="n">
        <v>17</v>
      </c>
      <c r="I1095" s="0" t="n">
        <v>5056</v>
      </c>
      <c r="J1095" s="0" t="s">
        <v>268</v>
      </c>
      <c r="K1095" s="0" t="s">
        <v>298</v>
      </c>
      <c r="L1095" s="0" t="s">
        <v>270</v>
      </c>
      <c r="M1095" s="0" t="s">
        <v>4772</v>
      </c>
      <c r="N1095" s="0" t="s">
        <v>4772</v>
      </c>
      <c r="O1095" s="0" t="s">
        <v>4773</v>
      </c>
      <c r="P1095" s="0" t="s">
        <v>4774</v>
      </c>
      <c r="R1095" s="0" t="s">
        <v>275</v>
      </c>
      <c r="S1095" s="0" t="s">
        <v>268</v>
      </c>
      <c r="T1095" s="0" t="s">
        <v>276</v>
      </c>
      <c r="U1095" s="0" t="s">
        <v>277</v>
      </c>
    </row>
    <row r="1096" customFormat="false" ht="15" hidden="false" customHeight="false" outlineLevel="0" collapsed="false">
      <c r="A1096" s="0" t="n">
        <v>81</v>
      </c>
      <c r="B1096" s="0" t="s">
        <v>132</v>
      </c>
      <c r="C1096" s="0" t="s">
        <v>56</v>
      </c>
      <c r="D1096" s="0" t="s">
        <v>4775</v>
      </c>
      <c r="E1096" s="0" t="n">
        <v>2025</v>
      </c>
      <c r="F1096" s="0" t="s">
        <v>1694</v>
      </c>
      <c r="G1096" s="0" t="s">
        <v>1695</v>
      </c>
      <c r="H1096" s="0" t="n">
        <v>0</v>
      </c>
      <c r="I1096" s="0" t="n">
        <v>1696</v>
      </c>
      <c r="J1096" s="0" t="s">
        <v>290</v>
      </c>
      <c r="K1096" s="0" t="s">
        <v>1696</v>
      </c>
      <c r="L1096" s="0" t="s">
        <v>1697</v>
      </c>
      <c r="M1096" s="0" t="s">
        <v>4776</v>
      </c>
      <c r="N1096" s="0" t="s">
        <v>4776</v>
      </c>
      <c r="O1096" s="0" t="s">
        <v>4777</v>
      </c>
      <c r="P1096" s="0" t="s">
        <v>4778</v>
      </c>
      <c r="R1096" s="0" t="s">
        <v>275</v>
      </c>
      <c r="S1096" s="0" t="s">
        <v>268</v>
      </c>
      <c r="T1096" s="0" t="s">
        <v>276</v>
      </c>
      <c r="U1096" s="0" t="s">
        <v>277</v>
      </c>
    </row>
    <row r="1097" customFormat="false" ht="15" hidden="false" customHeight="false" outlineLevel="0" collapsed="false">
      <c r="A1097" s="0" t="n">
        <v>81</v>
      </c>
      <c r="B1097" s="0" t="s">
        <v>132</v>
      </c>
      <c r="C1097" s="0" t="s">
        <v>56</v>
      </c>
      <c r="D1097" s="0" t="s">
        <v>4779</v>
      </c>
      <c r="E1097" s="0" t="n">
        <v>2021</v>
      </c>
      <c r="F1097" s="0" t="s">
        <v>1702</v>
      </c>
      <c r="G1097" s="0" t="s">
        <v>1703</v>
      </c>
      <c r="H1097" s="0" t="n">
        <v>4</v>
      </c>
      <c r="I1097" s="0" t="n">
        <v>951</v>
      </c>
      <c r="J1097" s="0" t="s">
        <v>268</v>
      </c>
      <c r="K1097" s="0" t="s">
        <v>1696</v>
      </c>
      <c r="L1097" s="0" t="s">
        <v>1697</v>
      </c>
      <c r="M1097" s="0" t="s">
        <v>4780</v>
      </c>
      <c r="N1097" s="0" t="s">
        <v>4780</v>
      </c>
      <c r="O1097" s="0" t="s">
        <v>4781</v>
      </c>
      <c r="P1097" s="0" t="s">
        <v>4782</v>
      </c>
      <c r="R1097" s="0" t="s">
        <v>284</v>
      </c>
      <c r="S1097" s="0" t="s">
        <v>290</v>
      </c>
      <c r="T1097" s="0" t="s">
        <v>276</v>
      </c>
      <c r="U1097" s="0" t="s">
        <v>277</v>
      </c>
    </row>
    <row r="1098" customFormat="false" ht="15" hidden="false" customHeight="false" outlineLevel="0" collapsed="false">
      <c r="A1098" s="0" t="n">
        <v>81</v>
      </c>
      <c r="B1098" s="0" t="s">
        <v>132</v>
      </c>
      <c r="C1098" s="0" t="s">
        <v>56</v>
      </c>
      <c r="D1098" s="0" t="s">
        <v>4783</v>
      </c>
      <c r="E1098" s="0" t="n">
        <v>2020</v>
      </c>
      <c r="F1098" s="0" t="s">
        <v>1776</v>
      </c>
      <c r="G1098" s="0" t="s">
        <v>1777</v>
      </c>
      <c r="H1098" s="0" t="n">
        <v>4</v>
      </c>
      <c r="I1098" s="0" t="n">
        <v>1468</v>
      </c>
      <c r="J1098" s="0" t="s">
        <v>268</v>
      </c>
      <c r="K1098" s="0" t="s">
        <v>1696</v>
      </c>
      <c r="L1098" s="0" t="s">
        <v>1697</v>
      </c>
      <c r="M1098" s="0" t="s">
        <v>4784</v>
      </c>
      <c r="N1098" s="0" t="s">
        <v>4784</v>
      </c>
      <c r="O1098" s="0" t="s">
        <v>4785</v>
      </c>
      <c r="P1098" s="0" t="s">
        <v>4786</v>
      </c>
      <c r="R1098" s="0" t="s">
        <v>284</v>
      </c>
      <c r="S1098" s="0" t="s">
        <v>290</v>
      </c>
      <c r="T1098" s="0" t="s">
        <v>276</v>
      </c>
      <c r="U1098" s="0" t="s">
        <v>277</v>
      </c>
    </row>
    <row r="1099" customFormat="false" ht="15" hidden="false" customHeight="false" outlineLevel="0" collapsed="false">
      <c r="A1099" s="0" t="n">
        <v>81</v>
      </c>
      <c r="B1099" s="0" t="s">
        <v>132</v>
      </c>
      <c r="C1099" s="0" t="s">
        <v>309</v>
      </c>
      <c r="D1099" s="0" t="s">
        <v>4787</v>
      </c>
      <c r="E1099" s="0" t="n">
        <v>2025</v>
      </c>
      <c r="H1099" s="0" t="n">
        <v>0</v>
      </c>
      <c r="I1099" s="0" t="n">
        <v>1496</v>
      </c>
      <c r="J1099" s="0" t="s">
        <v>290</v>
      </c>
      <c r="K1099" s="0" t="s">
        <v>1696</v>
      </c>
      <c r="L1099" s="0" t="s">
        <v>1697</v>
      </c>
      <c r="M1099" s="0" t="s">
        <v>4788</v>
      </c>
      <c r="N1099" s="0" t="s">
        <v>4788</v>
      </c>
      <c r="O1099" s="0" t="s">
        <v>4789</v>
      </c>
      <c r="P1099" s="0" t="s">
        <v>4790</v>
      </c>
      <c r="R1099" s="0" t="s">
        <v>275</v>
      </c>
      <c r="S1099" s="0" t="s">
        <v>268</v>
      </c>
      <c r="T1099" s="0" t="s">
        <v>276</v>
      </c>
      <c r="U1099" s="0" t="s">
        <v>277</v>
      </c>
    </row>
    <row r="1100" customFormat="false" ht="15" hidden="false" customHeight="false" outlineLevel="0" collapsed="false">
      <c r="A1100" s="0" t="n">
        <v>81</v>
      </c>
      <c r="B1100" s="0" t="s">
        <v>132</v>
      </c>
      <c r="C1100" s="0" t="s">
        <v>309</v>
      </c>
      <c r="D1100" s="0" t="s">
        <v>4791</v>
      </c>
      <c r="E1100" s="0" t="n">
        <v>2018</v>
      </c>
      <c r="H1100" s="0" t="n">
        <v>1</v>
      </c>
      <c r="I1100" s="0" t="n">
        <v>2629</v>
      </c>
      <c r="J1100" s="0" t="s">
        <v>290</v>
      </c>
      <c r="K1100" s="0" t="s">
        <v>1696</v>
      </c>
      <c r="L1100" s="0" t="s">
        <v>1697</v>
      </c>
      <c r="M1100" s="0" t="s">
        <v>4792</v>
      </c>
      <c r="N1100" s="0" t="s">
        <v>4792</v>
      </c>
      <c r="O1100" s="0" t="s">
        <v>4793</v>
      </c>
      <c r="P1100" s="0" t="s">
        <v>4794</v>
      </c>
      <c r="R1100" s="0" t="s">
        <v>284</v>
      </c>
      <c r="S1100" s="0" t="s">
        <v>290</v>
      </c>
      <c r="T1100" s="0" t="s">
        <v>276</v>
      </c>
      <c r="U1100" s="0" t="s">
        <v>277</v>
      </c>
    </row>
    <row r="1101" customFormat="false" ht="15" hidden="false" customHeight="false" outlineLevel="0" collapsed="false">
      <c r="A1101" s="0" t="n">
        <v>81</v>
      </c>
      <c r="B1101" s="0" t="s">
        <v>132</v>
      </c>
      <c r="C1101" s="0" t="s">
        <v>309</v>
      </c>
      <c r="D1101" s="0" t="s">
        <v>4795</v>
      </c>
      <c r="E1101" s="0" t="n">
        <v>2017</v>
      </c>
      <c r="H1101" s="0" t="n">
        <v>1</v>
      </c>
      <c r="I1101" s="0" t="n">
        <v>2640</v>
      </c>
      <c r="J1101" s="0" t="s">
        <v>290</v>
      </c>
      <c r="K1101" s="0" t="s">
        <v>1696</v>
      </c>
      <c r="L1101" s="0" t="s">
        <v>1697</v>
      </c>
      <c r="M1101" s="0" t="s">
        <v>4796</v>
      </c>
      <c r="N1101" s="0" t="s">
        <v>4796</v>
      </c>
      <c r="O1101" s="0" t="s">
        <v>4797</v>
      </c>
      <c r="P1101" s="0" t="s">
        <v>4798</v>
      </c>
      <c r="R1101" s="0" t="s">
        <v>284</v>
      </c>
      <c r="S1101" s="0" t="s">
        <v>290</v>
      </c>
      <c r="T1101" s="0" t="s">
        <v>276</v>
      </c>
      <c r="U1101" s="0" t="s">
        <v>277</v>
      </c>
    </row>
    <row r="1102" customFormat="false" ht="15" hidden="false" customHeight="false" outlineLevel="0" collapsed="false">
      <c r="A1102" s="0" t="n">
        <v>81</v>
      </c>
      <c r="B1102" s="0" t="s">
        <v>132</v>
      </c>
      <c r="C1102" s="0" t="s">
        <v>324</v>
      </c>
      <c r="D1102" s="0" t="s">
        <v>4799</v>
      </c>
      <c r="E1102" s="0" t="n">
        <v>2020</v>
      </c>
      <c r="H1102" s="0" t="n">
        <v>4</v>
      </c>
      <c r="I1102" s="0" t="n">
        <v>373</v>
      </c>
      <c r="J1102" s="0" t="s">
        <v>268</v>
      </c>
      <c r="K1102" s="0" t="s">
        <v>1696</v>
      </c>
      <c r="L1102" s="0" t="s">
        <v>1697</v>
      </c>
      <c r="M1102" s="0" t="s">
        <v>4800</v>
      </c>
      <c r="N1102" s="0" t="s">
        <v>4800</v>
      </c>
      <c r="O1102" s="0" t="s">
        <v>4801</v>
      </c>
      <c r="P1102" s="0" t="s">
        <v>4802</v>
      </c>
      <c r="R1102" s="0" t="s">
        <v>284</v>
      </c>
      <c r="S1102" s="0" t="s">
        <v>268</v>
      </c>
      <c r="T1102" s="0" t="s">
        <v>276</v>
      </c>
      <c r="U1102" s="0" t="s">
        <v>277</v>
      </c>
    </row>
    <row r="1103" customFormat="false" ht="15" hidden="false" customHeight="false" outlineLevel="0" collapsed="false">
      <c r="A1103" s="0" t="n">
        <v>82</v>
      </c>
      <c r="B1103" s="0" t="s">
        <v>133</v>
      </c>
      <c r="C1103" s="0" t="s">
        <v>56</v>
      </c>
      <c r="D1103" s="0" t="s">
        <v>4803</v>
      </c>
      <c r="E1103" s="0" t="n">
        <v>2023</v>
      </c>
      <c r="H1103" s="0" t="n">
        <v>8</v>
      </c>
      <c r="I1103" s="0" t="n">
        <v>2232</v>
      </c>
      <c r="J1103" s="0" t="s">
        <v>268</v>
      </c>
      <c r="K1103" s="0" t="s">
        <v>298</v>
      </c>
      <c r="L1103" s="0" t="s">
        <v>270</v>
      </c>
      <c r="M1103" s="0" t="s">
        <v>4804</v>
      </c>
      <c r="N1103" s="0" t="s">
        <v>4804</v>
      </c>
      <c r="O1103" s="0" t="s">
        <v>4805</v>
      </c>
      <c r="P1103" s="0" t="s">
        <v>4806</v>
      </c>
      <c r="R1103" s="0" t="s">
        <v>284</v>
      </c>
      <c r="S1103" s="0" t="s">
        <v>268</v>
      </c>
      <c r="T1103" s="0" t="s">
        <v>276</v>
      </c>
      <c r="U1103" s="0" t="s">
        <v>277</v>
      </c>
    </row>
    <row r="1104" customFormat="false" ht="15" hidden="false" customHeight="false" outlineLevel="0" collapsed="false">
      <c r="A1104" s="0" t="n">
        <v>82</v>
      </c>
      <c r="B1104" s="0" t="s">
        <v>133</v>
      </c>
      <c r="C1104" s="0" t="s">
        <v>309</v>
      </c>
      <c r="D1104" s="0" t="s">
        <v>4807</v>
      </c>
      <c r="E1104" s="0" t="n">
        <v>2024</v>
      </c>
      <c r="H1104" s="0" t="n">
        <v>1</v>
      </c>
      <c r="I1104" s="0" t="n">
        <v>3160</v>
      </c>
      <c r="J1104" s="0" t="s">
        <v>290</v>
      </c>
      <c r="K1104" s="0" t="s">
        <v>298</v>
      </c>
      <c r="L1104" s="0" t="s">
        <v>270</v>
      </c>
      <c r="M1104" s="0" t="s">
        <v>4808</v>
      </c>
      <c r="N1104" s="0" t="s">
        <v>4808</v>
      </c>
      <c r="O1104" s="0" t="s">
        <v>4809</v>
      </c>
      <c r="P1104" s="0" t="s">
        <v>4810</v>
      </c>
      <c r="R1104" s="0" t="s">
        <v>284</v>
      </c>
      <c r="S1104" s="0" t="s">
        <v>268</v>
      </c>
      <c r="T1104" s="0" t="s">
        <v>276</v>
      </c>
      <c r="U1104" s="0" t="s">
        <v>277</v>
      </c>
    </row>
    <row r="1105" customFormat="false" ht="15" hidden="false" customHeight="false" outlineLevel="0" collapsed="false">
      <c r="A1105" s="0" t="n">
        <v>85</v>
      </c>
      <c r="B1105" s="0" t="s">
        <v>136</v>
      </c>
      <c r="C1105" s="0" t="s">
        <v>56</v>
      </c>
      <c r="D1105" s="0" t="s">
        <v>4811</v>
      </c>
      <c r="E1105" s="0" t="n">
        <v>2025</v>
      </c>
      <c r="H1105" s="0" t="n">
        <v>4</v>
      </c>
      <c r="I1105" s="0" t="n">
        <v>620</v>
      </c>
      <c r="J1105" s="0" t="s">
        <v>268</v>
      </c>
      <c r="K1105" s="0" t="s">
        <v>298</v>
      </c>
      <c r="L1105" s="0" t="s">
        <v>270</v>
      </c>
      <c r="M1105" s="0" t="s">
        <v>4812</v>
      </c>
      <c r="N1105" s="0" t="s">
        <v>4812</v>
      </c>
      <c r="O1105" s="0" t="s">
        <v>4813</v>
      </c>
      <c r="P1105" s="0" t="s">
        <v>4814</v>
      </c>
      <c r="R1105" s="0" t="s">
        <v>275</v>
      </c>
      <c r="S1105" s="0" t="s">
        <v>268</v>
      </c>
      <c r="T1105" s="0" t="s">
        <v>276</v>
      </c>
      <c r="U1105" s="0" t="s">
        <v>277</v>
      </c>
    </row>
    <row r="1106" customFormat="false" ht="15" hidden="false" customHeight="false" outlineLevel="0" collapsed="false">
      <c r="A1106" s="0" t="n">
        <v>85</v>
      </c>
      <c r="B1106" s="0" t="s">
        <v>136</v>
      </c>
      <c r="C1106" s="0" t="s">
        <v>56</v>
      </c>
      <c r="D1106" s="0" t="s">
        <v>4815</v>
      </c>
      <c r="E1106" s="0" t="n">
        <v>2024</v>
      </c>
      <c r="H1106" s="0" t="n">
        <v>6</v>
      </c>
      <c r="I1106" s="0" t="n">
        <v>5265</v>
      </c>
      <c r="J1106" s="0" t="s">
        <v>268</v>
      </c>
      <c r="K1106" s="0" t="s">
        <v>298</v>
      </c>
      <c r="L1106" s="0" t="s">
        <v>270</v>
      </c>
      <c r="M1106" s="0" t="s">
        <v>4816</v>
      </c>
      <c r="N1106" s="0" t="s">
        <v>4816</v>
      </c>
      <c r="O1106" s="0" t="s">
        <v>4817</v>
      </c>
      <c r="P1106" s="0" t="s">
        <v>4818</v>
      </c>
      <c r="R1106" s="0" t="s">
        <v>284</v>
      </c>
      <c r="S1106" s="0" t="s">
        <v>290</v>
      </c>
      <c r="T1106" s="0" t="s">
        <v>276</v>
      </c>
      <c r="U1106" s="0" t="s">
        <v>277</v>
      </c>
    </row>
    <row r="1107" customFormat="false" ht="15" hidden="false" customHeight="false" outlineLevel="0" collapsed="false">
      <c r="A1107" s="0" t="n">
        <v>85</v>
      </c>
      <c r="B1107" s="0" t="s">
        <v>136</v>
      </c>
      <c r="C1107" s="0" t="s">
        <v>309</v>
      </c>
      <c r="D1107" s="0" t="s">
        <v>4819</v>
      </c>
      <c r="E1107" s="0" t="n">
        <v>2025</v>
      </c>
      <c r="H1107" s="0" t="n">
        <v>1</v>
      </c>
      <c r="I1107" s="0" t="n">
        <v>340</v>
      </c>
      <c r="J1107" s="0" t="s">
        <v>268</v>
      </c>
      <c r="K1107" s="0" t="s">
        <v>298</v>
      </c>
      <c r="L1107" s="0" t="s">
        <v>270</v>
      </c>
      <c r="M1107" s="0" t="s">
        <v>4820</v>
      </c>
      <c r="N1107" s="0" t="s">
        <v>4820</v>
      </c>
      <c r="O1107" s="0" t="s">
        <v>4821</v>
      </c>
      <c r="P1107" s="0" t="s">
        <v>4822</v>
      </c>
      <c r="R1107" s="0" t="s">
        <v>275</v>
      </c>
      <c r="S1107" s="0" t="s">
        <v>268</v>
      </c>
      <c r="T1107" s="0" t="s">
        <v>276</v>
      </c>
      <c r="U1107" s="0" t="s">
        <v>277</v>
      </c>
    </row>
    <row r="1108" customFormat="false" ht="15" hidden="false" customHeight="false" outlineLevel="0" collapsed="false">
      <c r="A1108" s="0" t="n">
        <v>85</v>
      </c>
      <c r="B1108" s="0" t="s">
        <v>136</v>
      </c>
      <c r="C1108" s="0" t="s">
        <v>309</v>
      </c>
      <c r="D1108" s="0" t="s">
        <v>4823</v>
      </c>
      <c r="E1108" s="0" t="n">
        <v>2025</v>
      </c>
      <c r="H1108" s="0" t="n">
        <v>1</v>
      </c>
      <c r="I1108" s="0" t="n">
        <v>2741</v>
      </c>
      <c r="J1108" s="0" t="s">
        <v>268</v>
      </c>
      <c r="K1108" s="0" t="s">
        <v>298</v>
      </c>
      <c r="L1108" s="0" t="s">
        <v>270</v>
      </c>
      <c r="M1108" s="0" t="s">
        <v>4824</v>
      </c>
      <c r="N1108" s="0" t="s">
        <v>4824</v>
      </c>
      <c r="O1108" s="0" t="s">
        <v>4825</v>
      </c>
      <c r="P1108" s="0" t="s">
        <v>4826</v>
      </c>
      <c r="R1108" s="0" t="s">
        <v>275</v>
      </c>
      <c r="S1108" s="0" t="s">
        <v>290</v>
      </c>
      <c r="T1108" s="0" t="s">
        <v>276</v>
      </c>
      <c r="U1108" s="0" t="s">
        <v>277</v>
      </c>
    </row>
    <row r="1109" customFormat="false" ht="15" hidden="false" customHeight="false" outlineLevel="0" collapsed="false">
      <c r="A1109" s="0" t="n">
        <v>87</v>
      </c>
      <c r="B1109" s="0" t="s">
        <v>139</v>
      </c>
      <c r="C1109" s="0" t="s">
        <v>309</v>
      </c>
      <c r="D1109" s="0" t="s">
        <v>4827</v>
      </c>
      <c r="E1109" s="0" t="n">
        <v>2023</v>
      </c>
      <c r="H1109" s="0" t="n">
        <v>1</v>
      </c>
      <c r="I1109" s="0" t="n">
        <v>4903</v>
      </c>
      <c r="J1109" s="0" t="s">
        <v>268</v>
      </c>
      <c r="K1109" s="0" t="s">
        <v>298</v>
      </c>
      <c r="L1109" s="0" t="s">
        <v>270</v>
      </c>
      <c r="M1109" s="0" t="s">
        <v>4828</v>
      </c>
      <c r="N1109" s="0" t="s">
        <v>4828</v>
      </c>
      <c r="O1109" s="0" t="s">
        <v>4829</v>
      </c>
      <c r="P1109" s="0" t="s">
        <v>4830</v>
      </c>
      <c r="R1109" s="0" t="s">
        <v>284</v>
      </c>
      <c r="S1109" s="0" t="s">
        <v>268</v>
      </c>
      <c r="T1109" s="0" t="s">
        <v>276</v>
      </c>
      <c r="U1109" s="0" t="s">
        <v>277</v>
      </c>
    </row>
    <row r="1110" customFormat="false" ht="15" hidden="false" customHeight="false" outlineLevel="0" collapsed="false">
      <c r="A1110" s="0" t="n">
        <v>87</v>
      </c>
      <c r="B1110" s="0" t="s">
        <v>139</v>
      </c>
      <c r="C1110" s="0" t="s">
        <v>278</v>
      </c>
      <c r="D1110" s="0" t="s">
        <v>4831</v>
      </c>
      <c r="E1110" s="0" t="n">
        <v>2025</v>
      </c>
      <c r="H1110" s="0" t="n">
        <v>5</v>
      </c>
      <c r="I1110" s="0" t="n">
        <v>208</v>
      </c>
      <c r="J1110" s="0" t="s">
        <v>268</v>
      </c>
      <c r="K1110" s="0" t="s">
        <v>558</v>
      </c>
      <c r="L1110" s="0" t="s">
        <v>293</v>
      </c>
      <c r="M1110" s="0" t="s">
        <v>4832</v>
      </c>
      <c r="N1110" s="0" t="s">
        <v>4832</v>
      </c>
      <c r="O1110" s="0" t="s">
        <v>4833</v>
      </c>
      <c r="P1110" s="0" t="s">
        <v>4834</v>
      </c>
      <c r="R1110" s="0" t="s">
        <v>275</v>
      </c>
      <c r="S1110" s="0" t="s">
        <v>268</v>
      </c>
      <c r="T1110" s="0" t="s">
        <v>276</v>
      </c>
      <c r="U1110" s="0" t="s">
        <v>277</v>
      </c>
    </row>
    <row r="1111" customFormat="false" ht="15" hidden="false" customHeight="false" outlineLevel="0" collapsed="false">
      <c r="A1111" s="0" t="n">
        <v>87</v>
      </c>
      <c r="B1111" s="0" t="s">
        <v>139</v>
      </c>
      <c r="C1111" s="0" t="s">
        <v>278</v>
      </c>
      <c r="D1111" s="0" t="s">
        <v>4835</v>
      </c>
      <c r="E1111" s="0" t="n">
        <v>2024</v>
      </c>
      <c r="H1111" s="0" t="n">
        <v>5</v>
      </c>
      <c r="I1111" s="0" t="n">
        <v>313</v>
      </c>
      <c r="J1111" s="0" t="s">
        <v>268</v>
      </c>
      <c r="K1111" s="0" t="s">
        <v>558</v>
      </c>
      <c r="L1111" s="0" t="s">
        <v>293</v>
      </c>
      <c r="M1111" s="0" t="s">
        <v>4836</v>
      </c>
      <c r="N1111" s="0" t="s">
        <v>4836</v>
      </c>
      <c r="O1111" s="0" t="s">
        <v>4837</v>
      </c>
      <c r="P1111" s="0" t="s">
        <v>4838</v>
      </c>
      <c r="R1111" s="0" t="s">
        <v>284</v>
      </c>
      <c r="S1111" s="0" t="s">
        <v>290</v>
      </c>
      <c r="T1111" s="0" t="s">
        <v>276</v>
      </c>
      <c r="U1111" s="0" t="s">
        <v>277</v>
      </c>
    </row>
    <row r="1112" customFormat="false" ht="15" hidden="false" customHeight="false" outlineLevel="0" collapsed="false">
      <c r="A1112" s="0" t="n">
        <v>87</v>
      </c>
      <c r="B1112" s="0" t="s">
        <v>139</v>
      </c>
      <c r="C1112" s="0" t="s">
        <v>494</v>
      </c>
      <c r="D1112" s="0" t="s">
        <v>4839</v>
      </c>
      <c r="E1112" s="0" t="n">
        <v>2023</v>
      </c>
      <c r="H1112" s="0" t="n">
        <v>15</v>
      </c>
      <c r="I1112" s="0" t="n">
        <v>1000</v>
      </c>
      <c r="J1112" s="0" t="s">
        <v>268</v>
      </c>
      <c r="K1112" s="0" t="s">
        <v>298</v>
      </c>
      <c r="L1112" s="0" t="s">
        <v>270</v>
      </c>
      <c r="M1112" s="0" t="s">
        <v>4840</v>
      </c>
      <c r="N1112" s="0" t="s">
        <v>4840</v>
      </c>
      <c r="O1112" s="0" t="s">
        <v>4841</v>
      </c>
      <c r="P1112" s="0" t="s">
        <v>4842</v>
      </c>
      <c r="R1112" s="0" t="s">
        <v>284</v>
      </c>
      <c r="S1112" s="0" t="s">
        <v>268</v>
      </c>
      <c r="T1112" s="0" t="s">
        <v>276</v>
      </c>
      <c r="U1112" s="0" t="s">
        <v>277</v>
      </c>
    </row>
    <row r="1113" customFormat="false" ht="15" hidden="false" customHeight="false" outlineLevel="0" collapsed="false">
      <c r="A1113" s="0" t="n">
        <v>89</v>
      </c>
      <c r="B1113" s="0" t="s">
        <v>141</v>
      </c>
      <c r="C1113" s="0" t="s">
        <v>56</v>
      </c>
      <c r="D1113" s="0" t="s">
        <v>4843</v>
      </c>
      <c r="E1113" s="0" t="n">
        <v>2020</v>
      </c>
      <c r="H1113" s="0" t="n">
        <v>20</v>
      </c>
      <c r="I1113" s="0" t="n">
        <v>9395</v>
      </c>
      <c r="J1113" s="0" t="s">
        <v>268</v>
      </c>
      <c r="K1113" s="0" t="s">
        <v>298</v>
      </c>
      <c r="L1113" s="0" t="s">
        <v>270</v>
      </c>
      <c r="M1113" s="0" t="s">
        <v>4844</v>
      </c>
      <c r="N1113" s="0" t="s">
        <v>4844</v>
      </c>
      <c r="O1113" s="0" t="s">
        <v>4845</v>
      </c>
      <c r="P1113" s="0" t="s">
        <v>4846</v>
      </c>
      <c r="R1113" s="0" t="s">
        <v>284</v>
      </c>
      <c r="S1113" s="0" t="s">
        <v>268</v>
      </c>
      <c r="T1113" s="0" t="s">
        <v>276</v>
      </c>
      <c r="U1113" s="0" t="s">
        <v>277</v>
      </c>
    </row>
    <row r="1114" customFormat="false" ht="15" hidden="false" customHeight="false" outlineLevel="0" collapsed="false">
      <c r="A1114" s="0" t="n">
        <v>90</v>
      </c>
      <c r="B1114" s="0" t="s">
        <v>142</v>
      </c>
      <c r="C1114" s="0" t="s">
        <v>56</v>
      </c>
      <c r="D1114" s="0" t="s">
        <v>4847</v>
      </c>
      <c r="E1114" s="0" t="n">
        <v>2018</v>
      </c>
      <c r="H1114" s="0" t="n">
        <v>6</v>
      </c>
      <c r="I1114" s="0" t="n">
        <v>5209</v>
      </c>
      <c r="J1114" s="0" t="s">
        <v>268</v>
      </c>
      <c r="K1114" s="0" t="s">
        <v>298</v>
      </c>
      <c r="L1114" s="0" t="s">
        <v>270</v>
      </c>
      <c r="M1114" s="0" t="s">
        <v>4848</v>
      </c>
      <c r="N1114" s="0" t="s">
        <v>4848</v>
      </c>
      <c r="O1114" s="0" t="s">
        <v>4849</v>
      </c>
      <c r="P1114" s="0" t="s">
        <v>4850</v>
      </c>
      <c r="R1114" s="0" t="s">
        <v>284</v>
      </c>
      <c r="S1114" s="0" t="s">
        <v>268</v>
      </c>
      <c r="T1114" s="0" t="s">
        <v>276</v>
      </c>
      <c r="U1114" s="0" t="s">
        <v>277</v>
      </c>
    </row>
    <row r="1115" customFormat="false" ht="15" hidden="false" customHeight="false" outlineLevel="0" collapsed="false">
      <c r="A1115" s="0" t="n">
        <v>90</v>
      </c>
      <c r="B1115" s="0" t="s">
        <v>142</v>
      </c>
      <c r="C1115" s="0" t="s">
        <v>530</v>
      </c>
      <c r="D1115" s="0" t="s">
        <v>4851</v>
      </c>
      <c r="E1115" s="0" t="n">
        <v>2026</v>
      </c>
      <c r="H1115" s="0" t="n">
        <v>7</v>
      </c>
      <c r="I1115" s="0" t="n">
        <v>681</v>
      </c>
      <c r="J1115" s="0" t="s">
        <v>268</v>
      </c>
      <c r="K1115" s="0" t="s">
        <v>269</v>
      </c>
      <c r="L1115" s="0" t="s">
        <v>270</v>
      </c>
      <c r="M1115" s="0" t="s">
        <v>4852</v>
      </c>
      <c r="N1115" s="0" t="s">
        <v>4853</v>
      </c>
      <c r="O1115" s="0" t="s">
        <v>4854</v>
      </c>
      <c r="P1115" s="0" t="s">
        <v>4855</v>
      </c>
      <c r="R1115" s="0" t="s">
        <v>275</v>
      </c>
      <c r="S1115" s="0" t="s">
        <v>268</v>
      </c>
      <c r="T1115" s="0" t="s">
        <v>276</v>
      </c>
      <c r="U1115" s="0" t="s">
        <v>277</v>
      </c>
    </row>
    <row r="1116" customFormat="false" ht="15" hidden="false" customHeight="false" outlineLevel="0" collapsed="false">
      <c r="A1116" s="0" t="n">
        <v>91</v>
      </c>
      <c r="B1116" s="0" t="s">
        <v>143</v>
      </c>
      <c r="C1116" s="0" t="s">
        <v>56</v>
      </c>
      <c r="D1116" s="0" t="s">
        <v>4856</v>
      </c>
      <c r="E1116" s="0" t="n">
        <v>2020</v>
      </c>
      <c r="H1116" s="0" t="n">
        <v>2</v>
      </c>
      <c r="I1116" s="0" t="n">
        <v>2714</v>
      </c>
      <c r="J1116" s="0" t="s">
        <v>268</v>
      </c>
      <c r="K1116" s="0" t="s">
        <v>298</v>
      </c>
      <c r="L1116" s="0" t="s">
        <v>270</v>
      </c>
      <c r="M1116" s="0" t="s">
        <v>4857</v>
      </c>
      <c r="N1116" s="0" t="s">
        <v>4857</v>
      </c>
      <c r="O1116" s="0" t="s">
        <v>4858</v>
      </c>
      <c r="P1116" s="0" t="s">
        <v>4859</v>
      </c>
      <c r="R1116" s="0" t="s">
        <v>284</v>
      </c>
      <c r="S1116" s="0" t="s">
        <v>268</v>
      </c>
      <c r="T1116" s="0" t="s">
        <v>276</v>
      </c>
      <c r="U1116" s="0" t="s">
        <v>277</v>
      </c>
    </row>
    <row r="1117" customFormat="false" ht="15" hidden="false" customHeight="false" outlineLevel="0" collapsed="false">
      <c r="A1117" s="0" t="n">
        <v>91</v>
      </c>
      <c r="B1117" s="0" t="s">
        <v>143</v>
      </c>
      <c r="C1117" s="0" t="s">
        <v>309</v>
      </c>
      <c r="D1117" s="0" t="s">
        <v>4860</v>
      </c>
      <c r="E1117" s="0" t="n">
        <v>2020</v>
      </c>
      <c r="H1117" s="0" t="n">
        <v>1</v>
      </c>
      <c r="I1117" s="0" t="n">
        <v>354</v>
      </c>
      <c r="J1117" s="0" t="s">
        <v>290</v>
      </c>
      <c r="K1117" s="0" t="s">
        <v>298</v>
      </c>
      <c r="L1117" s="0" t="s">
        <v>270</v>
      </c>
      <c r="M1117" s="0" t="s">
        <v>4861</v>
      </c>
      <c r="N1117" s="0" t="s">
        <v>4861</v>
      </c>
      <c r="O1117" s="0" t="s">
        <v>4862</v>
      </c>
      <c r="P1117" s="0" t="s">
        <v>4863</v>
      </c>
      <c r="R1117" s="0" t="s">
        <v>284</v>
      </c>
      <c r="S1117" s="0" t="s">
        <v>268</v>
      </c>
      <c r="T1117" s="0" t="s">
        <v>276</v>
      </c>
      <c r="U1117" s="0" t="s">
        <v>277</v>
      </c>
    </row>
    <row r="1118" customFormat="false" ht="15" hidden="false" customHeight="false" outlineLevel="0" collapsed="false">
      <c r="A1118" s="0" t="n">
        <v>92</v>
      </c>
      <c r="B1118" s="0" t="s">
        <v>144</v>
      </c>
      <c r="C1118" s="0" t="s">
        <v>56</v>
      </c>
      <c r="D1118" s="0" t="s">
        <v>4864</v>
      </c>
      <c r="E1118" s="0" t="n">
        <v>2024</v>
      </c>
      <c r="H1118" s="0" t="n">
        <v>9</v>
      </c>
      <c r="I1118" s="0" t="n">
        <v>2127</v>
      </c>
      <c r="J1118" s="0" t="s">
        <v>268</v>
      </c>
      <c r="K1118" s="0" t="s">
        <v>298</v>
      </c>
      <c r="L1118" s="0" t="s">
        <v>270</v>
      </c>
      <c r="M1118" s="0" t="s">
        <v>4865</v>
      </c>
      <c r="N1118" s="0" t="s">
        <v>4865</v>
      </c>
      <c r="O1118" s="0" t="s">
        <v>4866</v>
      </c>
      <c r="P1118" s="0" t="s">
        <v>4867</v>
      </c>
      <c r="R1118" s="0" t="s">
        <v>284</v>
      </c>
      <c r="S1118" s="0" t="s">
        <v>268</v>
      </c>
      <c r="T1118" s="0" t="s">
        <v>276</v>
      </c>
      <c r="U1118" s="0" t="s">
        <v>277</v>
      </c>
    </row>
    <row r="1119" customFormat="false" ht="15" hidden="false" customHeight="false" outlineLevel="0" collapsed="false">
      <c r="A1119" s="0" t="n">
        <v>92</v>
      </c>
      <c r="B1119" s="0" t="s">
        <v>144</v>
      </c>
      <c r="C1119" s="0" t="s">
        <v>309</v>
      </c>
      <c r="D1119" s="0" t="s">
        <v>4868</v>
      </c>
      <c r="E1119" s="0" t="n">
        <v>2024</v>
      </c>
      <c r="H1119" s="0" t="n">
        <v>1</v>
      </c>
      <c r="I1119" s="0" t="n">
        <v>162</v>
      </c>
      <c r="J1119" s="0" t="s">
        <v>268</v>
      </c>
      <c r="K1119" s="0" t="s">
        <v>298</v>
      </c>
      <c r="L1119" s="0" t="s">
        <v>270</v>
      </c>
      <c r="M1119" s="0" t="s">
        <v>4869</v>
      </c>
      <c r="N1119" s="0" t="s">
        <v>4869</v>
      </c>
      <c r="O1119" s="0" t="s">
        <v>4870</v>
      </c>
      <c r="P1119" s="0" t="s">
        <v>4871</v>
      </c>
      <c r="R1119" s="0" t="s">
        <v>284</v>
      </c>
      <c r="S1119" s="0" t="s">
        <v>268</v>
      </c>
      <c r="T1119" s="0" t="s">
        <v>276</v>
      </c>
      <c r="U1119" s="0" t="s">
        <v>277</v>
      </c>
    </row>
    <row r="1120" customFormat="false" ht="15" hidden="false" customHeight="false" outlineLevel="0" collapsed="false">
      <c r="A1120" s="0" t="n">
        <v>95</v>
      </c>
      <c r="B1120" s="0" t="s">
        <v>148</v>
      </c>
      <c r="C1120" s="0" t="s">
        <v>56</v>
      </c>
      <c r="D1120" s="0" t="s">
        <v>4872</v>
      </c>
      <c r="E1120" s="0" t="n">
        <v>2017</v>
      </c>
      <c r="H1120" s="0" t="n">
        <v>4</v>
      </c>
      <c r="I1120" s="0" t="n">
        <v>900</v>
      </c>
      <c r="J1120" s="0" t="s">
        <v>290</v>
      </c>
      <c r="K1120" s="0" t="s">
        <v>298</v>
      </c>
      <c r="L1120" s="0" t="s">
        <v>270</v>
      </c>
      <c r="M1120" s="0" t="s">
        <v>4873</v>
      </c>
      <c r="N1120" s="0" t="s">
        <v>4873</v>
      </c>
      <c r="O1120" s="0" t="s">
        <v>4874</v>
      </c>
      <c r="P1120" s="0" t="s">
        <v>4875</v>
      </c>
      <c r="R1120" s="0" t="s">
        <v>284</v>
      </c>
      <c r="S1120" s="0" t="s">
        <v>268</v>
      </c>
      <c r="T1120" s="0" t="s">
        <v>276</v>
      </c>
      <c r="U1120" s="0" t="s">
        <v>277</v>
      </c>
    </row>
    <row r="1121" customFormat="false" ht="15" hidden="false" customHeight="false" outlineLevel="0" collapsed="false">
      <c r="A1121" s="0" t="n">
        <v>95</v>
      </c>
      <c r="B1121" s="0" t="s">
        <v>148</v>
      </c>
      <c r="C1121" s="0" t="s">
        <v>309</v>
      </c>
      <c r="D1121" s="0" t="s">
        <v>4876</v>
      </c>
      <c r="E1121" s="0" t="n">
        <v>2020</v>
      </c>
      <c r="H1121" s="0" t="n">
        <v>1</v>
      </c>
      <c r="I1121" s="0" t="n">
        <v>493</v>
      </c>
      <c r="J1121" s="0" t="s">
        <v>290</v>
      </c>
      <c r="K1121" s="0" t="s">
        <v>298</v>
      </c>
      <c r="L1121" s="0" t="s">
        <v>270</v>
      </c>
      <c r="M1121" s="0" t="s">
        <v>4877</v>
      </c>
      <c r="N1121" s="0" t="s">
        <v>4877</v>
      </c>
      <c r="O1121" s="0" t="s">
        <v>4878</v>
      </c>
      <c r="P1121" s="0" t="s">
        <v>4879</v>
      </c>
      <c r="R1121" s="0" t="s">
        <v>284</v>
      </c>
      <c r="S1121" s="0" t="s">
        <v>268</v>
      </c>
      <c r="T1121" s="0" t="s">
        <v>276</v>
      </c>
      <c r="U1121" s="0" t="s">
        <v>277</v>
      </c>
    </row>
    <row r="1122" customFormat="false" ht="15" hidden="false" customHeight="false" outlineLevel="0" collapsed="false">
      <c r="A1122" s="0" t="n">
        <v>96</v>
      </c>
      <c r="B1122" s="0" t="s">
        <v>149</v>
      </c>
      <c r="C1122" s="0" t="s">
        <v>56</v>
      </c>
      <c r="D1122" s="0" t="s">
        <v>4880</v>
      </c>
      <c r="E1122" s="0" t="n">
        <v>2025</v>
      </c>
      <c r="H1122" s="0" t="n">
        <v>10</v>
      </c>
      <c r="I1122" s="0" t="n">
        <v>1609</v>
      </c>
      <c r="J1122" s="0" t="s">
        <v>268</v>
      </c>
      <c r="K1122" s="0" t="s">
        <v>298</v>
      </c>
      <c r="L1122" s="0" t="s">
        <v>270</v>
      </c>
      <c r="M1122" s="0" t="s">
        <v>4881</v>
      </c>
      <c r="N1122" s="0" t="s">
        <v>4881</v>
      </c>
      <c r="O1122" s="0" t="s">
        <v>4882</v>
      </c>
      <c r="P1122" s="0" t="s">
        <v>4883</v>
      </c>
      <c r="R1122" s="0" t="s">
        <v>275</v>
      </c>
      <c r="S1122" s="0" t="s">
        <v>268</v>
      </c>
      <c r="T1122" s="0" t="s">
        <v>276</v>
      </c>
      <c r="U1122" s="0" t="s">
        <v>277</v>
      </c>
    </row>
    <row r="1123" customFormat="false" ht="15" hidden="false" customHeight="false" outlineLevel="0" collapsed="false">
      <c r="A1123" s="0" t="n">
        <v>97</v>
      </c>
      <c r="B1123" s="0" t="s">
        <v>151</v>
      </c>
      <c r="C1123" s="0" t="s">
        <v>56</v>
      </c>
      <c r="D1123" s="0" t="s">
        <v>4884</v>
      </c>
      <c r="E1123" s="0" t="n">
        <v>2023</v>
      </c>
      <c r="H1123" s="0" t="n">
        <v>15</v>
      </c>
      <c r="I1123" s="0" t="n">
        <v>6802</v>
      </c>
      <c r="J1123" s="0" t="s">
        <v>268</v>
      </c>
      <c r="K1123" s="0" t="s">
        <v>298</v>
      </c>
      <c r="L1123" s="0" t="s">
        <v>270</v>
      </c>
      <c r="M1123" s="0" t="s">
        <v>4885</v>
      </c>
      <c r="N1123" s="0" t="s">
        <v>4885</v>
      </c>
      <c r="O1123" s="0" t="s">
        <v>4886</v>
      </c>
      <c r="P1123" s="0" t="s">
        <v>4887</v>
      </c>
      <c r="R1123" s="0" t="s">
        <v>284</v>
      </c>
      <c r="S1123" s="0" t="s">
        <v>268</v>
      </c>
      <c r="T1123" s="0" t="s">
        <v>276</v>
      </c>
      <c r="U1123" s="0" t="s">
        <v>277</v>
      </c>
    </row>
    <row r="1124" customFormat="false" ht="15" hidden="false" customHeight="false" outlineLevel="0" collapsed="false">
      <c r="A1124" s="0" t="n">
        <v>97</v>
      </c>
      <c r="B1124" s="0" t="s">
        <v>151</v>
      </c>
      <c r="C1124" s="0" t="s">
        <v>530</v>
      </c>
      <c r="D1124" s="0" t="s">
        <v>4888</v>
      </c>
      <c r="E1124" s="0" t="n">
        <v>2021</v>
      </c>
      <c r="H1124" s="0" t="n">
        <v>3</v>
      </c>
      <c r="I1124" s="0" t="n">
        <v>2448</v>
      </c>
      <c r="J1124" s="0" t="s">
        <v>268</v>
      </c>
      <c r="K1124" s="0" t="s">
        <v>298</v>
      </c>
      <c r="L1124" s="0" t="s">
        <v>270</v>
      </c>
      <c r="M1124" s="0" t="s">
        <v>4889</v>
      </c>
      <c r="N1124" s="0" t="s">
        <v>4889</v>
      </c>
      <c r="O1124" s="0" t="s">
        <v>4890</v>
      </c>
      <c r="P1124" s="0" t="s">
        <v>4891</v>
      </c>
      <c r="R1124" s="0" t="s">
        <v>284</v>
      </c>
      <c r="S1124" s="0" t="s">
        <v>268</v>
      </c>
      <c r="T1124" s="0" t="s">
        <v>276</v>
      </c>
      <c r="U1124" s="0" t="s">
        <v>277</v>
      </c>
    </row>
    <row r="1125" customFormat="false" ht="15" hidden="false" customHeight="false" outlineLevel="0" collapsed="false">
      <c r="A1125" s="0" t="n">
        <v>97</v>
      </c>
      <c r="B1125" s="0" t="s">
        <v>151</v>
      </c>
      <c r="C1125" s="0" t="s">
        <v>500</v>
      </c>
      <c r="D1125" s="0" t="s">
        <v>4892</v>
      </c>
      <c r="E1125" s="0" t="n">
        <v>2020</v>
      </c>
      <c r="H1125" s="0" t="n">
        <v>1</v>
      </c>
      <c r="I1125" s="0" t="n">
        <v>174</v>
      </c>
      <c r="J1125" s="0" t="s">
        <v>290</v>
      </c>
      <c r="K1125" s="0" t="s">
        <v>298</v>
      </c>
      <c r="L1125" s="0" t="s">
        <v>270</v>
      </c>
      <c r="M1125" s="0" t="s">
        <v>4893</v>
      </c>
      <c r="N1125" s="0" t="s">
        <v>4893</v>
      </c>
      <c r="O1125" s="0" t="s">
        <v>4894</v>
      </c>
      <c r="P1125" s="0" t="s">
        <v>4895</v>
      </c>
      <c r="R1125" s="0" t="s">
        <v>284</v>
      </c>
      <c r="S1125" s="0" t="s">
        <v>268</v>
      </c>
      <c r="T1125" s="0" t="s">
        <v>276</v>
      </c>
      <c r="U1125" s="0" t="s">
        <v>277</v>
      </c>
    </row>
    <row r="1126" customFormat="false" ht="15" hidden="false" customHeight="false" outlineLevel="0" collapsed="false">
      <c r="A1126" s="0" t="n">
        <v>99</v>
      </c>
      <c r="B1126" s="0" t="s">
        <v>153</v>
      </c>
      <c r="C1126" s="0" t="s">
        <v>56</v>
      </c>
      <c r="D1126" s="0" t="s">
        <v>4896</v>
      </c>
      <c r="E1126" s="0" t="n">
        <v>2025</v>
      </c>
      <c r="H1126" s="0" t="n">
        <v>18</v>
      </c>
      <c r="I1126" s="0" t="n">
        <v>9944</v>
      </c>
      <c r="J1126" s="0" t="s">
        <v>268</v>
      </c>
      <c r="K1126" s="0" t="s">
        <v>298</v>
      </c>
      <c r="L1126" s="0" t="s">
        <v>270</v>
      </c>
      <c r="M1126" s="0" t="s">
        <v>4897</v>
      </c>
      <c r="N1126" s="0" t="s">
        <v>4897</v>
      </c>
      <c r="O1126" s="0" t="s">
        <v>4898</v>
      </c>
      <c r="P1126" s="0" t="s">
        <v>4899</v>
      </c>
      <c r="R1126" s="0" t="s">
        <v>275</v>
      </c>
      <c r="S1126" s="0" t="s">
        <v>268</v>
      </c>
      <c r="T1126" s="0" t="s">
        <v>276</v>
      </c>
      <c r="U1126" s="0" t="s">
        <v>277</v>
      </c>
    </row>
    <row r="1127" customFormat="false" ht="15" hidden="false" customHeight="false" outlineLevel="0" collapsed="false">
      <c r="A1127" s="0" t="n">
        <v>99</v>
      </c>
      <c r="B1127" s="0" t="s">
        <v>153</v>
      </c>
      <c r="C1127" s="0" t="s">
        <v>56</v>
      </c>
      <c r="D1127" s="0" t="s">
        <v>4900</v>
      </c>
      <c r="E1127" s="0" t="n">
        <v>2024</v>
      </c>
      <c r="H1127" s="0" t="n">
        <v>8</v>
      </c>
      <c r="I1127" s="0" t="n">
        <v>4876</v>
      </c>
      <c r="J1127" s="0" t="s">
        <v>268</v>
      </c>
      <c r="K1127" s="0" t="s">
        <v>298</v>
      </c>
      <c r="L1127" s="0" t="s">
        <v>270</v>
      </c>
      <c r="M1127" s="0" t="s">
        <v>4901</v>
      </c>
      <c r="N1127" s="0" t="s">
        <v>4901</v>
      </c>
      <c r="O1127" s="0" t="s">
        <v>4902</v>
      </c>
      <c r="P1127" s="0" t="s">
        <v>4903</v>
      </c>
      <c r="R1127" s="0" t="s">
        <v>284</v>
      </c>
      <c r="S1127" s="0" t="s">
        <v>290</v>
      </c>
      <c r="T1127" s="0" t="s">
        <v>276</v>
      </c>
      <c r="U1127" s="0" t="s">
        <v>277</v>
      </c>
    </row>
    <row r="1128" customFormat="false" ht="15" hidden="false" customHeight="false" outlineLevel="0" collapsed="false">
      <c r="A1128" s="0" t="n">
        <v>99</v>
      </c>
      <c r="B1128" s="0" t="s">
        <v>153</v>
      </c>
      <c r="C1128" s="0" t="s">
        <v>309</v>
      </c>
      <c r="D1128" s="0" t="s">
        <v>4904</v>
      </c>
      <c r="E1128" s="0" t="n">
        <v>2020</v>
      </c>
      <c r="H1128" s="0" t="n">
        <v>1</v>
      </c>
      <c r="I1128" s="0" t="n">
        <v>236</v>
      </c>
      <c r="J1128" s="0" t="s">
        <v>290</v>
      </c>
      <c r="K1128" s="0" t="s">
        <v>298</v>
      </c>
      <c r="L1128" s="0" t="s">
        <v>270</v>
      </c>
      <c r="M1128" s="0" t="s">
        <v>4905</v>
      </c>
      <c r="N1128" s="0" t="s">
        <v>4905</v>
      </c>
      <c r="O1128" s="0" t="s">
        <v>4906</v>
      </c>
      <c r="P1128" s="0" t="s">
        <v>4907</v>
      </c>
      <c r="R1128" s="0" t="s">
        <v>284</v>
      </c>
      <c r="S1128" s="0" t="s">
        <v>268</v>
      </c>
      <c r="T1128" s="0" t="s">
        <v>276</v>
      </c>
      <c r="U1128" s="0" t="s">
        <v>277</v>
      </c>
    </row>
    <row r="1129" customFormat="false" ht="15" hidden="false" customHeight="false" outlineLevel="0" collapsed="false">
      <c r="A1129" s="0" t="n">
        <v>99</v>
      </c>
      <c r="B1129" s="0" t="s">
        <v>153</v>
      </c>
      <c r="C1129" s="0" t="s">
        <v>887</v>
      </c>
      <c r="D1129" s="0" t="s">
        <v>4908</v>
      </c>
      <c r="E1129" s="0" t="n">
        <v>2026</v>
      </c>
      <c r="H1129" s="0" t="n">
        <v>13</v>
      </c>
      <c r="I1129" s="0" t="n">
        <v>1873</v>
      </c>
      <c r="J1129" s="0" t="s">
        <v>268</v>
      </c>
      <c r="K1129" s="0" t="s">
        <v>286</v>
      </c>
      <c r="L1129" s="0" t="s">
        <v>270</v>
      </c>
      <c r="M1129" s="0" t="s">
        <v>4909</v>
      </c>
      <c r="N1129" s="0" t="s">
        <v>4909</v>
      </c>
      <c r="O1129" s="0" t="s">
        <v>4910</v>
      </c>
      <c r="P1129" s="0" t="s">
        <v>4911</v>
      </c>
      <c r="R1129" s="0" t="s">
        <v>275</v>
      </c>
      <c r="S1129" s="0" t="s">
        <v>268</v>
      </c>
      <c r="T1129" s="0" t="s">
        <v>276</v>
      </c>
      <c r="U1129" s="0" t="s">
        <v>277</v>
      </c>
    </row>
    <row r="1130" customFormat="false" ht="15" hidden="false" customHeight="false" outlineLevel="0" collapsed="false">
      <c r="A1130" s="0" t="n">
        <v>102</v>
      </c>
      <c r="B1130" s="0" t="s">
        <v>156</v>
      </c>
      <c r="C1130" s="0" t="s">
        <v>56</v>
      </c>
      <c r="D1130" s="0" t="s">
        <v>4912</v>
      </c>
      <c r="E1130" s="0" t="n">
        <v>2019</v>
      </c>
      <c r="H1130" s="0" t="n">
        <v>2</v>
      </c>
      <c r="I1130" s="0" t="n">
        <v>152</v>
      </c>
      <c r="J1130" s="0" t="s">
        <v>268</v>
      </c>
      <c r="K1130" s="0" t="s">
        <v>298</v>
      </c>
      <c r="L1130" s="0" t="s">
        <v>270</v>
      </c>
      <c r="M1130" s="0" t="s">
        <v>4913</v>
      </c>
      <c r="N1130" s="0" t="s">
        <v>4913</v>
      </c>
      <c r="O1130" s="0" t="s">
        <v>4914</v>
      </c>
      <c r="P1130" s="0" t="s">
        <v>4915</v>
      </c>
      <c r="R1130" s="0" t="s">
        <v>284</v>
      </c>
      <c r="S1130" s="0" t="s">
        <v>268</v>
      </c>
      <c r="T1130" s="0" t="s">
        <v>276</v>
      </c>
      <c r="U1130" s="0" t="s">
        <v>277</v>
      </c>
    </row>
    <row r="1131" customFormat="false" ht="15" hidden="false" customHeight="false" outlineLevel="0" collapsed="false">
      <c r="A1131" s="0" t="n">
        <v>102</v>
      </c>
      <c r="B1131" s="0" t="s">
        <v>156</v>
      </c>
      <c r="C1131" s="0" t="s">
        <v>586</v>
      </c>
      <c r="D1131" s="0" t="s">
        <v>4916</v>
      </c>
      <c r="E1131" s="0" t="n">
        <v>2022</v>
      </c>
      <c r="H1131" s="0" t="n">
        <v>17</v>
      </c>
      <c r="I1131" s="0" t="n">
        <v>2154</v>
      </c>
      <c r="J1131" s="0" t="s">
        <v>268</v>
      </c>
      <c r="K1131" s="0" t="s">
        <v>4917</v>
      </c>
      <c r="L1131" s="0" t="s">
        <v>270</v>
      </c>
      <c r="M1131" s="0" t="s">
        <v>4918</v>
      </c>
      <c r="N1131" s="0" t="s">
        <v>4918</v>
      </c>
      <c r="O1131" s="0" t="s">
        <v>4919</v>
      </c>
      <c r="P1131" s="0" t="s">
        <v>4920</v>
      </c>
      <c r="R1131" s="0" t="s">
        <v>284</v>
      </c>
      <c r="S1131" s="0" t="s">
        <v>268</v>
      </c>
      <c r="T1131" s="0" t="s">
        <v>276</v>
      </c>
      <c r="U1131" s="0" t="s">
        <v>277</v>
      </c>
    </row>
    <row r="1132" customFormat="false" ht="15" hidden="false" customHeight="false" outlineLevel="0" collapsed="false">
      <c r="A1132" s="0" t="n">
        <v>102</v>
      </c>
      <c r="B1132" s="0" t="s">
        <v>156</v>
      </c>
      <c r="C1132" s="0" t="s">
        <v>266</v>
      </c>
      <c r="D1132" s="0" t="s">
        <v>4921</v>
      </c>
      <c r="E1132" s="0" t="n">
        <v>2023</v>
      </c>
      <c r="H1132" s="0" t="n">
        <v>5</v>
      </c>
      <c r="I1132" s="0" t="n">
        <v>6461</v>
      </c>
      <c r="J1132" s="0" t="s">
        <v>268</v>
      </c>
      <c r="K1132" s="0" t="s">
        <v>286</v>
      </c>
      <c r="L1132" s="0" t="s">
        <v>270</v>
      </c>
      <c r="M1132" s="0" t="s">
        <v>4922</v>
      </c>
      <c r="N1132" s="0" t="s">
        <v>4922</v>
      </c>
      <c r="O1132" s="0" t="s">
        <v>4923</v>
      </c>
      <c r="P1132" s="0" t="s">
        <v>4924</v>
      </c>
      <c r="R1132" s="0" t="s">
        <v>284</v>
      </c>
      <c r="S1132" s="0" t="s">
        <v>268</v>
      </c>
      <c r="T1132" s="0" t="s">
        <v>276</v>
      </c>
      <c r="U1132" s="0" t="s">
        <v>277</v>
      </c>
    </row>
    <row r="1133" customFormat="false" ht="15" hidden="false" customHeight="false" outlineLevel="0" collapsed="false">
      <c r="A1133" s="0" t="n">
        <v>102</v>
      </c>
      <c r="B1133" s="0" t="s">
        <v>156</v>
      </c>
      <c r="C1133" s="0" t="s">
        <v>489</v>
      </c>
      <c r="D1133" s="0" t="s">
        <v>4925</v>
      </c>
      <c r="E1133" s="0" t="n">
        <v>2022</v>
      </c>
      <c r="H1133" s="0" t="n">
        <v>22</v>
      </c>
      <c r="I1133" s="0" t="n">
        <v>7096</v>
      </c>
      <c r="J1133" s="0" t="s">
        <v>290</v>
      </c>
      <c r="K1133" s="0" t="s">
        <v>4917</v>
      </c>
      <c r="L1133" s="0" t="s">
        <v>270</v>
      </c>
      <c r="M1133" s="0" t="s">
        <v>4926</v>
      </c>
      <c r="N1133" s="0" t="s">
        <v>4926</v>
      </c>
      <c r="O1133" s="0" t="s">
        <v>4927</v>
      </c>
      <c r="P1133" s="0" t="s">
        <v>4928</v>
      </c>
      <c r="R1133" s="0" t="s">
        <v>284</v>
      </c>
      <c r="S1133" s="0" t="s">
        <v>268</v>
      </c>
      <c r="T1133" s="0" t="s">
        <v>276</v>
      </c>
      <c r="U1133" s="0" t="s">
        <v>277</v>
      </c>
    </row>
    <row r="1134" customFormat="false" ht="15" hidden="false" customHeight="false" outlineLevel="0" collapsed="false">
      <c r="A1134" s="0" t="n">
        <v>102</v>
      </c>
      <c r="B1134" s="0" t="s">
        <v>156</v>
      </c>
      <c r="C1134" s="0" t="s">
        <v>494</v>
      </c>
      <c r="D1134" s="0" t="s">
        <v>4929</v>
      </c>
      <c r="E1134" s="0" t="n">
        <v>2023</v>
      </c>
      <c r="H1134" s="0" t="n">
        <v>7</v>
      </c>
      <c r="I1134" s="0" t="n">
        <v>4224</v>
      </c>
      <c r="J1134" s="0" t="s">
        <v>268</v>
      </c>
      <c r="K1134" s="0" t="s">
        <v>286</v>
      </c>
      <c r="L1134" s="0" t="s">
        <v>270</v>
      </c>
      <c r="M1134" s="0" t="s">
        <v>4930</v>
      </c>
      <c r="N1134" s="0" t="s">
        <v>4930</v>
      </c>
      <c r="O1134" s="0" t="s">
        <v>4931</v>
      </c>
      <c r="P1134" s="0" t="s">
        <v>4932</v>
      </c>
      <c r="R1134" s="0" t="s">
        <v>284</v>
      </c>
      <c r="S1134" s="0" t="s">
        <v>268</v>
      </c>
      <c r="T1134" s="0" t="s">
        <v>276</v>
      </c>
      <c r="U1134" s="0" t="s">
        <v>277</v>
      </c>
    </row>
    <row r="1135" customFormat="false" ht="15" hidden="false" customHeight="false" outlineLevel="0" collapsed="false">
      <c r="A1135" s="0" t="n">
        <v>103</v>
      </c>
      <c r="B1135" s="0" t="s">
        <v>157</v>
      </c>
      <c r="C1135" s="0" t="s">
        <v>56</v>
      </c>
      <c r="D1135" s="0" t="s">
        <v>4933</v>
      </c>
      <c r="E1135" s="0" t="n">
        <v>2018</v>
      </c>
      <c r="H1135" s="0" t="n">
        <v>8</v>
      </c>
      <c r="I1135" s="0" t="n">
        <v>3133</v>
      </c>
      <c r="J1135" s="0" t="s">
        <v>268</v>
      </c>
      <c r="K1135" s="0" t="s">
        <v>298</v>
      </c>
      <c r="L1135" s="0" t="s">
        <v>270</v>
      </c>
      <c r="M1135" s="0" t="s">
        <v>4934</v>
      </c>
      <c r="N1135" s="0" t="s">
        <v>4934</v>
      </c>
      <c r="O1135" s="0" t="s">
        <v>4935</v>
      </c>
      <c r="P1135" s="0" t="s">
        <v>4936</v>
      </c>
      <c r="R1135" s="0" t="s">
        <v>284</v>
      </c>
      <c r="S1135" s="0" t="s">
        <v>268</v>
      </c>
      <c r="T1135" s="0" t="s">
        <v>276</v>
      </c>
      <c r="U1135" s="0" t="s">
        <v>277</v>
      </c>
    </row>
    <row r="1136" customFormat="false" ht="15" hidden="false" customHeight="false" outlineLevel="0" collapsed="false">
      <c r="A1136" s="0" t="n">
        <v>103</v>
      </c>
      <c r="B1136" s="0" t="s">
        <v>157</v>
      </c>
      <c r="C1136" s="0" t="s">
        <v>309</v>
      </c>
      <c r="D1136" s="0" t="s">
        <v>4937</v>
      </c>
      <c r="E1136" s="0" t="n">
        <v>2025</v>
      </c>
      <c r="H1136" s="0" t="n">
        <v>2</v>
      </c>
      <c r="I1136" s="0" t="n">
        <v>92</v>
      </c>
      <c r="J1136" s="0" t="s">
        <v>268</v>
      </c>
      <c r="K1136" s="0" t="s">
        <v>298</v>
      </c>
      <c r="L1136" s="0" t="s">
        <v>270</v>
      </c>
      <c r="M1136" s="0" t="s">
        <v>4938</v>
      </c>
      <c r="N1136" s="0" t="s">
        <v>4938</v>
      </c>
      <c r="O1136" s="0" t="s">
        <v>4939</v>
      </c>
      <c r="P1136" s="0" t="s">
        <v>4940</v>
      </c>
      <c r="R1136" s="0" t="s">
        <v>275</v>
      </c>
      <c r="S1136" s="0" t="s">
        <v>268</v>
      </c>
      <c r="T1136" s="0" t="s">
        <v>314</v>
      </c>
      <c r="U1136" s="0" t="s">
        <v>277</v>
      </c>
      <c r="V1136" s="0" t="s">
        <v>4941</v>
      </c>
    </row>
    <row r="1137" customFormat="false" ht="15" hidden="false" customHeight="false" outlineLevel="0" collapsed="false">
      <c r="A1137" s="0" t="n">
        <v>103</v>
      </c>
      <c r="B1137" s="0" t="s">
        <v>157</v>
      </c>
      <c r="C1137" s="0" t="s">
        <v>887</v>
      </c>
      <c r="D1137" s="0" t="s">
        <v>4942</v>
      </c>
      <c r="E1137" s="0" t="n">
        <v>2026</v>
      </c>
      <c r="H1137" s="0" t="n">
        <v>27</v>
      </c>
      <c r="I1137" s="0" t="n">
        <v>1585</v>
      </c>
      <c r="J1137" s="0" t="s">
        <v>268</v>
      </c>
      <c r="K1137" s="0" t="s">
        <v>286</v>
      </c>
      <c r="L1137" s="0" t="s">
        <v>270</v>
      </c>
      <c r="M1137" s="0" t="s">
        <v>4943</v>
      </c>
      <c r="N1137" s="0" t="s">
        <v>4943</v>
      </c>
      <c r="O1137" s="0" t="s">
        <v>4944</v>
      </c>
      <c r="P1137" s="0" t="s">
        <v>4945</v>
      </c>
      <c r="R1137" s="0" t="s">
        <v>275</v>
      </c>
      <c r="S1137" s="0" t="s">
        <v>268</v>
      </c>
      <c r="T1137" s="0" t="s">
        <v>276</v>
      </c>
      <c r="U1137" s="0" t="s">
        <v>277</v>
      </c>
    </row>
    <row r="1138" customFormat="false" ht="15" hidden="false" customHeight="false" outlineLevel="0" collapsed="false">
      <c r="A1138" s="0" t="n">
        <v>105</v>
      </c>
      <c r="B1138" s="0" t="s">
        <v>159</v>
      </c>
      <c r="C1138" s="0" t="s">
        <v>56</v>
      </c>
      <c r="D1138" s="0" t="s">
        <v>4946</v>
      </c>
      <c r="E1138" s="0" t="n">
        <v>2025</v>
      </c>
      <c r="H1138" s="0" t="n">
        <v>27</v>
      </c>
      <c r="I1138" s="0" t="n">
        <v>15567</v>
      </c>
      <c r="J1138" s="0" t="s">
        <v>268</v>
      </c>
      <c r="K1138" s="0" t="s">
        <v>298</v>
      </c>
      <c r="L1138" s="0" t="s">
        <v>270</v>
      </c>
      <c r="M1138" s="0" t="s">
        <v>4947</v>
      </c>
      <c r="N1138" s="0" t="s">
        <v>4947</v>
      </c>
      <c r="O1138" s="0" t="s">
        <v>4948</v>
      </c>
      <c r="P1138" s="0" t="s">
        <v>4949</v>
      </c>
      <c r="R1138" s="0" t="s">
        <v>275</v>
      </c>
      <c r="S1138" s="0" t="s">
        <v>268</v>
      </c>
      <c r="T1138" s="0" t="s">
        <v>276</v>
      </c>
      <c r="U1138" s="0" t="s">
        <v>277</v>
      </c>
    </row>
    <row r="1139" customFormat="false" ht="15" hidden="false" customHeight="false" outlineLevel="0" collapsed="false">
      <c r="A1139" s="0" t="n">
        <v>105</v>
      </c>
      <c r="B1139" s="0" t="s">
        <v>159</v>
      </c>
      <c r="C1139" s="0" t="s">
        <v>309</v>
      </c>
      <c r="D1139" s="0" t="s">
        <v>4950</v>
      </c>
      <c r="E1139" s="0" t="n">
        <v>2024</v>
      </c>
      <c r="H1139" s="0" t="n">
        <v>1</v>
      </c>
      <c r="I1139" s="0" t="n">
        <v>458</v>
      </c>
      <c r="J1139" s="0" t="s">
        <v>268</v>
      </c>
      <c r="K1139" s="0" t="s">
        <v>298</v>
      </c>
      <c r="L1139" s="0" t="s">
        <v>270</v>
      </c>
      <c r="M1139" s="0" t="s">
        <v>4951</v>
      </c>
      <c r="N1139" s="0" t="s">
        <v>4951</v>
      </c>
      <c r="O1139" s="0" t="s">
        <v>4952</v>
      </c>
      <c r="P1139" s="0" t="s">
        <v>4953</v>
      </c>
      <c r="R1139" s="0" t="s">
        <v>284</v>
      </c>
      <c r="S1139" s="0" t="s">
        <v>268</v>
      </c>
      <c r="T1139" s="0" t="s">
        <v>276</v>
      </c>
      <c r="U1139" s="0" t="s">
        <v>277</v>
      </c>
    </row>
    <row r="1140" customFormat="false" ht="15" hidden="false" customHeight="false" outlineLevel="0" collapsed="false">
      <c r="A1140" s="0" t="n">
        <v>106</v>
      </c>
      <c r="B1140" s="0" t="s">
        <v>160</v>
      </c>
      <c r="C1140" s="0" t="s">
        <v>56</v>
      </c>
      <c r="D1140" s="0" t="s">
        <v>4954</v>
      </c>
      <c r="E1140" s="0" t="n">
        <v>2021</v>
      </c>
      <c r="H1140" s="0" t="n">
        <v>13</v>
      </c>
      <c r="I1140" s="0" t="n">
        <v>1964</v>
      </c>
      <c r="J1140" s="0" t="s">
        <v>268</v>
      </c>
      <c r="K1140" s="0" t="s">
        <v>298</v>
      </c>
      <c r="L1140" s="0" t="s">
        <v>270</v>
      </c>
      <c r="M1140" s="0" t="s">
        <v>4955</v>
      </c>
      <c r="N1140" s="0" t="s">
        <v>4955</v>
      </c>
      <c r="O1140" s="0" t="s">
        <v>4956</v>
      </c>
      <c r="P1140" s="0" t="s">
        <v>4957</v>
      </c>
      <c r="R1140" s="0" t="s">
        <v>284</v>
      </c>
      <c r="S1140" s="0" t="s">
        <v>268</v>
      </c>
      <c r="T1140" s="0" t="s">
        <v>276</v>
      </c>
      <c r="U1140" s="0" t="s">
        <v>277</v>
      </c>
    </row>
    <row r="1141" customFormat="false" ht="15" hidden="false" customHeight="false" outlineLevel="0" collapsed="false">
      <c r="A1141" s="0" t="n">
        <v>106</v>
      </c>
      <c r="B1141" s="0" t="s">
        <v>160</v>
      </c>
      <c r="C1141" s="0" t="s">
        <v>309</v>
      </c>
      <c r="D1141" s="0" t="s">
        <v>4958</v>
      </c>
      <c r="E1141" s="0" t="n">
        <v>2022</v>
      </c>
      <c r="H1141" s="0" t="n">
        <v>1</v>
      </c>
      <c r="I1141" s="0" t="n">
        <v>497</v>
      </c>
      <c r="J1141" s="0" t="s">
        <v>268</v>
      </c>
      <c r="K1141" s="0" t="s">
        <v>298</v>
      </c>
      <c r="L1141" s="0" t="s">
        <v>270</v>
      </c>
      <c r="M1141" s="0" t="s">
        <v>4959</v>
      </c>
      <c r="N1141" s="0" t="s">
        <v>4959</v>
      </c>
      <c r="O1141" s="0" t="s">
        <v>4960</v>
      </c>
      <c r="P1141" s="0" t="s">
        <v>4961</v>
      </c>
      <c r="R1141" s="0" t="s">
        <v>284</v>
      </c>
      <c r="S1141" s="0" t="s">
        <v>268</v>
      </c>
      <c r="T1141" s="0" t="s">
        <v>276</v>
      </c>
      <c r="U1141" s="0" t="s">
        <v>277</v>
      </c>
    </row>
    <row r="1142" customFormat="false" ht="15" hidden="false" customHeight="false" outlineLevel="0" collapsed="false">
      <c r="A1142" s="0" t="n">
        <v>107</v>
      </c>
      <c r="B1142" s="0" t="s">
        <v>161</v>
      </c>
      <c r="C1142" s="0" t="s">
        <v>887</v>
      </c>
      <c r="D1142" s="0" t="s">
        <v>4962</v>
      </c>
      <c r="E1142" s="0" t="n">
        <v>2024</v>
      </c>
      <c r="H1142" s="0" t="n">
        <v>9</v>
      </c>
      <c r="I1142" s="0" t="n">
        <v>2810</v>
      </c>
      <c r="J1142" s="0" t="s">
        <v>268</v>
      </c>
      <c r="K1142" s="0" t="s">
        <v>286</v>
      </c>
      <c r="L1142" s="0" t="s">
        <v>270</v>
      </c>
      <c r="M1142" s="0" t="s">
        <v>4963</v>
      </c>
      <c r="N1142" s="0" t="s">
        <v>4963</v>
      </c>
      <c r="O1142" s="0" t="s">
        <v>4964</v>
      </c>
      <c r="P1142" s="0" t="s">
        <v>4965</v>
      </c>
      <c r="R1142" s="0" t="s">
        <v>284</v>
      </c>
      <c r="S1142" s="0" t="s">
        <v>268</v>
      </c>
      <c r="T1142" s="0" t="s">
        <v>276</v>
      </c>
      <c r="U1142" s="0" t="s">
        <v>277</v>
      </c>
    </row>
    <row r="1143" customFormat="false" ht="15" hidden="false" customHeight="false" outlineLevel="0" collapsed="false">
      <c r="A1143" s="0" t="n">
        <v>108</v>
      </c>
      <c r="B1143" s="0" t="s">
        <v>162</v>
      </c>
      <c r="C1143" s="0" t="s">
        <v>309</v>
      </c>
      <c r="D1143" s="0" t="s">
        <v>4966</v>
      </c>
      <c r="E1143" s="0" t="n">
        <v>2024</v>
      </c>
      <c r="H1143" s="0" t="n">
        <v>3</v>
      </c>
      <c r="I1143" s="0" t="n">
        <v>3659</v>
      </c>
      <c r="J1143" s="0" t="s">
        <v>290</v>
      </c>
      <c r="K1143" s="0" t="s">
        <v>286</v>
      </c>
      <c r="L1143" s="0" t="s">
        <v>270</v>
      </c>
      <c r="M1143" s="0" t="s">
        <v>4967</v>
      </c>
      <c r="N1143" s="0" t="s">
        <v>4967</v>
      </c>
      <c r="O1143" s="0" t="s">
        <v>4968</v>
      </c>
      <c r="P1143" s="0" t="s">
        <v>4969</v>
      </c>
      <c r="R1143" s="0" t="s">
        <v>284</v>
      </c>
      <c r="S1143" s="0" t="s">
        <v>268</v>
      </c>
      <c r="T1143" s="0" t="s">
        <v>276</v>
      </c>
      <c r="U1143" s="0" t="s">
        <v>277</v>
      </c>
    </row>
    <row r="1144" customFormat="false" ht="15" hidden="false" customHeight="false" outlineLevel="0" collapsed="false">
      <c r="A1144" s="0" t="n">
        <v>109</v>
      </c>
      <c r="B1144" s="0" t="s">
        <v>163</v>
      </c>
      <c r="C1144" s="0" t="s">
        <v>56</v>
      </c>
      <c r="D1144" s="0" t="s">
        <v>4970</v>
      </c>
      <c r="E1144" s="0" t="n">
        <v>2023</v>
      </c>
      <c r="H1144" s="0" t="n">
        <v>10</v>
      </c>
      <c r="I1144" s="0" t="n">
        <v>2186</v>
      </c>
      <c r="J1144" s="0" t="s">
        <v>268</v>
      </c>
      <c r="K1144" s="0" t="s">
        <v>298</v>
      </c>
      <c r="L1144" s="0" t="s">
        <v>270</v>
      </c>
      <c r="M1144" s="0" t="s">
        <v>4971</v>
      </c>
      <c r="N1144" s="0" t="s">
        <v>4971</v>
      </c>
      <c r="O1144" s="0" t="s">
        <v>4972</v>
      </c>
      <c r="P1144" s="0" t="s">
        <v>4973</v>
      </c>
      <c r="R1144" s="0" t="s">
        <v>284</v>
      </c>
      <c r="S1144" s="0" t="s">
        <v>268</v>
      </c>
      <c r="T1144" s="0" t="s">
        <v>276</v>
      </c>
      <c r="U1144" s="0" t="s">
        <v>277</v>
      </c>
    </row>
    <row r="1145" customFormat="false" ht="15" hidden="false" customHeight="false" outlineLevel="0" collapsed="false">
      <c r="A1145" s="0" t="n">
        <v>109</v>
      </c>
      <c r="B1145" s="0" t="s">
        <v>163</v>
      </c>
      <c r="C1145" s="0" t="s">
        <v>309</v>
      </c>
      <c r="D1145" s="0" t="s">
        <v>4974</v>
      </c>
      <c r="E1145" s="0" t="n">
        <v>2019</v>
      </c>
      <c r="H1145" s="0" t="n">
        <v>1</v>
      </c>
      <c r="I1145" s="0" t="n">
        <v>74</v>
      </c>
      <c r="J1145" s="0" t="s">
        <v>290</v>
      </c>
      <c r="K1145" s="0" t="s">
        <v>298</v>
      </c>
      <c r="L1145" s="0" t="s">
        <v>270</v>
      </c>
      <c r="M1145" s="0" t="s">
        <v>4975</v>
      </c>
      <c r="N1145" s="0" t="s">
        <v>4975</v>
      </c>
      <c r="O1145" s="0" t="s">
        <v>4976</v>
      </c>
      <c r="P1145" s="0" t="s">
        <v>4977</v>
      </c>
      <c r="R1145" s="0" t="s">
        <v>284</v>
      </c>
      <c r="S1145" s="0" t="s">
        <v>268</v>
      </c>
      <c r="T1145" s="0" t="s">
        <v>276</v>
      </c>
      <c r="U1145" s="0" t="s">
        <v>277</v>
      </c>
    </row>
    <row r="1146" customFormat="false" ht="15" hidden="false" customHeight="false" outlineLevel="0" collapsed="false">
      <c r="A1146" s="0" t="n">
        <v>111</v>
      </c>
      <c r="B1146" s="0" t="s">
        <v>165</v>
      </c>
      <c r="C1146" s="0" t="s">
        <v>56</v>
      </c>
      <c r="D1146" s="0" t="s">
        <v>4978</v>
      </c>
      <c r="E1146" s="0" t="n">
        <v>2020</v>
      </c>
      <c r="H1146" s="0" t="n">
        <v>6</v>
      </c>
      <c r="I1146" s="0" t="n">
        <v>4312</v>
      </c>
      <c r="J1146" s="0" t="s">
        <v>268</v>
      </c>
      <c r="K1146" s="0" t="s">
        <v>298</v>
      </c>
      <c r="L1146" s="0" t="s">
        <v>270</v>
      </c>
      <c r="M1146" s="0" t="s">
        <v>4979</v>
      </c>
      <c r="N1146" s="0" t="s">
        <v>4979</v>
      </c>
      <c r="O1146" s="0" t="s">
        <v>4980</v>
      </c>
      <c r="P1146" s="0" t="s">
        <v>4981</v>
      </c>
      <c r="R1146" s="0" t="s">
        <v>284</v>
      </c>
      <c r="S1146" s="0" t="s">
        <v>268</v>
      </c>
      <c r="T1146" s="0" t="s">
        <v>276</v>
      </c>
      <c r="U1146" s="0" t="s">
        <v>277</v>
      </c>
    </row>
    <row r="1147" customFormat="false" ht="15" hidden="false" customHeight="false" outlineLevel="0" collapsed="false">
      <c r="A1147" s="0" t="n">
        <v>111</v>
      </c>
      <c r="B1147" s="0" t="s">
        <v>165</v>
      </c>
      <c r="C1147" s="0" t="s">
        <v>309</v>
      </c>
      <c r="D1147" s="0" t="s">
        <v>4982</v>
      </c>
      <c r="E1147" s="0" t="n">
        <v>2019</v>
      </c>
      <c r="H1147" s="0" t="n">
        <v>1</v>
      </c>
      <c r="I1147" s="0" t="n">
        <v>527</v>
      </c>
      <c r="J1147" s="0" t="s">
        <v>290</v>
      </c>
      <c r="K1147" s="0" t="s">
        <v>298</v>
      </c>
      <c r="L1147" s="0" t="s">
        <v>270</v>
      </c>
      <c r="M1147" s="0" t="s">
        <v>4983</v>
      </c>
      <c r="N1147" s="0" t="s">
        <v>4983</v>
      </c>
      <c r="O1147" s="0" t="s">
        <v>4984</v>
      </c>
      <c r="P1147" s="0" t="s">
        <v>4985</v>
      </c>
      <c r="R1147" s="0" t="s">
        <v>284</v>
      </c>
      <c r="S1147" s="0" t="s">
        <v>268</v>
      </c>
      <c r="T1147" s="0" t="s">
        <v>314</v>
      </c>
      <c r="U1147" s="0" t="s">
        <v>277</v>
      </c>
      <c r="V1147" s="0" t="s">
        <v>4986</v>
      </c>
    </row>
    <row r="1148" customFormat="false" ht="15" hidden="false" customHeight="false" outlineLevel="0" collapsed="false">
      <c r="A1148" s="0" t="n">
        <v>112</v>
      </c>
      <c r="B1148" s="0" t="s">
        <v>166</v>
      </c>
      <c r="C1148" s="0" t="s">
        <v>56</v>
      </c>
      <c r="D1148" s="0" t="s">
        <v>4987</v>
      </c>
      <c r="E1148" s="0" t="n">
        <v>2020</v>
      </c>
      <c r="H1148" s="0" t="n">
        <v>2</v>
      </c>
      <c r="I1148" s="0" t="n">
        <v>2913</v>
      </c>
      <c r="J1148" s="0" t="s">
        <v>268</v>
      </c>
      <c r="K1148" s="0" t="s">
        <v>298</v>
      </c>
      <c r="L1148" s="0" t="s">
        <v>270</v>
      </c>
      <c r="M1148" s="0" t="s">
        <v>4988</v>
      </c>
      <c r="N1148" s="0" t="s">
        <v>4988</v>
      </c>
      <c r="O1148" s="0" t="s">
        <v>4989</v>
      </c>
      <c r="P1148" s="0" t="s">
        <v>4990</v>
      </c>
      <c r="R1148" s="0" t="s">
        <v>284</v>
      </c>
      <c r="S1148" s="0" t="s">
        <v>268</v>
      </c>
      <c r="T1148" s="0" t="s">
        <v>276</v>
      </c>
      <c r="U1148" s="0" t="s">
        <v>277</v>
      </c>
    </row>
    <row r="1149" customFormat="false" ht="15" hidden="false" customHeight="false" outlineLevel="0" collapsed="false">
      <c r="A1149" s="0" t="n">
        <v>112</v>
      </c>
      <c r="B1149" s="0" t="s">
        <v>166</v>
      </c>
      <c r="C1149" s="0" t="s">
        <v>309</v>
      </c>
      <c r="D1149" s="0" t="s">
        <v>4991</v>
      </c>
      <c r="E1149" s="0" t="n">
        <v>2020</v>
      </c>
      <c r="H1149" s="0" t="n">
        <v>1</v>
      </c>
      <c r="I1149" s="0" t="n">
        <v>3099</v>
      </c>
      <c r="J1149" s="0" t="s">
        <v>290</v>
      </c>
      <c r="K1149" s="0" t="s">
        <v>298</v>
      </c>
      <c r="L1149" s="0" t="s">
        <v>270</v>
      </c>
      <c r="M1149" s="0" t="s">
        <v>4992</v>
      </c>
      <c r="N1149" s="0" t="s">
        <v>4992</v>
      </c>
      <c r="O1149" s="0" t="s">
        <v>4993</v>
      </c>
      <c r="P1149" s="0" t="s">
        <v>4994</v>
      </c>
      <c r="R1149" s="0" t="s">
        <v>284</v>
      </c>
      <c r="S1149" s="0" t="s">
        <v>268</v>
      </c>
      <c r="T1149" s="0" t="s">
        <v>276</v>
      </c>
      <c r="U1149" s="0" t="s">
        <v>277</v>
      </c>
    </row>
    <row r="1150" customFormat="false" ht="15" hidden="false" customHeight="false" outlineLevel="0" collapsed="false">
      <c r="A1150" s="0" t="n">
        <v>115</v>
      </c>
      <c r="B1150" s="0" t="s">
        <v>169</v>
      </c>
      <c r="C1150" s="0" t="s">
        <v>309</v>
      </c>
      <c r="D1150" s="0" t="s">
        <v>4995</v>
      </c>
      <c r="E1150" s="0" t="n">
        <v>2025</v>
      </c>
      <c r="H1150" s="0" t="n">
        <v>1</v>
      </c>
      <c r="I1150" s="0" t="n">
        <v>5174</v>
      </c>
      <c r="J1150" s="0" t="s">
        <v>268</v>
      </c>
      <c r="K1150" s="0" t="s">
        <v>298</v>
      </c>
      <c r="L1150" s="0" t="s">
        <v>270</v>
      </c>
      <c r="M1150" s="0" t="s">
        <v>4996</v>
      </c>
      <c r="N1150" s="0" t="s">
        <v>4996</v>
      </c>
      <c r="O1150" s="0" t="s">
        <v>4997</v>
      </c>
      <c r="P1150" s="0" t="s">
        <v>4998</v>
      </c>
      <c r="R1150" s="0" t="s">
        <v>275</v>
      </c>
      <c r="S1150" s="0" t="s">
        <v>268</v>
      </c>
      <c r="T1150" s="0" t="s">
        <v>276</v>
      </c>
      <c r="U1150" s="0" t="s">
        <v>277</v>
      </c>
    </row>
    <row r="1151" customFormat="false" ht="15" hidden="false" customHeight="false" outlineLevel="0" collapsed="false">
      <c r="A1151" s="0" t="n">
        <v>115</v>
      </c>
      <c r="B1151" s="0" t="s">
        <v>169</v>
      </c>
      <c r="C1151" s="0" t="s">
        <v>309</v>
      </c>
      <c r="D1151" s="0" t="s">
        <v>4999</v>
      </c>
      <c r="E1151" s="0" t="n">
        <v>2019</v>
      </c>
      <c r="H1151" s="0" t="n">
        <v>1</v>
      </c>
      <c r="I1151" s="0" t="n">
        <v>2409</v>
      </c>
      <c r="J1151" s="0" t="s">
        <v>290</v>
      </c>
      <c r="K1151" s="0" t="s">
        <v>298</v>
      </c>
      <c r="L1151" s="0" t="s">
        <v>270</v>
      </c>
      <c r="M1151" s="0" t="s">
        <v>5000</v>
      </c>
      <c r="N1151" s="0" t="s">
        <v>5000</v>
      </c>
      <c r="O1151" s="0" t="s">
        <v>5001</v>
      </c>
      <c r="P1151" s="0" t="s">
        <v>5002</v>
      </c>
      <c r="R1151" s="0" t="s">
        <v>284</v>
      </c>
      <c r="S1151" s="0" t="s">
        <v>290</v>
      </c>
      <c r="T1151" s="0" t="s">
        <v>276</v>
      </c>
      <c r="U1151" s="0" t="s">
        <v>277</v>
      </c>
    </row>
    <row r="1152" customFormat="false" ht="15" hidden="false" customHeight="false" outlineLevel="0" collapsed="false">
      <c r="A1152" s="0" t="n">
        <v>115</v>
      </c>
      <c r="B1152" s="0" t="s">
        <v>169</v>
      </c>
      <c r="C1152" s="0" t="s">
        <v>489</v>
      </c>
      <c r="D1152" s="0" t="s">
        <v>5003</v>
      </c>
      <c r="E1152" s="0" t="n">
        <v>2025</v>
      </c>
      <c r="H1152" s="0" t="n">
        <v>11</v>
      </c>
      <c r="I1152" s="0" t="n">
        <v>5401</v>
      </c>
      <c r="J1152" s="0" t="s">
        <v>268</v>
      </c>
      <c r="K1152" s="0" t="s">
        <v>298</v>
      </c>
      <c r="L1152" s="0" t="s">
        <v>270</v>
      </c>
      <c r="M1152" s="0" t="s">
        <v>5004</v>
      </c>
      <c r="N1152" s="0" t="s">
        <v>5004</v>
      </c>
      <c r="O1152" s="0" t="s">
        <v>5005</v>
      </c>
      <c r="P1152" s="0" t="s">
        <v>5006</v>
      </c>
      <c r="R1152" s="0" t="s">
        <v>275</v>
      </c>
      <c r="S1152" s="0" t="s">
        <v>268</v>
      </c>
      <c r="T1152" s="0" t="s">
        <v>276</v>
      </c>
      <c r="U1152" s="0" t="s">
        <v>277</v>
      </c>
    </row>
    <row r="1153" customFormat="false" ht="15" hidden="false" customHeight="false" outlineLevel="0" collapsed="false">
      <c r="A1153" s="0" t="n">
        <v>115</v>
      </c>
      <c r="B1153" s="0" t="s">
        <v>169</v>
      </c>
      <c r="C1153" s="0" t="s">
        <v>489</v>
      </c>
      <c r="D1153" s="0" t="s">
        <v>5007</v>
      </c>
      <c r="E1153" s="0" t="n">
        <v>2025</v>
      </c>
      <c r="H1153" s="0" t="n">
        <v>11</v>
      </c>
      <c r="I1153" s="0" t="n">
        <v>8597</v>
      </c>
      <c r="J1153" s="0" t="s">
        <v>268</v>
      </c>
      <c r="K1153" s="0" t="s">
        <v>298</v>
      </c>
      <c r="L1153" s="0" t="s">
        <v>270</v>
      </c>
      <c r="M1153" s="0" t="s">
        <v>5008</v>
      </c>
      <c r="N1153" s="0" t="s">
        <v>5008</v>
      </c>
      <c r="O1153" s="0" t="s">
        <v>5009</v>
      </c>
      <c r="P1153" s="0" t="s">
        <v>5010</v>
      </c>
      <c r="R1153" s="0" t="s">
        <v>275</v>
      </c>
      <c r="S1153" s="0" t="s">
        <v>290</v>
      </c>
      <c r="T1153" s="0" t="s">
        <v>276</v>
      </c>
      <c r="U1153" s="0" t="s">
        <v>277</v>
      </c>
    </row>
    <row r="1154" customFormat="false" ht="15" hidden="false" customHeight="false" outlineLevel="0" collapsed="false">
      <c r="A1154" s="0" t="n">
        <v>116</v>
      </c>
      <c r="B1154" s="0" t="s">
        <v>170</v>
      </c>
      <c r="C1154" s="0" t="s">
        <v>56</v>
      </c>
      <c r="D1154" s="0" t="s">
        <v>5011</v>
      </c>
      <c r="E1154" s="0" t="n">
        <v>2022</v>
      </c>
      <c r="H1154" s="0" t="n">
        <v>16</v>
      </c>
      <c r="I1154" s="0" t="n">
        <v>4721</v>
      </c>
      <c r="J1154" s="0" t="s">
        <v>290</v>
      </c>
      <c r="K1154" s="0" t="s">
        <v>298</v>
      </c>
      <c r="L1154" s="0" t="s">
        <v>270</v>
      </c>
      <c r="M1154" s="0" t="s">
        <v>5012</v>
      </c>
      <c r="N1154" s="0" t="s">
        <v>5012</v>
      </c>
      <c r="O1154" s="0" t="s">
        <v>5013</v>
      </c>
      <c r="P1154" s="0" t="s">
        <v>5014</v>
      </c>
      <c r="R1154" s="0" t="s">
        <v>284</v>
      </c>
      <c r="S1154" s="0" t="s">
        <v>268</v>
      </c>
      <c r="T1154" s="0" t="s">
        <v>276</v>
      </c>
      <c r="U1154" s="0" t="s">
        <v>277</v>
      </c>
    </row>
    <row r="1155" customFormat="false" ht="15" hidden="false" customHeight="false" outlineLevel="0" collapsed="false">
      <c r="A1155" s="0" t="n">
        <v>116</v>
      </c>
      <c r="B1155" s="0" t="s">
        <v>170</v>
      </c>
      <c r="C1155" s="0" t="s">
        <v>91</v>
      </c>
      <c r="D1155" s="0" t="s">
        <v>5015</v>
      </c>
      <c r="E1155" s="0" t="n">
        <v>2025</v>
      </c>
      <c r="H1155" s="0" t="n">
        <v>10</v>
      </c>
      <c r="I1155" s="0" t="n">
        <v>2998</v>
      </c>
      <c r="J1155" s="0" t="s">
        <v>268</v>
      </c>
      <c r="K1155" s="0" t="s">
        <v>4253</v>
      </c>
      <c r="L1155" s="0" t="s">
        <v>1697</v>
      </c>
      <c r="M1155" s="0" t="s">
        <v>5016</v>
      </c>
      <c r="N1155" s="0" t="s">
        <v>5016</v>
      </c>
      <c r="O1155" s="0" t="s">
        <v>5017</v>
      </c>
      <c r="P1155" s="0" t="s">
        <v>5018</v>
      </c>
      <c r="R1155" s="0" t="s">
        <v>275</v>
      </c>
      <c r="S1155" s="0" t="s">
        <v>268</v>
      </c>
      <c r="T1155" s="0" t="s">
        <v>276</v>
      </c>
      <c r="U1155" s="0" t="s">
        <v>277</v>
      </c>
    </row>
    <row r="1156" customFormat="false" ht="15" hidden="false" customHeight="false" outlineLevel="0" collapsed="false">
      <c r="A1156" s="0" t="n">
        <v>116</v>
      </c>
      <c r="B1156" s="0" t="s">
        <v>170</v>
      </c>
      <c r="C1156" s="0" t="s">
        <v>91</v>
      </c>
      <c r="D1156" s="0" t="s">
        <v>5019</v>
      </c>
      <c r="E1156" s="0" t="n">
        <v>2025</v>
      </c>
      <c r="H1156" s="0" t="n">
        <v>10</v>
      </c>
      <c r="I1156" s="0" t="n">
        <v>3140</v>
      </c>
      <c r="J1156" s="0" t="s">
        <v>268</v>
      </c>
      <c r="K1156" s="0" t="s">
        <v>4253</v>
      </c>
      <c r="L1156" s="0" t="s">
        <v>1697</v>
      </c>
      <c r="M1156" s="0" t="s">
        <v>5020</v>
      </c>
      <c r="N1156" s="0" t="s">
        <v>5020</v>
      </c>
      <c r="O1156" s="0" t="s">
        <v>5021</v>
      </c>
      <c r="P1156" s="0" t="s">
        <v>5022</v>
      </c>
      <c r="R1156" s="0" t="s">
        <v>275</v>
      </c>
      <c r="S1156" s="0" t="s">
        <v>290</v>
      </c>
      <c r="T1156" s="0" t="s">
        <v>276</v>
      </c>
      <c r="U1156" s="0" t="s">
        <v>277</v>
      </c>
    </row>
    <row r="1157" customFormat="false" ht="15" hidden="false" customHeight="false" outlineLevel="0" collapsed="false">
      <c r="A1157" s="0" t="n">
        <v>116</v>
      </c>
      <c r="B1157" s="0" t="s">
        <v>170</v>
      </c>
      <c r="C1157" s="0" t="s">
        <v>91</v>
      </c>
      <c r="D1157" s="0" t="s">
        <v>5023</v>
      </c>
      <c r="E1157" s="0" t="n">
        <v>2024</v>
      </c>
      <c r="H1157" s="0" t="n">
        <v>10</v>
      </c>
      <c r="I1157" s="0" t="n">
        <v>3047</v>
      </c>
      <c r="J1157" s="0" t="s">
        <v>268</v>
      </c>
      <c r="K1157" s="0" t="s">
        <v>4253</v>
      </c>
      <c r="L1157" s="0" t="s">
        <v>1697</v>
      </c>
      <c r="M1157" s="0" t="s">
        <v>5024</v>
      </c>
      <c r="N1157" s="0" t="s">
        <v>5024</v>
      </c>
      <c r="O1157" s="0" t="s">
        <v>5025</v>
      </c>
      <c r="P1157" s="0" t="s">
        <v>5026</v>
      </c>
      <c r="R1157" s="0" t="s">
        <v>284</v>
      </c>
      <c r="S1157" s="0" t="s">
        <v>290</v>
      </c>
      <c r="T1157" s="0" t="s">
        <v>276</v>
      </c>
      <c r="U1157" s="0" t="s">
        <v>277</v>
      </c>
    </row>
    <row r="1158" customFormat="false" ht="15" hidden="false" customHeight="false" outlineLevel="0" collapsed="false">
      <c r="A1158" s="0" t="n">
        <v>116</v>
      </c>
      <c r="B1158" s="0" t="s">
        <v>170</v>
      </c>
      <c r="C1158" s="0" t="s">
        <v>309</v>
      </c>
      <c r="D1158" s="0" t="s">
        <v>5027</v>
      </c>
      <c r="E1158" s="0" t="n">
        <v>2024</v>
      </c>
      <c r="H1158" s="0" t="n">
        <v>1</v>
      </c>
      <c r="I1158" s="0" t="n">
        <v>1130</v>
      </c>
      <c r="J1158" s="0" t="s">
        <v>268</v>
      </c>
      <c r="K1158" s="0" t="s">
        <v>4253</v>
      </c>
      <c r="L1158" s="0" t="s">
        <v>1697</v>
      </c>
      <c r="M1158" s="0" t="s">
        <v>5028</v>
      </c>
      <c r="N1158" s="0" t="s">
        <v>5028</v>
      </c>
      <c r="O1158" s="0" t="s">
        <v>5029</v>
      </c>
      <c r="P1158" s="0" t="s">
        <v>5030</v>
      </c>
      <c r="R1158" s="0" t="s">
        <v>284</v>
      </c>
      <c r="S1158" s="0" t="s">
        <v>268</v>
      </c>
      <c r="T1158" s="0" t="s">
        <v>276</v>
      </c>
      <c r="U1158" s="0" t="s">
        <v>277</v>
      </c>
    </row>
    <row r="1159" customFormat="false" ht="15" hidden="false" customHeight="false" outlineLevel="0" collapsed="false">
      <c r="A1159" s="0" t="n">
        <v>116</v>
      </c>
      <c r="B1159" s="0" t="s">
        <v>170</v>
      </c>
      <c r="C1159" s="0" t="s">
        <v>309</v>
      </c>
      <c r="D1159" s="0" t="s">
        <v>5031</v>
      </c>
      <c r="E1159" s="0" t="n">
        <v>2022</v>
      </c>
      <c r="H1159" s="0" t="n">
        <v>1</v>
      </c>
      <c r="I1159" s="0" t="n">
        <v>557</v>
      </c>
      <c r="J1159" s="0" t="s">
        <v>290</v>
      </c>
      <c r="K1159" s="0" t="s">
        <v>298</v>
      </c>
      <c r="L1159" s="0" t="s">
        <v>270</v>
      </c>
      <c r="M1159" s="0" t="s">
        <v>5032</v>
      </c>
      <c r="N1159" s="0" t="s">
        <v>5032</v>
      </c>
      <c r="O1159" s="0" t="s">
        <v>5033</v>
      </c>
      <c r="P1159" s="0" t="s">
        <v>5034</v>
      </c>
      <c r="R1159" s="0" t="s">
        <v>284</v>
      </c>
      <c r="S1159" s="0" t="s">
        <v>290</v>
      </c>
      <c r="T1159" s="0" t="s">
        <v>276</v>
      </c>
      <c r="U1159" s="0" t="s">
        <v>277</v>
      </c>
    </row>
    <row r="1160" customFormat="false" ht="15" hidden="false" customHeight="false" outlineLevel="0" collapsed="false">
      <c r="A1160" s="0" t="n">
        <v>116</v>
      </c>
      <c r="B1160" s="0" t="s">
        <v>170</v>
      </c>
      <c r="C1160" s="0" t="s">
        <v>1046</v>
      </c>
      <c r="D1160" s="0" t="s">
        <v>5035</v>
      </c>
      <c r="E1160" s="0" t="n">
        <v>2024</v>
      </c>
      <c r="H1160" s="0" t="n">
        <v>13</v>
      </c>
      <c r="I1160" s="0" t="n">
        <v>2584</v>
      </c>
      <c r="J1160" s="0" t="s">
        <v>268</v>
      </c>
      <c r="K1160" s="0" t="s">
        <v>4253</v>
      </c>
      <c r="L1160" s="0" t="s">
        <v>1697</v>
      </c>
      <c r="M1160" s="0" t="s">
        <v>5036</v>
      </c>
      <c r="N1160" s="0" t="s">
        <v>5036</v>
      </c>
      <c r="O1160" s="0" t="s">
        <v>5037</v>
      </c>
      <c r="P1160" s="0" t="s">
        <v>5038</v>
      </c>
      <c r="R1160" s="0" t="s">
        <v>284</v>
      </c>
      <c r="S1160" s="0" t="s">
        <v>268</v>
      </c>
      <c r="T1160" s="0" t="s">
        <v>276</v>
      </c>
      <c r="U1160" s="0" t="s">
        <v>277</v>
      </c>
    </row>
    <row r="1161" customFormat="false" ht="15" hidden="false" customHeight="false" outlineLevel="0" collapsed="false">
      <c r="A1161" s="0" t="n">
        <v>116</v>
      </c>
      <c r="B1161" s="0" t="s">
        <v>170</v>
      </c>
      <c r="C1161" s="0" t="s">
        <v>586</v>
      </c>
      <c r="D1161" s="0" t="s">
        <v>5039</v>
      </c>
      <c r="E1161" s="0" t="n">
        <v>2026</v>
      </c>
      <c r="H1161" s="0" t="n">
        <v>23</v>
      </c>
      <c r="I1161" s="0" t="n">
        <v>38534</v>
      </c>
      <c r="J1161" s="0" t="s">
        <v>290</v>
      </c>
      <c r="K1161" s="0" t="s">
        <v>4253</v>
      </c>
      <c r="L1161" s="0" t="s">
        <v>1697</v>
      </c>
      <c r="M1161" s="0" t="s">
        <v>5040</v>
      </c>
      <c r="N1161" s="0" t="s">
        <v>5040</v>
      </c>
      <c r="O1161" s="0" t="s">
        <v>5041</v>
      </c>
      <c r="P1161" s="0" t="s">
        <v>5042</v>
      </c>
      <c r="R1161" s="0" t="s">
        <v>275</v>
      </c>
      <c r="S1161" s="0" t="s">
        <v>268</v>
      </c>
      <c r="T1161" s="0" t="s">
        <v>276</v>
      </c>
      <c r="U1161" s="0" t="s">
        <v>277</v>
      </c>
    </row>
    <row r="1162" customFormat="false" ht="15" hidden="false" customHeight="false" outlineLevel="0" collapsed="false">
      <c r="A1162" s="0" t="n">
        <v>116</v>
      </c>
      <c r="B1162" s="0" t="s">
        <v>170</v>
      </c>
      <c r="C1162" s="0" t="s">
        <v>586</v>
      </c>
      <c r="D1162" s="0" t="s">
        <v>5043</v>
      </c>
      <c r="E1162" s="0" t="n">
        <v>2025</v>
      </c>
      <c r="H1162" s="0" t="n">
        <v>1</v>
      </c>
      <c r="I1162" s="0" t="n">
        <v>436</v>
      </c>
      <c r="J1162" s="0" t="s">
        <v>268</v>
      </c>
      <c r="K1162" s="0" t="s">
        <v>4253</v>
      </c>
      <c r="L1162" s="0" t="s">
        <v>1697</v>
      </c>
      <c r="M1162" s="0" t="s">
        <v>5044</v>
      </c>
      <c r="N1162" s="0" t="s">
        <v>5044</v>
      </c>
      <c r="O1162" s="0" t="s">
        <v>5045</v>
      </c>
      <c r="P1162" s="0" t="s">
        <v>5046</v>
      </c>
      <c r="R1162" s="0" t="s">
        <v>275</v>
      </c>
      <c r="S1162" s="0" t="s">
        <v>290</v>
      </c>
      <c r="T1162" s="0" t="s">
        <v>276</v>
      </c>
      <c r="U1162" s="0" t="s">
        <v>277</v>
      </c>
    </row>
    <row r="1163" customFormat="false" ht="15" hidden="false" customHeight="false" outlineLevel="0" collapsed="false">
      <c r="A1163" s="0" t="n">
        <v>116</v>
      </c>
      <c r="B1163" s="0" t="s">
        <v>170</v>
      </c>
      <c r="C1163" s="0" t="s">
        <v>586</v>
      </c>
      <c r="D1163" s="0" t="s">
        <v>5047</v>
      </c>
      <c r="E1163" s="0" t="n">
        <v>2024</v>
      </c>
      <c r="H1163" s="0" t="n">
        <v>19</v>
      </c>
      <c r="I1163" s="0" t="n">
        <v>2724</v>
      </c>
      <c r="J1163" s="0" t="s">
        <v>268</v>
      </c>
      <c r="K1163" s="0" t="s">
        <v>4253</v>
      </c>
      <c r="L1163" s="0" t="s">
        <v>1697</v>
      </c>
      <c r="M1163" s="0" t="s">
        <v>5048</v>
      </c>
      <c r="N1163" s="0" t="s">
        <v>5048</v>
      </c>
      <c r="O1163" s="0" t="s">
        <v>5049</v>
      </c>
      <c r="P1163" s="0" t="s">
        <v>5050</v>
      </c>
      <c r="R1163" s="0" t="s">
        <v>284</v>
      </c>
      <c r="S1163" s="0" t="s">
        <v>290</v>
      </c>
      <c r="T1163" s="0" t="s">
        <v>276</v>
      </c>
      <c r="U1163" s="0" t="s">
        <v>277</v>
      </c>
    </row>
    <row r="1164" customFormat="false" ht="15" hidden="false" customHeight="false" outlineLevel="0" collapsed="false">
      <c r="A1164" s="0" t="n">
        <v>116</v>
      </c>
      <c r="B1164" s="0" t="s">
        <v>170</v>
      </c>
      <c r="C1164" s="0" t="s">
        <v>266</v>
      </c>
      <c r="D1164" s="0" t="s">
        <v>5051</v>
      </c>
      <c r="E1164" s="0" t="n">
        <v>2026</v>
      </c>
      <c r="H1164" s="0" t="n">
        <v>11</v>
      </c>
      <c r="I1164" s="0" t="n">
        <v>303</v>
      </c>
      <c r="J1164" s="0" t="s">
        <v>268</v>
      </c>
      <c r="K1164" s="0" t="s">
        <v>4253</v>
      </c>
      <c r="L1164" s="0" t="s">
        <v>1697</v>
      </c>
      <c r="M1164" s="0" t="s">
        <v>5052</v>
      </c>
      <c r="N1164" s="0" t="s">
        <v>5053</v>
      </c>
      <c r="O1164" s="0" t="s">
        <v>5054</v>
      </c>
      <c r="P1164" s="0" t="s">
        <v>5055</v>
      </c>
      <c r="R1164" s="0" t="s">
        <v>275</v>
      </c>
      <c r="S1164" s="0" t="s">
        <v>290</v>
      </c>
      <c r="T1164" s="0" t="s">
        <v>276</v>
      </c>
      <c r="U1164" s="0" t="s">
        <v>277</v>
      </c>
    </row>
    <row r="1165" customFormat="false" ht="15" hidden="false" customHeight="false" outlineLevel="0" collapsed="false">
      <c r="A1165" s="0" t="n">
        <v>116</v>
      </c>
      <c r="B1165" s="0" t="s">
        <v>170</v>
      </c>
      <c r="C1165" s="0" t="s">
        <v>266</v>
      </c>
      <c r="D1165" s="0" t="s">
        <v>5056</v>
      </c>
      <c r="E1165" s="0" t="n">
        <v>2026</v>
      </c>
      <c r="H1165" s="0" t="n">
        <v>15</v>
      </c>
      <c r="I1165" s="0" t="n">
        <v>364</v>
      </c>
      <c r="J1165" s="0" t="s">
        <v>268</v>
      </c>
      <c r="K1165" s="0" t="s">
        <v>4253</v>
      </c>
      <c r="L1165" s="0" t="s">
        <v>1697</v>
      </c>
      <c r="M1165" s="0" t="s">
        <v>5057</v>
      </c>
      <c r="N1165" s="0" t="s">
        <v>5057</v>
      </c>
      <c r="O1165" s="0" t="s">
        <v>5058</v>
      </c>
      <c r="P1165" s="0" t="s">
        <v>5059</v>
      </c>
      <c r="R1165" s="0" t="s">
        <v>275</v>
      </c>
      <c r="S1165" s="0" t="s">
        <v>268</v>
      </c>
      <c r="T1165" s="0" t="s">
        <v>276</v>
      </c>
      <c r="U1165" s="0" t="s">
        <v>277</v>
      </c>
    </row>
    <row r="1166" customFormat="false" ht="15" hidden="false" customHeight="false" outlineLevel="0" collapsed="false">
      <c r="A1166" s="0" t="n">
        <v>116</v>
      </c>
      <c r="B1166" s="0" t="s">
        <v>170</v>
      </c>
      <c r="C1166" s="0" t="s">
        <v>266</v>
      </c>
      <c r="D1166" s="0" t="s">
        <v>5060</v>
      </c>
      <c r="E1166" s="0" t="n">
        <v>2026</v>
      </c>
      <c r="H1166" s="0" t="n">
        <v>1</v>
      </c>
      <c r="I1166" s="0" t="n">
        <v>5772</v>
      </c>
      <c r="J1166" s="0" t="s">
        <v>268</v>
      </c>
      <c r="K1166" s="0" t="s">
        <v>4253</v>
      </c>
      <c r="L1166" s="0" t="s">
        <v>1697</v>
      </c>
      <c r="M1166" s="0" t="s">
        <v>5061</v>
      </c>
      <c r="N1166" s="0" t="s">
        <v>5061</v>
      </c>
      <c r="O1166" s="0" t="s">
        <v>5062</v>
      </c>
      <c r="P1166" s="0" t="s">
        <v>5063</v>
      </c>
      <c r="R1166" s="0" t="s">
        <v>275</v>
      </c>
      <c r="S1166" s="0" t="s">
        <v>290</v>
      </c>
      <c r="T1166" s="0" t="s">
        <v>276</v>
      </c>
      <c r="U1166" s="0" t="s">
        <v>277</v>
      </c>
    </row>
    <row r="1167" customFormat="false" ht="15" hidden="false" customHeight="false" outlineLevel="0" collapsed="false">
      <c r="A1167" s="0" t="n">
        <v>116</v>
      </c>
      <c r="B1167" s="0" t="s">
        <v>170</v>
      </c>
      <c r="C1167" s="0" t="s">
        <v>266</v>
      </c>
      <c r="D1167" s="0" t="s">
        <v>5064</v>
      </c>
      <c r="E1167" s="0" t="n">
        <v>2026</v>
      </c>
      <c r="H1167" s="0" t="n">
        <v>14</v>
      </c>
      <c r="I1167" s="0" t="n">
        <v>1298</v>
      </c>
      <c r="J1167" s="0" t="s">
        <v>268</v>
      </c>
      <c r="K1167" s="0" t="s">
        <v>4253</v>
      </c>
      <c r="L1167" s="0" t="s">
        <v>1697</v>
      </c>
      <c r="M1167" s="0" t="s">
        <v>5065</v>
      </c>
      <c r="N1167" s="0" t="s">
        <v>5065</v>
      </c>
      <c r="O1167" s="0" t="s">
        <v>5066</v>
      </c>
      <c r="P1167" s="0" t="s">
        <v>5067</v>
      </c>
      <c r="R1167" s="0" t="s">
        <v>275</v>
      </c>
      <c r="S1167" s="0" t="s">
        <v>290</v>
      </c>
      <c r="T1167" s="0" t="s">
        <v>276</v>
      </c>
      <c r="U1167" s="0" t="s">
        <v>277</v>
      </c>
    </row>
    <row r="1168" customFormat="false" ht="15" hidden="false" customHeight="false" outlineLevel="0" collapsed="false">
      <c r="A1168" s="0" t="n">
        <v>116</v>
      </c>
      <c r="B1168" s="0" t="s">
        <v>170</v>
      </c>
      <c r="C1168" s="0" t="s">
        <v>266</v>
      </c>
      <c r="D1168" s="0" t="s">
        <v>5068</v>
      </c>
      <c r="E1168" s="0" t="n">
        <v>2025</v>
      </c>
      <c r="H1168" s="0" t="n">
        <v>8</v>
      </c>
      <c r="I1168" s="0" t="n">
        <v>3717</v>
      </c>
      <c r="J1168" s="0" t="s">
        <v>268</v>
      </c>
      <c r="K1168" s="0" t="s">
        <v>4253</v>
      </c>
      <c r="L1168" s="0" t="s">
        <v>1697</v>
      </c>
      <c r="M1168" s="0" t="s">
        <v>5069</v>
      </c>
      <c r="N1168" s="0" t="s">
        <v>5069</v>
      </c>
      <c r="O1168" s="0" t="s">
        <v>5070</v>
      </c>
      <c r="P1168" s="0" t="s">
        <v>5071</v>
      </c>
      <c r="R1168" s="0" t="s">
        <v>275</v>
      </c>
      <c r="S1168" s="0" t="s">
        <v>290</v>
      </c>
      <c r="T1168" s="0" t="s">
        <v>276</v>
      </c>
      <c r="U1168" s="0" t="s">
        <v>277</v>
      </c>
    </row>
    <row r="1169" customFormat="false" ht="15" hidden="false" customHeight="false" outlineLevel="0" collapsed="false">
      <c r="A1169" s="0" t="n">
        <v>116</v>
      </c>
      <c r="B1169" s="0" t="s">
        <v>170</v>
      </c>
      <c r="C1169" s="0" t="s">
        <v>266</v>
      </c>
      <c r="D1169" s="0" t="s">
        <v>5072</v>
      </c>
      <c r="E1169" s="0" t="n">
        <v>2025</v>
      </c>
      <c r="H1169" s="0" t="n">
        <v>3</v>
      </c>
      <c r="I1169" s="0" t="n">
        <v>6418</v>
      </c>
      <c r="J1169" s="0" t="s">
        <v>268</v>
      </c>
      <c r="K1169" s="0" t="s">
        <v>4253</v>
      </c>
      <c r="L1169" s="0" t="s">
        <v>1697</v>
      </c>
      <c r="M1169" s="0" t="s">
        <v>5073</v>
      </c>
      <c r="N1169" s="0" t="s">
        <v>5073</v>
      </c>
      <c r="O1169" s="0" t="s">
        <v>5074</v>
      </c>
      <c r="P1169" s="0" t="s">
        <v>5075</v>
      </c>
      <c r="R1169" s="0" t="s">
        <v>275</v>
      </c>
      <c r="S1169" s="0" t="s">
        <v>290</v>
      </c>
      <c r="T1169" s="0" t="s">
        <v>276</v>
      </c>
      <c r="U1169" s="0" t="s">
        <v>277</v>
      </c>
    </row>
    <row r="1170" customFormat="false" ht="15" hidden="false" customHeight="false" outlineLevel="0" collapsed="false">
      <c r="A1170" s="0" t="n">
        <v>116</v>
      </c>
      <c r="B1170" s="0" t="s">
        <v>170</v>
      </c>
      <c r="C1170" s="0" t="s">
        <v>266</v>
      </c>
      <c r="D1170" s="0" t="s">
        <v>5076</v>
      </c>
      <c r="E1170" s="0" t="n">
        <v>2025</v>
      </c>
      <c r="H1170" s="0" t="n">
        <v>6</v>
      </c>
      <c r="I1170" s="0" t="n">
        <v>126</v>
      </c>
      <c r="J1170" s="0" t="s">
        <v>268</v>
      </c>
      <c r="K1170" s="0" t="s">
        <v>4253</v>
      </c>
      <c r="L1170" s="0" t="s">
        <v>1697</v>
      </c>
      <c r="M1170" s="0" t="s">
        <v>5077</v>
      </c>
      <c r="N1170" s="0" t="s">
        <v>5077</v>
      </c>
      <c r="O1170" s="0" t="s">
        <v>5078</v>
      </c>
      <c r="P1170" s="0" t="s">
        <v>5079</v>
      </c>
      <c r="R1170" s="0" t="s">
        <v>275</v>
      </c>
      <c r="S1170" s="0" t="s">
        <v>290</v>
      </c>
      <c r="T1170" s="0" t="s">
        <v>276</v>
      </c>
      <c r="U1170" s="0" t="s">
        <v>277</v>
      </c>
    </row>
    <row r="1171" customFormat="false" ht="15" hidden="false" customHeight="false" outlineLevel="0" collapsed="false">
      <c r="A1171" s="0" t="n">
        <v>116</v>
      </c>
      <c r="B1171" s="0" t="s">
        <v>170</v>
      </c>
      <c r="C1171" s="0" t="s">
        <v>266</v>
      </c>
      <c r="D1171" s="0" t="s">
        <v>5080</v>
      </c>
      <c r="E1171" s="0" t="n">
        <v>2025</v>
      </c>
      <c r="H1171" s="0" t="n">
        <v>9</v>
      </c>
      <c r="I1171" s="0" t="n">
        <v>1110</v>
      </c>
      <c r="J1171" s="0" t="s">
        <v>268</v>
      </c>
      <c r="K1171" s="0" t="s">
        <v>4253</v>
      </c>
      <c r="L1171" s="0" t="s">
        <v>1697</v>
      </c>
      <c r="M1171" s="0" t="s">
        <v>5081</v>
      </c>
      <c r="N1171" s="0" t="s">
        <v>5081</v>
      </c>
      <c r="O1171" s="0" t="s">
        <v>5082</v>
      </c>
      <c r="P1171" s="0" t="s">
        <v>5083</v>
      </c>
      <c r="R1171" s="0" t="s">
        <v>275</v>
      </c>
      <c r="S1171" s="0" t="s">
        <v>290</v>
      </c>
      <c r="T1171" s="0" t="s">
        <v>276</v>
      </c>
      <c r="U1171" s="0" t="s">
        <v>277</v>
      </c>
    </row>
    <row r="1172" customFormat="false" ht="15" hidden="false" customHeight="false" outlineLevel="0" collapsed="false">
      <c r="A1172" s="0" t="n">
        <v>116</v>
      </c>
      <c r="B1172" s="0" t="s">
        <v>170</v>
      </c>
      <c r="C1172" s="0" t="s">
        <v>266</v>
      </c>
      <c r="D1172" s="0" t="s">
        <v>5084</v>
      </c>
      <c r="E1172" s="0" t="n">
        <v>2025</v>
      </c>
      <c r="H1172" s="0" t="n">
        <v>1</v>
      </c>
      <c r="I1172" s="0" t="n">
        <v>41</v>
      </c>
      <c r="J1172" s="0" t="s">
        <v>268</v>
      </c>
      <c r="K1172" s="0" t="s">
        <v>4253</v>
      </c>
      <c r="L1172" s="0" t="s">
        <v>1697</v>
      </c>
      <c r="M1172" s="0" t="s">
        <v>5085</v>
      </c>
      <c r="N1172" s="0" t="s">
        <v>5085</v>
      </c>
      <c r="O1172" s="0" t="s">
        <v>5086</v>
      </c>
      <c r="P1172" s="0" t="s">
        <v>5087</v>
      </c>
      <c r="R1172" s="0" t="s">
        <v>275</v>
      </c>
      <c r="S1172" s="0" t="s">
        <v>290</v>
      </c>
      <c r="T1172" s="0" t="s">
        <v>276</v>
      </c>
      <c r="U1172" s="0" t="s">
        <v>277</v>
      </c>
    </row>
    <row r="1173" customFormat="false" ht="15" hidden="false" customHeight="false" outlineLevel="0" collapsed="false">
      <c r="A1173" s="0" t="n">
        <v>116</v>
      </c>
      <c r="B1173" s="0" t="s">
        <v>170</v>
      </c>
      <c r="C1173" s="0" t="s">
        <v>266</v>
      </c>
      <c r="D1173" s="0" t="s">
        <v>5088</v>
      </c>
      <c r="E1173" s="0" t="n">
        <v>2025</v>
      </c>
      <c r="H1173" s="0" t="n">
        <v>3</v>
      </c>
      <c r="I1173" s="0" t="n">
        <v>129</v>
      </c>
      <c r="J1173" s="0" t="s">
        <v>268</v>
      </c>
      <c r="K1173" s="0" t="s">
        <v>4253</v>
      </c>
      <c r="L1173" s="0" t="s">
        <v>1697</v>
      </c>
      <c r="M1173" s="0" t="s">
        <v>5089</v>
      </c>
      <c r="N1173" s="0" t="s">
        <v>5089</v>
      </c>
      <c r="O1173" s="0" t="s">
        <v>5090</v>
      </c>
      <c r="P1173" s="0" t="s">
        <v>5091</v>
      </c>
      <c r="R1173" s="0" t="s">
        <v>275</v>
      </c>
      <c r="S1173" s="0" t="s">
        <v>290</v>
      </c>
      <c r="T1173" s="0" t="s">
        <v>276</v>
      </c>
      <c r="U1173" s="0" t="s">
        <v>277</v>
      </c>
    </row>
    <row r="1174" customFormat="false" ht="15" hidden="false" customHeight="false" outlineLevel="0" collapsed="false">
      <c r="A1174" s="0" t="n">
        <v>116</v>
      </c>
      <c r="B1174" s="0" t="s">
        <v>170</v>
      </c>
      <c r="C1174" s="0" t="s">
        <v>324</v>
      </c>
      <c r="D1174" s="0" t="s">
        <v>5092</v>
      </c>
      <c r="E1174" s="0" t="n">
        <v>2026</v>
      </c>
      <c r="H1174" s="0" t="n">
        <v>8</v>
      </c>
      <c r="I1174" s="0" t="n">
        <v>6532</v>
      </c>
      <c r="J1174" s="0" t="s">
        <v>268</v>
      </c>
      <c r="K1174" s="0" t="s">
        <v>4253</v>
      </c>
      <c r="L1174" s="0" t="s">
        <v>1697</v>
      </c>
      <c r="M1174" s="0" t="s">
        <v>5093</v>
      </c>
      <c r="N1174" s="0" t="s">
        <v>5093</v>
      </c>
      <c r="O1174" s="0" t="s">
        <v>5094</v>
      </c>
      <c r="P1174" s="0" t="s">
        <v>5095</v>
      </c>
      <c r="R1174" s="0" t="s">
        <v>275</v>
      </c>
      <c r="S1174" s="0" t="s">
        <v>268</v>
      </c>
      <c r="T1174" s="0" t="s">
        <v>276</v>
      </c>
      <c r="U1174" s="0" t="s">
        <v>277</v>
      </c>
    </row>
    <row r="1175" customFormat="false" ht="15" hidden="false" customHeight="false" outlineLevel="0" collapsed="false">
      <c r="A1175" s="0" t="n">
        <v>116</v>
      </c>
      <c r="B1175" s="0" t="s">
        <v>170</v>
      </c>
      <c r="C1175" s="0" t="s">
        <v>335</v>
      </c>
      <c r="D1175" s="0" t="s">
        <v>5096</v>
      </c>
      <c r="E1175" s="0" t="n">
        <v>2026</v>
      </c>
      <c r="H1175" s="0" t="n">
        <v>2</v>
      </c>
      <c r="I1175" s="0" t="n">
        <v>1419</v>
      </c>
      <c r="J1175" s="0" t="s">
        <v>268</v>
      </c>
      <c r="K1175" s="0" t="s">
        <v>4253</v>
      </c>
      <c r="L1175" s="0" t="s">
        <v>1697</v>
      </c>
      <c r="M1175" s="0" t="s">
        <v>5097</v>
      </c>
      <c r="N1175" s="0" t="s">
        <v>5097</v>
      </c>
      <c r="O1175" s="0" t="s">
        <v>5098</v>
      </c>
      <c r="P1175" s="0" t="s">
        <v>5099</v>
      </c>
      <c r="R1175" s="0" t="s">
        <v>275</v>
      </c>
      <c r="S1175" s="0" t="s">
        <v>268</v>
      </c>
      <c r="T1175" s="0" t="s">
        <v>276</v>
      </c>
      <c r="U1175" s="0" t="s">
        <v>277</v>
      </c>
    </row>
    <row r="1176" customFormat="false" ht="15" hidden="false" customHeight="false" outlineLevel="0" collapsed="false">
      <c r="A1176" s="0" t="n">
        <v>116</v>
      </c>
      <c r="B1176" s="0" t="s">
        <v>170</v>
      </c>
      <c r="C1176" s="0" t="s">
        <v>530</v>
      </c>
      <c r="D1176" s="0" t="s">
        <v>5100</v>
      </c>
      <c r="E1176" s="0" t="n">
        <v>2025</v>
      </c>
      <c r="H1176" s="0" t="n">
        <v>12</v>
      </c>
      <c r="I1176" s="0" t="n">
        <v>12912</v>
      </c>
      <c r="J1176" s="0" t="s">
        <v>268</v>
      </c>
      <c r="K1176" s="0" t="s">
        <v>4253</v>
      </c>
      <c r="L1176" s="0" t="s">
        <v>1697</v>
      </c>
      <c r="M1176" s="0" t="s">
        <v>5101</v>
      </c>
      <c r="N1176" s="0" t="s">
        <v>5101</v>
      </c>
      <c r="O1176" s="0" t="s">
        <v>5102</v>
      </c>
      <c r="P1176" s="0" t="s">
        <v>5103</v>
      </c>
      <c r="R1176" s="0" t="s">
        <v>275</v>
      </c>
      <c r="S1176" s="0" t="s">
        <v>268</v>
      </c>
      <c r="T1176" s="0" t="s">
        <v>276</v>
      </c>
      <c r="U1176" s="0" t="s">
        <v>277</v>
      </c>
    </row>
    <row r="1177" customFormat="false" ht="15" hidden="false" customHeight="false" outlineLevel="0" collapsed="false">
      <c r="A1177" s="0" t="n">
        <v>116</v>
      </c>
      <c r="B1177" s="0" t="s">
        <v>170</v>
      </c>
      <c r="C1177" s="0" t="s">
        <v>480</v>
      </c>
      <c r="D1177" s="0" t="s">
        <v>5104</v>
      </c>
      <c r="E1177" s="0" t="n">
        <v>2025</v>
      </c>
      <c r="H1177" s="0" t="n">
        <v>1</v>
      </c>
      <c r="I1177" s="0" t="n">
        <v>141</v>
      </c>
      <c r="J1177" s="0" t="s">
        <v>268</v>
      </c>
      <c r="K1177" s="0" t="s">
        <v>4253</v>
      </c>
      <c r="L1177" s="0" t="s">
        <v>1697</v>
      </c>
      <c r="M1177" s="0" t="s">
        <v>5105</v>
      </c>
      <c r="N1177" s="0" t="s">
        <v>5105</v>
      </c>
      <c r="O1177" s="0" t="s">
        <v>5106</v>
      </c>
      <c r="P1177" s="0" t="s">
        <v>5107</v>
      </c>
      <c r="R1177" s="0" t="s">
        <v>275</v>
      </c>
      <c r="S1177" s="0" t="s">
        <v>268</v>
      </c>
      <c r="T1177" s="0" t="s">
        <v>276</v>
      </c>
      <c r="U1177" s="0" t="s">
        <v>277</v>
      </c>
    </row>
    <row r="1178" customFormat="false" ht="15" hidden="false" customHeight="false" outlineLevel="0" collapsed="false">
      <c r="A1178" s="0" t="n">
        <v>116</v>
      </c>
      <c r="B1178" s="0" t="s">
        <v>170</v>
      </c>
      <c r="C1178" s="0" t="s">
        <v>489</v>
      </c>
      <c r="D1178" s="0" t="s">
        <v>5108</v>
      </c>
      <c r="E1178" s="0" t="n">
        <v>2026</v>
      </c>
      <c r="H1178" s="0" t="n">
        <v>7</v>
      </c>
      <c r="I1178" s="0" t="n">
        <v>4332</v>
      </c>
      <c r="J1178" s="0" t="s">
        <v>268</v>
      </c>
      <c r="K1178" s="0" t="s">
        <v>4253</v>
      </c>
      <c r="L1178" s="0" t="s">
        <v>1697</v>
      </c>
      <c r="M1178" s="0" t="s">
        <v>5109</v>
      </c>
      <c r="N1178" s="0" t="s">
        <v>5109</v>
      </c>
      <c r="O1178" s="0" t="s">
        <v>5110</v>
      </c>
      <c r="P1178" s="0" t="s">
        <v>5111</v>
      </c>
      <c r="R1178" s="0" t="s">
        <v>275</v>
      </c>
      <c r="S1178" s="0" t="s">
        <v>268</v>
      </c>
      <c r="T1178" s="0" t="s">
        <v>276</v>
      </c>
      <c r="U1178" s="0" t="s">
        <v>277</v>
      </c>
    </row>
    <row r="1179" customFormat="false" ht="15" hidden="false" customHeight="false" outlineLevel="0" collapsed="false">
      <c r="A1179" s="0" t="n">
        <v>116</v>
      </c>
      <c r="B1179" s="0" t="s">
        <v>170</v>
      </c>
      <c r="C1179" s="0" t="s">
        <v>489</v>
      </c>
      <c r="D1179" s="0" t="s">
        <v>5112</v>
      </c>
      <c r="E1179" s="0" t="n">
        <v>2025</v>
      </c>
      <c r="H1179" s="0" t="n">
        <v>38</v>
      </c>
      <c r="I1179" s="0" t="n">
        <v>9144</v>
      </c>
      <c r="J1179" s="0" t="s">
        <v>268</v>
      </c>
      <c r="K1179" s="0" t="s">
        <v>4253</v>
      </c>
      <c r="L1179" s="0" t="s">
        <v>1697</v>
      </c>
      <c r="M1179" s="0" t="s">
        <v>5113</v>
      </c>
      <c r="N1179" s="0" t="s">
        <v>5113</v>
      </c>
      <c r="O1179" s="0" t="s">
        <v>5114</v>
      </c>
      <c r="P1179" s="0" t="s">
        <v>5115</v>
      </c>
      <c r="R1179" s="0" t="s">
        <v>275</v>
      </c>
      <c r="S1179" s="0" t="s">
        <v>290</v>
      </c>
      <c r="T1179" s="0" t="s">
        <v>276</v>
      </c>
      <c r="U1179" s="0" t="s">
        <v>277</v>
      </c>
    </row>
    <row r="1180" customFormat="false" ht="15" hidden="false" customHeight="false" outlineLevel="0" collapsed="false">
      <c r="A1180" s="0" t="n">
        <v>116</v>
      </c>
      <c r="B1180" s="0" t="s">
        <v>170</v>
      </c>
      <c r="C1180" s="0" t="s">
        <v>489</v>
      </c>
      <c r="D1180" s="0" t="s">
        <v>5116</v>
      </c>
      <c r="E1180" s="0" t="n">
        <v>2025</v>
      </c>
      <c r="H1180" s="0" t="n">
        <v>11</v>
      </c>
      <c r="I1180" s="0" t="n">
        <v>17302</v>
      </c>
      <c r="J1180" s="0" t="s">
        <v>268</v>
      </c>
      <c r="K1180" s="0" t="s">
        <v>4253</v>
      </c>
      <c r="L1180" s="0" t="s">
        <v>1697</v>
      </c>
      <c r="M1180" s="0" t="s">
        <v>5117</v>
      </c>
      <c r="N1180" s="0" t="s">
        <v>5117</v>
      </c>
      <c r="O1180" s="0" t="s">
        <v>5118</v>
      </c>
      <c r="P1180" s="0" t="s">
        <v>5119</v>
      </c>
      <c r="R1180" s="0" t="s">
        <v>275</v>
      </c>
      <c r="S1180" s="0" t="s">
        <v>290</v>
      </c>
      <c r="T1180" s="0" t="s">
        <v>276</v>
      </c>
      <c r="U1180" s="0" t="s">
        <v>277</v>
      </c>
    </row>
    <row r="1181" customFormat="false" ht="15" hidden="false" customHeight="false" outlineLevel="0" collapsed="false">
      <c r="A1181" s="0" t="n">
        <v>117</v>
      </c>
      <c r="B1181" s="0" t="s">
        <v>171</v>
      </c>
      <c r="C1181" s="0" t="s">
        <v>56</v>
      </c>
      <c r="D1181" s="0" t="s">
        <v>5120</v>
      </c>
      <c r="E1181" s="0" t="n">
        <v>2025</v>
      </c>
      <c r="H1181" s="0" t="n">
        <v>14</v>
      </c>
      <c r="I1181" s="0" t="n">
        <v>8792</v>
      </c>
      <c r="J1181" s="0" t="s">
        <v>268</v>
      </c>
      <c r="K1181" s="0" t="s">
        <v>298</v>
      </c>
      <c r="L1181" s="0" t="s">
        <v>270</v>
      </c>
      <c r="M1181" s="0" t="s">
        <v>5121</v>
      </c>
      <c r="N1181" s="0" t="s">
        <v>5121</v>
      </c>
      <c r="O1181" s="0" t="s">
        <v>5122</v>
      </c>
      <c r="P1181" s="0" t="s">
        <v>5123</v>
      </c>
      <c r="R1181" s="0" t="s">
        <v>275</v>
      </c>
      <c r="S1181" s="0" t="s">
        <v>268</v>
      </c>
      <c r="T1181" s="0" t="s">
        <v>276</v>
      </c>
      <c r="U1181" s="0" t="s">
        <v>277</v>
      </c>
    </row>
    <row r="1182" customFormat="false" ht="15" hidden="false" customHeight="false" outlineLevel="0" collapsed="false">
      <c r="A1182" s="0" t="n">
        <v>117</v>
      </c>
      <c r="B1182" s="0" t="s">
        <v>171</v>
      </c>
      <c r="C1182" s="0" t="s">
        <v>309</v>
      </c>
      <c r="D1182" s="0" t="s">
        <v>5124</v>
      </c>
      <c r="E1182" s="0" t="n">
        <v>2025</v>
      </c>
      <c r="H1182" s="0" t="n">
        <v>1</v>
      </c>
      <c r="I1182" s="0" t="n">
        <v>14111</v>
      </c>
      <c r="J1182" s="0" t="s">
        <v>268</v>
      </c>
      <c r="K1182" s="0" t="s">
        <v>298</v>
      </c>
      <c r="L1182" s="0" t="s">
        <v>270</v>
      </c>
      <c r="M1182" s="0" t="s">
        <v>5125</v>
      </c>
      <c r="N1182" s="0" t="s">
        <v>5125</v>
      </c>
      <c r="O1182" s="0" t="s">
        <v>5126</v>
      </c>
      <c r="P1182" s="0" t="s">
        <v>5127</v>
      </c>
      <c r="R1182" s="0" t="s">
        <v>275</v>
      </c>
      <c r="S1182" s="0" t="s">
        <v>268</v>
      </c>
      <c r="T1182" s="0" t="s">
        <v>276</v>
      </c>
      <c r="U1182" s="0" t="s">
        <v>277</v>
      </c>
    </row>
    <row r="1183" customFormat="false" ht="15" hidden="false" customHeight="false" outlineLevel="0" collapsed="false">
      <c r="A1183" s="0" t="n">
        <v>117</v>
      </c>
      <c r="B1183" s="0" t="s">
        <v>171</v>
      </c>
      <c r="C1183" s="0" t="s">
        <v>887</v>
      </c>
      <c r="D1183" s="0" t="s">
        <v>5128</v>
      </c>
      <c r="E1183" s="0" t="n">
        <v>2026</v>
      </c>
      <c r="H1183" s="0" t="n">
        <v>25</v>
      </c>
      <c r="I1183" s="0" t="n">
        <v>14862</v>
      </c>
      <c r="J1183" s="0" t="s">
        <v>268</v>
      </c>
      <c r="K1183" s="0" t="s">
        <v>286</v>
      </c>
      <c r="L1183" s="0" t="s">
        <v>270</v>
      </c>
      <c r="M1183" s="0" t="s">
        <v>5129</v>
      </c>
      <c r="N1183" s="0" t="s">
        <v>5129</v>
      </c>
      <c r="O1183" s="0" t="s">
        <v>5130</v>
      </c>
      <c r="P1183" s="0" t="s">
        <v>5131</v>
      </c>
      <c r="R1183" s="0" t="s">
        <v>275</v>
      </c>
      <c r="S1183" s="0" t="s">
        <v>268</v>
      </c>
      <c r="T1183" s="0" t="s">
        <v>276</v>
      </c>
      <c r="U1183" s="0" t="s">
        <v>277</v>
      </c>
    </row>
    <row r="1184" customFormat="false" ht="15" hidden="false" customHeight="false" outlineLevel="0" collapsed="false">
      <c r="A1184" s="0" t="n">
        <v>118</v>
      </c>
      <c r="B1184" s="0" t="s">
        <v>172</v>
      </c>
      <c r="C1184" s="0" t="s">
        <v>56</v>
      </c>
      <c r="D1184" s="0" t="s">
        <v>5132</v>
      </c>
      <c r="E1184" s="0" t="n">
        <v>2021</v>
      </c>
      <c r="H1184" s="0" t="n">
        <v>8</v>
      </c>
      <c r="I1184" s="0" t="n">
        <v>6026</v>
      </c>
      <c r="J1184" s="0" t="s">
        <v>268</v>
      </c>
      <c r="K1184" s="0" t="s">
        <v>298</v>
      </c>
      <c r="L1184" s="0" t="s">
        <v>270</v>
      </c>
      <c r="M1184" s="0" t="s">
        <v>5133</v>
      </c>
      <c r="N1184" s="0" t="s">
        <v>5133</v>
      </c>
      <c r="O1184" s="0" t="s">
        <v>5134</v>
      </c>
      <c r="P1184" s="0" t="s">
        <v>5135</v>
      </c>
      <c r="R1184" s="0" t="s">
        <v>284</v>
      </c>
      <c r="S1184" s="0" t="s">
        <v>268</v>
      </c>
      <c r="T1184" s="0" t="s">
        <v>276</v>
      </c>
      <c r="U1184" s="0" t="s">
        <v>277</v>
      </c>
    </row>
    <row r="1185" customFormat="false" ht="15" hidden="false" customHeight="false" outlineLevel="0" collapsed="false">
      <c r="A1185" s="0" t="n">
        <v>118</v>
      </c>
      <c r="B1185" s="0" t="s">
        <v>172</v>
      </c>
      <c r="C1185" s="0" t="s">
        <v>309</v>
      </c>
      <c r="D1185" s="0" t="s">
        <v>5136</v>
      </c>
      <c r="E1185" s="0" t="n">
        <v>2018</v>
      </c>
      <c r="H1185" s="0" t="n">
        <v>1</v>
      </c>
      <c r="I1185" s="0" t="n">
        <v>9164</v>
      </c>
      <c r="J1185" s="0" t="s">
        <v>268</v>
      </c>
      <c r="K1185" s="0" t="s">
        <v>298</v>
      </c>
      <c r="L1185" s="0" t="s">
        <v>270</v>
      </c>
      <c r="M1185" s="0" t="s">
        <v>5137</v>
      </c>
      <c r="N1185" s="0" t="s">
        <v>5137</v>
      </c>
      <c r="O1185" s="0" t="s">
        <v>5138</v>
      </c>
      <c r="P1185" s="0" t="s">
        <v>5139</v>
      </c>
      <c r="R1185" s="0" t="s">
        <v>284</v>
      </c>
      <c r="S1185" s="0" t="s">
        <v>268</v>
      </c>
      <c r="T1185" s="0" t="s">
        <v>276</v>
      </c>
      <c r="U1185" s="0" t="s">
        <v>277</v>
      </c>
    </row>
    <row r="1186" customFormat="false" ht="15" hidden="false" customHeight="false" outlineLevel="0" collapsed="false">
      <c r="A1186" s="0" t="n">
        <v>118</v>
      </c>
      <c r="B1186" s="0" t="s">
        <v>172</v>
      </c>
      <c r="C1186" s="0" t="s">
        <v>324</v>
      </c>
      <c r="D1186" s="0" t="s">
        <v>5140</v>
      </c>
      <c r="E1186" s="0" t="n">
        <v>2026</v>
      </c>
      <c r="H1186" s="0" t="n">
        <v>21</v>
      </c>
      <c r="I1186" s="0" t="n">
        <v>2686</v>
      </c>
      <c r="J1186" s="0" t="s">
        <v>268</v>
      </c>
      <c r="K1186" s="0" t="s">
        <v>286</v>
      </c>
      <c r="L1186" s="0" t="s">
        <v>270</v>
      </c>
      <c r="M1186" s="0" t="s">
        <v>5141</v>
      </c>
      <c r="N1186" s="0" t="s">
        <v>5141</v>
      </c>
      <c r="O1186" s="0" t="s">
        <v>5142</v>
      </c>
      <c r="P1186" s="0" t="s">
        <v>5143</v>
      </c>
      <c r="R1186" s="0" t="s">
        <v>275</v>
      </c>
      <c r="S1186" s="0" t="s">
        <v>268</v>
      </c>
      <c r="T1186" s="0" t="s">
        <v>276</v>
      </c>
      <c r="U1186" s="0" t="s">
        <v>277</v>
      </c>
    </row>
    <row r="1187" customFormat="false" ht="15" hidden="false" customHeight="false" outlineLevel="0" collapsed="false">
      <c r="A1187" s="0" t="n">
        <v>119</v>
      </c>
      <c r="B1187" s="0" t="s">
        <v>173</v>
      </c>
      <c r="C1187" s="0" t="s">
        <v>309</v>
      </c>
      <c r="D1187" s="0" t="s">
        <v>5144</v>
      </c>
      <c r="E1187" s="0" t="n">
        <v>2020</v>
      </c>
      <c r="H1187" s="0" t="n">
        <v>1</v>
      </c>
      <c r="I1187" s="0" t="n">
        <v>5087</v>
      </c>
      <c r="J1187" s="0" t="s">
        <v>268</v>
      </c>
      <c r="K1187" s="0" t="s">
        <v>298</v>
      </c>
      <c r="L1187" s="0" t="s">
        <v>270</v>
      </c>
      <c r="M1187" s="0" t="s">
        <v>5145</v>
      </c>
      <c r="N1187" s="0" t="s">
        <v>5145</v>
      </c>
      <c r="O1187" s="0" t="s">
        <v>5146</v>
      </c>
      <c r="P1187" s="0" t="s">
        <v>5147</v>
      </c>
      <c r="R1187" s="0" t="s">
        <v>284</v>
      </c>
      <c r="S1187" s="0" t="s">
        <v>268</v>
      </c>
      <c r="T1187" s="0" t="s">
        <v>276</v>
      </c>
      <c r="U1187" s="0" t="s">
        <v>277</v>
      </c>
    </row>
    <row r="1188" customFormat="false" ht="15" hidden="false" customHeight="false" outlineLevel="0" collapsed="false">
      <c r="A1188" s="0" t="n">
        <v>119</v>
      </c>
      <c r="B1188" s="0" t="s">
        <v>173</v>
      </c>
      <c r="C1188" s="0" t="s">
        <v>4734</v>
      </c>
      <c r="D1188" s="0" t="s">
        <v>5148</v>
      </c>
      <c r="E1188" s="0" t="n">
        <v>2020</v>
      </c>
      <c r="H1188" s="0" t="n">
        <v>2</v>
      </c>
      <c r="I1188" s="0" t="n">
        <v>1355</v>
      </c>
      <c r="J1188" s="0" t="s">
        <v>290</v>
      </c>
      <c r="K1188" s="0" t="s">
        <v>298</v>
      </c>
      <c r="L1188" s="0" t="s">
        <v>270</v>
      </c>
      <c r="M1188" s="0" t="s">
        <v>5149</v>
      </c>
      <c r="N1188" s="0" t="s">
        <v>5149</v>
      </c>
      <c r="O1188" s="0" t="s">
        <v>5150</v>
      </c>
      <c r="P1188" s="0" t="s">
        <v>5151</v>
      </c>
      <c r="R1188" s="0" t="s">
        <v>4734</v>
      </c>
      <c r="S1188" s="0" t="s">
        <v>268</v>
      </c>
      <c r="T1188" s="0" t="s">
        <v>276</v>
      </c>
      <c r="U1188" s="0" t="s">
        <v>277</v>
      </c>
    </row>
    <row r="1189" customFormat="false" ht="15" hidden="false" customHeight="false" outlineLevel="0" collapsed="false">
      <c r="A1189" s="0" t="n">
        <v>119</v>
      </c>
      <c r="B1189" s="0" t="s">
        <v>173</v>
      </c>
      <c r="C1189" s="0" t="s">
        <v>4734</v>
      </c>
      <c r="D1189" s="0" t="s">
        <v>5152</v>
      </c>
      <c r="E1189" s="0" t="n">
        <v>2020</v>
      </c>
      <c r="H1189" s="0" t="n">
        <v>2</v>
      </c>
      <c r="I1189" s="0" t="n">
        <v>1022</v>
      </c>
      <c r="J1189" s="0" t="s">
        <v>268</v>
      </c>
      <c r="K1189" s="0" t="s">
        <v>298</v>
      </c>
      <c r="L1189" s="0" t="s">
        <v>270</v>
      </c>
      <c r="M1189" s="0" t="s">
        <v>5153</v>
      </c>
      <c r="N1189" s="0" t="s">
        <v>5153</v>
      </c>
      <c r="O1189" s="0" t="s">
        <v>5154</v>
      </c>
      <c r="P1189" s="0" t="s">
        <v>5155</v>
      </c>
      <c r="R1189" s="0" t="s">
        <v>4734</v>
      </c>
      <c r="S1189" s="0" t="s">
        <v>290</v>
      </c>
      <c r="T1189" s="0" t="s">
        <v>276</v>
      </c>
      <c r="U1189" s="0" t="s">
        <v>277</v>
      </c>
    </row>
    <row r="1190" customFormat="false" ht="15" hidden="false" customHeight="false" outlineLevel="0" collapsed="false">
      <c r="A1190" s="0" t="n">
        <v>120</v>
      </c>
      <c r="B1190" s="0" t="s">
        <v>175</v>
      </c>
      <c r="C1190" s="0" t="s">
        <v>56</v>
      </c>
      <c r="D1190" s="0" t="s">
        <v>5156</v>
      </c>
      <c r="E1190" s="0" t="n">
        <v>2026</v>
      </c>
      <c r="H1190" s="0" t="n">
        <v>4</v>
      </c>
      <c r="I1190" s="0" t="n">
        <v>12895</v>
      </c>
      <c r="J1190" s="0" t="s">
        <v>268</v>
      </c>
      <c r="K1190" s="0" t="s">
        <v>298</v>
      </c>
      <c r="L1190" s="0" t="s">
        <v>270</v>
      </c>
      <c r="M1190" s="0" t="s">
        <v>5157</v>
      </c>
      <c r="N1190" s="0" t="s">
        <v>5157</v>
      </c>
      <c r="O1190" s="0" t="s">
        <v>5158</v>
      </c>
      <c r="P1190" s="0" t="s">
        <v>5159</v>
      </c>
      <c r="R1190" s="0" t="s">
        <v>275</v>
      </c>
      <c r="S1190" s="0" t="s">
        <v>268</v>
      </c>
      <c r="T1190" s="0" t="s">
        <v>276</v>
      </c>
      <c r="U1190" s="0" t="s">
        <v>277</v>
      </c>
    </row>
    <row r="1191" customFormat="false" ht="15" hidden="false" customHeight="false" outlineLevel="0" collapsed="false">
      <c r="A1191" s="0" t="n">
        <v>120</v>
      </c>
      <c r="B1191" s="0" t="s">
        <v>175</v>
      </c>
      <c r="C1191" s="0" t="s">
        <v>309</v>
      </c>
      <c r="D1191" s="0" t="s">
        <v>5160</v>
      </c>
      <c r="E1191" s="0" t="n">
        <v>2024</v>
      </c>
      <c r="H1191" s="0" t="n">
        <v>1</v>
      </c>
      <c r="I1191" s="0" t="n">
        <v>556</v>
      </c>
      <c r="J1191" s="0" t="s">
        <v>268</v>
      </c>
      <c r="K1191" s="0" t="s">
        <v>298</v>
      </c>
      <c r="L1191" s="0" t="s">
        <v>270</v>
      </c>
      <c r="M1191" s="0" t="s">
        <v>5161</v>
      </c>
      <c r="N1191" s="0" t="s">
        <v>5161</v>
      </c>
      <c r="O1191" s="0" t="s">
        <v>5162</v>
      </c>
      <c r="P1191" s="0" t="s">
        <v>5163</v>
      </c>
      <c r="R1191" s="0" t="s">
        <v>284</v>
      </c>
      <c r="S1191" s="0" t="s">
        <v>268</v>
      </c>
      <c r="T1191" s="0" t="s">
        <v>276</v>
      </c>
      <c r="U1191" s="0" t="s">
        <v>277</v>
      </c>
    </row>
    <row r="1192" customFormat="false" ht="15" hidden="false" customHeight="false" outlineLevel="0" collapsed="false">
      <c r="A1192" s="0" t="n">
        <v>121</v>
      </c>
      <c r="B1192" s="0" t="s">
        <v>176</v>
      </c>
      <c r="C1192" s="0" t="s">
        <v>56</v>
      </c>
      <c r="D1192" s="0" t="s">
        <v>5164</v>
      </c>
      <c r="E1192" s="0" t="n">
        <v>2019</v>
      </c>
      <c r="H1192" s="0" t="n">
        <v>10</v>
      </c>
      <c r="I1192" s="0" t="n">
        <v>5089</v>
      </c>
      <c r="J1192" s="0" t="s">
        <v>268</v>
      </c>
      <c r="K1192" s="0" t="s">
        <v>298</v>
      </c>
      <c r="L1192" s="0" t="s">
        <v>270</v>
      </c>
      <c r="M1192" s="0" t="s">
        <v>5165</v>
      </c>
      <c r="N1192" s="0" t="s">
        <v>5165</v>
      </c>
      <c r="O1192" s="0" t="s">
        <v>5166</v>
      </c>
      <c r="P1192" s="0" t="s">
        <v>5167</v>
      </c>
      <c r="R1192" s="0" t="s">
        <v>284</v>
      </c>
      <c r="S1192" s="0" t="s">
        <v>268</v>
      </c>
      <c r="T1192" s="0" t="s">
        <v>276</v>
      </c>
      <c r="U1192" s="0" t="s">
        <v>277</v>
      </c>
    </row>
    <row r="1193" customFormat="false" ht="15" hidden="false" customHeight="false" outlineLevel="0" collapsed="false">
      <c r="A1193" s="0" t="n">
        <v>121</v>
      </c>
      <c r="B1193" s="0" t="s">
        <v>176</v>
      </c>
      <c r="C1193" s="0" t="s">
        <v>309</v>
      </c>
      <c r="D1193" s="0" t="s">
        <v>5168</v>
      </c>
      <c r="E1193" s="0" t="n">
        <v>2018</v>
      </c>
      <c r="H1193" s="0" t="n">
        <v>1</v>
      </c>
      <c r="I1193" s="0" t="n">
        <v>134</v>
      </c>
      <c r="J1193" s="0" t="s">
        <v>268</v>
      </c>
      <c r="K1193" s="0" t="s">
        <v>298</v>
      </c>
      <c r="L1193" s="0" t="s">
        <v>270</v>
      </c>
      <c r="M1193" s="0" t="s">
        <v>5169</v>
      </c>
      <c r="N1193" s="0" t="s">
        <v>5169</v>
      </c>
      <c r="O1193" s="0" t="s">
        <v>5170</v>
      </c>
      <c r="P1193" s="0" t="s">
        <v>5171</v>
      </c>
      <c r="R1193" s="0" t="s">
        <v>284</v>
      </c>
      <c r="S1193" s="0" t="s">
        <v>268</v>
      </c>
      <c r="T1193" s="0" t="s">
        <v>276</v>
      </c>
      <c r="U1193" s="0" t="s">
        <v>277</v>
      </c>
    </row>
    <row r="1194" customFormat="false" ht="15" hidden="false" customHeight="false" outlineLevel="0" collapsed="false">
      <c r="A1194" s="0" t="n">
        <v>122</v>
      </c>
      <c r="B1194" s="0" t="s">
        <v>177</v>
      </c>
      <c r="C1194" s="0" t="s">
        <v>887</v>
      </c>
      <c r="D1194" s="0" t="s">
        <v>5172</v>
      </c>
      <c r="E1194" s="0" t="n">
        <v>2026</v>
      </c>
      <c r="H1194" s="0" t="n">
        <v>17</v>
      </c>
      <c r="I1194" s="0" t="n">
        <v>13973</v>
      </c>
      <c r="J1194" s="0" t="s">
        <v>268</v>
      </c>
      <c r="K1194" s="0" t="s">
        <v>286</v>
      </c>
      <c r="L1194" s="0" t="s">
        <v>270</v>
      </c>
      <c r="M1194" s="0" t="s">
        <v>5173</v>
      </c>
      <c r="N1194" s="0" t="s">
        <v>5173</v>
      </c>
      <c r="O1194" s="0" t="s">
        <v>5174</v>
      </c>
      <c r="P1194" s="0" t="s">
        <v>5175</v>
      </c>
      <c r="R1194" s="0" t="s">
        <v>275</v>
      </c>
      <c r="S1194" s="0" t="s">
        <v>268</v>
      </c>
      <c r="T1194" s="0" t="s">
        <v>276</v>
      </c>
      <c r="U1194" s="0" t="s">
        <v>277</v>
      </c>
    </row>
    <row r="1195" customFormat="false" ht="15" hidden="false" customHeight="false" outlineLevel="0" collapsed="false">
      <c r="A1195" s="0" t="n">
        <v>122</v>
      </c>
      <c r="B1195" s="0" t="s">
        <v>177</v>
      </c>
      <c r="C1195" s="0" t="s">
        <v>887</v>
      </c>
      <c r="D1195" s="0" t="s">
        <v>5176</v>
      </c>
      <c r="E1195" s="0" t="n">
        <v>2026</v>
      </c>
      <c r="H1195" s="0" t="n">
        <v>8</v>
      </c>
      <c r="I1195" s="0" t="n">
        <v>4372</v>
      </c>
      <c r="J1195" s="0" t="s">
        <v>268</v>
      </c>
      <c r="K1195" s="0" t="s">
        <v>286</v>
      </c>
      <c r="L1195" s="0" t="s">
        <v>270</v>
      </c>
      <c r="M1195" s="0" t="s">
        <v>5177</v>
      </c>
      <c r="N1195" s="0" t="s">
        <v>5177</v>
      </c>
      <c r="O1195" s="0" t="s">
        <v>5178</v>
      </c>
      <c r="P1195" s="0" t="s">
        <v>5179</v>
      </c>
      <c r="R1195" s="0" t="s">
        <v>275</v>
      </c>
      <c r="S1195" s="0" t="s">
        <v>290</v>
      </c>
      <c r="T1195" s="0" t="s">
        <v>276</v>
      </c>
      <c r="U1195" s="0" t="s">
        <v>277</v>
      </c>
    </row>
    <row r="1196" customFormat="false" ht="15" hidden="false" customHeight="false" outlineLevel="0" collapsed="false">
      <c r="A1196" s="0" t="n">
        <v>122</v>
      </c>
      <c r="B1196" s="0" t="s">
        <v>177</v>
      </c>
      <c r="C1196" s="0" t="s">
        <v>887</v>
      </c>
      <c r="D1196" s="0" t="s">
        <v>5180</v>
      </c>
      <c r="E1196" s="0" t="n">
        <v>2025</v>
      </c>
      <c r="H1196" s="0" t="n">
        <v>9</v>
      </c>
      <c r="I1196" s="0" t="n">
        <v>11155</v>
      </c>
      <c r="J1196" s="0" t="s">
        <v>268</v>
      </c>
      <c r="K1196" s="0" t="s">
        <v>286</v>
      </c>
      <c r="L1196" s="0" t="s">
        <v>270</v>
      </c>
      <c r="M1196" s="0" t="s">
        <v>5181</v>
      </c>
      <c r="N1196" s="0" t="s">
        <v>5181</v>
      </c>
      <c r="O1196" s="0" t="s">
        <v>5182</v>
      </c>
      <c r="P1196" s="0" t="s">
        <v>5183</v>
      </c>
      <c r="R1196" s="0" t="s">
        <v>275</v>
      </c>
      <c r="S1196" s="0" t="s">
        <v>268</v>
      </c>
      <c r="T1196" s="0" t="s">
        <v>314</v>
      </c>
      <c r="U1196" s="0" t="s">
        <v>277</v>
      </c>
      <c r="V1196" s="0" t="s">
        <v>5184</v>
      </c>
    </row>
    <row r="1197" customFormat="false" ht="15" hidden="false" customHeight="false" outlineLevel="0" collapsed="false">
      <c r="A1197" s="0" t="n">
        <v>62</v>
      </c>
      <c r="B1197" s="0" t="s">
        <v>113</v>
      </c>
      <c r="C1197" s="0" t="s">
        <v>887</v>
      </c>
      <c r="D1197" s="0" t="s">
        <v>5180</v>
      </c>
      <c r="E1197" s="0" t="n">
        <v>2025</v>
      </c>
      <c r="H1197" s="0" t="n">
        <v>9</v>
      </c>
      <c r="I1197" s="0" t="n">
        <v>11155</v>
      </c>
      <c r="J1197" s="0" t="s">
        <v>268</v>
      </c>
      <c r="K1197" s="0" t="s">
        <v>286</v>
      </c>
      <c r="L1197" s="0" t="s">
        <v>270</v>
      </c>
      <c r="M1197" s="0" t="s">
        <v>5181</v>
      </c>
      <c r="N1197" s="0" t="s">
        <v>5181</v>
      </c>
      <c r="O1197" s="0" t="s">
        <v>5182</v>
      </c>
      <c r="P1197" s="0" t="s">
        <v>5183</v>
      </c>
      <c r="R1197" s="0" t="s">
        <v>275</v>
      </c>
      <c r="S1197" s="0" t="s">
        <v>268</v>
      </c>
      <c r="T1197" s="0" t="s">
        <v>314</v>
      </c>
      <c r="U1197" s="0" t="s">
        <v>277</v>
      </c>
      <c r="V1197" s="0" t="s">
        <v>5184</v>
      </c>
    </row>
    <row r="1198" customFormat="false" ht="15" hidden="false" customHeight="false" outlineLevel="0" collapsed="false">
      <c r="A1198" s="0" t="n">
        <v>122</v>
      </c>
      <c r="B1198" s="0" t="s">
        <v>177</v>
      </c>
      <c r="C1198" s="0" t="s">
        <v>489</v>
      </c>
      <c r="D1198" s="0" t="s">
        <v>5185</v>
      </c>
      <c r="E1198" s="0" t="n">
        <v>2026</v>
      </c>
      <c r="H1198" s="0" t="n">
        <v>8</v>
      </c>
      <c r="I1198" s="0" t="n">
        <v>17143</v>
      </c>
      <c r="J1198" s="0" t="s">
        <v>268</v>
      </c>
      <c r="K1198" s="0" t="s">
        <v>286</v>
      </c>
      <c r="L1198" s="0" t="s">
        <v>270</v>
      </c>
      <c r="M1198" s="0" t="s">
        <v>5186</v>
      </c>
      <c r="N1198" s="0" t="s">
        <v>5186</v>
      </c>
      <c r="O1198" s="0" t="s">
        <v>5187</v>
      </c>
      <c r="P1198" s="0" t="s">
        <v>5188</v>
      </c>
      <c r="R1198" s="0" t="s">
        <v>275</v>
      </c>
      <c r="S1198" s="0" t="s">
        <v>268</v>
      </c>
      <c r="T1198" s="0" t="s">
        <v>276</v>
      </c>
      <c r="U1198" s="0" t="s">
        <v>277</v>
      </c>
    </row>
    <row r="1199" customFormat="false" ht="15" hidden="false" customHeight="false" outlineLevel="0" collapsed="false">
      <c r="A1199" s="0" t="n">
        <v>122</v>
      </c>
      <c r="B1199" s="0" t="s">
        <v>177</v>
      </c>
      <c r="C1199" s="0" t="s">
        <v>500</v>
      </c>
      <c r="D1199" s="0" t="s">
        <v>5189</v>
      </c>
      <c r="E1199" s="0" t="n">
        <v>2026</v>
      </c>
      <c r="H1199" s="0" t="n">
        <v>1</v>
      </c>
      <c r="I1199" s="0" t="n">
        <v>3148</v>
      </c>
      <c r="J1199" s="0" t="s">
        <v>268</v>
      </c>
      <c r="K1199" s="0" t="s">
        <v>286</v>
      </c>
      <c r="L1199" s="0" t="s">
        <v>270</v>
      </c>
      <c r="M1199" s="0" t="s">
        <v>5190</v>
      </c>
      <c r="N1199" s="0" t="s">
        <v>5190</v>
      </c>
      <c r="O1199" s="0" t="s">
        <v>5191</v>
      </c>
      <c r="P1199" s="0" t="s">
        <v>5192</v>
      </c>
      <c r="R1199" s="0" t="s">
        <v>275</v>
      </c>
      <c r="S1199" s="0" t="s">
        <v>268</v>
      </c>
      <c r="T1199" s="0" t="s">
        <v>276</v>
      </c>
      <c r="U1199" s="0" t="s">
        <v>277</v>
      </c>
    </row>
    <row r="1200" customFormat="false" ht="15" hidden="false" customHeight="false" outlineLevel="0" collapsed="false">
      <c r="A1200" s="0" t="n">
        <v>125</v>
      </c>
      <c r="B1200" s="0" t="s">
        <v>180</v>
      </c>
      <c r="C1200" s="0" t="s">
        <v>500</v>
      </c>
      <c r="D1200" s="0" t="s">
        <v>5193</v>
      </c>
      <c r="E1200" s="0" t="n">
        <v>2026</v>
      </c>
      <c r="H1200" s="0" t="n">
        <v>8</v>
      </c>
      <c r="I1200" s="0" t="n">
        <v>6225</v>
      </c>
      <c r="J1200" s="0" t="s">
        <v>290</v>
      </c>
      <c r="K1200" s="0" t="s">
        <v>269</v>
      </c>
      <c r="L1200" s="0" t="s">
        <v>270</v>
      </c>
      <c r="M1200" s="0" t="s">
        <v>5194</v>
      </c>
      <c r="N1200" s="0" t="s">
        <v>5195</v>
      </c>
      <c r="O1200" s="0" t="s">
        <v>5196</v>
      </c>
      <c r="P1200" s="0" t="s">
        <v>5197</v>
      </c>
      <c r="R1200" s="0" t="s">
        <v>275</v>
      </c>
      <c r="S1200" s="0" t="s">
        <v>268</v>
      </c>
      <c r="T1200" s="0" t="s">
        <v>276</v>
      </c>
      <c r="U1200" s="0" t="s">
        <v>277</v>
      </c>
    </row>
    <row r="1201" customFormat="false" ht="15" hidden="false" customHeight="false" outlineLevel="0" collapsed="false">
      <c r="A1201" s="0" t="n">
        <v>126</v>
      </c>
      <c r="B1201" s="0" t="s">
        <v>181</v>
      </c>
      <c r="C1201" s="0" t="s">
        <v>56</v>
      </c>
      <c r="D1201" s="0" t="s">
        <v>5198</v>
      </c>
      <c r="E1201" s="0" t="n">
        <v>2019</v>
      </c>
      <c r="H1201" s="0" t="n">
        <v>6</v>
      </c>
      <c r="I1201" s="0" t="n">
        <v>453</v>
      </c>
      <c r="J1201" s="0" t="s">
        <v>268</v>
      </c>
      <c r="K1201" s="0" t="s">
        <v>298</v>
      </c>
      <c r="L1201" s="0" t="s">
        <v>270</v>
      </c>
      <c r="M1201" s="0" t="s">
        <v>5199</v>
      </c>
      <c r="N1201" s="0" t="s">
        <v>5199</v>
      </c>
      <c r="O1201" s="0" t="s">
        <v>5200</v>
      </c>
      <c r="P1201" s="0" t="s">
        <v>5201</v>
      </c>
      <c r="R1201" s="0" t="s">
        <v>284</v>
      </c>
      <c r="S1201" s="0" t="s">
        <v>268</v>
      </c>
      <c r="T1201" s="0" t="s">
        <v>276</v>
      </c>
      <c r="U1201" s="0" t="s">
        <v>277</v>
      </c>
    </row>
    <row r="1202" customFormat="false" ht="15" hidden="false" customHeight="false" outlineLevel="0" collapsed="false">
      <c r="A1202" s="0" t="n">
        <v>128</v>
      </c>
      <c r="B1202" s="0" t="s">
        <v>183</v>
      </c>
      <c r="C1202" s="0" t="s">
        <v>56</v>
      </c>
      <c r="D1202" s="0" t="s">
        <v>5202</v>
      </c>
      <c r="E1202" s="0" t="n">
        <v>2019</v>
      </c>
      <c r="H1202" s="0" t="n">
        <v>3</v>
      </c>
      <c r="I1202" s="0" t="n">
        <v>6952</v>
      </c>
      <c r="J1202" s="0" t="s">
        <v>268</v>
      </c>
      <c r="K1202" s="0" t="s">
        <v>298</v>
      </c>
      <c r="L1202" s="0" t="s">
        <v>270</v>
      </c>
      <c r="M1202" s="0" t="s">
        <v>5203</v>
      </c>
      <c r="N1202" s="0" t="s">
        <v>5203</v>
      </c>
      <c r="O1202" s="0" t="s">
        <v>5204</v>
      </c>
      <c r="P1202" s="0" t="s">
        <v>5205</v>
      </c>
      <c r="R1202" s="0" t="s">
        <v>284</v>
      </c>
      <c r="S1202" s="0" t="s">
        <v>268</v>
      </c>
      <c r="T1202" s="0" t="s">
        <v>276</v>
      </c>
      <c r="U1202" s="0" t="s">
        <v>277</v>
      </c>
    </row>
    <row r="1203" customFormat="false" ht="15" hidden="false" customHeight="false" outlineLevel="0" collapsed="false">
      <c r="A1203" s="0" t="n">
        <v>128</v>
      </c>
      <c r="B1203" s="0" t="s">
        <v>183</v>
      </c>
      <c r="C1203" s="0" t="s">
        <v>309</v>
      </c>
      <c r="D1203" s="0" t="s">
        <v>5206</v>
      </c>
      <c r="E1203" s="0" t="n">
        <v>2017</v>
      </c>
      <c r="H1203" s="0" t="n">
        <v>1</v>
      </c>
      <c r="I1203" s="0" t="n">
        <v>2626</v>
      </c>
      <c r="J1203" s="0" t="s">
        <v>268</v>
      </c>
      <c r="K1203" s="0" t="s">
        <v>298</v>
      </c>
      <c r="L1203" s="0" t="s">
        <v>270</v>
      </c>
      <c r="M1203" s="0" t="s">
        <v>5207</v>
      </c>
      <c r="N1203" s="0" t="s">
        <v>5207</v>
      </c>
      <c r="O1203" s="0" t="s">
        <v>5208</v>
      </c>
      <c r="P1203" s="0" t="s">
        <v>5209</v>
      </c>
      <c r="R1203" s="0" t="s">
        <v>284</v>
      </c>
      <c r="S1203" s="0" t="s">
        <v>268</v>
      </c>
      <c r="T1203" s="0" t="s">
        <v>314</v>
      </c>
      <c r="U1203" s="0" t="s">
        <v>277</v>
      </c>
      <c r="V1203" s="0" t="s">
        <v>5210</v>
      </c>
    </row>
    <row r="1204" customFormat="false" ht="15" hidden="false" customHeight="false" outlineLevel="0" collapsed="false">
      <c r="A1204" s="0" t="n">
        <v>128</v>
      </c>
      <c r="B1204" s="0" t="s">
        <v>183</v>
      </c>
      <c r="C1204" s="0" t="s">
        <v>494</v>
      </c>
      <c r="D1204" s="0" t="s">
        <v>5211</v>
      </c>
      <c r="E1204" s="0" t="n">
        <v>2026</v>
      </c>
      <c r="H1204" s="0" t="n">
        <v>6</v>
      </c>
      <c r="I1204" s="0" t="n">
        <v>8408</v>
      </c>
      <c r="J1204" s="0" t="s">
        <v>268</v>
      </c>
      <c r="K1204" s="0" t="s">
        <v>269</v>
      </c>
      <c r="L1204" s="0" t="s">
        <v>270</v>
      </c>
      <c r="M1204" s="0" t="s">
        <v>5212</v>
      </c>
      <c r="N1204" s="0" t="s">
        <v>5213</v>
      </c>
      <c r="O1204" s="0" t="s">
        <v>5214</v>
      </c>
      <c r="P1204" s="0" t="s">
        <v>5215</v>
      </c>
      <c r="R1204" s="0" t="s">
        <v>275</v>
      </c>
      <c r="S1204" s="0" t="s">
        <v>268</v>
      </c>
      <c r="T1204" s="0" t="s">
        <v>276</v>
      </c>
      <c r="U1204" s="0" t="s">
        <v>277</v>
      </c>
    </row>
    <row r="1205" customFormat="false" ht="15" hidden="false" customHeight="false" outlineLevel="0" collapsed="false">
      <c r="A1205" s="0" t="n">
        <v>132</v>
      </c>
      <c r="B1205" s="0" t="s">
        <v>187</v>
      </c>
      <c r="C1205" s="0" t="s">
        <v>56</v>
      </c>
      <c r="D1205" s="0" t="s">
        <v>5216</v>
      </c>
      <c r="E1205" s="0" t="n">
        <v>2021</v>
      </c>
      <c r="H1205" s="0" t="n">
        <v>4</v>
      </c>
      <c r="I1205" s="0" t="n">
        <v>538</v>
      </c>
      <c r="J1205" s="0" t="s">
        <v>268</v>
      </c>
      <c r="K1205" s="0" t="s">
        <v>298</v>
      </c>
      <c r="L1205" s="0" t="s">
        <v>270</v>
      </c>
      <c r="M1205" s="0" t="s">
        <v>5217</v>
      </c>
      <c r="N1205" s="0" t="s">
        <v>5217</v>
      </c>
      <c r="O1205" s="0" t="s">
        <v>5218</v>
      </c>
      <c r="P1205" s="0" t="s">
        <v>5219</v>
      </c>
      <c r="R1205" s="0" t="s">
        <v>284</v>
      </c>
      <c r="S1205" s="0" t="s">
        <v>268</v>
      </c>
      <c r="T1205" s="0" t="s">
        <v>276</v>
      </c>
      <c r="U1205" s="0" t="s">
        <v>277</v>
      </c>
    </row>
    <row r="1206" customFormat="false" ht="15" hidden="false" customHeight="false" outlineLevel="0" collapsed="false">
      <c r="A1206" s="0" t="n">
        <v>132</v>
      </c>
      <c r="B1206" s="0" t="s">
        <v>187</v>
      </c>
      <c r="C1206" s="0" t="s">
        <v>309</v>
      </c>
      <c r="D1206" s="0" t="s">
        <v>5220</v>
      </c>
      <c r="E1206" s="0" t="n">
        <v>2020</v>
      </c>
      <c r="H1206" s="0" t="n">
        <v>1</v>
      </c>
      <c r="I1206" s="0" t="n">
        <v>348</v>
      </c>
      <c r="J1206" s="0" t="s">
        <v>268</v>
      </c>
      <c r="K1206" s="0" t="s">
        <v>298</v>
      </c>
      <c r="L1206" s="0" t="s">
        <v>270</v>
      </c>
      <c r="M1206" s="0" t="s">
        <v>5221</v>
      </c>
      <c r="N1206" s="0" t="s">
        <v>5221</v>
      </c>
      <c r="O1206" s="0" t="s">
        <v>5222</v>
      </c>
      <c r="P1206" s="0" t="s">
        <v>5223</v>
      </c>
      <c r="R1206" s="0" t="s">
        <v>284</v>
      </c>
      <c r="S1206" s="0" t="s">
        <v>268</v>
      </c>
      <c r="T1206" s="0" t="s">
        <v>276</v>
      </c>
      <c r="U1206" s="0" t="s">
        <v>277</v>
      </c>
    </row>
    <row r="1207" customFormat="false" ht="15" hidden="false" customHeight="false" outlineLevel="0" collapsed="false">
      <c r="A1207" s="0" t="n">
        <v>132</v>
      </c>
      <c r="B1207" s="0" t="s">
        <v>187</v>
      </c>
      <c r="C1207" s="0" t="s">
        <v>887</v>
      </c>
      <c r="D1207" s="0" t="s">
        <v>5224</v>
      </c>
      <c r="E1207" s="0" t="n">
        <v>2027</v>
      </c>
      <c r="H1207" s="0" t="n">
        <v>15</v>
      </c>
      <c r="I1207" s="0" t="n">
        <v>9396</v>
      </c>
      <c r="J1207" s="0" t="s">
        <v>268</v>
      </c>
      <c r="K1207" s="0" t="s">
        <v>286</v>
      </c>
      <c r="L1207" s="0" t="s">
        <v>270</v>
      </c>
      <c r="M1207" s="0" t="s">
        <v>5225</v>
      </c>
      <c r="N1207" s="0" t="s">
        <v>5225</v>
      </c>
      <c r="O1207" s="0" t="s">
        <v>5226</v>
      </c>
      <c r="P1207" s="0" t="s">
        <v>5227</v>
      </c>
      <c r="R1207" s="0" t="s">
        <v>275</v>
      </c>
      <c r="S1207" s="0" t="s">
        <v>268</v>
      </c>
      <c r="T1207" s="0" t="s">
        <v>276</v>
      </c>
      <c r="U1207" s="0" t="s">
        <v>277</v>
      </c>
    </row>
    <row r="1208" customFormat="false" ht="15" hidden="false" customHeight="false" outlineLevel="0" collapsed="false">
      <c r="A1208" s="0" t="n">
        <v>133</v>
      </c>
      <c r="B1208" s="0" t="s">
        <v>188</v>
      </c>
      <c r="C1208" s="0" t="s">
        <v>309</v>
      </c>
      <c r="D1208" s="0" t="s">
        <v>5228</v>
      </c>
      <c r="E1208" s="0" t="n">
        <v>2026</v>
      </c>
      <c r="H1208" s="0" t="n">
        <v>1</v>
      </c>
      <c r="I1208" s="0" t="n">
        <v>4799</v>
      </c>
      <c r="J1208" s="0" t="s">
        <v>268</v>
      </c>
      <c r="K1208" s="0" t="s">
        <v>298</v>
      </c>
      <c r="L1208" s="0" t="s">
        <v>270</v>
      </c>
      <c r="M1208" s="0" t="s">
        <v>5229</v>
      </c>
      <c r="N1208" s="0" t="s">
        <v>5229</v>
      </c>
      <c r="O1208" s="0" t="s">
        <v>5230</v>
      </c>
      <c r="P1208" s="0" t="s">
        <v>5231</v>
      </c>
      <c r="R1208" s="0" t="s">
        <v>275</v>
      </c>
      <c r="S1208" s="0" t="s">
        <v>268</v>
      </c>
      <c r="T1208" s="0" t="s">
        <v>276</v>
      </c>
      <c r="U1208" s="0" t="s">
        <v>277</v>
      </c>
    </row>
    <row r="1209" customFormat="false" ht="15" hidden="false" customHeight="false" outlineLevel="0" collapsed="false">
      <c r="A1209" s="0" t="n">
        <v>133</v>
      </c>
      <c r="B1209" s="0" t="s">
        <v>188</v>
      </c>
      <c r="C1209" s="0" t="s">
        <v>489</v>
      </c>
      <c r="D1209" s="0" t="s">
        <v>5232</v>
      </c>
      <c r="E1209" s="0" t="n">
        <v>2026</v>
      </c>
      <c r="H1209" s="0" t="n">
        <v>12</v>
      </c>
      <c r="I1209" s="0" t="n">
        <v>6158</v>
      </c>
      <c r="J1209" s="0" t="s">
        <v>268</v>
      </c>
      <c r="K1209" s="0" t="s">
        <v>298</v>
      </c>
      <c r="L1209" s="0" t="s">
        <v>270</v>
      </c>
      <c r="M1209" s="0" t="s">
        <v>5233</v>
      </c>
      <c r="N1209" s="0" t="s">
        <v>5233</v>
      </c>
      <c r="O1209" s="0" t="s">
        <v>5234</v>
      </c>
      <c r="P1209" s="0" t="s">
        <v>5235</v>
      </c>
      <c r="R1209" s="0" t="s">
        <v>275</v>
      </c>
      <c r="S1209" s="0" t="s">
        <v>268</v>
      </c>
      <c r="T1209" s="0" t="s">
        <v>276</v>
      </c>
      <c r="U1209" s="0" t="s">
        <v>277</v>
      </c>
    </row>
    <row r="1210" customFormat="false" ht="15" hidden="false" customHeight="false" outlineLevel="0" collapsed="false">
      <c r="A1210" s="0" t="n">
        <v>134</v>
      </c>
      <c r="B1210" s="0" t="s">
        <v>190</v>
      </c>
      <c r="C1210" s="0" t="s">
        <v>56</v>
      </c>
      <c r="D1210" s="0" t="s">
        <v>5236</v>
      </c>
      <c r="E1210" s="0" t="n">
        <v>2021</v>
      </c>
      <c r="H1210" s="0" t="n">
        <v>3</v>
      </c>
      <c r="I1210" s="0" t="n">
        <v>2307</v>
      </c>
      <c r="J1210" s="0" t="s">
        <v>268</v>
      </c>
      <c r="K1210" s="0" t="s">
        <v>298</v>
      </c>
      <c r="L1210" s="0" t="s">
        <v>270</v>
      </c>
      <c r="M1210" s="0" t="s">
        <v>5237</v>
      </c>
      <c r="N1210" s="0" t="s">
        <v>5237</v>
      </c>
      <c r="O1210" s="0" t="s">
        <v>5238</v>
      </c>
      <c r="P1210" s="0" t="s">
        <v>5239</v>
      </c>
      <c r="R1210" s="0" t="s">
        <v>284</v>
      </c>
      <c r="S1210" s="0" t="s">
        <v>268</v>
      </c>
      <c r="T1210" s="0" t="s">
        <v>276</v>
      </c>
      <c r="U1210" s="0" t="s">
        <v>277</v>
      </c>
    </row>
    <row r="1211" customFormat="false" ht="15" hidden="false" customHeight="false" outlineLevel="0" collapsed="false">
      <c r="A1211" s="0" t="n">
        <v>134</v>
      </c>
      <c r="B1211" s="0" t="s">
        <v>190</v>
      </c>
      <c r="C1211" s="0" t="s">
        <v>586</v>
      </c>
      <c r="D1211" s="0" t="s">
        <v>5240</v>
      </c>
      <c r="E1211" s="0" t="n">
        <v>2026</v>
      </c>
      <c r="H1211" s="0" t="n">
        <v>1</v>
      </c>
      <c r="I1211" s="0" t="n">
        <v>1441</v>
      </c>
      <c r="J1211" s="0" t="s">
        <v>290</v>
      </c>
      <c r="K1211" s="0" t="s">
        <v>286</v>
      </c>
      <c r="L1211" s="0" t="s">
        <v>270</v>
      </c>
      <c r="M1211" s="0" t="s">
        <v>5241</v>
      </c>
      <c r="N1211" s="0" t="s">
        <v>5242</v>
      </c>
      <c r="O1211" s="0" t="s">
        <v>5243</v>
      </c>
      <c r="P1211" s="0" t="s">
        <v>5244</v>
      </c>
      <c r="R1211" s="0" t="s">
        <v>275</v>
      </c>
      <c r="S1211" s="0" t="s">
        <v>268</v>
      </c>
      <c r="T1211" s="0" t="s">
        <v>276</v>
      </c>
      <c r="U1211" s="0" t="s">
        <v>277</v>
      </c>
    </row>
    <row r="1212" customFormat="false" ht="15" hidden="false" customHeight="false" outlineLevel="0" collapsed="false">
      <c r="A1212" s="0" t="n">
        <v>134</v>
      </c>
      <c r="B1212" s="0" t="s">
        <v>190</v>
      </c>
      <c r="C1212" s="0" t="s">
        <v>266</v>
      </c>
      <c r="D1212" s="0" t="s">
        <v>5245</v>
      </c>
      <c r="E1212" s="0" t="n">
        <v>2026</v>
      </c>
      <c r="H1212" s="0" t="n">
        <v>1</v>
      </c>
      <c r="I1212" s="0" t="n">
        <v>2179</v>
      </c>
      <c r="J1212" s="0" t="s">
        <v>268</v>
      </c>
      <c r="K1212" s="0" t="s">
        <v>286</v>
      </c>
      <c r="L1212" s="0" t="s">
        <v>270</v>
      </c>
      <c r="M1212" s="0" t="s">
        <v>5246</v>
      </c>
      <c r="N1212" s="0" t="s">
        <v>5246</v>
      </c>
      <c r="O1212" s="0" t="s">
        <v>5247</v>
      </c>
      <c r="P1212" s="0" t="s">
        <v>5248</v>
      </c>
      <c r="R1212" s="0" t="s">
        <v>275</v>
      </c>
      <c r="S1212" s="0" t="s">
        <v>268</v>
      </c>
      <c r="T1212" s="0" t="s">
        <v>276</v>
      </c>
      <c r="U1212" s="0" t="s">
        <v>277</v>
      </c>
    </row>
    <row r="1213" customFormat="false" ht="15" hidden="false" customHeight="false" outlineLevel="0" collapsed="false">
      <c r="A1213" s="0" t="n">
        <v>134</v>
      </c>
      <c r="B1213" s="0" t="s">
        <v>190</v>
      </c>
      <c r="C1213" s="0" t="s">
        <v>335</v>
      </c>
      <c r="D1213" s="0" t="s">
        <v>5249</v>
      </c>
      <c r="E1213" s="0" t="n">
        <v>2026</v>
      </c>
      <c r="H1213" s="0" t="n">
        <v>1</v>
      </c>
      <c r="I1213" s="0" t="n">
        <v>1468</v>
      </c>
      <c r="J1213" s="0" t="s">
        <v>290</v>
      </c>
      <c r="K1213" s="0" t="s">
        <v>286</v>
      </c>
      <c r="L1213" s="0" t="s">
        <v>270</v>
      </c>
      <c r="M1213" s="0" t="s">
        <v>5250</v>
      </c>
      <c r="N1213" s="0" t="s">
        <v>5250</v>
      </c>
      <c r="O1213" s="0" t="s">
        <v>5251</v>
      </c>
      <c r="P1213" s="0" t="s">
        <v>5252</v>
      </c>
      <c r="R1213" s="0" t="s">
        <v>275</v>
      </c>
      <c r="S1213" s="0" t="s">
        <v>268</v>
      </c>
      <c r="T1213" s="0" t="s">
        <v>276</v>
      </c>
      <c r="U1213" s="0" t="s">
        <v>277</v>
      </c>
    </row>
    <row r="1214" customFormat="false" ht="15" hidden="false" customHeight="false" outlineLevel="0" collapsed="false">
      <c r="A1214" s="0" t="n">
        <v>134</v>
      </c>
      <c r="B1214" s="0" t="s">
        <v>190</v>
      </c>
      <c r="C1214" s="0" t="s">
        <v>335</v>
      </c>
      <c r="D1214" s="0" t="s">
        <v>5253</v>
      </c>
      <c r="E1214" s="0" t="n">
        <v>2026</v>
      </c>
      <c r="H1214" s="0" t="n">
        <v>1</v>
      </c>
      <c r="I1214" s="0" t="n">
        <v>2500</v>
      </c>
      <c r="J1214" s="0" t="s">
        <v>268</v>
      </c>
      <c r="K1214" s="0" t="s">
        <v>286</v>
      </c>
      <c r="L1214" s="0" t="s">
        <v>270</v>
      </c>
      <c r="M1214" s="0" t="s">
        <v>5254</v>
      </c>
      <c r="N1214" s="0" t="s">
        <v>5254</v>
      </c>
      <c r="O1214" s="0" t="s">
        <v>5255</v>
      </c>
      <c r="P1214" s="0" t="s">
        <v>5256</v>
      </c>
      <c r="R1214" s="0" t="s">
        <v>275</v>
      </c>
      <c r="S1214" s="0" t="s">
        <v>290</v>
      </c>
      <c r="T1214" s="0" t="s">
        <v>276</v>
      </c>
      <c r="U1214" s="0" t="s">
        <v>277</v>
      </c>
    </row>
    <row r="1215" customFormat="false" ht="15" hidden="false" customHeight="false" outlineLevel="0" collapsed="false">
      <c r="A1215" s="0" t="n">
        <v>134</v>
      </c>
      <c r="B1215" s="0" t="s">
        <v>190</v>
      </c>
      <c r="C1215" s="0" t="s">
        <v>887</v>
      </c>
      <c r="D1215" s="0" t="s">
        <v>5257</v>
      </c>
      <c r="E1215" s="0" t="n">
        <v>2026</v>
      </c>
      <c r="H1215" s="0" t="n">
        <v>10</v>
      </c>
      <c r="I1215" s="0" t="n">
        <v>12076</v>
      </c>
      <c r="J1215" s="0" t="s">
        <v>268</v>
      </c>
      <c r="K1215" s="0" t="s">
        <v>286</v>
      </c>
      <c r="L1215" s="0" t="s">
        <v>270</v>
      </c>
      <c r="M1215" s="0" t="s">
        <v>5258</v>
      </c>
      <c r="N1215" s="0" t="s">
        <v>5258</v>
      </c>
      <c r="O1215" s="0" t="s">
        <v>5259</v>
      </c>
      <c r="P1215" s="0" t="s">
        <v>5260</v>
      </c>
      <c r="R1215" s="0" t="s">
        <v>275</v>
      </c>
      <c r="S1215" s="0" t="s">
        <v>268</v>
      </c>
      <c r="T1215" s="0" t="s">
        <v>276</v>
      </c>
      <c r="U1215" s="0" t="s">
        <v>277</v>
      </c>
    </row>
    <row r="1216" customFormat="false" ht="15" hidden="false" customHeight="false" outlineLevel="0" collapsed="false">
      <c r="A1216" s="0" t="n">
        <v>135</v>
      </c>
      <c r="B1216" s="0" t="s">
        <v>191</v>
      </c>
      <c r="C1216" s="0" t="s">
        <v>56</v>
      </c>
      <c r="D1216" s="0" t="s">
        <v>5261</v>
      </c>
      <c r="E1216" s="0" t="n">
        <v>2019</v>
      </c>
      <c r="H1216" s="0" t="n">
        <v>5</v>
      </c>
      <c r="I1216" s="0" t="n">
        <v>1098</v>
      </c>
      <c r="J1216" s="0" t="s">
        <v>268</v>
      </c>
      <c r="K1216" s="0" t="s">
        <v>298</v>
      </c>
      <c r="L1216" s="0" t="s">
        <v>270</v>
      </c>
      <c r="M1216" s="0" t="s">
        <v>5262</v>
      </c>
      <c r="N1216" s="0" t="s">
        <v>5262</v>
      </c>
      <c r="O1216" s="0" t="s">
        <v>5263</v>
      </c>
      <c r="P1216" s="0" t="s">
        <v>5264</v>
      </c>
      <c r="R1216" s="0" t="s">
        <v>284</v>
      </c>
      <c r="S1216" s="0" t="s">
        <v>268</v>
      </c>
      <c r="T1216" s="0" t="s">
        <v>276</v>
      </c>
      <c r="U1216" s="0" t="s">
        <v>277</v>
      </c>
    </row>
    <row r="1217" customFormat="false" ht="15" hidden="false" customHeight="false" outlineLevel="0" collapsed="false">
      <c r="A1217" s="0" t="n">
        <v>135</v>
      </c>
      <c r="B1217" s="0" t="s">
        <v>191</v>
      </c>
      <c r="C1217" s="0" t="s">
        <v>309</v>
      </c>
      <c r="D1217" s="0" t="s">
        <v>5265</v>
      </c>
      <c r="E1217" s="0" t="n">
        <v>2020</v>
      </c>
      <c r="H1217" s="0" t="n">
        <v>1</v>
      </c>
      <c r="I1217" s="0" t="n">
        <v>127</v>
      </c>
      <c r="J1217" s="0" t="s">
        <v>290</v>
      </c>
      <c r="K1217" s="0" t="s">
        <v>298</v>
      </c>
      <c r="L1217" s="0" t="s">
        <v>270</v>
      </c>
      <c r="M1217" s="0" t="s">
        <v>5266</v>
      </c>
      <c r="N1217" s="0" t="s">
        <v>5266</v>
      </c>
      <c r="O1217" s="0" t="s">
        <v>5267</v>
      </c>
      <c r="P1217" s="0" t="s">
        <v>5268</v>
      </c>
      <c r="R1217" s="0" t="s">
        <v>284</v>
      </c>
      <c r="S1217" s="0" t="s">
        <v>268</v>
      </c>
      <c r="T1217" s="0" t="s">
        <v>276</v>
      </c>
      <c r="U1217" s="0" t="s">
        <v>277</v>
      </c>
    </row>
    <row r="1218" customFormat="false" ht="15" hidden="false" customHeight="false" outlineLevel="0" collapsed="false">
      <c r="A1218" s="0" t="n">
        <v>135</v>
      </c>
      <c r="B1218" s="0" t="s">
        <v>191</v>
      </c>
      <c r="C1218" s="0" t="s">
        <v>266</v>
      </c>
      <c r="D1218" s="0" t="s">
        <v>5269</v>
      </c>
      <c r="E1218" s="0" t="n">
        <v>2018</v>
      </c>
      <c r="H1218" s="0" t="n">
        <v>3</v>
      </c>
      <c r="I1218" s="0" t="n">
        <v>2305</v>
      </c>
      <c r="J1218" s="0" t="s">
        <v>268</v>
      </c>
      <c r="K1218" s="0" t="s">
        <v>1256</v>
      </c>
      <c r="L1218" s="0" t="s">
        <v>293</v>
      </c>
      <c r="M1218" s="0" t="s">
        <v>5270</v>
      </c>
      <c r="N1218" s="0" t="s">
        <v>5270</v>
      </c>
      <c r="O1218" s="0" t="s">
        <v>5271</v>
      </c>
      <c r="P1218" s="0" t="s">
        <v>5272</v>
      </c>
      <c r="R1218" s="0" t="s">
        <v>284</v>
      </c>
      <c r="S1218" s="0" t="s">
        <v>290</v>
      </c>
      <c r="T1218" s="0" t="s">
        <v>314</v>
      </c>
      <c r="U1218" s="0" t="s">
        <v>277</v>
      </c>
      <c r="V1218" s="0" t="s">
        <v>5273</v>
      </c>
    </row>
    <row r="1219" customFormat="false" ht="15" hidden="false" customHeight="false" outlineLevel="0" collapsed="false">
      <c r="A1219" s="0" t="n">
        <v>178</v>
      </c>
      <c r="B1219" s="0" t="s">
        <v>239</v>
      </c>
      <c r="C1219" s="0" t="s">
        <v>266</v>
      </c>
      <c r="D1219" s="0" t="s">
        <v>5269</v>
      </c>
      <c r="E1219" s="0" t="n">
        <v>2018</v>
      </c>
      <c r="H1219" s="0" t="n">
        <v>3</v>
      </c>
      <c r="I1219" s="0" t="n">
        <v>2305</v>
      </c>
      <c r="J1219" s="0" t="s">
        <v>268</v>
      </c>
      <c r="K1219" s="0" t="s">
        <v>1256</v>
      </c>
      <c r="L1219" s="0" t="s">
        <v>293</v>
      </c>
      <c r="M1219" s="0" t="s">
        <v>5270</v>
      </c>
      <c r="N1219" s="0" t="s">
        <v>5270</v>
      </c>
      <c r="O1219" s="0" t="s">
        <v>5271</v>
      </c>
      <c r="P1219" s="0" t="s">
        <v>5272</v>
      </c>
      <c r="R1219" s="0" t="s">
        <v>284</v>
      </c>
      <c r="S1219" s="0" t="s">
        <v>290</v>
      </c>
      <c r="T1219" s="0" t="s">
        <v>314</v>
      </c>
      <c r="U1219" s="0" t="s">
        <v>277</v>
      </c>
      <c r="V1219" s="0" t="s">
        <v>5273</v>
      </c>
    </row>
    <row r="1220" customFormat="false" ht="15" hidden="false" customHeight="false" outlineLevel="0" collapsed="false">
      <c r="A1220" s="0" t="n">
        <v>135</v>
      </c>
      <c r="B1220" s="0" t="s">
        <v>191</v>
      </c>
      <c r="C1220" s="0" t="s">
        <v>324</v>
      </c>
      <c r="D1220" s="0" t="s">
        <v>5274</v>
      </c>
      <c r="E1220" s="0" t="n">
        <v>2019</v>
      </c>
      <c r="H1220" s="0" t="n">
        <v>3</v>
      </c>
      <c r="I1220" s="0" t="n">
        <v>4248</v>
      </c>
      <c r="J1220" s="0" t="s">
        <v>268</v>
      </c>
      <c r="K1220" s="0" t="s">
        <v>1256</v>
      </c>
      <c r="L1220" s="0" t="s">
        <v>293</v>
      </c>
      <c r="M1220" s="0" t="s">
        <v>5275</v>
      </c>
      <c r="N1220" s="0" t="s">
        <v>5275</v>
      </c>
      <c r="O1220" s="0" t="s">
        <v>5276</v>
      </c>
      <c r="P1220" s="0" t="s">
        <v>5277</v>
      </c>
      <c r="R1220" s="0" t="s">
        <v>284</v>
      </c>
      <c r="S1220" s="0" t="s">
        <v>268</v>
      </c>
      <c r="T1220" s="0" t="s">
        <v>276</v>
      </c>
      <c r="U1220" s="0" t="s">
        <v>277</v>
      </c>
    </row>
    <row r="1221" customFormat="false" ht="15" hidden="false" customHeight="false" outlineLevel="0" collapsed="false">
      <c r="A1221" s="0" t="n">
        <v>135</v>
      </c>
      <c r="B1221" s="0" t="s">
        <v>191</v>
      </c>
      <c r="C1221" s="0" t="s">
        <v>324</v>
      </c>
      <c r="D1221" s="0" t="s">
        <v>5278</v>
      </c>
      <c r="E1221" s="0" t="n">
        <v>2017</v>
      </c>
      <c r="H1221" s="0" t="n">
        <v>4</v>
      </c>
      <c r="I1221" s="0" t="n">
        <v>1116</v>
      </c>
      <c r="J1221" s="0" t="s">
        <v>268</v>
      </c>
      <c r="K1221" s="0" t="s">
        <v>1256</v>
      </c>
      <c r="L1221" s="0" t="s">
        <v>293</v>
      </c>
      <c r="M1221" s="0" t="s">
        <v>5279</v>
      </c>
      <c r="N1221" s="0" t="s">
        <v>5279</v>
      </c>
      <c r="O1221" s="0" t="s">
        <v>5280</v>
      </c>
      <c r="P1221" s="0" t="s">
        <v>5281</v>
      </c>
      <c r="R1221" s="0" t="s">
        <v>284</v>
      </c>
      <c r="S1221" s="0" t="s">
        <v>268</v>
      </c>
      <c r="T1221" s="0" t="s">
        <v>314</v>
      </c>
      <c r="U1221" s="0" t="s">
        <v>277</v>
      </c>
      <c r="V1221" s="0" t="s">
        <v>5273</v>
      </c>
    </row>
    <row r="1222" customFormat="false" ht="15" hidden="false" customHeight="false" outlineLevel="0" collapsed="false">
      <c r="A1222" s="0" t="n">
        <v>178</v>
      </c>
      <c r="B1222" s="0" t="s">
        <v>239</v>
      </c>
      <c r="C1222" s="0" t="s">
        <v>324</v>
      </c>
      <c r="D1222" s="0" t="s">
        <v>5278</v>
      </c>
      <c r="E1222" s="0" t="n">
        <v>2017</v>
      </c>
      <c r="H1222" s="0" t="n">
        <v>4</v>
      </c>
      <c r="I1222" s="0" t="n">
        <v>1116</v>
      </c>
      <c r="J1222" s="0" t="s">
        <v>268</v>
      </c>
      <c r="K1222" s="0" t="s">
        <v>1256</v>
      </c>
      <c r="L1222" s="0" t="s">
        <v>293</v>
      </c>
      <c r="M1222" s="0" t="s">
        <v>5279</v>
      </c>
      <c r="N1222" s="0" t="s">
        <v>5279</v>
      </c>
      <c r="O1222" s="0" t="s">
        <v>5280</v>
      </c>
      <c r="P1222" s="0" t="s">
        <v>5281</v>
      </c>
      <c r="R1222" s="0" t="s">
        <v>284</v>
      </c>
      <c r="S1222" s="0" t="s">
        <v>268</v>
      </c>
      <c r="T1222" s="0" t="s">
        <v>314</v>
      </c>
      <c r="U1222" s="0" t="s">
        <v>277</v>
      </c>
      <c r="V1222" s="0" t="s">
        <v>5273</v>
      </c>
    </row>
    <row r="1223" customFormat="false" ht="15" hidden="false" customHeight="false" outlineLevel="0" collapsed="false">
      <c r="A1223" s="0" t="n">
        <v>135</v>
      </c>
      <c r="B1223" s="0" t="s">
        <v>191</v>
      </c>
      <c r="C1223" s="0" t="s">
        <v>530</v>
      </c>
      <c r="D1223" s="0" t="s">
        <v>5282</v>
      </c>
      <c r="E1223" s="0" t="n">
        <v>2019</v>
      </c>
      <c r="H1223" s="0" t="n">
        <v>4</v>
      </c>
      <c r="I1223" s="0" t="n">
        <v>1146</v>
      </c>
      <c r="J1223" s="0" t="s">
        <v>268</v>
      </c>
      <c r="K1223" s="0" t="s">
        <v>1256</v>
      </c>
      <c r="L1223" s="0" t="s">
        <v>293</v>
      </c>
      <c r="M1223" s="0" t="s">
        <v>5283</v>
      </c>
      <c r="N1223" s="0" t="s">
        <v>5283</v>
      </c>
      <c r="O1223" s="0" t="s">
        <v>5284</v>
      </c>
      <c r="P1223" s="0" t="s">
        <v>5285</v>
      </c>
      <c r="R1223" s="0" t="s">
        <v>284</v>
      </c>
      <c r="S1223" s="0" t="s">
        <v>268</v>
      </c>
      <c r="T1223" s="0" t="s">
        <v>314</v>
      </c>
      <c r="U1223" s="0" t="s">
        <v>277</v>
      </c>
      <c r="V1223" s="0" t="s">
        <v>5273</v>
      </c>
    </row>
    <row r="1224" customFormat="false" ht="15" hidden="false" customHeight="false" outlineLevel="0" collapsed="false">
      <c r="A1224" s="0" t="n">
        <v>178</v>
      </c>
      <c r="B1224" s="0" t="s">
        <v>239</v>
      </c>
      <c r="C1224" s="0" t="s">
        <v>530</v>
      </c>
      <c r="D1224" s="0" t="s">
        <v>5282</v>
      </c>
      <c r="E1224" s="0" t="n">
        <v>2019</v>
      </c>
      <c r="H1224" s="0" t="n">
        <v>4</v>
      </c>
      <c r="I1224" s="0" t="n">
        <v>1146</v>
      </c>
      <c r="J1224" s="0" t="s">
        <v>268</v>
      </c>
      <c r="K1224" s="0" t="s">
        <v>1256</v>
      </c>
      <c r="L1224" s="0" t="s">
        <v>293</v>
      </c>
      <c r="M1224" s="0" t="s">
        <v>5283</v>
      </c>
      <c r="N1224" s="0" t="s">
        <v>5283</v>
      </c>
      <c r="O1224" s="0" t="s">
        <v>5284</v>
      </c>
      <c r="P1224" s="0" t="s">
        <v>5285</v>
      </c>
      <c r="R1224" s="0" t="s">
        <v>284</v>
      </c>
      <c r="S1224" s="0" t="s">
        <v>268</v>
      </c>
      <c r="T1224" s="0" t="s">
        <v>314</v>
      </c>
      <c r="U1224" s="0" t="s">
        <v>277</v>
      </c>
      <c r="V1224" s="0" t="s">
        <v>5273</v>
      </c>
    </row>
    <row r="1225" customFormat="false" ht="15" hidden="false" customHeight="false" outlineLevel="0" collapsed="false">
      <c r="A1225" s="0" t="n">
        <v>135</v>
      </c>
      <c r="B1225" s="0" t="s">
        <v>191</v>
      </c>
      <c r="C1225" s="0" t="s">
        <v>530</v>
      </c>
      <c r="D1225" s="0" t="s">
        <v>5286</v>
      </c>
      <c r="E1225" s="0" t="n">
        <v>2018</v>
      </c>
      <c r="H1225" s="0" t="n">
        <v>7</v>
      </c>
      <c r="I1225" s="0" t="n">
        <v>615</v>
      </c>
      <c r="J1225" s="0" t="s">
        <v>268</v>
      </c>
      <c r="K1225" s="0" t="s">
        <v>1256</v>
      </c>
      <c r="L1225" s="0" t="s">
        <v>293</v>
      </c>
      <c r="M1225" s="0" t="s">
        <v>5287</v>
      </c>
      <c r="N1225" s="0" t="s">
        <v>5288</v>
      </c>
      <c r="O1225" s="0" t="s">
        <v>5289</v>
      </c>
      <c r="P1225" s="0" t="s">
        <v>5290</v>
      </c>
      <c r="R1225" s="0" t="s">
        <v>284</v>
      </c>
      <c r="S1225" s="0" t="s">
        <v>290</v>
      </c>
      <c r="T1225" s="0" t="s">
        <v>314</v>
      </c>
      <c r="U1225" s="0" t="s">
        <v>277</v>
      </c>
      <c r="V1225" s="0" t="s">
        <v>5273</v>
      </c>
    </row>
    <row r="1226" customFormat="false" ht="15" hidden="false" customHeight="false" outlineLevel="0" collapsed="false">
      <c r="A1226" s="0" t="n">
        <v>178</v>
      </c>
      <c r="B1226" s="0" t="s">
        <v>239</v>
      </c>
      <c r="C1226" s="0" t="s">
        <v>530</v>
      </c>
      <c r="D1226" s="0" t="s">
        <v>5286</v>
      </c>
      <c r="E1226" s="0" t="n">
        <v>2018</v>
      </c>
      <c r="H1226" s="0" t="n">
        <v>7</v>
      </c>
      <c r="I1226" s="0" t="n">
        <v>615</v>
      </c>
      <c r="J1226" s="0" t="s">
        <v>268</v>
      </c>
      <c r="K1226" s="0" t="s">
        <v>1256</v>
      </c>
      <c r="L1226" s="0" t="s">
        <v>293</v>
      </c>
      <c r="M1226" s="0" t="s">
        <v>5287</v>
      </c>
      <c r="N1226" s="0" t="s">
        <v>5288</v>
      </c>
      <c r="O1226" s="0" t="s">
        <v>5289</v>
      </c>
      <c r="P1226" s="0" t="s">
        <v>5290</v>
      </c>
      <c r="R1226" s="0" t="s">
        <v>284</v>
      </c>
      <c r="S1226" s="0" t="s">
        <v>290</v>
      </c>
      <c r="T1226" s="0" t="s">
        <v>314</v>
      </c>
      <c r="U1226" s="0" t="s">
        <v>277</v>
      </c>
      <c r="V1226" s="0" t="s">
        <v>5273</v>
      </c>
    </row>
    <row r="1227" customFormat="false" ht="15" hidden="false" customHeight="false" outlineLevel="0" collapsed="false">
      <c r="A1227" s="0" t="n">
        <v>135</v>
      </c>
      <c r="B1227" s="0" t="s">
        <v>191</v>
      </c>
      <c r="C1227" s="0" t="s">
        <v>500</v>
      </c>
      <c r="D1227" s="0" t="s">
        <v>5291</v>
      </c>
      <c r="E1227" s="0" t="n">
        <v>2019</v>
      </c>
      <c r="H1227" s="0" t="n">
        <v>13</v>
      </c>
      <c r="I1227" s="0" t="n">
        <v>6246</v>
      </c>
      <c r="J1227" s="0" t="s">
        <v>268</v>
      </c>
      <c r="K1227" s="0" t="s">
        <v>1256</v>
      </c>
      <c r="L1227" s="0" t="s">
        <v>293</v>
      </c>
      <c r="M1227" s="0" t="s">
        <v>5292</v>
      </c>
      <c r="N1227" s="0" t="s">
        <v>5292</v>
      </c>
      <c r="O1227" s="0" t="s">
        <v>5293</v>
      </c>
      <c r="P1227" s="0" t="s">
        <v>5294</v>
      </c>
      <c r="R1227" s="0" t="s">
        <v>284</v>
      </c>
      <c r="S1227" s="0" t="s">
        <v>268</v>
      </c>
      <c r="T1227" s="0" t="s">
        <v>276</v>
      </c>
      <c r="U1227" s="0" t="s">
        <v>277</v>
      </c>
    </row>
    <row r="1228" customFormat="false" ht="15" hidden="false" customHeight="false" outlineLevel="0" collapsed="false">
      <c r="A1228" s="0" t="n">
        <v>136</v>
      </c>
      <c r="B1228" s="0" t="s">
        <v>192</v>
      </c>
      <c r="C1228" s="0" t="s">
        <v>56</v>
      </c>
      <c r="D1228" s="0" t="s">
        <v>5295</v>
      </c>
      <c r="E1228" s="0" t="n">
        <v>2021</v>
      </c>
      <c r="H1228" s="0" t="n">
        <v>5</v>
      </c>
      <c r="I1228" s="0" t="n">
        <v>2179</v>
      </c>
      <c r="J1228" s="0" t="s">
        <v>268</v>
      </c>
      <c r="K1228" s="0" t="s">
        <v>298</v>
      </c>
      <c r="L1228" s="0" t="s">
        <v>270</v>
      </c>
      <c r="M1228" s="0" t="s">
        <v>5296</v>
      </c>
      <c r="N1228" s="0" t="s">
        <v>5296</v>
      </c>
      <c r="O1228" s="0" t="s">
        <v>5297</v>
      </c>
      <c r="P1228" s="0" t="s">
        <v>5298</v>
      </c>
      <c r="R1228" s="0" t="s">
        <v>284</v>
      </c>
      <c r="S1228" s="0" t="s">
        <v>268</v>
      </c>
      <c r="T1228" s="0" t="s">
        <v>276</v>
      </c>
      <c r="U1228" s="0" t="s">
        <v>277</v>
      </c>
    </row>
    <row r="1229" customFormat="false" ht="15" hidden="false" customHeight="false" outlineLevel="0" collapsed="false">
      <c r="A1229" s="0" t="n">
        <v>136</v>
      </c>
      <c r="B1229" s="0" t="s">
        <v>192</v>
      </c>
      <c r="C1229" s="0" t="s">
        <v>35</v>
      </c>
      <c r="D1229" s="0" t="s">
        <v>5299</v>
      </c>
      <c r="E1229" s="0" t="n">
        <v>2025</v>
      </c>
      <c r="H1229" s="0" t="n">
        <v>10</v>
      </c>
      <c r="I1229" s="0" t="n">
        <v>51530</v>
      </c>
      <c r="J1229" s="0" t="s">
        <v>268</v>
      </c>
      <c r="K1229" s="0" t="s">
        <v>298</v>
      </c>
      <c r="L1229" s="0" t="s">
        <v>270</v>
      </c>
      <c r="M1229" s="0" t="s">
        <v>5300</v>
      </c>
      <c r="N1229" s="0" t="s">
        <v>5300</v>
      </c>
      <c r="O1229" s="0" t="s">
        <v>5301</v>
      </c>
      <c r="P1229" s="0" t="s">
        <v>5302</v>
      </c>
      <c r="R1229" s="0" t="s">
        <v>275</v>
      </c>
      <c r="S1229" s="0" t="s">
        <v>268</v>
      </c>
      <c r="T1229" s="0" t="s">
        <v>276</v>
      </c>
      <c r="U1229" s="0" t="s">
        <v>277</v>
      </c>
    </row>
    <row r="1230" customFormat="false" ht="15" hidden="false" customHeight="false" outlineLevel="0" collapsed="false">
      <c r="A1230" s="0" t="n">
        <v>136</v>
      </c>
      <c r="B1230" s="0" t="s">
        <v>192</v>
      </c>
      <c r="C1230" s="0" t="s">
        <v>309</v>
      </c>
      <c r="D1230" s="0" t="s">
        <v>5303</v>
      </c>
      <c r="E1230" s="0" t="n">
        <v>2020</v>
      </c>
      <c r="H1230" s="0" t="n">
        <v>1</v>
      </c>
      <c r="I1230" s="0" t="n">
        <v>3257</v>
      </c>
      <c r="J1230" s="0" t="s">
        <v>268</v>
      </c>
      <c r="K1230" s="0" t="s">
        <v>298</v>
      </c>
      <c r="L1230" s="0" t="s">
        <v>270</v>
      </c>
      <c r="M1230" s="0" t="s">
        <v>5304</v>
      </c>
      <c r="N1230" s="0" t="s">
        <v>5304</v>
      </c>
      <c r="O1230" s="0" t="s">
        <v>5305</v>
      </c>
      <c r="P1230" s="0" t="s">
        <v>5306</v>
      </c>
      <c r="R1230" s="0" t="s">
        <v>284</v>
      </c>
      <c r="S1230" s="0" t="s">
        <v>268</v>
      </c>
      <c r="T1230" s="0" t="s">
        <v>276</v>
      </c>
      <c r="U1230" s="0" t="s">
        <v>277</v>
      </c>
    </row>
    <row r="1231" customFormat="false" ht="15" hidden="false" customHeight="false" outlineLevel="0" collapsed="false">
      <c r="A1231" s="0" t="n">
        <v>137</v>
      </c>
      <c r="B1231" s="0" t="s">
        <v>193</v>
      </c>
      <c r="C1231" s="0" t="s">
        <v>887</v>
      </c>
      <c r="D1231" s="0" t="s">
        <v>5307</v>
      </c>
      <c r="E1231" s="0" t="n">
        <v>2026</v>
      </c>
      <c r="H1231" s="0" t="n">
        <v>19</v>
      </c>
      <c r="I1231" s="0" t="n">
        <v>1809</v>
      </c>
      <c r="J1231" s="0" t="s">
        <v>268</v>
      </c>
      <c r="K1231" s="0" t="s">
        <v>286</v>
      </c>
      <c r="L1231" s="0" t="s">
        <v>270</v>
      </c>
      <c r="M1231" s="0" t="s">
        <v>5308</v>
      </c>
      <c r="N1231" s="0" t="s">
        <v>5308</v>
      </c>
      <c r="O1231" s="0" t="s">
        <v>5309</v>
      </c>
      <c r="P1231" s="0" t="s">
        <v>5310</v>
      </c>
      <c r="R1231" s="0" t="s">
        <v>275</v>
      </c>
      <c r="S1231" s="0" t="s">
        <v>268</v>
      </c>
      <c r="T1231" s="0" t="s">
        <v>314</v>
      </c>
      <c r="U1231" s="0" t="s">
        <v>277</v>
      </c>
      <c r="V1231" s="0" t="s">
        <v>5311</v>
      </c>
    </row>
    <row r="1232" customFormat="false" ht="15" hidden="false" customHeight="false" outlineLevel="0" collapsed="false">
      <c r="A1232" s="0" t="n">
        <v>143</v>
      </c>
      <c r="B1232" s="0" t="s">
        <v>199</v>
      </c>
      <c r="C1232" s="0" t="s">
        <v>887</v>
      </c>
      <c r="D1232" s="0" t="s">
        <v>5307</v>
      </c>
      <c r="E1232" s="0" t="n">
        <v>2026</v>
      </c>
      <c r="H1232" s="0" t="n">
        <v>19</v>
      </c>
      <c r="I1232" s="0" t="n">
        <v>1809</v>
      </c>
      <c r="J1232" s="0" t="s">
        <v>268</v>
      </c>
      <c r="K1232" s="0" t="s">
        <v>286</v>
      </c>
      <c r="L1232" s="0" t="s">
        <v>270</v>
      </c>
      <c r="M1232" s="0" t="s">
        <v>5308</v>
      </c>
      <c r="N1232" s="0" t="s">
        <v>5308</v>
      </c>
      <c r="O1232" s="0" t="s">
        <v>5309</v>
      </c>
      <c r="P1232" s="0" t="s">
        <v>5310</v>
      </c>
      <c r="R1232" s="0" t="s">
        <v>275</v>
      </c>
      <c r="S1232" s="0" t="s">
        <v>268</v>
      </c>
      <c r="T1232" s="0" t="s">
        <v>314</v>
      </c>
      <c r="U1232" s="0" t="s">
        <v>277</v>
      </c>
      <c r="V1232" s="0" t="s">
        <v>5311</v>
      </c>
    </row>
    <row r="1233" customFormat="false" ht="15" hidden="false" customHeight="false" outlineLevel="0" collapsed="false">
      <c r="A1233" s="0" t="n">
        <v>138</v>
      </c>
      <c r="B1233" s="0" t="s">
        <v>194</v>
      </c>
      <c r="C1233" s="0" t="s">
        <v>309</v>
      </c>
      <c r="D1233" s="0" t="s">
        <v>5312</v>
      </c>
      <c r="E1233" s="0" t="n">
        <v>2019</v>
      </c>
      <c r="H1233" s="0" t="n">
        <v>1</v>
      </c>
      <c r="I1233" s="0" t="n">
        <v>4996</v>
      </c>
      <c r="J1233" s="0" t="s">
        <v>268</v>
      </c>
      <c r="K1233" s="0" t="s">
        <v>298</v>
      </c>
      <c r="L1233" s="0" t="s">
        <v>270</v>
      </c>
      <c r="M1233" s="0" t="s">
        <v>5313</v>
      </c>
      <c r="N1233" s="0" t="s">
        <v>5313</v>
      </c>
      <c r="O1233" s="0" t="s">
        <v>5314</v>
      </c>
      <c r="P1233" s="0" t="s">
        <v>5315</v>
      </c>
      <c r="R1233" s="0" t="s">
        <v>284</v>
      </c>
      <c r="S1233" s="0" t="s">
        <v>268</v>
      </c>
      <c r="T1233" s="0" t="s">
        <v>276</v>
      </c>
      <c r="U1233" s="0" t="s">
        <v>277</v>
      </c>
    </row>
    <row r="1234" customFormat="false" ht="15" hidden="false" customHeight="false" outlineLevel="0" collapsed="false">
      <c r="A1234" s="0" t="n">
        <v>138</v>
      </c>
      <c r="B1234" s="0" t="s">
        <v>194</v>
      </c>
      <c r="C1234" s="0" t="s">
        <v>489</v>
      </c>
      <c r="D1234" s="0" t="s">
        <v>5316</v>
      </c>
      <c r="E1234" s="0" t="n">
        <v>2019</v>
      </c>
      <c r="H1234" s="0" t="n">
        <v>4</v>
      </c>
      <c r="I1234" s="0" t="n">
        <v>3392</v>
      </c>
      <c r="J1234" s="0" t="s">
        <v>268</v>
      </c>
      <c r="K1234" s="0" t="s">
        <v>298</v>
      </c>
      <c r="L1234" s="0" t="s">
        <v>270</v>
      </c>
      <c r="M1234" s="0" t="s">
        <v>5317</v>
      </c>
      <c r="N1234" s="0" t="s">
        <v>5317</v>
      </c>
      <c r="O1234" s="0" t="s">
        <v>5318</v>
      </c>
      <c r="P1234" s="0" t="s">
        <v>5319</v>
      </c>
      <c r="R1234" s="0" t="s">
        <v>284</v>
      </c>
      <c r="S1234" s="0" t="s">
        <v>268</v>
      </c>
      <c r="T1234" s="0" t="s">
        <v>276</v>
      </c>
      <c r="U1234" s="0" t="s">
        <v>277</v>
      </c>
    </row>
    <row r="1235" customFormat="false" ht="15" hidden="false" customHeight="false" outlineLevel="0" collapsed="false">
      <c r="A1235" s="0" t="n">
        <v>139</v>
      </c>
      <c r="B1235" s="0" t="s">
        <v>195</v>
      </c>
      <c r="C1235" s="0" t="s">
        <v>56</v>
      </c>
      <c r="D1235" s="0" t="s">
        <v>5320</v>
      </c>
      <c r="E1235" s="0" t="n">
        <v>2019</v>
      </c>
      <c r="H1235" s="0" t="n">
        <v>11</v>
      </c>
      <c r="I1235" s="0" t="n">
        <v>4332</v>
      </c>
      <c r="J1235" s="0" t="s">
        <v>268</v>
      </c>
      <c r="K1235" s="0" t="s">
        <v>298</v>
      </c>
      <c r="L1235" s="0" t="s">
        <v>270</v>
      </c>
      <c r="M1235" s="0" t="s">
        <v>5321</v>
      </c>
      <c r="N1235" s="0" t="s">
        <v>5321</v>
      </c>
      <c r="O1235" s="0" t="s">
        <v>5322</v>
      </c>
      <c r="P1235" s="0" t="s">
        <v>5323</v>
      </c>
      <c r="R1235" s="0" t="s">
        <v>284</v>
      </c>
      <c r="S1235" s="0" t="s">
        <v>268</v>
      </c>
      <c r="T1235" s="0" t="s">
        <v>276</v>
      </c>
      <c r="U1235" s="0" t="s">
        <v>277</v>
      </c>
    </row>
    <row r="1236" customFormat="false" ht="15" hidden="false" customHeight="false" outlineLevel="0" collapsed="false">
      <c r="A1236" s="0" t="n">
        <v>139</v>
      </c>
      <c r="B1236" s="0" t="s">
        <v>195</v>
      </c>
      <c r="C1236" s="0" t="s">
        <v>309</v>
      </c>
      <c r="D1236" s="0" t="s">
        <v>5324</v>
      </c>
      <c r="E1236" s="0" t="n">
        <v>2019</v>
      </c>
      <c r="H1236" s="0" t="n">
        <v>1</v>
      </c>
      <c r="I1236" s="0" t="n">
        <v>253</v>
      </c>
      <c r="J1236" s="0" t="s">
        <v>290</v>
      </c>
      <c r="K1236" s="0" t="s">
        <v>298</v>
      </c>
      <c r="L1236" s="0" t="s">
        <v>270</v>
      </c>
      <c r="M1236" s="0" t="s">
        <v>5325</v>
      </c>
      <c r="N1236" s="0" t="s">
        <v>5325</v>
      </c>
      <c r="O1236" s="0" t="s">
        <v>5326</v>
      </c>
      <c r="P1236" s="0" t="s">
        <v>5327</v>
      </c>
      <c r="R1236" s="0" t="s">
        <v>284</v>
      </c>
      <c r="S1236" s="0" t="s">
        <v>268</v>
      </c>
      <c r="T1236" s="0" t="s">
        <v>276</v>
      </c>
      <c r="U1236" s="0" t="s">
        <v>277</v>
      </c>
    </row>
    <row r="1237" customFormat="false" ht="15" hidden="false" customHeight="false" outlineLevel="0" collapsed="false">
      <c r="A1237" s="0" t="n">
        <v>140</v>
      </c>
      <c r="B1237" s="0" t="s">
        <v>196</v>
      </c>
      <c r="C1237" s="0" t="s">
        <v>56</v>
      </c>
      <c r="D1237" s="0" t="s">
        <v>5328</v>
      </c>
      <c r="E1237" s="0" t="n">
        <v>2025</v>
      </c>
      <c r="H1237" s="0" t="n">
        <v>4</v>
      </c>
      <c r="I1237" s="0" t="n">
        <v>5012</v>
      </c>
      <c r="J1237" s="0" t="s">
        <v>268</v>
      </c>
      <c r="K1237" s="0" t="s">
        <v>298</v>
      </c>
      <c r="L1237" s="0" t="s">
        <v>270</v>
      </c>
      <c r="M1237" s="0" t="s">
        <v>5329</v>
      </c>
      <c r="N1237" s="0" t="s">
        <v>5329</v>
      </c>
      <c r="O1237" s="0" t="s">
        <v>5330</v>
      </c>
      <c r="P1237" s="0" t="s">
        <v>5331</v>
      </c>
      <c r="R1237" s="0" t="s">
        <v>275</v>
      </c>
      <c r="S1237" s="0" t="s">
        <v>268</v>
      </c>
      <c r="T1237" s="0" t="s">
        <v>276</v>
      </c>
      <c r="U1237" s="0" t="s">
        <v>277</v>
      </c>
    </row>
    <row r="1238" customFormat="false" ht="15" hidden="false" customHeight="false" outlineLevel="0" collapsed="false">
      <c r="A1238" s="0" t="n">
        <v>140</v>
      </c>
      <c r="B1238" s="0" t="s">
        <v>196</v>
      </c>
      <c r="C1238" s="0" t="s">
        <v>309</v>
      </c>
      <c r="D1238" s="0" t="s">
        <v>5332</v>
      </c>
      <c r="E1238" s="0" t="n">
        <v>2024</v>
      </c>
      <c r="H1238" s="0" t="n">
        <v>1</v>
      </c>
      <c r="I1238" s="0" t="n">
        <v>1018</v>
      </c>
      <c r="J1238" s="0" t="s">
        <v>268</v>
      </c>
      <c r="K1238" s="0" t="s">
        <v>298</v>
      </c>
      <c r="L1238" s="0" t="s">
        <v>270</v>
      </c>
      <c r="M1238" s="0" t="s">
        <v>5333</v>
      </c>
      <c r="N1238" s="0" t="s">
        <v>5333</v>
      </c>
      <c r="O1238" s="0" t="s">
        <v>5334</v>
      </c>
      <c r="P1238" s="0" t="s">
        <v>5335</v>
      </c>
      <c r="R1238" s="0" t="s">
        <v>284</v>
      </c>
      <c r="S1238" s="0" t="s">
        <v>268</v>
      </c>
      <c r="T1238" s="0" t="s">
        <v>276</v>
      </c>
      <c r="U1238" s="0" t="s">
        <v>277</v>
      </c>
    </row>
    <row r="1239" customFormat="false" ht="15" hidden="false" customHeight="false" outlineLevel="0" collapsed="false">
      <c r="A1239" s="0" t="n">
        <v>141</v>
      </c>
      <c r="B1239" s="0" t="s">
        <v>197</v>
      </c>
      <c r="C1239" s="0" t="s">
        <v>56</v>
      </c>
      <c r="D1239" s="0" t="s">
        <v>5336</v>
      </c>
      <c r="E1239" s="0" t="n">
        <v>2019</v>
      </c>
      <c r="H1239" s="0" t="n">
        <v>8</v>
      </c>
      <c r="I1239" s="0" t="n">
        <v>1674</v>
      </c>
      <c r="J1239" s="0" t="s">
        <v>268</v>
      </c>
      <c r="K1239" s="0" t="s">
        <v>298</v>
      </c>
      <c r="L1239" s="0" t="s">
        <v>270</v>
      </c>
      <c r="M1239" s="0" t="s">
        <v>5337</v>
      </c>
      <c r="N1239" s="0" t="s">
        <v>5337</v>
      </c>
      <c r="O1239" s="0" t="s">
        <v>5338</v>
      </c>
      <c r="P1239" s="0" t="s">
        <v>5339</v>
      </c>
      <c r="R1239" s="0" t="s">
        <v>284</v>
      </c>
      <c r="S1239" s="0" t="s">
        <v>268</v>
      </c>
      <c r="T1239" s="0" t="s">
        <v>314</v>
      </c>
      <c r="U1239" s="0" t="s">
        <v>277</v>
      </c>
      <c r="V1239" s="0" t="s">
        <v>5340</v>
      </c>
    </row>
    <row r="1240" customFormat="false" ht="15" hidden="false" customHeight="false" outlineLevel="0" collapsed="false">
      <c r="A1240" s="0" t="n">
        <v>143</v>
      </c>
      <c r="B1240" s="0" t="s">
        <v>199</v>
      </c>
      <c r="C1240" s="0" t="s">
        <v>56</v>
      </c>
      <c r="D1240" s="0" t="s">
        <v>5336</v>
      </c>
      <c r="E1240" s="0" t="n">
        <v>2019</v>
      </c>
      <c r="H1240" s="0" t="n">
        <v>8</v>
      </c>
      <c r="I1240" s="0" t="n">
        <v>1674</v>
      </c>
      <c r="J1240" s="0" t="s">
        <v>268</v>
      </c>
      <c r="K1240" s="0" t="s">
        <v>298</v>
      </c>
      <c r="L1240" s="0" t="s">
        <v>270</v>
      </c>
      <c r="M1240" s="0" t="s">
        <v>5337</v>
      </c>
      <c r="N1240" s="0" t="s">
        <v>5337</v>
      </c>
      <c r="O1240" s="0" t="s">
        <v>5338</v>
      </c>
      <c r="P1240" s="0" t="s">
        <v>5339</v>
      </c>
      <c r="R1240" s="0" t="s">
        <v>284</v>
      </c>
      <c r="S1240" s="0" t="s">
        <v>268</v>
      </c>
      <c r="T1240" s="0" t="s">
        <v>314</v>
      </c>
      <c r="U1240" s="0" t="s">
        <v>277</v>
      </c>
      <c r="V1240" s="0" t="s">
        <v>5340</v>
      </c>
    </row>
    <row r="1241" customFormat="false" ht="15" hidden="false" customHeight="false" outlineLevel="0" collapsed="false">
      <c r="A1241" s="0" t="n">
        <v>141</v>
      </c>
      <c r="B1241" s="0" t="s">
        <v>197</v>
      </c>
      <c r="C1241" s="0" t="s">
        <v>309</v>
      </c>
      <c r="D1241" s="0" t="s">
        <v>5341</v>
      </c>
      <c r="E1241" s="0" t="n">
        <v>2019</v>
      </c>
      <c r="H1241" s="0" t="n">
        <v>1</v>
      </c>
      <c r="I1241" s="0" t="n">
        <v>2811</v>
      </c>
      <c r="J1241" s="0" t="s">
        <v>268</v>
      </c>
      <c r="K1241" s="0" t="s">
        <v>298</v>
      </c>
      <c r="L1241" s="0" t="s">
        <v>270</v>
      </c>
      <c r="M1241" s="0" t="s">
        <v>5342</v>
      </c>
      <c r="N1241" s="0" t="s">
        <v>5342</v>
      </c>
      <c r="O1241" s="0" t="s">
        <v>5343</v>
      </c>
      <c r="P1241" s="0" t="s">
        <v>5344</v>
      </c>
      <c r="R1241" s="0" t="s">
        <v>284</v>
      </c>
      <c r="S1241" s="0" t="s">
        <v>268</v>
      </c>
      <c r="T1241" s="0" t="s">
        <v>276</v>
      </c>
      <c r="U1241" s="0" t="s">
        <v>277</v>
      </c>
    </row>
    <row r="1242" customFormat="false" ht="15" hidden="false" customHeight="false" outlineLevel="0" collapsed="false">
      <c r="A1242" s="0" t="n">
        <v>142</v>
      </c>
      <c r="B1242" s="0" t="s">
        <v>198</v>
      </c>
      <c r="C1242" s="0" t="s">
        <v>324</v>
      </c>
      <c r="D1242" s="0" t="s">
        <v>5345</v>
      </c>
      <c r="E1242" s="0" t="n">
        <v>2018</v>
      </c>
      <c r="H1242" s="0" t="n">
        <v>2</v>
      </c>
      <c r="I1242" s="0" t="n">
        <v>188</v>
      </c>
      <c r="J1242" s="0" t="s">
        <v>268</v>
      </c>
      <c r="K1242" s="0" t="s">
        <v>937</v>
      </c>
      <c r="L1242" s="0" t="s">
        <v>293</v>
      </c>
      <c r="M1242" s="0" t="s">
        <v>5346</v>
      </c>
      <c r="N1242" s="0" t="s">
        <v>5347</v>
      </c>
      <c r="O1242" s="0" t="s">
        <v>5348</v>
      </c>
      <c r="P1242" s="0" t="s">
        <v>5349</v>
      </c>
      <c r="R1242" s="0" t="s">
        <v>284</v>
      </c>
      <c r="S1242" s="0" t="s">
        <v>268</v>
      </c>
      <c r="T1242" s="0" t="s">
        <v>314</v>
      </c>
      <c r="U1242" s="0" t="s">
        <v>277</v>
      </c>
      <c r="V1242" s="0" t="s">
        <v>5350</v>
      </c>
    </row>
    <row r="1243" customFormat="false" ht="15" hidden="false" customHeight="false" outlineLevel="0" collapsed="false">
      <c r="A1243" s="0" t="n">
        <v>10</v>
      </c>
      <c r="B1243" s="0" t="s">
        <v>43</v>
      </c>
      <c r="C1243" s="0" t="s">
        <v>324</v>
      </c>
      <c r="D1243" s="0" t="s">
        <v>5345</v>
      </c>
      <c r="E1243" s="0" t="n">
        <v>2018</v>
      </c>
      <c r="H1243" s="0" t="n">
        <v>2</v>
      </c>
      <c r="I1243" s="0" t="n">
        <v>188</v>
      </c>
      <c r="J1243" s="0" t="s">
        <v>268</v>
      </c>
      <c r="K1243" s="0" t="s">
        <v>937</v>
      </c>
      <c r="L1243" s="0" t="s">
        <v>293</v>
      </c>
      <c r="M1243" s="0" t="s">
        <v>5346</v>
      </c>
      <c r="N1243" s="0" t="s">
        <v>5347</v>
      </c>
      <c r="O1243" s="0" t="s">
        <v>5348</v>
      </c>
      <c r="P1243" s="0" t="s">
        <v>5349</v>
      </c>
      <c r="R1243" s="0" t="s">
        <v>284</v>
      </c>
      <c r="S1243" s="0" t="s">
        <v>268</v>
      </c>
      <c r="T1243" s="0" t="s">
        <v>314</v>
      </c>
      <c r="U1243" s="0" t="s">
        <v>277</v>
      </c>
      <c r="V1243" s="0" t="s">
        <v>5350</v>
      </c>
    </row>
    <row r="1244" customFormat="false" ht="15" hidden="false" customHeight="false" outlineLevel="0" collapsed="false">
      <c r="A1244" s="0" t="n">
        <v>143</v>
      </c>
      <c r="B1244" s="0" t="s">
        <v>199</v>
      </c>
      <c r="C1244" s="0" t="s">
        <v>56</v>
      </c>
      <c r="D1244" s="0" t="s">
        <v>5351</v>
      </c>
      <c r="E1244" s="0" t="n">
        <v>2019</v>
      </c>
      <c r="H1244" s="0" t="n">
        <v>7</v>
      </c>
      <c r="I1244" s="0" t="n">
        <v>2829</v>
      </c>
      <c r="J1244" s="0" t="s">
        <v>268</v>
      </c>
      <c r="K1244" s="0" t="s">
        <v>298</v>
      </c>
      <c r="L1244" s="0" t="s">
        <v>270</v>
      </c>
      <c r="M1244" s="0" t="s">
        <v>5352</v>
      </c>
      <c r="N1244" s="0" t="s">
        <v>5352</v>
      </c>
      <c r="O1244" s="0" t="s">
        <v>5353</v>
      </c>
      <c r="P1244" s="0" t="s">
        <v>5354</v>
      </c>
      <c r="R1244" s="0" t="s">
        <v>284</v>
      </c>
      <c r="S1244" s="0" t="s">
        <v>290</v>
      </c>
      <c r="T1244" s="0" t="s">
        <v>276</v>
      </c>
      <c r="U1244" s="0" t="s">
        <v>277</v>
      </c>
    </row>
    <row r="1245" customFormat="false" ht="15" hidden="false" customHeight="false" outlineLevel="0" collapsed="false">
      <c r="A1245" s="0" t="n">
        <v>143</v>
      </c>
      <c r="B1245" s="0" t="s">
        <v>199</v>
      </c>
      <c r="C1245" s="0" t="s">
        <v>309</v>
      </c>
      <c r="D1245" s="0" t="s">
        <v>5355</v>
      </c>
      <c r="E1245" s="0" t="n">
        <v>2019</v>
      </c>
      <c r="H1245" s="0" t="n">
        <v>1</v>
      </c>
      <c r="I1245" s="0" t="n">
        <v>292</v>
      </c>
      <c r="J1245" s="0" t="s">
        <v>268</v>
      </c>
      <c r="K1245" s="0" t="s">
        <v>298</v>
      </c>
      <c r="L1245" s="0" t="s">
        <v>270</v>
      </c>
      <c r="M1245" s="0" t="s">
        <v>5356</v>
      </c>
      <c r="N1245" s="0" t="s">
        <v>5356</v>
      </c>
      <c r="O1245" s="0" t="s">
        <v>5357</v>
      </c>
      <c r="P1245" s="0" t="s">
        <v>5358</v>
      </c>
      <c r="R1245" s="0" t="s">
        <v>284</v>
      </c>
      <c r="S1245" s="0" t="s">
        <v>268</v>
      </c>
      <c r="T1245" s="0" t="s">
        <v>276</v>
      </c>
      <c r="U1245" s="0" t="s">
        <v>277</v>
      </c>
    </row>
    <row r="1246" customFormat="false" ht="15" hidden="false" customHeight="false" outlineLevel="0" collapsed="false">
      <c r="A1246" s="0" t="n">
        <v>143</v>
      </c>
      <c r="B1246" s="0" t="s">
        <v>199</v>
      </c>
      <c r="C1246" s="0" t="s">
        <v>335</v>
      </c>
      <c r="D1246" s="0" t="s">
        <v>5359</v>
      </c>
      <c r="E1246" s="0" t="n">
        <v>2025</v>
      </c>
      <c r="H1246" s="0" t="n">
        <v>6</v>
      </c>
      <c r="I1246" s="0" t="n">
        <v>2659</v>
      </c>
      <c r="J1246" s="0" t="s">
        <v>268</v>
      </c>
      <c r="K1246" s="0" t="s">
        <v>269</v>
      </c>
      <c r="L1246" s="0" t="s">
        <v>270</v>
      </c>
      <c r="M1246" s="0" t="s">
        <v>5360</v>
      </c>
      <c r="N1246" s="0" t="s">
        <v>5361</v>
      </c>
      <c r="O1246" s="0" t="s">
        <v>5362</v>
      </c>
      <c r="P1246" s="0" t="s">
        <v>5363</v>
      </c>
      <c r="R1246" s="0" t="s">
        <v>275</v>
      </c>
      <c r="S1246" s="0" t="s">
        <v>268</v>
      </c>
      <c r="T1246" s="0" t="s">
        <v>276</v>
      </c>
      <c r="U1246" s="0" t="s">
        <v>277</v>
      </c>
    </row>
    <row r="1247" customFormat="false" ht="15" hidden="false" customHeight="false" outlineLevel="0" collapsed="false">
      <c r="A1247" s="0" t="n">
        <v>143</v>
      </c>
      <c r="B1247" s="0" t="s">
        <v>199</v>
      </c>
      <c r="C1247" s="0" t="s">
        <v>530</v>
      </c>
      <c r="D1247" s="0" t="s">
        <v>5364</v>
      </c>
      <c r="E1247" s="0" t="n">
        <v>2019</v>
      </c>
      <c r="H1247" s="0" t="n">
        <v>6</v>
      </c>
      <c r="I1247" s="0" t="n">
        <v>2222</v>
      </c>
      <c r="J1247" s="0" t="s">
        <v>268</v>
      </c>
      <c r="K1247" s="0" t="s">
        <v>269</v>
      </c>
      <c r="L1247" s="0" t="s">
        <v>270</v>
      </c>
      <c r="M1247" s="0" t="s">
        <v>5365</v>
      </c>
      <c r="N1247" s="0" t="s">
        <v>5366</v>
      </c>
      <c r="O1247" s="0" t="s">
        <v>5367</v>
      </c>
      <c r="P1247" s="0" t="s">
        <v>5368</v>
      </c>
      <c r="R1247" s="0" t="s">
        <v>284</v>
      </c>
      <c r="S1247" s="0" t="s">
        <v>268</v>
      </c>
      <c r="T1247" s="0" t="s">
        <v>276</v>
      </c>
      <c r="U1247" s="0" t="s">
        <v>277</v>
      </c>
    </row>
    <row r="1248" customFormat="false" ht="15" hidden="false" customHeight="false" outlineLevel="0" collapsed="false">
      <c r="A1248" s="0" t="n">
        <v>145</v>
      </c>
      <c r="B1248" s="0" t="s">
        <v>201</v>
      </c>
      <c r="C1248" s="0" t="s">
        <v>56</v>
      </c>
      <c r="D1248" s="0" t="s">
        <v>5369</v>
      </c>
      <c r="E1248" s="0" t="n">
        <v>2023</v>
      </c>
      <c r="H1248" s="0" t="n">
        <v>12</v>
      </c>
      <c r="I1248" s="0" t="n">
        <v>2618</v>
      </c>
      <c r="J1248" s="0" t="s">
        <v>268</v>
      </c>
      <c r="K1248" s="0" t="s">
        <v>298</v>
      </c>
      <c r="L1248" s="0" t="s">
        <v>270</v>
      </c>
      <c r="M1248" s="0" t="s">
        <v>5370</v>
      </c>
      <c r="N1248" s="0" t="s">
        <v>5370</v>
      </c>
      <c r="O1248" s="0" t="s">
        <v>5371</v>
      </c>
      <c r="P1248" s="0" t="s">
        <v>5372</v>
      </c>
      <c r="R1248" s="0" t="s">
        <v>284</v>
      </c>
      <c r="S1248" s="0" t="s">
        <v>268</v>
      </c>
      <c r="T1248" s="0" t="s">
        <v>276</v>
      </c>
      <c r="U1248" s="0" t="s">
        <v>277</v>
      </c>
    </row>
    <row r="1249" customFormat="false" ht="15" hidden="false" customHeight="false" outlineLevel="0" collapsed="false">
      <c r="A1249" s="0" t="n">
        <v>145</v>
      </c>
      <c r="B1249" s="0" t="s">
        <v>201</v>
      </c>
      <c r="C1249" s="0" t="s">
        <v>309</v>
      </c>
      <c r="D1249" s="0" t="s">
        <v>5373</v>
      </c>
      <c r="E1249" s="0" t="n">
        <v>2021</v>
      </c>
      <c r="H1249" s="0" t="n">
        <v>1</v>
      </c>
      <c r="I1249" s="0" t="n">
        <v>2400</v>
      </c>
      <c r="J1249" s="0" t="s">
        <v>268</v>
      </c>
      <c r="K1249" s="0" t="s">
        <v>298</v>
      </c>
      <c r="L1249" s="0" t="s">
        <v>270</v>
      </c>
      <c r="M1249" s="0" t="s">
        <v>5374</v>
      </c>
      <c r="N1249" s="0" t="s">
        <v>5374</v>
      </c>
      <c r="O1249" s="0" t="s">
        <v>5375</v>
      </c>
      <c r="P1249" s="0" t="s">
        <v>5376</v>
      </c>
      <c r="R1249" s="0" t="s">
        <v>284</v>
      </c>
      <c r="S1249" s="0" t="s">
        <v>268</v>
      </c>
      <c r="T1249" s="0" t="s">
        <v>276</v>
      </c>
      <c r="U1249" s="0" t="s">
        <v>277</v>
      </c>
    </row>
    <row r="1250" customFormat="false" ht="15" hidden="false" customHeight="false" outlineLevel="0" collapsed="false">
      <c r="A1250" s="0" t="n">
        <v>146</v>
      </c>
      <c r="B1250" s="0" t="s">
        <v>202</v>
      </c>
      <c r="C1250" s="0" t="s">
        <v>56</v>
      </c>
      <c r="D1250" s="0" t="s">
        <v>5377</v>
      </c>
      <c r="E1250" s="0" t="n">
        <v>2023</v>
      </c>
      <c r="H1250" s="0" t="n">
        <v>12</v>
      </c>
      <c r="I1250" s="0" t="n">
        <v>2723</v>
      </c>
      <c r="J1250" s="0" t="s">
        <v>268</v>
      </c>
      <c r="K1250" s="0" t="s">
        <v>298</v>
      </c>
      <c r="L1250" s="0" t="s">
        <v>270</v>
      </c>
      <c r="M1250" s="0" t="s">
        <v>5378</v>
      </c>
      <c r="N1250" s="0" t="s">
        <v>5378</v>
      </c>
      <c r="O1250" s="0" t="s">
        <v>5379</v>
      </c>
      <c r="P1250" s="0" t="s">
        <v>5380</v>
      </c>
      <c r="R1250" s="0" t="s">
        <v>284</v>
      </c>
      <c r="S1250" s="0" t="s">
        <v>268</v>
      </c>
      <c r="T1250" s="0" t="s">
        <v>276</v>
      </c>
      <c r="U1250" s="0" t="s">
        <v>277</v>
      </c>
    </row>
    <row r="1251" customFormat="false" ht="15" hidden="false" customHeight="false" outlineLevel="0" collapsed="false">
      <c r="A1251" s="0" t="n">
        <v>146</v>
      </c>
      <c r="B1251" s="0" t="s">
        <v>202</v>
      </c>
      <c r="C1251" s="0" t="s">
        <v>309</v>
      </c>
      <c r="D1251" s="0" t="s">
        <v>5381</v>
      </c>
      <c r="E1251" s="0" t="n">
        <v>2023</v>
      </c>
      <c r="H1251" s="0" t="n">
        <v>1</v>
      </c>
      <c r="I1251" s="0" t="n">
        <v>872</v>
      </c>
      <c r="J1251" s="0" t="s">
        <v>268</v>
      </c>
      <c r="K1251" s="0" t="s">
        <v>298</v>
      </c>
      <c r="L1251" s="0" t="s">
        <v>270</v>
      </c>
      <c r="M1251" s="0" t="s">
        <v>5382</v>
      </c>
      <c r="N1251" s="0" t="s">
        <v>5382</v>
      </c>
      <c r="O1251" s="0" t="s">
        <v>5383</v>
      </c>
      <c r="P1251" s="0" t="s">
        <v>5384</v>
      </c>
      <c r="R1251" s="0" t="s">
        <v>284</v>
      </c>
      <c r="S1251" s="0" t="s">
        <v>268</v>
      </c>
      <c r="T1251" s="0" t="s">
        <v>276</v>
      </c>
      <c r="U1251" s="0" t="s">
        <v>277</v>
      </c>
    </row>
    <row r="1252" customFormat="false" ht="15" hidden="false" customHeight="false" outlineLevel="0" collapsed="false">
      <c r="A1252" s="0" t="n">
        <v>147</v>
      </c>
      <c r="B1252" s="0" t="s">
        <v>203</v>
      </c>
      <c r="C1252" s="0" t="s">
        <v>56</v>
      </c>
      <c r="D1252" s="0" t="s">
        <v>5385</v>
      </c>
      <c r="E1252" s="0" t="n">
        <v>2019</v>
      </c>
      <c r="H1252" s="0" t="n">
        <v>6</v>
      </c>
      <c r="I1252" s="0" t="n">
        <v>3000</v>
      </c>
      <c r="J1252" s="0" t="s">
        <v>268</v>
      </c>
      <c r="K1252" s="0" t="s">
        <v>298</v>
      </c>
      <c r="L1252" s="0" t="s">
        <v>270</v>
      </c>
      <c r="M1252" s="0" t="s">
        <v>5386</v>
      </c>
      <c r="N1252" s="0" t="s">
        <v>5386</v>
      </c>
      <c r="O1252" s="0" t="s">
        <v>5387</v>
      </c>
      <c r="P1252" s="0" t="s">
        <v>5388</v>
      </c>
      <c r="R1252" s="0" t="s">
        <v>284</v>
      </c>
      <c r="S1252" s="0" t="s">
        <v>268</v>
      </c>
      <c r="T1252" s="0" t="s">
        <v>276</v>
      </c>
      <c r="U1252" s="0" t="s">
        <v>277</v>
      </c>
    </row>
    <row r="1253" customFormat="false" ht="15" hidden="false" customHeight="false" outlineLevel="0" collapsed="false">
      <c r="A1253" s="0" t="n">
        <v>147</v>
      </c>
      <c r="B1253" s="0" t="s">
        <v>203</v>
      </c>
      <c r="C1253" s="0" t="s">
        <v>309</v>
      </c>
      <c r="D1253" s="0" t="s">
        <v>5389</v>
      </c>
      <c r="E1253" s="0" t="n">
        <v>2019</v>
      </c>
      <c r="H1253" s="0" t="n">
        <v>1</v>
      </c>
      <c r="I1253" s="0" t="n">
        <v>4228</v>
      </c>
      <c r="J1253" s="0" t="s">
        <v>290</v>
      </c>
      <c r="K1253" s="0" t="s">
        <v>298</v>
      </c>
      <c r="L1253" s="0" t="s">
        <v>270</v>
      </c>
      <c r="M1253" s="0" t="s">
        <v>5390</v>
      </c>
      <c r="N1253" s="0" t="s">
        <v>5390</v>
      </c>
      <c r="O1253" s="0" t="s">
        <v>5391</v>
      </c>
      <c r="P1253" s="0" t="s">
        <v>5392</v>
      </c>
      <c r="R1253" s="0" t="s">
        <v>284</v>
      </c>
      <c r="S1253" s="0" t="s">
        <v>268</v>
      </c>
      <c r="T1253" s="0" t="s">
        <v>314</v>
      </c>
      <c r="U1253" s="0" t="s">
        <v>277</v>
      </c>
      <c r="V1253" s="0" t="s">
        <v>5393</v>
      </c>
    </row>
    <row r="1254" customFormat="false" ht="15" hidden="false" customHeight="false" outlineLevel="0" collapsed="false">
      <c r="A1254" s="0" t="n">
        <v>148</v>
      </c>
      <c r="B1254" s="0" t="s">
        <v>204</v>
      </c>
      <c r="C1254" s="0" t="s">
        <v>56</v>
      </c>
      <c r="D1254" s="0" t="s">
        <v>5394</v>
      </c>
      <c r="E1254" s="0" t="n">
        <v>2019</v>
      </c>
      <c r="H1254" s="0" t="n">
        <v>8</v>
      </c>
      <c r="I1254" s="0" t="n">
        <v>3258</v>
      </c>
      <c r="J1254" s="0" t="s">
        <v>268</v>
      </c>
      <c r="K1254" s="0" t="s">
        <v>298</v>
      </c>
      <c r="L1254" s="0" t="s">
        <v>270</v>
      </c>
      <c r="M1254" s="0" t="s">
        <v>5395</v>
      </c>
      <c r="N1254" s="0" t="s">
        <v>5395</v>
      </c>
      <c r="O1254" s="0" t="s">
        <v>5396</v>
      </c>
      <c r="P1254" s="0" t="s">
        <v>5397</v>
      </c>
      <c r="R1254" s="0" t="s">
        <v>284</v>
      </c>
      <c r="S1254" s="0" t="s">
        <v>268</v>
      </c>
      <c r="T1254" s="0" t="s">
        <v>276</v>
      </c>
      <c r="U1254" s="0" t="s">
        <v>277</v>
      </c>
    </row>
    <row r="1255" customFormat="false" ht="15" hidden="false" customHeight="false" outlineLevel="0" collapsed="false">
      <c r="A1255" s="0" t="n">
        <v>148</v>
      </c>
      <c r="B1255" s="0" t="s">
        <v>204</v>
      </c>
      <c r="C1255" s="0" t="s">
        <v>309</v>
      </c>
      <c r="D1255" s="0" t="s">
        <v>5398</v>
      </c>
      <c r="E1255" s="0" t="n">
        <v>2019</v>
      </c>
      <c r="H1255" s="0" t="n">
        <v>1</v>
      </c>
      <c r="I1255" s="0" t="n">
        <v>1828</v>
      </c>
      <c r="J1255" s="0" t="s">
        <v>268</v>
      </c>
      <c r="K1255" s="0" t="s">
        <v>298</v>
      </c>
      <c r="L1255" s="0" t="s">
        <v>270</v>
      </c>
      <c r="M1255" s="0" t="s">
        <v>5399</v>
      </c>
      <c r="N1255" s="0" t="s">
        <v>5399</v>
      </c>
      <c r="O1255" s="0" t="s">
        <v>5400</v>
      </c>
      <c r="P1255" s="0" t="s">
        <v>5401</v>
      </c>
      <c r="R1255" s="0" t="s">
        <v>284</v>
      </c>
      <c r="S1255" s="0" t="s">
        <v>268</v>
      </c>
      <c r="T1255" s="0" t="s">
        <v>276</v>
      </c>
      <c r="U1255" s="0" t="s">
        <v>277</v>
      </c>
    </row>
    <row r="1256" customFormat="false" ht="15" hidden="false" customHeight="false" outlineLevel="0" collapsed="false">
      <c r="A1256" s="0" t="n">
        <v>148</v>
      </c>
      <c r="B1256" s="0" t="s">
        <v>204</v>
      </c>
      <c r="C1256" s="0" t="s">
        <v>278</v>
      </c>
      <c r="D1256" s="0" t="s">
        <v>5402</v>
      </c>
      <c r="E1256" s="0" t="n">
        <v>2026</v>
      </c>
      <c r="H1256" s="0" t="n">
        <v>3</v>
      </c>
      <c r="I1256" s="0" t="n">
        <v>713</v>
      </c>
      <c r="J1256" s="0" t="s">
        <v>268</v>
      </c>
      <c r="K1256" s="0" t="s">
        <v>537</v>
      </c>
      <c r="L1256" s="0" t="s">
        <v>293</v>
      </c>
      <c r="M1256" s="0" t="s">
        <v>5403</v>
      </c>
      <c r="N1256" s="0" t="s">
        <v>5403</v>
      </c>
      <c r="O1256" s="0" t="s">
        <v>5404</v>
      </c>
      <c r="P1256" s="0" t="s">
        <v>5405</v>
      </c>
      <c r="R1256" s="0" t="s">
        <v>275</v>
      </c>
      <c r="S1256" s="0" t="s">
        <v>268</v>
      </c>
      <c r="T1256" s="0" t="s">
        <v>276</v>
      </c>
      <c r="U1256" s="0" t="s">
        <v>277</v>
      </c>
    </row>
    <row r="1257" customFormat="false" ht="15" hidden="false" customHeight="false" outlineLevel="0" collapsed="false">
      <c r="A1257" s="0" t="n">
        <v>148</v>
      </c>
      <c r="B1257" s="0" t="s">
        <v>204</v>
      </c>
      <c r="C1257" s="0" t="s">
        <v>887</v>
      </c>
      <c r="D1257" s="0" t="s">
        <v>5406</v>
      </c>
      <c r="E1257" s="0" t="n">
        <v>2027</v>
      </c>
      <c r="H1257" s="0" t="n">
        <v>25</v>
      </c>
      <c r="I1257" s="0" t="n">
        <v>2997</v>
      </c>
      <c r="J1257" s="0" t="s">
        <v>268</v>
      </c>
      <c r="K1257" s="0" t="s">
        <v>286</v>
      </c>
      <c r="L1257" s="0" t="s">
        <v>270</v>
      </c>
      <c r="M1257" s="0" t="s">
        <v>5407</v>
      </c>
      <c r="N1257" s="0" t="s">
        <v>5407</v>
      </c>
      <c r="O1257" s="0" t="s">
        <v>5408</v>
      </c>
      <c r="P1257" s="0" t="s">
        <v>5409</v>
      </c>
      <c r="R1257" s="0" t="s">
        <v>275</v>
      </c>
      <c r="S1257" s="0" t="s">
        <v>268</v>
      </c>
      <c r="T1257" s="0" t="s">
        <v>276</v>
      </c>
      <c r="U1257" s="0" t="s">
        <v>277</v>
      </c>
    </row>
    <row r="1258" customFormat="false" ht="15" hidden="false" customHeight="false" outlineLevel="0" collapsed="false">
      <c r="A1258" s="0" t="n">
        <v>148</v>
      </c>
      <c r="B1258" s="0" t="s">
        <v>204</v>
      </c>
      <c r="C1258" s="0" t="s">
        <v>887</v>
      </c>
      <c r="D1258" s="0" t="s">
        <v>5410</v>
      </c>
      <c r="E1258" s="0" t="n">
        <v>2023</v>
      </c>
      <c r="H1258" s="0" t="n">
        <v>35</v>
      </c>
      <c r="I1258" s="0" t="n">
        <v>4812</v>
      </c>
      <c r="J1258" s="0" t="s">
        <v>268</v>
      </c>
      <c r="K1258" s="0" t="s">
        <v>286</v>
      </c>
      <c r="L1258" s="0" t="s">
        <v>270</v>
      </c>
      <c r="M1258" s="0" t="s">
        <v>5411</v>
      </c>
      <c r="N1258" s="0" t="s">
        <v>5411</v>
      </c>
      <c r="O1258" s="0" t="s">
        <v>5412</v>
      </c>
      <c r="P1258" s="0" t="s">
        <v>5413</v>
      </c>
      <c r="R1258" s="0" t="s">
        <v>284</v>
      </c>
      <c r="S1258" s="0" t="s">
        <v>290</v>
      </c>
      <c r="T1258" s="0" t="s">
        <v>276</v>
      </c>
      <c r="U1258" s="0" t="s">
        <v>277</v>
      </c>
    </row>
    <row r="1259" customFormat="false" ht="15" hidden="false" customHeight="false" outlineLevel="0" collapsed="false">
      <c r="A1259" s="0" t="n">
        <v>148</v>
      </c>
      <c r="B1259" s="0" t="s">
        <v>204</v>
      </c>
      <c r="C1259" s="0" t="s">
        <v>489</v>
      </c>
      <c r="D1259" s="0" t="s">
        <v>5414</v>
      </c>
      <c r="E1259" s="0" t="n">
        <v>2026</v>
      </c>
      <c r="H1259" s="0" t="n">
        <v>4</v>
      </c>
      <c r="I1259" s="0" t="n">
        <v>1688</v>
      </c>
      <c r="J1259" s="0" t="s">
        <v>268</v>
      </c>
      <c r="K1259" s="0" t="s">
        <v>537</v>
      </c>
      <c r="L1259" s="0" t="s">
        <v>293</v>
      </c>
      <c r="M1259" s="0" t="s">
        <v>5415</v>
      </c>
      <c r="N1259" s="0" t="s">
        <v>5415</v>
      </c>
      <c r="O1259" s="0" t="s">
        <v>5416</v>
      </c>
      <c r="P1259" s="0" t="s">
        <v>5417</v>
      </c>
      <c r="R1259" s="0" t="s">
        <v>275</v>
      </c>
      <c r="S1259" s="0" t="s">
        <v>268</v>
      </c>
      <c r="T1259" s="0" t="s">
        <v>276</v>
      </c>
      <c r="U1259" s="0" t="s">
        <v>277</v>
      </c>
    </row>
    <row r="1260" customFormat="false" ht="15" hidden="false" customHeight="false" outlineLevel="0" collapsed="false">
      <c r="A1260" s="0" t="n">
        <v>148</v>
      </c>
      <c r="B1260" s="0" t="s">
        <v>204</v>
      </c>
      <c r="C1260" s="0" t="s">
        <v>489</v>
      </c>
      <c r="D1260" s="0" t="s">
        <v>5418</v>
      </c>
      <c r="E1260" s="0" t="n">
        <v>2021</v>
      </c>
      <c r="H1260" s="0" t="n">
        <v>24</v>
      </c>
      <c r="I1260" s="0" t="n">
        <v>1479</v>
      </c>
      <c r="J1260" s="0" t="s">
        <v>268</v>
      </c>
      <c r="K1260" s="0" t="s">
        <v>3327</v>
      </c>
      <c r="L1260" s="0" t="s">
        <v>293</v>
      </c>
      <c r="M1260" s="0" t="s">
        <v>5419</v>
      </c>
      <c r="N1260" s="0" t="s">
        <v>5419</v>
      </c>
      <c r="O1260" s="0" t="s">
        <v>5420</v>
      </c>
      <c r="P1260" s="0" t="s">
        <v>5421</v>
      </c>
      <c r="R1260" s="0" t="s">
        <v>284</v>
      </c>
      <c r="S1260" s="0" t="s">
        <v>290</v>
      </c>
      <c r="T1260" s="0" t="s">
        <v>276</v>
      </c>
      <c r="U1260" s="0" t="s">
        <v>277</v>
      </c>
    </row>
    <row r="1261" customFormat="false" ht="15" hidden="false" customHeight="false" outlineLevel="0" collapsed="false">
      <c r="A1261" s="0" t="n">
        <v>148</v>
      </c>
      <c r="B1261" s="0" t="s">
        <v>204</v>
      </c>
      <c r="C1261" s="0" t="s">
        <v>494</v>
      </c>
      <c r="D1261" s="0" t="s">
        <v>5422</v>
      </c>
      <c r="E1261" s="0" t="n">
        <v>2026</v>
      </c>
      <c r="H1261" s="0" t="n">
        <v>3</v>
      </c>
      <c r="I1261" s="0" t="n">
        <v>644</v>
      </c>
      <c r="J1261" s="0" t="s">
        <v>268</v>
      </c>
      <c r="K1261" s="0" t="s">
        <v>537</v>
      </c>
      <c r="L1261" s="0" t="s">
        <v>293</v>
      </c>
      <c r="M1261" s="0" t="s">
        <v>5423</v>
      </c>
      <c r="N1261" s="0" t="s">
        <v>5423</v>
      </c>
      <c r="O1261" s="0" t="s">
        <v>5424</v>
      </c>
      <c r="P1261" s="0" t="s">
        <v>5425</v>
      </c>
      <c r="R1261" s="0" t="s">
        <v>275</v>
      </c>
      <c r="S1261" s="0" t="s">
        <v>268</v>
      </c>
      <c r="T1261" s="0" t="s">
        <v>276</v>
      </c>
      <c r="U1261" s="0" t="s">
        <v>277</v>
      </c>
    </row>
    <row r="1262" customFormat="false" ht="15" hidden="false" customHeight="false" outlineLevel="0" collapsed="false">
      <c r="A1262" s="0" t="n">
        <v>148</v>
      </c>
      <c r="B1262" s="0" t="s">
        <v>204</v>
      </c>
      <c r="C1262" s="0" t="s">
        <v>500</v>
      </c>
      <c r="D1262" s="0" t="s">
        <v>5426</v>
      </c>
      <c r="E1262" s="0" t="n">
        <v>2015</v>
      </c>
      <c r="H1262" s="0" t="n">
        <v>2</v>
      </c>
      <c r="I1262" s="0" t="n">
        <v>689</v>
      </c>
      <c r="J1262" s="0" t="s">
        <v>268</v>
      </c>
      <c r="K1262" s="0" t="s">
        <v>1256</v>
      </c>
      <c r="L1262" s="0" t="s">
        <v>293</v>
      </c>
      <c r="M1262" s="0" t="s">
        <v>5427</v>
      </c>
      <c r="N1262" s="0" t="s">
        <v>5427</v>
      </c>
      <c r="O1262" s="0" t="s">
        <v>5428</v>
      </c>
      <c r="P1262" s="0" t="s">
        <v>5429</v>
      </c>
      <c r="R1262" s="0" t="s">
        <v>284</v>
      </c>
      <c r="S1262" s="0" t="s">
        <v>268</v>
      </c>
      <c r="T1262" s="0" t="s">
        <v>276</v>
      </c>
      <c r="U1262" s="0" t="s">
        <v>277</v>
      </c>
    </row>
    <row r="1263" customFormat="false" ht="15" hidden="false" customHeight="false" outlineLevel="0" collapsed="false">
      <c r="A1263" s="0" t="n">
        <v>150</v>
      </c>
      <c r="B1263" s="0" t="s">
        <v>207</v>
      </c>
      <c r="C1263" s="0" t="s">
        <v>56</v>
      </c>
      <c r="D1263" s="0" t="s">
        <v>5430</v>
      </c>
      <c r="E1263" s="0" t="n">
        <v>2020</v>
      </c>
      <c r="H1263" s="0" t="n">
        <v>9</v>
      </c>
      <c r="I1263" s="0" t="n">
        <v>1706</v>
      </c>
      <c r="J1263" s="0" t="s">
        <v>268</v>
      </c>
      <c r="K1263" s="0" t="s">
        <v>298</v>
      </c>
      <c r="L1263" s="0" t="s">
        <v>270</v>
      </c>
      <c r="M1263" s="0" t="s">
        <v>5431</v>
      </c>
      <c r="N1263" s="0" t="s">
        <v>5431</v>
      </c>
      <c r="O1263" s="0" t="s">
        <v>5432</v>
      </c>
      <c r="P1263" s="0" t="s">
        <v>5433</v>
      </c>
      <c r="R1263" s="0" t="s">
        <v>284</v>
      </c>
      <c r="S1263" s="0" t="s">
        <v>268</v>
      </c>
      <c r="T1263" s="0" t="s">
        <v>276</v>
      </c>
      <c r="U1263" s="0" t="s">
        <v>277</v>
      </c>
    </row>
    <row r="1264" customFormat="false" ht="15" hidden="false" customHeight="false" outlineLevel="0" collapsed="false">
      <c r="A1264" s="0" t="n">
        <v>150</v>
      </c>
      <c r="B1264" s="0" t="s">
        <v>207</v>
      </c>
      <c r="C1264" s="0" t="s">
        <v>309</v>
      </c>
      <c r="D1264" s="0" t="s">
        <v>5434</v>
      </c>
      <c r="E1264" s="0" t="n">
        <v>2025</v>
      </c>
      <c r="H1264" s="0" t="n">
        <v>1</v>
      </c>
      <c r="I1264" s="0" t="n">
        <v>1662</v>
      </c>
      <c r="J1264" s="0" t="s">
        <v>268</v>
      </c>
      <c r="K1264" s="0" t="s">
        <v>298</v>
      </c>
      <c r="L1264" s="0" t="s">
        <v>270</v>
      </c>
      <c r="M1264" s="0" t="s">
        <v>5435</v>
      </c>
      <c r="N1264" s="0" t="s">
        <v>5435</v>
      </c>
      <c r="O1264" s="0" t="s">
        <v>5436</v>
      </c>
      <c r="P1264" s="0" t="s">
        <v>5437</v>
      </c>
      <c r="R1264" s="0" t="s">
        <v>275</v>
      </c>
      <c r="S1264" s="0" t="s">
        <v>268</v>
      </c>
      <c r="T1264" s="0" t="s">
        <v>276</v>
      </c>
      <c r="U1264" s="0" t="s">
        <v>277</v>
      </c>
    </row>
    <row r="1265" customFormat="false" ht="15" hidden="false" customHeight="false" outlineLevel="0" collapsed="false">
      <c r="A1265" s="0" t="n">
        <v>153</v>
      </c>
      <c r="B1265" s="0" t="s">
        <v>210</v>
      </c>
      <c r="C1265" s="0" t="s">
        <v>56</v>
      </c>
      <c r="D1265" s="0" t="s">
        <v>5438</v>
      </c>
      <c r="E1265" s="0" t="n">
        <v>2021</v>
      </c>
      <c r="H1265" s="0" t="n">
        <v>7</v>
      </c>
      <c r="I1265" s="0" t="n">
        <v>2675</v>
      </c>
      <c r="J1265" s="0" t="s">
        <v>290</v>
      </c>
      <c r="K1265" s="0" t="s">
        <v>298</v>
      </c>
      <c r="L1265" s="0" t="s">
        <v>270</v>
      </c>
      <c r="M1265" s="0" t="s">
        <v>5439</v>
      </c>
      <c r="N1265" s="0" t="s">
        <v>5439</v>
      </c>
      <c r="O1265" s="0" t="s">
        <v>5440</v>
      </c>
      <c r="P1265" s="0" t="s">
        <v>5441</v>
      </c>
      <c r="R1265" s="0" t="s">
        <v>284</v>
      </c>
      <c r="S1265" s="0" t="s">
        <v>268</v>
      </c>
      <c r="T1265" s="0" t="s">
        <v>276</v>
      </c>
      <c r="U1265" s="0" t="s">
        <v>277</v>
      </c>
    </row>
    <row r="1266" customFormat="false" ht="15" hidden="false" customHeight="false" outlineLevel="0" collapsed="false">
      <c r="A1266" s="0" t="n">
        <v>153</v>
      </c>
      <c r="B1266" s="0" t="s">
        <v>210</v>
      </c>
      <c r="C1266" s="0" t="s">
        <v>309</v>
      </c>
      <c r="D1266" s="0" t="s">
        <v>5442</v>
      </c>
      <c r="E1266" s="0" t="n">
        <v>2021</v>
      </c>
      <c r="H1266" s="0" t="n">
        <v>1</v>
      </c>
      <c r="I1266" s="0" t="n">
        <v>390</v>
      </c>
      <c r="J1266" s="0" t="s">
        <v>290</v>
      </c>
      <c r="K1266" s="0" t="s">
        <v>298</v>
      </c>
      <c r="L1266" s="0" t="s">
        <v>270</v>
      </c>
      <c r="M1266" s="0" t="s">
        <v>5443</v>
      </c>
      <c r="N1266" s="0" t="s">
        <v>5443</v>
      </c>
      <c r="O1266" s="0" t="s">
        <v>5444</v>
      </c>
      <c r="P1266" s="0" t="s">
        <v>5445</v>
      </c>
      <c r="R1266" s="0" t="s">
        <v>284</v>
      </c>
      <c r="S1266" s="0" t="s">
        <v>268</v>
      </c>
      <c r="T1266" s="0" t="s">
        <v>276</v>
      </c>
      <c r="U1266" s="0" t="s">
        <v>277</v>
      </c>
    </row>
    <row r="1267" customFormat="false" ht="15" hidden="false" customHeight="false" outlineLevel="0" collapsed="false">
      <c r="A1267" s="0" t="n">
        <v>154</v>
      </c>
      <c r="B1267" s="0" t="s">
        <v>211</v>
      </c>
      <c r="C1267" s="0" t="s">
        <v>56</v>
      </c>
      <c r="D1267" s="0" t="s">
        <v>5446</v>
      </c>
      <c r="E1267" s="0" t="n">
        <v>2021</v>
      </c>
      <c r="H1267" s="0" t="n">
        <v>7</v>
      </c>
      <c r="I1267" s="0" t="n">
        <v>1961</v>
      </c>
      <c r="J1267" s="0" t="s">
        <v>290</v>
      </c>
      <c r="K1267" s="0" t="s">
        <v>298</v>
      </c>
      <c r="L1267" s="0" t="s">
        <v>270</v>
      </c>
      <c r="M1267" s="0" t="s">
        <v>5447</v>
      </c>
      <c r="N1267" s="0" t="s">
        <v>5447</v>
      </c>
      <c r="O1267" s="0" t="s">
        <v>5448</v>
      </c>
      <c r="P1267" s="0" t="s">
        <v>5449</v>
      </c>
      <c r="R1267" s="0" t="s">
        <v>284</v>
      </c>
      <c r="S1267" s="0" t="s">
        <v>268</v>
      </c>
      <c r="T1267" s="0" t="s">
        <v>276</v>
      </c>
      <c r="U1267" s="0" t="s">
        <v>277</v>
      </c>
    </row>
    <row r="1268" customFormat="false" ht="15" hidden="false" customHeight="false" outlineLevel="0" collapsed="false">
      <c r="A1268" s="0" t="n">
        <v>154</v>
      </c>
      <c r="B1268" s="0" t="s">
        <v>211</v>
      </c>
      <c r="C1268" s="0" t="s">
        <v>309</v>
      </c>
      <c r="D1268" s="0" t="s">
        <v>5450</v>
      </c>
      <c r="E1268" s="0" t="n">
        <v>2021</v>
      </c>
      <c r="H1268" s="0" t="n">
        <v>1</v>
      </c>
      <c r="I1268" s="0" t="n">
        <v>309</v>
      </c>
      <c r="J1268" s="0" t="s">
        <v>290</v>
      </c>
      <c r="K1268" s="0" t="s">
        <v>298</v>
      </c>
      <c r="L1268" s="0" t="s">
        <v>270</v>
      </c>
      <c r="M1268" s="0" t="s">
        <v>5451</v>
      </c>
      <c r="N1268" s="0" t="s">
        <v>5451</v>
      </c>
      <c r="O1268" s="0" t="s">
        <v>5452</v>
      </c>
      <c r="P1268" s="0" t="s">
        <v>5453</v>
      </c>
      <c r="R1268" s="0" t="s">
        <v>284</v>
      </c>
      <c r="S1268" s="0" t="s">
        <v>268</v>
      </c>
      <c r="T1268" s="0" t="s">
        <v>276</v>
      </c>
      <c r="U1268" s="0" t="s">
        <v>277</v>
      </c>
    </row>
    <row r="1269" customFormat="false" ht="15" hidden="false" customHeight="false" outlineLevel="0" collapsed="false">
      <c r="A1269" s="0" t="n">
        <v>155</v>
      </c>
      <c r="B1269" s="0" t="s">
        <v>212</v>
      </c>
      <c r="C1269" s="0" t="s">
        <v>56</v>
      </c>
      <c r="D1269" s="0" t="s">
        <v>5454</v>
      </c>
      <c r="E1269" s="0" t="n">
        <v>2023</v>
      </c>
      <c r="H1269" s="0" t="n">
        <v>12</v>
      </c>
      <c r="I1269" s="0" t="n">
        <v>2941</v>
      </c>
      <c r="J1269" s="0" t="s">
        <v>268</v>
      </c>
      <c r="K1269" s="0" t="s">
        <v>298</v>
      </c>
      <c r="L1269" s="0" t="s">
        <v>270</v>
      </c>
      <c r="M1269" s="0" t="s">
        <v>5455</v>
      </c>
      <c r="N1269" s="0" t="s">
        <v>5455</v>
      </c>
      <c r="O1269" s="0" t="s">
        <v>5456</v>
      </c>
      <c r="P1269" s="0" t="s">
        <v>5457</v>
      </c>
      <c r="R1269" s="0" t="s">
        <v>284</v>
      </c>
      <c r="S1269" s="0" t="s">
        <v>268</v>
      </c>
      <c r="T1269" s="0" t="s">
        <v>276</v>
      </c>
      <c r="U1269" s="0" t="s">
        <v>277</v>
      </c>
    </row>
    <row r="1270" customFormat="false" ht="15" hidden="false" customHeight="false" outlineLevel="0" collapsed="false">
      <c r="A1270" s="0" t="n">
        <v>155</v>
      </c>
      <c r="B1270" s="0" t="s">
        <v>212</v>
      </c>
      <c r="C1270" s="0" t="s">
        <v>309</v>
      </c>
      <c r="D1270" s="0" t="s">
        <v>5458</v>
      </c>
      <c r="E1270" s="0" t="n">
        <v>2019</v>
      </c>
      <c r="H1270" s="0" t="n">
        <v>1</v>
      </c>
      <c r="I1270" s="0" t="n">
        <v>59</v>
      </c>
      <c r="J1270" s="0" t="s">
        <v>290</v>
      </c>
      <c r="K1270" s="0" t="s">
        <v>298</v>
      </c>
      <c r="L1270" s="0" t="s">
        <v>270</v>
      </c>
      <c r="M1270" s="0" t="s">
        <v>5459</v>
      </c>
      <c r="N1270" s="0" t="s">
        <v>5459</v>
      </c>
      <c r="O1270" s="0" t="s">
        <v>5460</v>
      </c>
      <c r="P1270" s="0" t="s">
        <v>5461</v>
      </c>
      <c r="R1270" s="0" t="s">
        <v>284</v>
      </c>
      <c r="S1270" s="0" t="s">
        <v>268</v>
      </c>
      <c r="T1270" s="0" t="s">
        <v>276</v>
      </c>
      <c r="U1270" s="0" t="s">
        <v>277</v>
      </c>
    </row>
    <row r="1271" customFormat="false" ht="15" hidden="false" customHeight="false" outlineLevel="0" collapsed="false">
      <c r="A1271" s="0" t="n">
        <v>157</v>
      </c>
      <c r="B1271" s="0" t="s">
        <v>215</v>
      </c>
      <c r="C1271" s="0" t="s">
        <v>56</v>
      </c>
      <c r="D1271" s="0" t="s">
        <v>5462</v>
      </c>
      <c r="E1271" s="0" t="n">
        <v>2026</v>
      </c>
      <c r="H1271" s="0" t="n">
        <v>6</v>
      </c>
      <c r="I1271" s="0" t="n">
        <v>2132</v>
      </c>
      <c r="J1271" s="0" t="s">
        <v>268</v>
      </c>
      <c r="K1271" s="0" t="s">
        <v>4253</v>
      </c>
      <c r="L1271" s="0" t="s">
        <v>1697</v>
      </c>
      <c r="M1271" s="0" t="s">
        <v>5463</v>
      </c>
      <c r="N1271" s="0" t="s">
        <v>5463</v>
      </c>
      <c r="O1271" s="0" t="s">
        <v>5464</v>
      </c>
      <c r="P1271" s="0" t="s">
        <v>5465</v>
      </c>
      <c r="R1271" s="0" t="s">
        <v>275</v>
      </c>
      <c r="S1271" s="0" t="s">
        <v>268</v>
      </c>
      <c r="T1271" s="0" t="s">
        <v>276</v>
      </c>
      <c r="U1271" s="0" t="s">
        <v>277</v>
      </c>
    </row>
    <row r="1272" customFormat="false" ht="15" hidden="false" customHeight="false" outlineLevel="0" collapsed="false">
      <c r="A1272" s="0" t="n">
        <v>157</v>
      </c>
      <c r="B1272" s="0" t="s">
        <v>215</v>
      </c>
      <c r="C1272" s="0" t="s">
        <v>56</v>
      </c>
      <c r="D1272" s="0" t="s">
        <v>5466</v>
      </c>
      <c r="E1272" s="0" t="n">
        <v>2026</v>
      </c>
      <c r="H1272" s="0" t="n">
        <v>6</v>
      </c>
      <c r="I1272" s="0" t="n">
        <v>2000</v>
      </c>
      <c r="J1272" s="0" t="s">
        <v>268</v>
      </c>
      <c r="K1272" s="0" t="s">
        <v>269</v>
      </c>
      <c r="L1272" s="0" t="s">
        <v>270</v>
      </c>
      <c r="M1272" s="0" t="s">
        <v>5467</v>
      </c>
      <c r="N1272" s="0" t="s">
        <v>5467</v>
      </c>
      <c r="O1272" s="0" t="s">
        <v>5468</v>
      </c>
      <c r="P1272" s="0" t="s">
        <v>5469</v>
      </c>
      <c r="R1272" s="0" t="s">
        <v>275</v>
      </c>
      <c r="S1272" s="0" t="s">
        <v>290</v>
      </c>
      <c r="T1272" s="0" t="s">
        <v>276</v>
      </c>
      <c r="U1272" s="0" t="s">
        <v>277</v>
      </c>
    </row>
    <row r="1273" customFormat="false" ht="15" hidden="false" customHeight="false" outlineLevel="0" collapsed="false">
      <c r="A1273" s="0" t="n">
        <v>157</v>
      </c>
      <c r="B1273" s="0" t="s">
        <v>215</v>
      </c>
      <c r="C1273" s="0" t="s">
        <v>56</v>
      </c>
      <c r="D1273" s="0" t="s">
        <v>5470</v>
      </c>
      <c r="E1273" s="0" t="n">
        <v>2024</v>
      </c>
      <c r="H1273" s="0" t="n">
        <v>6</v>
      </c>
      <c r="I1273" s="0" t="n">
        <v>6931</v>
      </c>
      <c r="J1273" s="0" t="s">
        <v>268</v>
      </c>
      <c r="K1273" s="0" t="s">
        <v>4253</v>
      </c>
      <c r="L1273" s="0" t="s">
        <v>1697</v>
      </c>
      <c r="M1273" s="0" t="s">
        <v>5471</v>
      </c>
      <c r="N1273" s="0" t="s">
        <v>5471</v>
      </c>
      <c r="O1273" s="0" t="s">
        <v>5472</v>
      </c>
      <c r="P1273" s="0" t="s">
        <v>5473</v>
      </c>
      <c r="R1273" s="0" t="s">
        <v>284</v>
      </c>
      <c r="S1273" s="0" t="s">
        <v>290</v>
      </c>
      <c r="T1273" s="0" t="s">
        <v>276</v>
      </c>
      <c r="U1273" s="0" t="s">
        <v>277</v>
      </c>
    </row>
    <row r="1274" customFormat="false" ht="15" hidden="false" customHeight="false" outlineLevel="0" collapsed="false">
      <c r="A1274" s="0" t="n">
        <v>157</v>
      </c>
      <c r="B1274" s="0" t="s">
        <v>215</v>
      </c>
      <c r="C1274" s="0" t="s">
        <v>56</v>
      </c>
      <c r="D1274" s="0" t="s">
        <v>5474</v>
      </c>
      <c r="E1274" s="0" t="n">
        <v>2021</v>
      </c>
      <c r="H1274" s="0" t="n">
        <v>6</v>
      </c>
      <c r="I1274" s="0" t="n">
        <v>1820</v>
      </c>
      <c r="J1274" s="0" t="s">
        <v>268</v>
      </c>
      <c r="K1274" s="0" t="s">
        <v>4253</v>
      </c>
      <c r="L1274" s="0" t="s">
        <v>1697</v>
      </c>
      <c r="M1274" s="0" t="s">
        <v>5475</v>
      </c>
      <c r="N1274" s="0" t="s">
        <v>5475</v>
      </c>
      <c r="O1274" s="0" t="s">
        <v>5476</v>
      </c>
      <c r="P1274" s="0" t="s">
        <v>5477</v>
      </c>
      <c r="R1274" s="0" t="s">
        <v>284</v>
      </c>
      <c r="S1274" s="0" t="s">
        <v>290</v>
      </c>
      <c r="T1274" s="0" t="s">
        <v>276</v>
      </c>
      <c r="U1274" s="0" t="s">
        <v>277</v>
      </c>
    </row>
    <row r="1275" customFormat="false" ht="15" hidden="false" customHeight="false" outlineLevel="0" collapsed="false">
      <c r="A1275" s="0" t="n">
        <v>157</v>
      </c>
      <c r="B1275" s="0" t="s">
        <v>215</v>
      </c>
      <c r="C1275" s="0" t="s">
        <v>91</v>
      </c>
      <c r="D1275" s="0" t="s">
        <v>5478</v>
      </c>
      <c r="E1275" s="0" t="n">
        <v>2024</v>
      </c>
      <c r="H1275" s="0" t="n">
        <v>22</v>
      </c>
      <c r="I1275" s="0" t="n">
        <v>52958</v>
      </c>
      <c r="J1275" s="0" t="s">
        <v>268</v>
      </c>
      <c r="K1275" s="0" t="s">
        <v>4253</v>
      </c>
      <c r="L1275" s="0" t="s">
        <v>1697</v>
      </c>
      <c r="M1275" s="0" t="s">
        <v>5479</v>
      </c>
      <c r="N1275" s="0" t="s">
        <v>5479</v>
      </c>
      <c r="O1275" s="0" t="s">
        <v>5480</v>
      </c>
      <c r="P1275" s="0" t="s">
        <v>5481</v>
      </c>
      <c r="R1275" s="0" t="s">
        <v>284</v>
      </c>
      <c r="S1275" s="0" t="s">
        <v>268</v>
      </c>
      <c r="T1275" s="0" t="s">
        <v>276</v>
      </c>
      <c r="U1275" s="0" t="s">
        <v>277</v>
      </c>
    </row>
    <row r="1276" customFormat="false" ht="15" hidden="false" customHeight="false" outlineLevel="0" collapsed="false">
      <c r="A1276" s="0" t="n">
        <v>157</v>
      </c>
      <c r="B1276" s="0" t="s">
        <v>215</v>
      </c>
      <c r="C1276" s="0" t="s">
        <v>586</v>
      </c>
      <c r="D1276" s="0" t="s">
        <v>5482</v>
      </c>
      <c r="E1276" s="0" t="n">
        <v>2020</v>
      </c>
      <c r="H1276" s="0" t="n">
        <v>15</v>
      </c>
      <c r="I1276" s="0" t="n">
        <v>1950</v>
      </c>
      <c r="J1276" s="0" t="s">
        <v>268</v>
      </c>
      <c r="K1276" s="0" t="s">
        <v>4253</v>
      </c>
      <c r="L1276" s="0" t="s">
        <v>1697</v>
      </c>
      <c r="M1276" s="0" t="s">
        <v>5483</v>
      </c>
      <c r="N1276" s="0" t="s">
        <v>5483</v>
      </c>
      <c r="O1276" s="0" t="s">
        <v>5484</v>
      </c>
      <c r="P1276" s="0" t="s">
        <v>5485</v>
      </c>
      <c r="R1276" s="0" t="s">
        <v>284</v>
      </c>
      <c r="S1276" s="0" t="s">
        <v>268</v>
      </c>
      <c r="T1276" s="0" t="s">
        <v>276</v>
      </c>
      <c r="U1276" s="0" t="s">
        <v>277</v>
      </c>
    </row>
    <row r="1277" customFormat="false" ht="15" hidden="false" customHeight="false" outlineLevel="0" collapsed="false">
      <c r="A1277" s="0" t="n">
        <v>157</v>
      </c>
      <c r="B1277" s="0" t="s">
        <v>215</v>
      </c>
      <c r="C1277" s="0" t="s">
        <v>266</v>
      </c>
      <c r="D1277" s="0" t="s">
        <v>5486</v>
      </c>
      <c r="E1277" s="0" t="n">
        <v>2023</v>
      </c>
      <c r="H1277" s="0" t="n">
        <v>1</v>
      </c>
      <c r="I1277" s="0" t="n">
        <v>806</v>
      </c>
      <c r="J1277" s="0" t="s">
        <v>268</v>
      </c>
      <c r="K1277" s="0" t="s">
        <v>4253</v>
      </c>
      <c r="L1277" s="0" t="s">
        <v>1697</v>
      </c>
      <c r="M1277" s="0" t="s">
        <v>5487</v>
      </c>
      <c r="N1277" s="0" t="s">
        <v>5487</v>
      </c>
      <c r="O1277" s="0" t="s">
        <v>5488</v>
      </c>
      <c r="P1277" s="0" t="s">
        <v>5489</v>
      </c>
      <c r="R1277" s="0" t="s">
        <v>284</v>
      </c>
      <c r="S1277" s="0" t="s">
        <v>268</v>
      </c>
      <c r="T1277" s="0" t="s">
        <v>276</v>
      </c>
      <c r="U1277" s="0" t="s">
        <v>277</v>
      </c>
    </row>
    <row r="1278" customFormat="false" ht="15" hidden="false" customHeight="false" outlineLevel="0" collapsed="false">
      <c r="A1278" s="0" t="n">
        <v>157</v>
      </c>
      <c r="B1278" s="0" t="s">
        <v>215</v>
      </c>
      <c r="C1278" s="0" t="s">
        <v>335</v>
      </c>
      <c r="D1278" s="0" t="s">
        <v>5490</v>
      </c>
      <c r="E1278" s="0" t="n">
        <v>2024</v>
      </c>
      <c r="H1278" s="0" t="n">
        <v>22</v>
      </c>
      <c r="I1278" s="0" t="n">
        <v>10130</v>
      </c>
      <c r="J1278" s="0" t="s">
        <v>268</v>
      </c>
      <c r="K1278" s="0" t="s">
        <v>4253</v>
      </c>
      <c r="L1278" s="0" t="s">
        <v>1697</v>
      </c>
      <c r="M1278" s="0" t="s">
        <v>5491</v>
      </c>
      <c r="N1278" s="0" t="s">
        <v>5491</v>
      </c>
      <c r="O1278" s="0" t="s">
        <v>5492</v>
      </c>
      <c r="P1278" s="0" t="s">
        <v>5493</v>
      </c>
      <c r="R1278" s="0" t="s">
        <v>284</v>
      </c>
      <c r="S1278" s="0" t="s">
        <v>268</v>
      </c>
      <c r="T1278" s="0" t="s">
        <v>276</v>
      </c>
      <c r="U1278" s="0" t="s">
        <v>277</v>
      </c>
    </row>
    <row r="1279" customFormat="false" ht="15" hidden="false" customHeight="false" outlineLevel="0" collapsed="false">
      <c r="A1279" s="0" t="n">
        <v>157</v>
      </c>
      <c r="B1279" s="0" t="s">
        <v>215</v>
      </c>
      <c r="C1279" s="0" t="s">
        <v>335</v>
      </c>
      <c r="D1279" s="0" t="s">
        <v>5494</v>
      </c>
      <c r="E1279" s="0" t="n">
        <v>2021</v>
      </c>
      <c r="H1279" s="0" t="n">
        <v>3</v>
      </c>
      <c r="I1279" s="0" t="n">
        <v>183</v>
      </c>
      <c r="J1279" s="0" t="s">
        <v>268</v>
      </c>
      <c r="K1279" s="0" t="s">
        <v>4253</v>
      </c>
      <c r="L1279" s="0" t="s">
        <v>1697</v>
      </c>
      <c r="M1279" s="0" t="s">
        <v>5495</v>
      </c>
      <c r="N1279" s="0" t="s">
        <v>5495</v>
      </c>
      <c r="O1279" s="0" t="s">
        <v>5496</v>
      </c>
      <c r="P1279" s="0" t="s">
        <v>5497</v>
      </c>
      <c r="R1279" s="0" t="s">
        <v>284</v>
      </c>
      <c r="S1279" s="0" t="s">
        <v>290</v>
      </c>
      <c r="T1279" s="0" t="s">
        <v>276</v>
      </c>
      <c r="U1279" s="0" t="s">
        <v>277</v>
      </c>
    </row>
    <row r="1280" customFormat="false" ht="15" hidden="false" customHeight="false" outlineLevel="0" collapsed="false">
      <c r="A1280" s="0" t="n">
        <v>157</v>
      </c>
      <c r="B1280" s="0" t="s">
        <v>215</v>
      </c>
      <c r="C1280" s="0" t="s">
        <v>530</v>
      </c>
      <c r="D1280" s="0" t="s">
        <v>5498</v>
      </c>
      <c r="E1280" s="0" t="n">
        <v>2026</v>
      </c>
      <c r="H1280" s="0" t="n">
        <v>1</v>
      </c>
      <c r="I1280" s="0" t="n">
        <v>1018</v>
      </c>
      <c r="J1280" s="0" t="s">
        <v>268</v>
      </c>
      <c r="K1280" s="0" t="s">
        <v>4253</v>
      </c>
      <c r="L1280" s="0" t="s">
        <v>1697</v>
      </c>
      <c r="M1280" s="0" t="s">
        <v>5499</v>
      </c>
      <c r="N1280" s="0" t="s">
        <v>5500</v>
      </c>
      <c r="O1280" s="0" t="s">
        <v>5501</v>
      </c>
      <c r="P1280" s="0" t="s">
        <v>5502</v>
      </c>
      <c r="R1280" s="0" t="s">
        <v>275</v>
      </c>
      <c r="S1280" s="0" t="s">
        <v>268</v>
      </c>
      <c r="T1280" s="0" t="s">
        <v>276</v>
      </c>
      <c r="U1280" s="0" t="s">
        <v>277</v>
      </c>
    </row>
    <row r="1281" customFormat="false" ht="15" hidden="false" customHeight="false" outlineLevel="0" collapsed="false">
      <c r="A1281" s="0" t="n">
        <v>157</v>
      </c>
      <c r="B1281" s="0" t="s">
        <v>215</v>
      </c>
      <c r="C1281" s="0" t="s">
        <v>530</v>
      </c>
      <c r="D1281" s="0" t="s">
        <v>5503</v>
      </c>
      <c r="E1281" s="0" t="n">
        <v>2024</v>
      </c>
      <c r="H1281" s="0" t="n">
        <v>1</v>
      </c>
      <c r="I1281" s="0" t="n">
        <v>837</v>
      </c>
      <c r="J1281" s="0" t="s">
        <v>268</v>
      </c>
      <c r="K1281" s="0" t="s">
        <v>4253</v>
      </c>
      <c r="L1281" s="0" t="s">
        <v>1697</v>
      </c>
      <c r="M1281" s="0" t="s">
        <v>5504</v>
      </c>
      <c r="N1281" s="0" t="s">
        <v>5504</v>
      </c>
      <c r="O1281" s="0" t="s">
        <v>5505</v>
      </c>
      <c r="P1281" s="0" t="s">
        <v>5506</v>
      </c>
      <c r="R1281" s="0" t="s">
        <v>284</v>
      </c>
      <c r="S1281" s="0" t="s">
        <v>290</v>
      </c>
      <c r="T1281" s="0" t="s">
        <v>276</v>
      </c>
      <c r="U1281" s="0" t="s">
        <v>277</v>
      </c>
    </row>
    <row r="1282" customFormat="false" ht="15" hidden="false" customHeight="false" outlineLevel="0" collapsed="false">
      <c r="A1282" s="0" t="n">
        <v>157</v>
      </c>
      <c r="B1282" s="0" t="s">
        <v>215</v>
      </c>
      <c r="C1282" s="0" t="s">
        <v>530</v>
      </c>
      <c r="D1282" s="0" t="s">
        <v>5507</v>
      </c>
      <c r="E1282" s="0" t="n">
        <v>2019</v>
      </c>
      <c r="H1282" s="0" t="n">
        <v>1</v>
      </c>
      <c r="I1282" s="0" t="n">
        <v>1221</v>
      </c>
      <c r="J1282" s="0" t="s">
        <v>290</v>
      </c>
      <c r="K1282" s="0" t="s">
        <v>4253</v>
      </c>
      <c r="L1282" s="0" t="s">
        <v>1697</v>
      </c>
      <c r="M1282" s="0" t="s">
        <v>5508</v>
      </c>
      <c r="N1282" s="0" t="s">
        <v>5508</v>
      </c>
      <c r="O1282" s="0" t="s">
        <v>5509</v>
      </c>
      <c r="P1282" s="0" t="s">
        <v>5510</v>
      </c>
      <c r="R1282" s="0" t="s">
        <v>284</v>
      </c>
      <c r="S1282" s="0" t="s">
        <v>290</v>
      </c>
      <c r="T1282" s="0" t="s">
        <v>276</v>
      </c>
      <c r="U1282" s="0" t="s">
        <v>277</v>
      </c>
    </row>
    <row r="1283" customFormat="false" ht="15" hidden="false" customHeight="false" outlineLevel="0" collapsed="false">
      <c r="A1283" s="0" t="n">
        <v>157</v>
      </c>
      <c r="B1283" s="0" t="s">
        <v>215</v>
      </c>
      <c r="C1283" s="0" t="s">
        <v>530</v>
      </c>
      <c r="D1283" s="0" t="s">
        <v>5511</v>
      </c>
      <c r="E1283" s="0" t="n">
        <v>2019</v>
      </c>
      <c r="H1283" s="0" t="n">
        <v>1</v>
      </c>
      <c r="I1283" s="0" t="n">
        <v>1171</v>
      </c>
      <c r="J1283" s="0" t="s">
        <v>290</v>
      </c>
      <c r="K1283" s="0" t="s">
        <v>4253</v>
      </c>
      <c r="L1283" s="0" t="s">
        <v>1697</v>
      </c>
      <c r="M1283" s="0" t="s">
        <v>5512</v>
      </c>
      <c r="N1283" s="0" t="s">
        <v>5512</v>
      </c>
      <c r="O1283" s="0" t="s">
        <v>5513</v>
      </c>
      <c r="P1283" s="0" t="s">
        <v>5514</v>
      </c>
      <c r="R1283" s="0" t="s">
        <v>284</v>
      </c>
      <c r="S1283" s="0" t="s">
        <v>290</v>
      </c>
      <c r="T1283" s="0" t="s">
        <v>276</v>
      </c>
      <c r="U1283" s="0" t="s">
        <v>277</v>
      </c>
    </row>
    <row r="1284" customFormat="false" ht="15" hidden="false" customHeight="false" outlineLevel="0" collapsed="false">
      <c r="A1284" s="0" t="n">
        <v>157</v>
      </c>
      <c r="B1284" s="0" t="s">
        <v>215</v>
      </c>
      <c r="C1284" s="0" t="s">
        <v>530</v>
      </c>
      <c r="D1284" s="0" t="s">
        <v>5515</v>
      </c>
      <c r="E1284" s="0" t="n">
        <v>2019</v>
      </c>
      <c r="H1284" s="0" t="n">
        <v>1</v>
      </c>
      <c r="I1284" s="0" t="n">
        <v>1196</v>
      </c>
      <c r="J1284" s="0" t="s">
        <v>290</v>
      </c>
      <c r="K1284" s="0" t="s">
        <v>4253</v>
      </c>
      <c r="L1284" s="0" t="s">
        <v>1697</v>
      </c>
      <c r="M1284" s="0" t="s">
        <v>5516</v>
      </c>
      <c r="N1284" s="0" t="s">
        <v>5516</v>
      </c>
      <c r="O1284" s="0" t="s">
        <v>5517</v>
      </c>
      <c r="P1284" s="0" t="s">
        <v>5518</v>
      </c>
      <c r="R1284" s="0" t="s">
        <v>284</v>
      </c>
      <c r="S1284" s="0" t="s">
        <v>290</v>
      </c>
      <c r="T1284" s="0" t="s">
        <v>276</v>
      </c>
      <c r="U1284" s="0" t="s">
        <v>277</v>
      </c>
    </row>
    <row r="1285" customFormat="false" ht="15" hidden="false" customHeight="false" outlineLevel="0" collapsed="false">
      <c r="A1285" s="0" t="n">
        <v>157</v>
      </c>
      <c r="B1285" s="0" t="s">
        <v>215</v>
      </c>
      <c r="C1285" s="0" t="s">
        <v>530</v>
      </c>
      <c r="D1285" s="0" t="s">
        <v>5519</v>
      </c>
      <c r="E1285" s="0" t="n">
        <v>2019</v>
      </c>
      <c r="H1285" s="0" t="n">
        <v>2</v>
      </c>
      <c r="I1285" s="0" t="n">
        <v>2183</v>
      </c>
      <c r="J1285" s="0" t="s">
        <v>290</v>
      </c>
      <c r="K1285" s="0" t="s">
        <v>4253</v>
      </c>
      <c r="L1285" s="0" t="s">
        <v>1697</v>
      </c>
      <c r="M1285" s="0" t="s">
        <v>5520</v>
      </c>
      <c r="N1285" s="0" t="s">
        <v>5520</v>
      </c>
      <c r="O1285" s="0" t="s">
        <v>5521</v>
      </c>
      <c r="P1285" s="0" t="s">
        <v>5522</v>
      </c>
      <c r="R1285" s="0" t="s">
        <v>284</v>
      </c>
      <c r="S1285" s="0" t="s">
        <v>290</v>
      </c>
      <c r="T1285" s="0" t="s">
        <v>276</v>
      </c>
      <c r="U1285" s="0" t="s">
        <v>277</v>
      </c>
    </row>
    <row r="1286" customFormat="false" ht="15" hidden="false" customHeight="false" outlineLevel="0" collapsed="false">
      <c r="A1286" s="0" t="n">
        <v>157</v>
      </c>
      <c r="B1286" s="0" t="s">
        <v>215</v>
      </c>
      <c r="C1286" s="0" t="s">
        <v>530</v>
      </c>
      <c r="D1286" s="0" t="s">
        <v>5523</v>
      </c>
      <c r="E1286" s="0" t="n">
        <v>2019</v>
      </c>
      <c r="H1286" s="0" t="n">
        <v>2</v>
      </c>
      <c r="I1286" s="0" t="n">
        <v>2590</v>
      </c>
      <c r="J1286" s="0" t="s">
        <v>290</v>
      </c>
      <c r="K1286" s="0" t="s">
        <v>4253</v>
      </c>
      <c r="L1286" s="0" t="s">
        <v>1697</v>
      </c>
      <c r="M1286" s="0" t="s">
        <v>5524</v>
      </c>
      <c r="N1286" s="0" t="s">
        <v>5524</v>
      </c>
      <c r="O1286" s="0" t="s">
        <v>5525</v>
      </c>
      <c r="P1286" s="0" t="s">
        <v>5526</v>
      </c>
      <c r="R1286" s="0" t="s">
        <v>284</v>
      </c>
      <c r="S1286" s="0" t="s">
        <v>290</v>
      </c>
      <c r="T1286" s="0" t="s">
        <v>276</v>
      </c>
      <c r="U1286" s="0" t="s">
        <v>277</v>
      </c>
    </row>
    <row r="1287" customFormat="false" ht="15" hidden="false" customHeight="false" outlineLevel="0" collapsed="false">
      <c r="A1287" s="0" t="n">
        <v>157</v>
      </c>
      <c r="B1287" s="0" t="s">
        <v>215</v>
      </c>
      <c r="C1287" s="0" t="s">
        <v>530</v>
      </c>
      <c r="D1287" s="0" t="s">
        <v>5527</v>
      </c>
      <c r="E1287" s="0" t="n">
        <v>2019</v>
      </c>
      <c r="H1287" s="0" t="n">
        <v>2</v>
      </c>
      <c r="I1287" s="0" t="n">
        <v>2380</v>
      </c>
      <c r="J1287" s="0" t="s">
        <v>290</v>
      </c>
      <c r="K1287" s="0" t="s">
        <v>4253</v>
      </c>
      <c r="L1287" s="0" t="s">
        <v>1697</v>
      </c>
      <c r="M1287" s="0" t="s">
        <v>5528</v>
      </c>
      <c r="N1287" s="0" t="s">
        <v>5528</v>
      </c>
      <c r="O1287" s="0" t="s">
        <v>5529</v>
      </c>
      <c r="P1287" s="0" t="s">
        <v>5530</v>
      </c>
      <c r="R1287" s="0" t="s">
        <v>284</v>
      </c>
      <c r="S1287" s="0" t="s">
        <v>290</v>
      </c>
      <c r="T1287" s="0" t="s">
        <v>276</v>
      </c>
      <c r="U1287" s="0" t="s">
        <v>277</v>
      </c>
    </row>
    <row r="1288" customFormat="false" ht="15" hidden="false" customHeight="false" outlineLevel="0" collapsed="false">
      <c r="A1288" s="0" t="n">
        <v>157</v>
      </c>
      <c r="B1288" s="0" t="s">
        <v>215</v>
      </c>
      <c r="C1288" s="0" t="s">
        <v>530</v>
      </c>
      <c r="D1288" s="0" t="s">
        <v>5531</v>
      </c>
      <c r="E1288" s="0" t="n">
        <v>2019</v>
      </c>
      <c r="H1288" s="0" t="n">
        <v>1</v>
      </c>
      <c r="I1288" s="0" t="n">
        <v>1310</v>
      </c>
      <c r="J1288" s="0" t="s">
        <v>290</v>
      </c>
      <c r="K1288" s="0" t="s">
        <v>4253</v>
      </c>
      <c r="L1288" s="0" t="s">
        <v>1697</v>
      </c>
      <c r="M1288" s="0" t="s">
        <v>5532</v>
      </c>
      <c r="N1288" s="0" t="s">
        <v>5532</v>
      </c>
      <c r="O1288" s="0" t="s">
        <v>5533</v>
      </c>
      <c r="P1288" s="0" t="s">
        <v>5534</v>
      </c>
      <c r="R1288" s="0" t="s">
        <v>284</v>
      </c>
      <c r="S1288" s="0" t="s">
        <v>290</v>
      </c>
      <c r="T1288" s="0" t="s">
        <v>276</v>
      </c>
      <c r="U1288" s="0" t="s">
        <v>277</v>
      </c>
    </row>
    <row r="1289" customFormat="false" ht="15" hidden="false" customHeight="false" outlineLevel="0" collapsed="false">
      <c r="A1289" s="0" t="n">
        <v>157</v>
      </c>
      <c r="B1289" s="0" t="s">
        <v>215</v>
      </c>
      <c r="C1289" s="0" t="s">
        <v>480</v>
      </c>
      <c r="D1289" s="0" t="s">
        <v>5535</v>
      </c>
      <c r="E1289" s="0" t="n">
        <v>2024</v>
      </c>
      <c r="H1289" s="0" t="n">
        <v>23</v>
      </c>
      <c r="I1289" s="0" t="n">
        <v>47782</v>
      </c>
      <c r="J1289" s="0" t="s">
        <v>268</v>
      </c>
      <c r="K1289" s="0" t="s">
        <v>4253</v>
      </c>
      <c r="L1289" s="0" t="s">
        <v>1697</v>
      </c>
      <c r="M1289" s="0" t="s">
        <v>5536</v>
      </c>
      <c r="N1289" s="0" t="s">
        <v>5536</v>
      </c>
      <c r="O1289" s="0" t="s">
        <v>5537</v>
      </c>
      <c r="P1289" s="0" t="s">
        <v>5538</v>
      </c>
      <c r="R1289" s="0" t="s">
        <v>284</v>
      </c>
      <c r="S1289" s="0" t="s">
        <v>268</v>
      </c>
      <c r="T1289" s="0" t="s">
        <v>276</v>
      </c>
      <c r="U1289" s="0" t="s">
        <v>277</v>
      </c>
    </row>
    <row r="1290" customFormat="false" ht="15" hidden="false" customHeight="false" outlineLevel="0" collapsed="false">
      <c r="A1290" s="0" t="n">
        <v>157</v>
      </c>
      <c r="B1290" s="0" t="s">
        <v>215</v>
      </c>
      <c r="C1290" s="0" t="s">
        <v>278</v>
      </c>
      <c r="D1290" s="0" t="s">
        <v>5539</v>
      </c>
      <c r="E1290" s="0" t="n">
        <v>2025</v>
      </c>
      <c r="H1290" s="0" t="n">
        <v>11</v>
      </c>
      <c r="I1290" s="0" t="n">
        <v>5297</v>
      </c>
      <c r="J1290" s="0" t="s">
        <v>268</v>
      </c>
      <c r="K1290" s="0" t="s">
        <v>4253</v>
      </c>
      <c r="L1290" s="0" t="s">
        <v>1697</v>
      </c>
      <c r="M1290" s="0" t="s">
        <v>5540</v>
      </c>
      <c r="N1290" s="0" t="s">
        <v>5540</v>
      </c>
      <c r="O1290" s="0" t="s">
        <v>5541</v>
      </c>
      <c r="P1290" s="0" t="s">
        <v>5542</v>
      </c>
      <c r="R1290" s="0" t="s">
        <v>275</v>
      </c>
      <c r="S1290" s="0" t="s">
        <v>268</v>
      </c>
      <c r="T1290" s="0" t="s">
        <v>276</v>
      </c>
      <c r="U1290" s="0" t="s">
        <v>277</v>
      </c>
    </row>
    <row r="1291" customFormat="false" ht="15" hidden="false" customHeight="false" outlineLevel="0" collapsed="false">
      <c r="A1291" s="0" t="n">
        <v>157</v>
      </c>
      <c r="B1291" s="0" t="s">
        <v>215</v>
      </c>
      <c r="C1291" s="0" t="s">
        <v>489</v>
      </c>
      <c r="D1291" s="0" t="s">
        <v>5543</v>
      </c>
      <c r="E1291" s="0" t="n">
        <v>2025</v>
      </c>
      <c r="H1291" s="0" t="n">
        <v>16</v>
      </c>
      <c r="I1291" s="0" t="n">
        <v>9685</v>
      </c>
      <c r="J1291" s="0" t="s">
        <v>268</v>
      </c>
      <c r="K1291" s="0" t="s">
        <v>4253</v>
      </c>
      <c r="L1291" s="0" t="s">
        <v>1697</v>
      </c>
      <c r="M1291" s="0" t="s">
        <v>5544</v>
      </c>
      <c r="N1291" s="0" t="s">
        <v>5544</v>
      </c>
      <c r="O1291" s="0" t="s">
        <v>5545</v>
      </c>
      <c r="P1291" s="0" t="s">
        <v>5546</v>
      </c>
      <c r="R1291" s="0" t="s">
        <v>275</v>
      </c>
      <c r="S1291" s="0" t="s">
        <v>268</v>
      </c>
      <c r="T1291" s="0" t="s">
        <v>276</v>
      </c>
      <c r="U1291" s="0" t="s">
        <v>277</v>
      </c>
    </row>
    <row r="1292" customFormat="false" ht="15" hidden="false" customHeight="false" outlineLevel="0" collapsed="false">
      <c r="A1292" s="0" t="n">
        <v>157</v>
      </c>
      <c r="B1292" s="0" t="s">
        <v>215</v>
      </c>
      <c r="C1292" s="0" t="s">
        <v>489</v>
      </c>
      <c r="D1292" s="0" t="s">
        <v>5547</v>
      </c>
      <c r="E1292" s="0" t="n">
        <v>2022</v>
      </c>
      <c r="H1292" s="0" t="n">
        <v>42</v>
      </c>
      <c r="I1292" s="0" t="n">
        <v>39494</v>
      </c>
      <c r="J1292" s="0" t="s">
        <v>268</v>
      </c>
      <c r="K1292" s="0" t="s">
        <v>4253</v>
      </c>
      <c r="L1292" s="0" t="s">
        <v>1697</v>
      </c>
      <c r="M1292" s="0" t="s">
        <v>5548</v>
      </c>
      <c r="N1292" s="0" t="s">
        <v>5548</v>
      </c>
      <c r="O1292" s="0" t="s">
        <v>5549</v>
      </c>
      <c r="P1292" s="0" t="s">
        <v>5550</v>
      </c>
      <c r="R1292" s="0" t="s">
        <v>284</v>
      </c>
      <c r="S1292" s="0" t="s">
        <v>290</v>
      </c>
      <c r="T1292" s="0" t="s">
        <v>276</v>
      </c>
      <c r="U1292" s="0" t="s">
        <v>277</v>
      </c>
    </row>
    <row r="1293" customFormat="false" ht="15" hidden="false" customHeight="false" outlineLevel="0" collapsed="false">
      <c r="A1293" s="0" t="n">
        <v>158</v>
      </c>
      <c r="B1293" s="0" t="s">
        <v>216</v>
      </c>
      <c r="C1293" s="0" t="s">
        <v>56</v>
      </c>
      <c r="D1293" s="0" t="s">
        <v>5551</v>
      </c>
      <c r="E1293" s="0" t="n">
        <v>2025</v>
      </c>
      <c r="H1293" s="0" t="n">
        <v>2</v>
      </c>
      <c r="I1293" s="0" t="n">
        <v>1131</v>
      </c>
      <c r="J1293" s="0" t="s">
        <v>268</v>
      </c>
      <c r="K1293" s="0" t="s">
        <v>298</v>
      </c>
      <c r="L1293" s="0" t="s">
        <v>270</v>
      </c>
      <c r="M1293" s="0" t="s">
        <v>5552</v>
      </c>
      <c r="N1293" s="0" t="s">
        <v>5552</v>
      </c>
      <c r="O1293" s="0" t="s">
        <v>5553</v>
      </c>
      <c r="P1293" s="0" t="s">
        <v>5554</v>
      </c>
      <c r="R1293" s="0" t="s">
        <v>275</v>
      </c>
      <c r="S1293" s="0" t="s">
        <v>268</v>
      </c>
      <c r="T1293" s="0" t="s">
        <v>276</v>
      </c>
      <c r="U1293" s="0" t="s">
        <v>277</v>
      </c>
    </row>
    <row r="1294" customFormat="false" ht="15" hidden="false" customHeight="false" outlineLevel="0" collapsed="false">
      <c r="A1294" s="0" t="n">
        <v>158</v>
      </c>
      <c r="B1294" s="0" t="s">
        <v>216</v>
      </c>
      <c r="C1294" s="0" t="s">
        <v>309</v>
      </c>
      <c r="D1294" s="0" t="s">
        <v>5555</v>
      </c>
      <c r="E1294" s="0" t="n">
        <v>2021</v>
      </c>
      <c r="H1294" s="0" t="n">
        <v>1</v>
      </c>
      <c r="I1294" s="0" t="n">
        <v>1472</v>
      </c>
      <c r="J1294" s="0" t="s">
        <v>290</v>
      </c>
      <c r="K1294" s="0" t="s">
        <v>298</v>
      </c>
      <c r="L1294" s="0" t="s">
        <v>270</v>
      </c>
      <c r="M1294" s="0" t="s">
        <v>5556</v>
      </c>
      <c r="N1294" s="0" t="s">
        <v>5556</v>
      </c>
      <c r="O1294" s="0" t="s">
        <v>5557</v>
      </c>
      <c r="P1294" s="0" t="s">
        <v>5558</v>
      </c>
      <c r="R1294" s="0" t="s">
        <v>284</v>
      </c>
      <c r="S1294" s="0" t="s">
        <v>268</v>
      </c>
      <c r="T1294" s="0" t="s">
        <v>276</v>
      </c>
      <c r="U1294" s="0" t="s">
        <v>277</v>
      </c>
    </row>
    <row r="1295" customFormat="false" ht="15" hidden="false" customHeight="false" outlineLevel="0" collapsed="false">
      <c r="A1295" s="0" t="n">
        <v>158</v>
      </c>
      <c r="B1295" s="0" t="s">
        <v>216</v>
      </c>
      <c r="C1295" s="0" t="s">
        <v>887</v>
      </c>
      <c r="D1295" s="0" t="s">
        <v>5559</v>
      </c>
      <c r="E1295" s="0" t="n">
        <v>2027</v>
      </c>
      <c r="H1295" s="0" t="n">
        <v>13</v>
      </c>
      <c r="I1295" s="0" t="n">
        <v>9850</v>
      </c>
      <c r="J1295" s="0" t="s">
        <v>268</v>
      </c>
      <c r="K1295" s="0" t="s">
        <v>286</v>
      </c>
      <c r="L1295" s="0" t="s">
        <v>270</v>
      </c>
      <c r="M1295" s="0" t="s">
        <v>5560</v>
      </c>
      <c r="N1295" s="0" t="s">
        <v>5560</v>
      </c>
      <c r="O1295" s="0" t="s">
        <v>5561</v>
      </c>
      <c r="P1295" s="0" t="s">
        <v>5562</v>
      </c>
      <c r="R1295" s="0" t="s">
        <v>275</v>
      </c>
      <c r="S1295" s="0" t="s">
        <v>268</v>
      </c>
      <c r="T1295" s="0" t="s">
        <v>276</v>
      </c>
      <c r="U1295" s="0" t="s">
        <v>277</v>
      </c>
    </row>
    <row r="1296" customFormat="false" ht="15" hidden="false" customHeight="false" outlineLevel="0" collapsed="false">
      <c r="A1296" s="0" t="n">
        <v>158</v>
      </c>
      <c r="B1296" s="0" t="s">
        <v>216</v>
      </c>
      <c r="C1296" s="0" t="s">
        <v>887</v>
      </c>
      <c r="D1296" s="0" t="s">
        <v>5563</v>
      </c>
      <c r="E1296" s="0" t="n">
        <v>2026</v>
      </c>
      <c r="H1296" s="0" t="n">
        <v>5</v>
      </c>
      <c r="I1296" s="0" t="n">
        <v>20602</v>
      </c>
      <c r="J1296" s="0" t="s">
        <v>268</v>
      </c>
      <c r="K1296" s="0" t="s">
        <v>286</v>
      </c>
      <c r="L1296" s="0" t="s">
        <v>270</v>
      </c>
      <c r="M1296" s="0" t="s">
        <v>5564</v>
      </c>
      <c r="N1296" s="0" t="s">
        <v>5564</v>
      </c>
      <c r="O1296" s="0" t="s">
        <v>5565</v>
      </c>
      <c r="P1296" s="0" t="s">
        <v>5566</v>
      </c>
      <c r="R1296" s="0" t="s">
        <v>275</v>
      </c>
      <c r="S1296" s="0" t="s">
        <v>290</v>
      </c>
      <c r="T1296" s="0" t="s">
        <v>276</v>
      </c>
      <c r="U1296" s="0" t="s">
        <v>277</v>
      </c>
    </row>
    <row r="1297" customFormat="false" ht="15" hidden="false" customHeight="false" outlineLevel="0" collapsed="false">
      <c r="A1297" s="0" t="n">
        <v>159</v>
      </c>
      <c r="B1297" s="0" t="s">
        <v>217</v>
      </c>
      <c r="C1297" s="0" t="s">
        <v>56</v>
      </c>
      <c r="D1297" s="0" t="s">
        <v>5567</v>
      </c>
      <c r="E1297" s="0" t="n">
        <v>2023</v>
      </c>
      <c r="H1297" s="0" t="n">
        <v>9</v>
      </c>
      <c r="I1297" s="0" t="n">
        <v>6526</v>
      </c>
      <c r="J1297" s="0" t="s">
        <v>268</v>
      </c>
      <c r="K1297" s="0" t="s">
        <v>298</v>
      </c>
      <c r="L1297" s="0" t="s">
        <v>270</v>
      </c>
      <c r="M1297" s="0" t="s">
        <v>5568</v>
      </c>
      <c r="N1297" s="0" t="s">
        <v>5568</v>
      </c>
      <c r="O1297" s="0" t="s">
        <v>5569</v>
      </c>
      <c r="P1297" s="0" t="s">
        <v>5570</v>
      </c>
      <c r="R1297" s="0" t="s">
        <v>284</v>
      </c>
      <c r="S1297" s="0" t="s">
        <v>268</v>
      </c>
      <c r="T1297" s="0" t="s">
        <v>276</v>
      </c>
      <c r="U1297" s="0" t="s">
        <v>277</v>
      </c>
    </row>
    <row r="1298" customFormat="false" ht="15" hidden="false" customHeight="false" outlineLevel="0" collapsed="false">
      <c r="A1298" s="0" t="n">
        <v>159</v>
      </c>
      <c r="B1298" s="0" t="s">
        <v>217</v>
      </c>
      <c r="C1298" s="0" t="s">
        <v>309</v>
      </c>
      <c r="D1298" s="0" t="s">
        <v>5571</v>
      </c>
      <c r="E1298" s="0" t="n">
        <v>2025</v>
      </c>
      <c r="H1298" s="0" t="n">
        <v>1</v>
      </c>
      <c r="I1298" s="0" t="n">
        <v>680</v>
      </c>
      <c r="J1298" s="0" t="s">
        <v>290</v>
      </c>
      <c r="K1298" s="0" t="s">
        <v>298</v>
      </c>
      <c r="L1298" s="0" t="s">
        <v>270</v>
      </c>
      <c r="M1298" s="0" t="s">
        <v>5572</v>
      </c>
      <c r="N1298" s="0" t="s">
        <v>5572</v>
      </c>
      <c r="O1298" s="0" t="s">
        <v>5573</v>
      </c>
      <c r="P1298" s="0" t="s">
        <v>5574</v>
      </c>
      <c r="R1298" s="0" t="s">
        <v>275</v>
      </c>
      <c r="S1298" s="0" t="s">
        <v>268</v>
      </c>
      <c r="T1298" s="0" t="s">
        <v>314</v>
      </c>
      <c r="U1298" s="0" t="s">
        <v>277</v>
      </c>
      <c r="V1298" s="0" t="s">
        <v>5575</v>
      </c>
    </row>
    <row r="1299" customFormat="false" ht="15" hidden="false" customHeight="false" outlineLevel="0" collapsed="false">
      <c r="A1299" s="0" t="n">
        <v>159</v>
      </c>
      <c r="B1299" s="0" t="s">
        <v>217</v>
      </c>
      <c r="C1299" s="0" t="s">
        <v>887</v>
      </c>
      <c r="D1299" s="0" t="s">
        <v>5576</v>
      </c>
      <c r="E1299" s="0" t="n">
        <v>2026</v>
      </c>
      <c r="H1299" s="0" t="n">
        <v>23</v>
      </c>
      <c r="I1299" s="0" t="n">
        <v>330</v>
      </c>
      <c r="J1299" s="0" t="s">
        <v>268</v>
      </c>
      <c r="K1299" s="0" t="s">
        <v>286</v>
      </c>
      <c r="L1299" s="0" t="s">
        <v>270</v>
      </c>
      <c r="M1299" s="0" t="s">
        <v>5577</v>
      </c>
      <c r="N1299" s="0" t="s">
        <v>5577</v>
      </c>
      <c r="O1299" s="0" t="s">
        <v>5578</v>
      </c>
      <c r="P1299" s="0" t="s">
        <v>5579</v>
      </c>
      <c r="R1299" s="0" t="s">
        <v>275</v>
      </c>
      <c r="S1299" s="0" t="s">
        <v>268</v>
      </c>
      <c r="T1299" s="0" t="s">
        <v>276</v>
      </c>
      <c r="U1299" s="0" t="s">
        <v>277</v>
      </c>
    </row>
    <row r="1300" customFormat="false" ht="15" hidden="false" customHeight="false" outlineLevel="0" collapsed="false">
      <c r="A1300" s="0" t="n">
        <v>160</v>
      </c>
      <c r="B1300" s="0" t="s">
        <v>218</v>
      </c>
      <c r="C1300" s="0" t="s">
        <v>56</v>
      </c>
      <c r="D1300" s="0" t="s">
        <v>5580</v>
      </c>
      <c r="E1300" s="0" t="n">
        <v>2023</v>
      </c>
      <c r="H1300" s="0" t="n">
        <v>9</v>
      </c>
      <c r="I1300" s="0" t="n">
        <v>4253</v>
      </c>
      <c r="J1300" s="0" t="s">
        <v>268</v>
      </c>
      <c r="K1300" s="0" t="s">
        <v>298</v>
      </c>
      <c r="L1300" s="0" t="s">
        <v>270</v>
      </c>
      <c r="M1300" s="0" t="s">
        <v>5581</v>
      </c>
      <c r="N1300" s="0" t="s">
        <v>5581</v>
      </c>
      <c r="O1300" s="0" t="s">
        <v>5582</v>
      </c>
      <c r="P1300" s="0" t="s">
        <v>5583</v>
      </c>
      <c r="R1300" s="0" t="s">
        <v>284</v>
      </c>
      <c r="S1300" s="0" t="s">
        <v>268</v>
      </c>
      <c r="T1300" s="0" t="s">
        <v>276</v>
      </c>
      <c r="U1300" s="0" t="s">
        <v>277</v>
      </c>
    </row>
    <row r="1301" customFormat="false" ht="15" hidden="false" customHeight="false" outlineLevel="0" collapsed="false">
      <c r="A1301" s="0" t="n">
        <v>160</v>
      </c>
      <c r="B1301" s="0" t="s">
        <v>218</v>
      </c>
      <c r="C1301" s="0" t="s">
        <v>309</v>
      </c>
      <c r="D1301" s="0" t="s">
        <v>5584</v>
      </c>
      <c r="E1301" s="0" t="n">
        <v>2025</v>
      </c>
      <c r="H1301" s="0" t="n">
        <v>1</v>
      </c>
      <c r="I1301" s="0" t="n">
        <v>2393</v>
      </c>
      <c r="J1301" s="0" t="s">
        <v>290</v>
      </c>
      <c r="K1301" s="0" t="s">
        <v>298</v>
      </c>
      <c r="L1301" s="0" t="s">
        <v>270</v>
      </c>
      <c r="M1301" s="0" t="s">
        <v>5585</v>
      </c>
      <c r="N1301" s="0" t="s">
        <v>5585</v>
      </c>
      <c r="O1301" s="0" t="s">
        <v>5586</v>
      </c>
      <c r="P1301" s="0" t="s">
        <v>5587</v>
      </c>
      <c r="R1301" s="0" t="s">
        <v>275</v>
      </c>
      <c r="S1301" s="0" t="s">
        <v>268</v>
      </c>
      <c r="T1301" s="0" t="s">
        <v>276</v>
      </c>
      <c r="U1301" s="0" t="s">
        <v>277</v>
      </c>
    </row>
    <row r="1302" customFormat="false" ht="15" hidden="false" customHeight="false" outlineLevel="0" collapsed="false">
      <c r="A1302" s="0" t="n">
        <v>160</v>
      </c>
      <c r="B1302" s="0" t="s">
        <v>218</v>
      </c>
      <c r="C1302" s="0" t="s">
        <v>887</v>
      </c>
      <c r="D1302" s="0" t="s">
        <v>5588</v>
      </c>
      <c r="E1302" s="0" t="n">
        <v>2027</v>
      </c>
      <c r="H1302" s="0" t="n">
        <v>24</v>
      </c>
      <c r="I1302" s="0" t="n">
        <v>389</v>
      </c>
      <c r="J1302" s="0" t="s">
        <v>268</v>
      </c>
      <c r="K1302" s="0" t="s">
        <v>286</v>
      </c>
      <c r="L1302" s="0" t="s">
        <v>270</v>
      </c>
      <c r="M1302" s="0" t="s">
        <v>5589</v>
      </c>
      <c r="N1302" s="0" t="s">
        <v>5589</v>
      </c>
      <c r="O1302" s="0" t="s">
        <v>5590</v>
      </c>
      <c r="P1302" s="0" t="s">
        <v>5591</v>
      </c>
      <c r="R1302" s="0" t="s">
        <v>275</v>
      </c>
      <c r="S1302" s="0" t="s">
        <v>268</v>
      </c>
      <c r="T1302" s="0" t="s">
        <v>276</v>
      </c>
      <c r="U1302" s="0" t="s">
        <v>277</v>
      </c>
    </row>
    <row r="1303" customFormat="false" ht="15" hidden="false" customHeight="false" outlineLevel="0" collapsed="false">
      <c r="A1303" s="0" t="n">
        <v>161</v>
      </c>
      <c r="B1303" s="0" t="s">
        <v>219</v>
      </c>
      <c r="C1303" s="0" t="s">
        <v>887</v>
      </c>
      <c r="D1303" s="0" t="s">
        <v>5592</v>
      </c>
      <c r="E1303" s="0" t="n">
        <v>2027</v>
      </c>
      <c r="H1303" s="0" t="n">
        <v>13</v>
      </c>
      <c r="I1303" s="0" t="n">
        <v>371</v>
      </c>
      <c r="J1303" s="0" t="s">
        <v>268</v>
      </c>
      <c r="K1303" s="0" t="s">
        <v>286</v>
      </c>
      <c r="L1303" s="0" t="s">
        <v>270</v>
      </c>
      <c r="M1303" s="0" t="s">
        <v>5593</v>
      </c>
      <c r="N1303" s="0" t="s">
        <v>5593</v>
      </c>
      <c r="O1303" s="0" t="s">
        <v>5594</v>
      </c>
      <c r="P1303" s="0" t="s">
        <v>5595</v>
      </c>
      <c r="R1303" s="0" t="s">
        <v>275</v>
      </c>
      <c r="S1303" s="0" t="s">
        <v>268</v>
      </c>
      <c r="T1303" s="0" t="s">
        <v>276</v>
      </c>
      <c r="U1303" s="0" t="s">
        <v>277</v>
      </c>
    </row>
    <row r="1304" customFormat="false" ht="15" hidden="false" customHeight="false" outlineLevel="0" collapsed="false">
      <c r="A1304" s="0" t="n">
        <v>162</v>
      </c>
      <c r="B1304" s="0" t="s">
        <v>220</v>
      </c>
      <c r="C1304" s="0" t="s">
        <v>309</v>
      </c>
      <c r="D1304" s="0" t="s">
        <v>5596</v>
      </c>
      <c r="E1304" s="0" t="n">
        <v>2025</v>
      </c>
      <c r="H1304" s="0" t="n">
        <v>6</v>
      </c>
      <c r="I1304" s="0" t="n">
        <v>569</v>
      </c>
      <c r="J1304" s="0" t="s">
        <v>268</v>
      </c>
      <c r="K1304" s="0" t="s">
        <v>3461</v>
      </c>
      <c r="L1304" s="0" t="s">
        <v>293</v>
      </c>
      <c r="M1304" s="0" t="s">
        <v>5597</v>
      </c>
      <c r="N1304" s="0" t="s">
        <v>5598</v>
      </c>
      <c r="O1304" s="0" t="s">
        <v>5599</v>
      </c>
      <c r="P1304" s="0" t="s">
        <v>5600</v>
      </c>
      <c r="R1304" s="0" t="s">
        <v>275</v>
      </c>
      <c r="S1304" s="0" t="s">
        <v>290</v>
      </c>
      <c r="T1304" s="0" t="s">
        <v>276</v>
      </c>
      <c r="U1304" s="0" t="s">
        <v>277</v>
      </c>
    </row>
    <row r="1305" customFormat="false" ht="15" hidden="false" customHeight="false" outlineLevel="0" collapsed="false">
      <c r="A1305" s="0" t="n">
        <v>162</v>
      </c>
      <c r="B1305" s="0" t="s">
        <v>220</v>
      </c>
      <c r="C1305" s="0" t="s">
        <v>309</v>
      </c>
      <c r="D1305" s="0" t="s">
        <v>5601</v>
      </c>
      <c r="E1305" s="0" t="n">
        <v>2025</v>
      </c>
      <c r="H1305" s="0" t="n">
        <v>13</v>
      </c>
      <c r="I1305" s="0" t="n">
        <v>641</v>
      </c>
      <c r="J1305" s="0" t="s">
        <v>268</v>
      </c>
      <c r="K1305" s="0" t="s">
        <v>3461</v>
      </c>
      <c r="L1305" s="0" t="s">
        <v>293</v>
      </c>
      <c r="M1305" s="0" t="s">
        <v>5602</v>
      </c>
      <c r="N1305" s="0" t="s">
        <v>5603</v>
      </c>
      <c r="O1305" s="0" t="s">
        <v>5604</v>
      </c>
      <c r="P1305" s="0" t="s">
        <v>5605</v>
      </c>
      <c r="R1305" s="0" t="s">
        <v>275</v>
      </c>
      <c r="S1305" s="0" t="s">
        <v>268</v>
      </c>
      <c r="T1305" s="0" t="s">
        <v>276</v>
      </c>
      <c r="U1305" s="0" t="s">
        <v>277</v>
      </c>
    </row>
    <row r="1306" customFormat="false" ht="15" hidden="false" customHeight="false" outlineLevel="0" collapsed="false">
      <c r="A1306" s="0" t="n">
        <v>162</v>
      </c>
      <c r="B1306" s="0" t="s">
        <v>220</v>
      </c>
      <c r="C1306" s="0" t="s">
        <v>309</v>
      </c>
      <c r="D1306" s="0" t="s">
        <v>5606</v>
      </c>
      <c r="E1306" s="0" t="n">
        <v>2023</v>
      </c>
      <c r="H1306" s="0" t="n">
        <v>1</v>
      </c>
      <c r="I1306" s="0" t="n">
        <v>4950</v>
      </c>
      <c r="J1306" s="0" t="s">
        <v>268</v>
      </c>
      <c r="K1306" s="0" t="s">
        <v>298</v>
      </c>
      <c r="L1306" s="0" t="s">
        <v>270</v>
      </c>
      <c r="M1306" s="0" t="s">
        <v>5607</v>
      </c>
      <c r="N1306" s="0" t="s">
        <v>5607</v>
      </c>
      <c r="O1306" s="0" t="s">
        <v>5608</v>
      </c>
      <c r="P1306" s="0" t="s">
        <v>5609</v>
      </c>
      <c r="R1306" s="0" t="s">
        <v>284</v>
      </c>
      <c r="S1306" s="0" t="s">
        <v>290</v>
      </c>
      <c r="T1306" s="0" t="s">
        <v>276</v>
      </c>
      <c r="U1306" s="0" t="s">
        <v>277</v>
      </c>
    </row>
    <row r="1307" customFormat="false" ht="15" hidden="false" customHeight="false" outlineLevel="0" collapsed="false">
      <c r="A1307" s="0" t="n">
        <v>162</v>
      </c>
      <c r="B1307" s="0" t="s">
        <v>220</v>
      </c>
      <c r="C1307" s="0" t="s">
        <v>309</v>
      </c>
      <c r="D1307" s="0" t="s">
        <v>5610</v>
      </c>
      <c r="E1307" s="0" t="n">
        <v>2023</v>
      </c>
      <c r="H1307" s="0" t="n">
        <v>20</v>
      </c>
      <c r="I1307" s="0" t="n">
        <v>984</v>
      </c>
      <c r="J1307" s="0" t="s">
        <v>268</v>
      </c>
      <c r="K1307" s="0" t="s">
        <v>3461</v>
      </c>
      <c r="L1307" s="0" t="s">
        <v>293</v>
      </c>
      <c r="M1307" s="0" t="s">
        <v>5611</v>
      </c>
      <c r="N1307" s="0" t="s">
        <v>5612</v>
      </c>
      <c r="O1307" s="0" t="s">
        <v>5613</v>
      </c>
      <c r="P1307" s="0" t="s">
        <v>5614</v>
      </c>
      <c r="R1307" s="0" t="s">
        <v>284</v>
      </c>
      <c r="S1307" s="0" t="s">
        <v>290</v>
      </c>
      <c r="T1307" s="0" t="s">
        <v>276</v>
      </c>
      <c r="U1307" s="0" t="s">
        <v>277</v>
      </c>
    </row>
    <row r="1308" customFormat="false" ht="15" hidden="false" customHeight="false" outlineLevel="0" collapsed="false">
      <c r="A1308" s="0" t="n">
        <v>162</v>
      </c>
      <c r="B1308" s="0" t="s">
        <v>220</v>
      </c>
      <c r="C1308" s="0" t="s">
        <v>266</v>
      </c>
      <c r="D1308" s="0" t="s">
        <v>5615</v>
      </c>
      <c r="E1308" s="0" t="n">
        <v>2026</v>
      </c>
      <c r="H1308" s="0" t="n">
        <v>2</v>
      </c>
      <c r="I1308" s="0" t="n">
        <v>1388</v>
      </c>
      <c r="J1308" s="0" t="s">
        <v>268</v>
      </c>
      <c r="K1308" s="0" t="s">
        <v>3327</v>
      </c>
      <c r="L1308" s="0" t="s">
        <v>293</v>
      </c>
      <c r="M1308" s="0" t="s">
        <v>5616</v>
      </c>
      <c r="N1308" s="0" t="s">
        <v>5616</v>
      </c>
      <c r="O1308" s="0" t="s">
        <v>5617</v>
      </c>
      <c r="P1308" s="0" t="s">
        <v>5618</v>
      </c>
      <c r="R1308" s="0" t="s">
        <v>275</v>
      </c>
      <c r="S1308" s="0" t="s">
        <v>268</v>
      </c>
      <c r="T1308" s="0" t="s">
        <v>276</v>
      </c>
      <c r="U1308" s="0" t="s">
        <v>277</v>
      </c>
    </row>
    <row r="1309" customFormat="false" ht="15" hidden="false" customHeight="false" outlineLevel="0" collapsed="false">
      <c r="A1309" s="0" t="n">
        <v>162</v>
      </c>
      <c r="B1309" s="0" t="s">
        <v>220</v>
      </c>
      <c r="C1309" s="0" t="s">
        <v>324</v>
      </c>
      <c r="D1309" s="0" t="s">
        <v>5619</v>
      </c>
      <c r="E1309" s="0" t="n">
        <v>2026</v>
      </c>
      <c r="H1309" s="0" t="n">
        <v>1</v>
      </c>
      <c r="I1309" s="0" t="n">
        <v>55</v>
      </c>
      <c r="J1309" s="0" t="s">
        <v>268</v>
      </c>
      <c r="K1309" s="0" t="s">
        <v>3461</v>
      </c>
      <c r="L1309" s="0" t="s">
        <v>293</v>
      </c>
      <c r="M1309" s="0" t="s">
        <v>5620</v>
      </c>
      <c r="N1309" s="0" t="s">
        <v>5621</v>
      </c>
      <c r="O1309" s="0" t="s">
        <v>5622</v>
      </c>
      <c r="P1309" s="0" t="s">
        <v>5623</v>
      </c>
      <c r="R1309" s="0" t="s">
        <v>275</v>
      </c>
      <c r="S1309" s="0" t="s">
        <v>290</v>
      </c>
      <c r="T1309" s="0" t="s">
        <v>276</v>
      </c>
      <c r="U1309" s="0" t="s">
        <v>277</v>
      </c>
    </row>
    <row r="1310" customFormat="false" ht="15" hidden="false" customHeight="false" outlineLevel="0" collapsed="false">
      <c r="A1310" s="0" t="n">
        <v>162</v>
      </c>
      <c r="B1310" s="0" t="s">
        <v>220</v>
      </c>
      <c r="C1310" s="0" t="s">
        <v>324</v>
      </c>
      <c r="D1310" s="0" t="s">
        <v>5624</v>
      </c>
      <c r="E1310" s="0" t="n">
        <v>2026</v>
      </c>
      <c r="H1310" s="0" t="n">
        <v>1</v>
      </c>
      <c r="I1310" s="0" t="n">
        <v>30</v>
      </c>
      <c r="J1310" s="0" t="s">
        <v>268</v>
      </c>
      <c r="K1310" s="0" t="s">
        <v>3461</v>
      </c>
      <c r="L1310" s="0" t="s">
        <v>293</v>
      </c>
      <c r="M1310" s="0" t="s">
        <v>5625</v>
      </c>
      <c r="N1310" s="0" t="s">
        <v>5625</v>
      </c>
      <c r="O1310" s="0" t="s">
        <v>5626</v>
      </c>
      <c r="P1310" s="0" t="s">
        <v>5627</v>
      </c>
      <c r="R1310" s="0" t="s">
        <v>275</v>
      </c>
      <c r="S1310" s="0" t="s">
        <v>290</v>
      </c>
      <c r="T1310" s="0" t="s">
        <v>276</v>
      </c>
      <c r="U1310" s="0" t="s">
        <v>277</v>
      </c>
    </row>
    <row r="1311" customFormat="false" ht="15" hidden="false" customHeight="false" outlineLevel="0" collapsed="false">
      <c r="A1311" s="0" t="n">
        <v>162</v>
      </c>
      <c r="B1311" s="0" t="s">
        <v>220</v>
      </c>
      <c r="C1311" s="0" t="s">
        <v>324</v>
      </c>
      <c r="D1311" s="0" t="s">
        <v>5628</v>
      </c>
      <c r="E1311" s="0" t="n">
        <v>2026</v>
      </c>
      <c r="H1311" s="0" t="n">
        <v>2</v>
      </c>
      <c r="I1311" s="0" t="n">
        <v>41</v>
      </c>
      <c r="J1311" s="0" t="s">
        <v>268</v>
      </c>
      <c r="K1311" s="0" t="s">
        <v>3461</v>
      </c>
      <c r="L1311" s="0" t="s">
        <v>293</v>
      </c>
      <c r="M1311" s="0" t="s">
        <v>5629</v>
      </c>
      <c r="N1311" s="0" t="s">
        <v>5629</v>
      </c>
      <c r="O1311" s="0" t="s">
        <v>5630</v>
      </c>
      <c r="P1311" s="0" t="s">
        <v>5631</v>
      </c>
      <c r="R1311" s="0" t="s">
        <v>275</v>
      </c>
      <c r="S1311" s="0" t="s">
        <v>290</v>
      </c>
      <c r="T1311" s="0" t="s">
        <v>276</v>
      </c>
      <c r="U1311" s="0" t="s">
        <v>277</v>
      </c>
    </row>
    <row r="1312" customFormat="false" ht="15" hidden="false" customHeight="false" outlineLevel="0" collapsed="false">
      <c r="A1312" s="0" t="n">
        <v>162</v>
      </c>
      <c r="B1312" s="0" t="s">
        <v>220</v>
      </c>
      <c r="C1312" s="0" t="s">
        <v>324</v>
      </c>
      <c r="D1312" s="0" t="s">
        <v>5632</v>
      </c>
      <c r="E1312" s="0" t="n">
        <v>2026</v>
      </c>
      <c r="H1312" s="0" t="n">
        <v>23</v>
      </c>
      <c r="I1312" s="0" t="n">
        <v>1413</v>
      </c>
      <c r="J1312" s="0" t="s">
        <v>268</v>
      </c>
      <c r="K1312" s="0" t="s">
        <v>3461</v>
      </c>
      <c r="L1312" s="0" t="s">
        <v>293</v>
      </c>
      <c r="M1312" s="0" t="s">
        <v>5633</v>
      </c>
      <c r="N1312" s="0" t="s">
        <v>5634</v>
      </c>
      <c r="O1312" s="0" t="s">
        <v>5635</v>
      </c>
      <c r="P1312" s="0" t="s">
        <v>5636</v>
      </c>
      <c r="R1312" s="0" t="s">
        <v>275</v>
      </c>
      <c r="S1312" s="0" t="s">
        <v>268</v>
      </c>
      <c r="T1312" s="0" t="s">
        <v>276</v>
      </c>
      <c r="U1312" s="0" t="s">
        <v>277</v>
      </c>
    </row>
    <row r="1313" customFormat="false" ht="15" hidden="false" customHeight="false" outlineLevel="0" collapsed="false">
      <c r="A1313" s="0" t="n">
        <v>162</v>
      </c>
      <c r="B1313" s="0" t="s">
        <v>220</v>
      </c>
      <c r="C1313" s="0" t="s">
        <v>324</v>
      </c>
      <c r="D1313" s="0" t="s">
        <v>5637</v>
      </c>
      <c r="E1313" s="0" t="n">
        <v>2026</v>
      </c>
      <c r="H1313" s="0" t="n">
        <v>13</v>
      </c>
      <c r="I1313" s="0" t="n">
        <v>1214</v>
      </c>
      <c r="J1313" s="0" t="s">
        <v>268</v>
      </c>
      <c r="K1313" s="0" t="s">
        <v>3461</v>
      </c>
      <c r="L1313" s="0" t="s">
        <v>293</v>
      </c>
      <c r="M1313" s="0" t="s">
        <v>5638</v>
      </c>
      <c r="N1313" s="0" t="s">
        <v>5639</v>
      </c>
      <c r="O1313" s="0" t="s">
        <v>5640</v>
      </c>
      <c r="P1313" s="0" t="s">
        <v>5641</v>
      </c>
      <c r="R1313" s="0" t="s">
        <v>275</v>
      </c>
      <c r="S1313" s="0" t="s">
        <v>290</v>
      </c>
      <c r="T1313" s="0" t="s">
        <v>276</v>
      </c>
      <c r="U1313" s="0" t="s">
        <v>277</v>
      </c>
    </row>
    <row r="1314" customFormat="false" ht="15" hidden="false" customHeight="false" outlineLevel="0" collapsed="false">
      <c r="A1314" s="0" t="n">
        <v>162</v>
      </c>
      <c r="B1314" s="0" t="s">
        <v>220</v>
      </c>
      <c r="C1314" s="0" t="s">
        <v>324</v>
      </c>
      <c r="D1314" s="0" t="s">
        <v>5642</v>
      </c>
      <c r="E1314" s="0" t="n">
        <v>2026</v>
      </c>
      <c r="H1314" s="0" t="n">
        <v>1</v>
      </c>
      <c r="I1314" s="0" t="n">
        <v>46</v>
      </c>
      <c r="J1314" s="0" t="s">
        <v>268</v>
      </c>
      <c r="K1314" s="0" t="s">
        <v>3327</v>
      </c>
      <c r="L1314" s="0" t="s">
        <v>293</v>
      </c>
      <c r="M1314" s="0" t="s">
        <v>5643</v>
      </c>
      <c r="N1314" s="0" t="s">
        <v>5643</v>
      </c>
      <c r="O1314" s="0" t="s">
        <v>5644</v>
      </c>
      <c r="P1314" s="0" t="s">
        <v>5645</v>
      </c>
      <c r="R1314" s="0" t="s">
        <v>275</v>
      </c>
      <c r="S1314" s="0" t="s">
        <v>290</v>
      </c>
      <c r="T1314" s="0" t="s">
        <v>276</v>
      </c>
      <c r="U1314" s="0" t="s">
        <v>277</v>
      </c>
    </row>
    <row r="1315" customFormat="false" ht="15" hidden="false" customHeight="false" outlineLevel="0" collapsed="false">
      <c r="A1315" s="0" t="n">
        <v>162</v>
      </c>
      <c r="B1315" s="0" t="s">
        <v>220</v>
      </c>
      <c r="C1315" s="0" t="s">
        <v>324</v>
      </c>
      <c r="D1315" s="0" t="s">
        <v>5646</v>
      </c>
      <c r="E1315" s="0" t="n">
        <v>2026</v>
      </c>
      <c r="H1315" s="0" t="n">
        <v>2</v>
      </c>
      <c r="I1315" s="0" t="n">
        <v>61</v>
      </c>
      <c r="J1315" s="0" t="s">
        <v>268</v>
      </c>
      <c r="K1315" s="0" t="s">
        <v>3327</v>
      </c>
      <c r="L1315" s="0" t="s">
        <v>293</v>
      </c>
      <c r="M1315" s="0" t="s">
        <v>5647</v>
      </c>
      <c r="N1315" s="0" t="s">
        <v>5647</v>
      </c>
      <c r="O1315" s="0" t="s">
        <v>5648</v>
      </c>
      <c r="P1315" s="0" t="s">
        <v>5649</v>
      </c>
      <c r="R1315" s="0" t="s">
        <v>275</v>
      </c>
      <c r="S1315" s="0" t="s">
        <v>290</v>
      </c>
      <c r="T1315" s="0" t="s">
        <v>276</v>
      </c>
      <c r="U1315" s="0" t="s">
        <v>277</v>
      </c>
    </row>
    <row r="1316" customFormat="false" ht="15" hidden="false" customHeight="false" outlineLevel="0" collapsed="false">
      <c r="A1316" s="0" t="n">
        <v>162</v>
      </c>
      <c r="B1316" s="0" t="s">
        <v>220</v>
      </c>
      <c r="C1316" s="0" t="s">
        <v>335</v>
      </c>
      <c r="D1316" s="0" t="s">
        <v>5650</v>
      </c>
      <c r="E1316" s="0" t="n">
        <v>2025</v>
      </c>
      <c r="H1316" s="0" t="n">
        <v>1</v>
      </c>
      <c r="I1316" s="0" t="n">
        <v>94</v>
      </c>
      <c r="J1316" s="0" t="s">
        <v>268</v>
      </c>
      <c r="K1316" s="0" t="s">
        <v>3327</v>
      </c>
      <c r="L1316" s="0" t="s">
        <v>293</v>
      </c>
      <c r="M1316" s="0" t="s">
        <v>5651</v>
      </c>
      <c r="N1316" s="0" t="s">
        <v>5651</v>
      </c>
      <c r="O1316" s="0" t="s">
        <v>5652</v>
      </c>
      <c r="P1316" s="0" t="s">
        <v>5653</v>
      </c>
      <c r="R1316" s="0" t="s">
        <v>275</v>
      </c>
      <c r="S1316" s="0" t="s">
        <v>268</v>
      </c>
      <c r="T1316" s="0" t="s">
        <v>276</v>
      </c>
      <c r="U1316" s="0" t="s">
        <v>277</v>
      </c>
    </row>
    <row r="1317" customFormat="false" ht="15" hidden="false" customHeight="false" outlineLevel="0" collapsed="false">
      <c r="A1317" s="0" t="n">
        <v>162</v>
      </c>
      <c r="B1317" s="0" t="s">
        <v>220</v>
      </c>
      <c r="C1317" s="0" t="s">
        <v>829</v>
      </c>
      <c r="D1317" s="0" t="s">
        <v>5654</v>
      </c>
      <c r="E1317" s="0" t="n">
        <v>2026</v>
      </c>
      <c r="H1317" s="0" t="n">
        <v>1</v>
      </c>
      <c r="I1317" s="0" t="n">
        <v>466</v>
      </c>
      <c r="J1317" s="0" t="s">
        <v>268</v>
      </c>
      <c r="K1317" s="0" t="s">
        <v>3461</v>
      </c>
      <c r="L1317" s="0" t="s">
        <v>293</v>
      </c>
      <c r="M1317" s="0" t="s">
        <v>5655</v>
      </c>
      <c r="N1317" s="0" t="s">
        <v>5655</v>
      </c>
      <c r="O1317" s="0" t="s">
        <v>5656</v>
      </c>
      <c r="P1317" s="0" t="s">
        <v>5657</v>
      </c>
      <c r="R1317" s="0" t="s">
        <v>275</v>
      </c>
      <c r="S1317" s="0" t="s">
        <v>268</v>
      </c>
      <c r="T1317" s="0" t="s">
        <v>276</v>
      </c>
      <c r="U1317" s="0" t="s">
        <v>277</v>
      </c>
    </row>
    <row r="1318" customFormat="false" ht="15" hidden="false" customHeight="false" outlineLevel="0" collapsed="false">
      <c r="A1318" s="0" t="n">
        <v>162</v>
      </c>
      <c r="B1318" s="0" t="s">
        <v>220</v>
      </c>
      <c r="C1318" s="0" t="s">
        <v>278</v>
      </c>
      <c r="D1318" s="0" t="s">
        <v>5658</v>
      </c>
      <c r="E1318" s="0" t="n">
        <v>2025</v>
      </c>
      <c r="H1318" s="0" t="n">
        <v>3</v>
      </c>
      <c r="I1318" s="0" t="n">
        <v>509</v>
      </c>
      <c r="J1318" s="0" t="s">
        <v>268</v>
      </c>
      <c r="K1318" s="0" t="s">
        <v>3461</v>
      </c>
      <c r="L1318" s="0" t="s">
        <v>293</v>
      </c>
      <c r="M1318" s="0" t="s">
        <v>5659</v>
      </c>
      <c r="N1318" s="0" t="s">
        <v>5660</v>
      </c>
      <c r="O1318" s="0" t="s">
        <v>5661</v>
      </c>
      <c r="P1318" s="0" t="s">
        <v>5662</v>
      </c>
      <c r="R1318" s="0" t="s">
        <v>275</v>
      </c>
      <c r="S1318" s="0" t="s">
        <v>290</v>
      </c>
      <c r="T1318" s="0" t="s">
        <v>276</v>
      </c>
      <c r="U1318" s="0" t="s">
        <v>277</v>
      </c>
    </row>
    <row r="1319" customFormat="false" ht="15" hidden="false" customHeight="false" outlineLevel="0" collapsed="false">
      <c r="A1319" s="0" t="n">
        <v>162</v>
      </c>
      <c r="B1319" s="0" t="s">
        <v>220</v>
      </c>
      <c r="C1319" s="0" t="s">
        <v>278</v>
      </c>
      <c r="D1319" s="0" t="s">
        <v>5663</v>
      </c>
      <c r="E1319" s="0" t="n">
        <v>2025</v>
      </c>
      <c r="H1319" s="0" t="n">
        <v>6</v>
      </c>
      <c r="I1319" s="0" t="n">
        <v>643</v>
      </c>
      <c r="J1319" s="0" t="s">
        <v>268</v>
      </c>
      <c r="K1319" s="0" t="s">
        <v>3461</v>
      </c>
      <c r="L1319" s="0" t="s">
        <v>293</v>
      </c>
      <c r="M1319" s="0" t="s">
        <v>5664</v>
      </c>
      <c r="N1319" s="0" t="s">
        <v>5665</v>
      </c>
      <c r="O1319" s="0" t="s">
        <v>5666</v>
      </c>
      <c r="P1319" s="0" t="s">
        <v>5667</v>
      </c>
      <c r="R1319" s="0" t="s">
        <v>275</v>
      </c>
      <c r="S1319" s="0" t="s">
        <v>290</v>
      </c>
      <c r="T1319" s="0" t="s">
        <v>276</v>
      </c>
      <c r="U1319" s="0" t="s">
        <v>277</v>
      </c>
    </row>
    <row r="1320" customFormat="false" ht="15" hidden="false" customHeight="false" outlineLevel="0" collapsed="false">
      <c r="A1320" s="0" t="n">
        <v>162</v>
      </c>
      <c r="B1320" s="0" t="s">
        <v>220</v>
      </c>
      <c r="C1320" s="0" t="s">
        <v>278</v>
      </c>
      <c r="D1320" s="0" t="s">
        <v>5668</v>
      </c>
      <c r="E1320" s="0" t="n">
        <v>2025</v>
      </c>
      <c r="H1320" s="0" t="n">
        <v>7</v>
      </c>
      <c r="I1320" s="0" t="n">
        <v>750</v>
      </c>
      <c r="J1320" s="0" t="s">
        <v>268</v>
      </c>
      <c r="K1320" s="0" t="s">
        <v>3461</v>
      </c>
      <c r="L1320" s="0" t="s">
        <v>293</v>
      </c>
      <c r="M1320" s="0" t="s">
        <v>5669</v>
      </c>
      <c r="N1320" s="0" t="s">
        <v>5670</v>
      </c>
      <c r="O1320" s="0" t="s">
        <v>5671</v>
      </c>
      <c r="P1320" s="0" t="s">
        <v>5672</v>
      </c>
      <c r="R1320" s="0" t="s">
        <v>275</v>
      </c>
      <c r="S1320" s="0" t="s">
        <v>268</v>
      </c>
      <c r="T1320" s="0" t="s">
        <v>276</v>
      </c>
      <c r="U1320" s="0" t="s">
        <v>277</v>
      </c>
    </row>
    <row r="1321" customFormat="false" ht="15" hidden="false" customHeight="false" outlineLevel="0" collapsed="false">
      <c r="A1321" s="0" t="n">
        <v>162</v>
      </c>
      <c r="B1321" s="0" t="s">
        <v>220</v>
      </c>
      <c r="C1321" s="0" t="s">
        <v>278</v>
      </c>
      <c r="D1321" s="0" t="s">
        <v>5673</v>
      </c>
      <c r="E1321" s="0" t="n">
        <v>2025</v>
      </c>
      <c r="H1321" s="0" t="n">
        <v>3</v>
      </c>
      <c r="I1321" s="0" t="n">
        <v>484</v>
      </c>
      <c r="J1321" s="0" t="s">
        <v>268</v>
      </c>
      <c r="K1321" s="0" t="s">
        <v>3461</v>
      </c>
      <c r="L1321" s="0" t="s">
        <v>293</v>
      </c>
      <c r="M1321" s="0" t="s">
        <v>5674</v>
      </c>
      <c r="N1321" s="0" t="s">
        <v>5675</v>
      </c>
      <c r="O1321" s="0" t="s">
        <v>5676</v>
      </c>
      <c r="P1321" s="0" t="s">
        <v>5677</v>
      </c>
      <c r="R1321" s="0" t="s">
        <v>275</v>
      </c>
      <c r="S1321" s="0" t="s">
        <v>290</v>
      </c>
      <c r="T1321" s="0" t="s">
        <v>276</v>
      </c>
      <c r="U1321" s="0" t="s">
        <v>277</v>
      </c>
    </row>
    <row r="1322" customFormat="false" ht="15" hidden="false" customHeight="false" outlineLevel="0" collapsed="false">
      <c r="A1322" s="0" t="n">
        <v>162</v>
      </c>
      <c r="B1322" s="0" t="s">
        <v>220</v>
      </c>
      <c r="C1322" s="0" t="s">
        <v>278</v>
      </c>
      <c r="D1322" s="0" t="s">
        <v>5678</v>
      </c>
      <c r="E1322" s="0" t="n">
        <v>2025</v>
      </c>
      <c r="H1322" s="0" t="n">
        <v>5</v>
      </c>
      <c r="I1322" s="0" t="n">
        <v>498</v>
      </c>
      <c r="J1322" s="0" t="s">
        <v>268</v>
      </c>
      <c r="K1322" s="0" t="s">
        <v>3461</v>
      </c>
      <c r="L1322" s="0" t="s">
        <v>293</v>
      </c>
      <c r="M1322" s="0" t="s">
        <v>5679</v>
      </c>
      <c r="N1322" s="0" t="s">
        <v>5680</v>
      </c>
      <c r="O1322" s="0" t="s">
        <v>5681</v>
      </c>
      <c r="P1322" s="0" t="s">
        <v>5682</v>
      </c>
      <c r="R1322" s="0" t="s">
        <v>275</v>
      </c>
      <c r="S1322" s="0" t="s">
        <v>290</v>
      </c>
      <c r="T1322" s="0" t="s">
        <v>276</v>
      </c>
      <c r="U1322" s="0" t="s">
        <v>277</v>
      </c>
    </row>
    <row r="1323" customFormat="false" ht="15" hidden="false" customHeight="false" outlineLevel="0" collapsed="false">
      <c r="A1323" s="0" t="n">
        <v>162</v>
      </c>
      <c r="B1323" s="0" t="s">
        <v>220</v>
      </c>
      <c r="C1323" s="0" t="s">
        <v>489</v>
      </c>
      <c r="D1323" s="0" t="s">
        <v>5683</v>
      </c>
      <c r="E1323" s="0" t="n">
        <v>2026</v>
      </c>
      <c r="H1323" s="0" t="n">
        <v>21</v>
      </c>
      <c r="I1323" s="0" t="n">
        <v>1992</v>
      </c>
      <c r="J1323" s="0" t="s">
        <v>268</v>
      </c>
      <c r="K1323" s="0" t="s">
        <v>3461</v>
      </c>
      <c r="L1323" s="0" t="s">
        <v>293</v>
      </c>
      <c r="M1323" s="0" t="s">
        <v>5684</v>
      </c>
      <c r="N1323" s="0" t="s">
        <v>5684</v>
      </c>
      <c r="O1323" s="0" t="s">
        <v>5685</v>
      </c>
      <c r="P1323" s="0" t="s">
        <v>5686</v>
      </c>
      <c r="R1323" s="0" t="s">
        <v>275</v>
      </c>
      <c r="S1323" s="0" t="s">
        <v>268</v>
      </c>
      <c r="T1323" s="0" t="s">
        <v>276</v>
      </c>
      <c r="U1323" s="0" t="s">
        <v>277</v>
      </c>
    </row>
    <row r="1324" customFormat="false" ht="15" hidden="false" customHeight="false" outlineLevel="0" collapsed="false">
      <c r="A1324" s="0" t="n">
        <v>162</v>
      </c>
      <c r="B1324" s="0" t="s">
        <v>220</v>
      </c>
      <c r="C1324" s="0" t="s">
        <v>489</v>
      </c>
      <c r="D1324" s="0" t="s">
        <v>5687</v>
      </c>
      <c r="E1324" s="0" t="n">
        <v>2026</v>
      </c>
      <c r="H1324" s="0" t="n">
        <v>21</v>
      </c>
      <c r="I1324" s="0" t="n">
        <v>1800</v>
      </c>
      <c r="J1324" s="0" t="s">
        <v>268</v>
      </c>
      <c r="K1324" s="0" t="s">
        <v>3327</v>
      </c>
      <c r="L1324" s="0" t="s">
        <v>293</v>
      </c>
      <c r="M1324" s="0" t="s">
        <v>5688</v>
      </c>
      <c r="N1324" s="0" t="s">
        <v>5688</v>
      </c>
      <c r="O1324" s="0" t="s">
        <v>5689</v>
      </c>
      <c r="P1324" s="0" t="s">
        <v>5690</v>
      </c>
      <c r="R1324" s="0" t="s">
        <v>275</v>
      </c>
      <c r="S1324" s="0" t="s">
        <v>290</v>
      </c>
      <c r="T1324" s="0" t="s">
        <v>276</v>
      </c>
      <c r="U1324" s="0" t="s">
        <v>277</v>
      </c>
    </row>
    <row r="1325" customFormat="false" ht="15" hidden="false" customHeight="false" outlineLevel="0" collapsed="false">
      <c r="A1325" s="0" t="n">
        <v>163</v>
      </c>
      <c r="B1325" s="0" t="s">
        <v>221</v>
      </c>
      <c r="C1325" s="0" t="s">
        <v>56</v>
      </c>
      <c r="D1325" s="0" t="s">
        <v>5691</v>
      </c>
      <c r="E1325" s="0" t="n">
        <v>2023</v>
      </c>
      <c r="H1325" s="0" t="n">
        <v>5</v>
      </c>
      <c r="I1325" s="0" t="n">
        <v>1517</v>
      </c>
      <c r="J1325" s="0" t="s">
        <v>268</v>
      </c>
      <c r="K1325" s="0" t="s">
        <v>298</v>
      </c>
      <c r="L1325" s="0" t="s">
        <v>270</v>
      </c>
      <c r="M1325" s="0" t="s">
        <v>5692</v>
      </c>
      <c r="N1325" s="0" t="s">
        <v>5692</v>
      </c>
      <c r="O1325" s="0" t="s">
        <v>5693</v>
      </c>
      <c r="P1325" s="0" t="s">
        <v>5694</v>
      </c>
      <c r="R1325" s="0" t="s">
        <v>284</v>
      </c>
      <c r="S1325" s="0" t="s">
        <v>268</v>
      </c>
      <c r="T1325" s="0" t="s">
        <v>276</v>
      </c>
      <c r="U1325" s="0" t="s">
        <v>277</v>
      </c>
    </row>
    <row r="1326" customFormat="false" ht="15" hidden="false" customHeight="false" outlineLevel="0" collapsed="false">
      <c r="A1326" s="0" t="n">
        <v>163</v>
      </c>
      <c r="B1326" s="0" t="s">
        <v>221</v>
      </c>
      <c r="C1326" s="0" t="s">
        <v>309</v>
      </c>
      <c r="D1326" s="0" t="s">
        <v>5695</v>
      </c>
      <c r="E1326" s="0" t="n">
        <v>2023</v>
      </c>
      <c r="H1326" s="0" t="n">
        <v>1</v>
      </c>
      <c r="I1326" s="0" t="n">
        <v>2012</v>
      </c>
      <c r="J1326" s="0" t="s">
        <v>290</v>
      </c>
      <c r="K1326" s="0" t="s">
        <v>298</v>
      </c>
      <c r="L1326" s="0" t="s">
        <v>270</v>
      </c>
      <c r="M1326" s="0" t="s">
        <v>5696</v>
      </c>
      <c r="N1326" s="0" t="s">
        <v>5696</v>
      </c>
      <c r="O1326" s="0" t="s">
        <v>5697</v>
      </c>
      <c r="P1326" s="0" t="s">
        <v>5698</v>
      </c>
      <c r="R1326" s="0" t="s">
        <v>284</v>
      </c>
      <c r="S1326" s="0" t="s">
        <v>268</v>
      </c>
      <c r="T1326" s="0" t="s">
        <v>276</v>
      </c>
      <c r="U1326" s="0" t="s">
        <v>277</v>
      </c>
    </row>
    <row r="1327" customFormat="false" ht="15" hidden="false" customHeight="false" outlineLevel="0" collapsed="false">
      <c r="A1327" s="0" t="n">
        <v>163</v>
      </c>
      <c r="B1327" s="0" t="s">
        <v>221</v>
      </c>
      <c r="C1327" s="0" t="s">
        <v>278</v>
      </c>
      <c r="D1327" s="0" t="s">
        <v>5699</v>
      </c>
      <c r="E1327" s="0" t="n">
        <v>2025</v>
      </c>
      <c r="H1327" s="0" t="n">
        <v>21</v>
      </c>
      <c r="I1327" s="0" t="n">
        <v>2057</v>
      </c>
      <c r="J1327" s="0" t="s">
        <v>268</v>
      </c>
      <c r="K1327" s="0" t="s">
        <v>292</v>
      </c>
      <c r="L1327" s="0" t="s">
        <v>293</v>
      </c>
      <c r="M1327" s="0" t="s">
        <v>5700</v>
      </c>
      <c r="N1327" s="0" t="s">
        <v>5700</v>
      </c>
      <c r="O1327" s="0" t="s">
        <v>5701</v>
      </c>
      <c r="P1327" s="0" t="s">
        <v>5702</v>
      </c>
      <c r="R1327" s="0" t="s">
        <v>275</v>
      </c>
      <c r="S1327" s="0" t="s">
        <v>268</v>
      </c>
      <c r="T1327" s="0" t="s">
        <v>276</v>
      </c>
      <c r="U1327" s="0" t="s">
        <v>277</v>
      </c>
    </row>
    <row r="1328" customFormat="false" ht="15" hidden="false" customHeight="false" outlineLevel="0" collapsed="false">
      <c r="A1328" s="0" t="n">
        <v>163</v>
      </c>
      <c r="B1328" s="0" t="s">
        <v>221</v>
      </c>
      <c r="C1328" s="0" t="s">
        <v>278</v>
      </c>
      <c r="D1328" s="0" t="s">
        <v>5703</v>
      </c>
      <c r="E1328" s="0" t="n">
        <v>2024</v>
      </c>
      <c r="H1328" s="0" t="n">
        <v>19</v>
      </c>
      <c r="I1328" s="0" t="n">
        <v>2980</v>
      </c>
      <c r="J1328" s="0" t="s">
        <v>268</v>
      </c>
      <c r="K1328" s="0" t="s">
        <v>292</v>
      </c>
      <c r="L1328" s="0" t="s">
        <v>293</v>
      </c>
      <c r="M1328" s="0" t="s">
        <v>5704</v>
      </c>
      <c r="N1328" s="0" t="s">
        <v>5704</v>
      </c>
      <c r="O1328" s="0" t="s">
        <v>5705</v>
      </c>
      <c r="P1328" s="0" t="s">
        <v>5706</v>
      </c>
      <c r="R1328" s="0" t="s">
        <v>284</v>
      </c>
      <c r="S1328" s="0" t="s">
        <v>290</v>
      </c>
      <c r="T1328" s="0" t="s">
        <v>276</v>
      </c>
      <c r="U1328" s="0" t="s">
        <v>277</v>
      </c>
    </row>
    <row r="1329" customFormat="false" ht="15" hidden="false" customHeight="false" outlineLevel="0" collapsed="false">
      <c r="A1329" s="0" t="n">
        <v>163</v>
      </c>
      <c r="B1329" s="0" t="s">
        <v>221</v>
      </c>
      <c r="C1329" s="0" t="s">
        <v>278</v>
      </c>
      <c r="D1329" s="0" t="s">
        <v>5707</v>
      </c>
      <c r="E1329" s="0" t="n">
        <v>2023</v>
      </c>
      <c r="H1329" s="0" t="n">
        <v>16</v>
      </c>
      <c r="I1329" s="0" t="n">
        <v>2292</v>
      </c>
      <c r="J1329" s="0" t="s">
        <v>268</v>
      </c>
      <c r="K1329" s="0" t="s">
        <v>292</v>
      </c>
      <c r="L1329" s="0" t="s">
        <v>293</v>
      </c>
      <c r="M1329" s="0" t="s">
        <v>5708</v>
      </c>
      <c r="N1329" s="0" t="s">
        <v>5708</v>
      </c>
      <c r="O1329" s="0" t="s">
        <v>5709</v>
      </c>
      <c r="P1329" s="0" t="s">
        <v>5710</v>
      </c>
      <c r="R1329" s="0" t="s">
        <v>284</v>
      </c>
      <c r="S1329" s="0" t="s">
        <v>290</v>
      </c>
      <c r="T1329" s="0" t="s">
        <v>276</v>
      </c>
      <c r="U1329" s="0" t="s">
        <v>277</v>
      </c>
    </row>
    <row r="1330" customFormat="false" ht="15" hidden="false" customHeight="false" outlineLevel="0" collapsed="false">
      <c r="A1330" s="0" t="n">
        <v>163</v>
      </c>
      <c r="B1330" s="0" t="s">
        <v>221</v>
      </c>
      <c r="C1330" s="0" t="s">
        <v>278</v>
      </c>
      <c r="D1330" s="0" t="s">
        <v>5711</v>
      </c>
      <c r="E1330" s="0" t="n">
        <v>2022</v>
      </c>
      <c r="H1330" s="0" t="n">
        <v>16</v>
      </c>
      <c r="I1330" s="0" t="n">
        <v>4062</v>
      </c>
      <c r="J1330" s="0" t="s">
        <v>268</v>
      </c>
      <c r="K1330" s="0" t="s">
        <v>292</v>
      </c>
      <c r="L1330" s="0" t="s">
        <v>293</v>
      </c>
      <c r="M1330" s="0" t="s">
        <v>5712</v>
      </c>
      <c r="N1330" s="0" t="s">
        <v>5712</v>
      </c>
      <c r="O1330" s="0" t="s">
        <v>5713</v>
      </c>
      <c r="P1330" s="0" t="s">
        <v>5714</v>
      </c>
      <c r="R1330" s="0" t="s">
        <v>284</v>
      </c>
      <c r="S1330" s="0" t="s">
        <v>290</v>
      </c>
      <c r="T1330" s="0" t="s">
        <v>276</v>
      </c>
      <c r="U1330" s="0" t="s">
        <v>277</v>
      </c>
    </row>
    <row r="1331" customFormat="false" ht="15" hidden="false" customHeight="false" outlineLevel="0" collapsed="false">
      <c r="A1331" s="0" t="n">
        <v>163</v>
      </c>
      <c r="B1331" s="0" t="s">
        <v>221</v>
      </c>
      <c r="C1331" s="0" t="s">
        <v>278</v>
      </c>
      <c r="D1331" s="0" t="s">
        <v>5715</v>
      </c>
      <c r="E1331" s="0" t="n">
        <v>2021</v>
      </c>
      <c r="H1331" s="0" t="n">
        <v>18</v>
      </c>
      <c r="I1331" s="0" t="n">
        <v>4923</v>
      </c>
      <c r="J1331" s="0" t="s">
        <v>268</v>
      </c>
      <c r="K1331" s="0" t="s">
        <v>292</v>
      </c>
      <c r="L1331" s="0" t="s">
        <v>293</v>
      </c>
      <c r="M1331" s="0" t="s">
        <v>5716</v>
      </c>
      <c r="N1331" s="0" t="s">
        <v>5716</v>
      </c>
      <c r="O1331" s="0" t="s">
        <v>5717</v>
      </c>
      <c r="P1331" s="0" t="s">
        <v>5718</v>
      </c>
      <c r="R1331" s="0" t="s">
        <v>284</v>
      </c>
      <c r="S1331" s="0" t="s">
        <v>290</v>
      </c>
      <c r="T1331" s="0" t="s">
        <v>276</v>
      </c>
      <c r="U1331" s="0" t="s">
        <v>277</v>
      </c>
    </row>
    <row r="1332" customFormat="false" ht="15" hidden="false" customHeight="false" outlineLevel="0" collapsed="false">
      <c r="A1332" s="0" t="n">
        <v>163</v>
      </c>
      <c r="B1332" s="0" t="s">
        <v>221</v>
      </c>
      <c r="C1332" s="0" t="s">
        <v>278</v>
      </c>
      <c r="D1332" s="0" t="s">
        <v>5719</v>
      </c>
      <c r="E1332" s="0" t="n">
        <v>2019</v>
      </c>
      <c r="H1332" s="0" t="n">
        <v>16</v>
      </c>
      <c r="I1332" s="0" t="n">
        <v>3724</v>
      </c>
      <c r="J1332" s="0" t="s">
        <v>290</v>
      </c>
      <c r="K1332" s="0" t="s">
        <v>292</v>
      </c>
      <c r="L1332" s="0" t="s">
        <v>293</v>
      </c>
      <c r="M1332" s="0" t="s">
        <v>5720</v>
      </c>
      <c r="N1332" s="0" t="s">
        <v>5720</v>
      </c>
      <c r="O1332" s="0" t="s">
        <v>5721</v>
      </c>
      <c r="P1332" s="0" t="s">
        <v>5722</v>
      </c>
      <c r="R1332" s="0" t="s">
        <v>284</v>
      </c>
      <c r="S1332" s="0" t="s">
        <v>290</v>
      </c>
      <c r="T1332" s="0" t="s">
        <v>276</v>
      </c>
      <c r="U1332" s="0" t="s">
        <v>277</v>
      </c>
    </row>
    <row r="1333" customFormat="false" ht="15" hidden="false" customHeight="false" outlineLevel="0" collapsed="false">
      <c r="A1333" s="0" t="n">
        <v>164</v>
      </c>
      <c r="B1333" s="0" t="s">
        <v>222</v>
      </c>
      <c r="C1333" s="0" t="s">
        <v>56</v>
      </c>
      <c r="D1333" s="0" t="s">
        <v>5723</v>
      </c>
      <c r="E1333" s="0" t="n">
        <v>2026</v>
      </c>
      <c r="H1333" s="0" t="n">
        <v>6</v>
      </c>
      <c r="I1333" s="0" t="n">
        <v>7660</v>
      </c>
      <c r="J1333" s="0" t="s">
        <v>268</v>
      </c>
      <c r="K1333" s="0" t="s">
        <v>269</v>
      </c>
      <c r="L1333" s="0" t="s">
        <v>270</v>
      </c>
      <c r="M1333" s="0" t="s">
        <v>5724</v>
      </c>
      <c r="N1333" s="0" t="s">
        <v>5725</v>
      </c>
      <c r="O1333" s="0" t="s">
        <v>5726</v>
      </c>
      <c r="P1333" s="0" t="s">
        <v>5727</v>
      </c>
      <c r="R1333" s="0" t="s">
        <v>275</v>
      </c>
      <c r="S1333" s="0" t="s">
        <v>268</v>
      </c>
      <c r="T1333" s="0" t="s">
        <v>276</v>
      </c>
      <c r="U1333" s="0" t="s">
        <v>277</v>
      </c>
    </row>
    <row r="1334" customFormat="false" ht="15" hidden="false" customHeight="false" outlineLevel="0" collapsed="false">
      <c r="A1334" s="0" t="n">
        <v>164</v>
      </c>
      <c r="B1334" s="0" t="s">
        <v>222</v>
      </c>
      <c r="C1334" s="0" t="s">
        <v>56</v>
      </c>
      <c r="D1334" s="0" t="s">
        <v>5728</v>
      </c>
      <c r="E1334" s="0" t="n">
        <v>2022</v>
      </c>
      <c r="H1334" s="0" t="n">
        <v>8</v>
      </c>
      <c r="I1334" s="0" t="n">
        <v>1757</v>
      </c>
      <c r="J1334" s="0" t="s">
        <v>268</v>
      </c>
      <c r="K1334" s="0" t="s">
        <v>298</v>
      </c>
      <c r="L1334" s="0" t="s">
        <v>270</v>
      </c>
      <c r="M1334" s="0" t="s">
        <v>5729</v>
      </c>
      <c r="N1334" s="0" t="s">
        <v>5729</v>
      </c>
      <c r="O1334" s="0" t="s">
        <v>5730</v>
      </c>
      <c r="P1334" s="0" t="s">
        <v>5731</v>
      </c>
      <c r="R1334" s="0" t="s">
        <v>284</v>
      </c>
      <c r="S1334" s="0" t="s">
        <v>290</v>
      </c>
      <c r="T1334" s="0" t="s">
        <v>276</v>
      </c>
      <c r="U1334" s="0" t="s">
        <v>277</v>
      </c>
    </row>
    <row r="1335" customFormat="false" ht="15" hidden="false" customHeight="false" outlineLevel="0" collapsed="false">
      <c r="A1335" s="0" t="n">
        <v>164</v>
      </c>
      <c r="B1335" s="0" t="s">
        <v>222</v>
      </c>
      <c r="C1335" s="0" t="s">
        <v>309</v>
      </c>
      <c r="D1335" s="0" t="s">
        <v>5732</v>
      </c>
      <c r="E1335" s="0" t="n">
        <v>2022</v>
      </c>
      <c r="H1335" s="0" t="n">
        <v>1</v>
      </c>
      <c r="I1335" s="0" t="n">
        <v>127</v>
      </c>
      <c r="J1335" s="0" t="s">
        <v>290</v>
      </c>
      <c r="K1335" s="0" t="s">
        <v>298</v>
      </c>
      <c r="L1335" s="0" t="s">
        <v>270</v>
      </c>
      <c r="M1335" s="0" t="s">
        <v>5733</v>
      </c>
      <c r="N1335" s="0" t="s">
        <v>5733</v>
      </c>
      <c r="O1335" s="0" t="s">
        <v>5734</v>
      </c>
      <c r="P1335" s="0" t="s">
        <v>5735</v>
      </c>
      <c r="R1335" s="0" t="s">
        <v>284</v>
      </c>
      <c r="S1335" s="0" t="s">
        <v>268</v>
      </c>
      <c r="T1335" s="0" t="s">
        <v>276</v>
      </c>
      <c r="U1335" s="0" t="s">
        <v>277</v>
      </c>
    </row>
    <row r="1336" customFormat="false" ht="15" hidden="false" customHeight="false" outlineLevel="0" collapsed="false">
      <c r="A1336" s="0" t="n">
        <v>164</v>
      </c>
      <c r="B1336" s="0" t="s">
        <v>222</v>
      </c>
      <c r="C1336" s="0" t="s">
        <v>335</v>
      </c>
      <c r="D1336" s="0" t="s">
        <v>5736</v>
      </c>
      <c r="E1336" s="0" t="n">
        <v>2026</v>
      </c>
      <c r="H1336" s="0" t="n">
        <v>9</v>
      </c>
      <c r="I1336" s="0" t="n">
        <v>1917</v>
      </c>
      <c r="J1336" s="0" t="s">
        <v>268</v>
      </c>
      <c r="K1336" s="0" t="s">
        <v>286</v>
      </c>
      <c r="L1336" s="0" t="s">
        <v>270</v>
      </c>
      <c r="M1336" s="0" t="s">
        <v>5737</v>
      </c>
      <c r="N1336" s="0" t="s">
        <v>5737</v>
      </c>
      <c r="O1336" s="0" t="s">
        <v>5738</v>
      </c>
      <c r="P1336" s="0" t="s">
        <v>5739</v>
      </c>
      <c r="R1336" s="0" t="s">
        <v>275</v>
      </c>
      <c r="S1336" s="0" t="s">
        <v>268</v>
      </c>
      <c r="T1336" s="0" t="s">
        <v>276</v>
      </c>
      <c r="U1336" s="0" t="s">
        <v>277</v>
      </c>
    </row>
    <row r="1337" customFormat="false" ht="15" hidden="false" customHeight="false" outlineLevel="0" collapsed="false">
      <c r="A1337" s="0" t="n">
        <v>164</v>
      </c>
      <c r="B1337" s="0" t="s">
        <v>222</v>
      </c>
      <c r="C1337" s="0" t="s">
        <v>887</v>
      </c>
      <c r="D1337" s="0" t="s">
        <v>5740</v>
      </c>
      <c r="E1337" s="0" t="n">
        <v>2026</v>
      </c>
      <c r="H1337" s="0" t="n">
        <v>12</v>
      </c>
      <c r="I1337" s="0" t="n">
        <v>15428</v>
      </c>
      <c r="J1337" s="0" t="s">
        <v>268</v>
      </c>
      <c r="K1337" s="0" t="s">
        <v>286</v>
      </c>
      <c r="L1337" s="0" t="s">
        <v>270</v>
      </c>
      <c r="M1337" s="0" t="s">
        <v>5741</v>
      </c>
      <c r="N1337" s="0" t="s">
        <v>5742</v>
      </c>
      <c r="O1337" s="0" t="s">
        <v>5743</v>
      </c>
      <c r="P1337" s="0" t="s">
        <v>5744</v>
      </c>
      <c r="R1337" s="0" t="s">
        <v>275</v>
      </c>
      <c r="S1337" s="0" t="s">
        <v>268</v>
      </c>
      <c r="T1337" s="0" t="s">
        <v>276</v>
      </c>
      <c r="U1337" s="0" t="s">
        <v>277</v>
      </c>
    </row>
    <row r="1338" customFormat="false" ht="15" hidden="false" customHeight="false" outlineLevel="0" collapsed="false">
      <c r="A1338" s="0" t="n">
        <v>165</v>
      </c>
      <c r="B1338" s="0" t="s">
        <v>223</v>
      </c>
      <c r="C1338" s="0" t="s">
        <v>56</v>
      </c>
      <c r="D1338" s="0" t="s">
        <v>5745</v>
      </c>
      <c r="E1338" s="0" t="n">
        <v>2020</v>
      </c>
      <c r="H1338" s="0" t="n">
        <v>6</v>
      </c>
      <c r="I1338" s="0" t="n">
        <v>2193</v>
      </c>
      <c r="J1338" s="0" t="s">
        <v>268</v>
      </c>
      <c r="K1338" s="0" t="s">
        <v>298</v>
      </c>
      <c r="L1338" s="0" t="s">
        <v>270</v>
      </c>
      <c r="M1338" s="0" t="s">
        <v>5746</v>
      </c>
      <c r="N1338" s="0" t="s">
        <v>5746</v>
      </c>
      <c r="O1338" s="0" t="s">
        <v>5747</v>
      </c>
      <c r="P1338" s="0" t="s">
        <v>5748</v>
      </c>
      <c r="R1338" s="0" t="s">
        <v>284</v>
      </c>
      <c r="S1338" s="0" t="s">
        <v>268</v>
      </c>
      <c r="T1338" s="0" t="s">
        <v>276</v>
      </c>
      <c r="U1338" s="0" t="s">
        <v>277</v>
      </c>
    </row>
    <row r="1339" customFormat="false" ht="15" hidden="false" customHeight="false" outlineLevel="0" collapsed="false">
      <c r="A1339" s="0" t="n">
        <v>165</v>
      </c>
      <c r="B1339" s="0" t="s">
        <v>223</v>
      </c>
      <c r="C1339" s="0" t="s">
        <v>1046</v>
      </c>
      <c r="D1339" s="0" t="s">
        <v>5749</v>
      </c>
      <c r="E1339" s="0" t="n">
        <v>2019</v>
      </c>
      <c r="H1339" s="0" t="n">
        <v>1</v>
      </c>
      <c r="I1339" s="0" t="n">
        <v>490</v>
      </c>
      <c r="J1339" s="0" t="s">
        <v>268</v>
      </c>
      <c r="K1339" s="0" t="s">
        <v>298</v>
      </c>
      <c r="L1339" s="0" t="s">
        <v>270</v>
      </c>
      <c r="M1339" s="0" t="s">
        <v>5750</v>
      </c>
      <c r="N1339" s="0" t="s">
        <v>5750</v>
      </c>
      <c r="O1339" s="0" t="s">
        <v>5751</v>
      </c>
      <c r="P1339" s="0" t="s">
        <v>5752</v>
      </c>
      <c r="R1339" s="0" t="s">
        <v>284</v>
      </c>
      <c r="S1339" s="0" t="s">
        <v>268</v>
      </c>
      <c r="T1339" s="0" t="s">
        <v>276</v>
      </c>
      <c r="U1339" s="0" t="s">
        <v>277</v>
      </c>
    </row>
    <row r="1340" customFormat="false" ht="15" hidden="false" customHeight="false" outlineLevel="0" collapsed="false">
      <c r="A1340" s="0" t="n">
        <v>166</v>
      </c>
      <c r="B1340" s="0" t="s">
        <v>225</v>
      </c>
      <c r="C1340" s="0" t="s">
        <v>56</v>
      </c>
      <c r="D1340" s="0" t="s">
        <v>5753</v>
      </c>
      <c r="E1340" s="0" t="n">
        <v>2019</v>
      </c>
      <c r="H1340" s="0" t="n">
        <v>8</v>
      </c>
      <c r="I1340" s="0" t="n">
        <v>2913</v>
      </c>
      <c r="J1340" s="0" t="s">
        <v>268</v>
      </c>
      <c r="K1340" s="0" t="s">
        <v>298</v>
      </c>
      <c r="L1340" s="0" t="s">
        <v>270</v>
      </c>
      <c r="M1340" s="0" t="s">
        <v>5754</v>
      </c>
      <c r="N1340" s="0" t="s">
        <v>5754</v>
      </c>
      <c r="O1340" s="0" t="s">
        <v>5755</v>
      </c>
      <c r="P1340" s="0" t="s">
        <v>5756</v>
      </c>
      <c r="R1340" s="0" t="s">
        <v>284</v>
      </c>
      <c r="S1340" s="0" t="s">
        <v>268</v>
      </c>
      <c r="T1340" s="0" t="s">
        <v>276</v>
      </c>
      <c r="U1340" s="0" t="s">
        <v>277</v>
      </c>
    </row>
    <row r="1341" customFormat="false" ht="15" hidden="false" customHeight="false" outlineLevel="0" collapsed="false">
      <c r="A1341" s="0" t="n">
        <v>166</v>
      </c>
      <c r="B1341" s="0" t="s">
        <v>225</v>
      </c>
      <c r="C1341" s="0" t="s">
        <v>309</v>
      </c>
      <c r="D1341" s="0" t="s">
        <v>5757</v>
      </c>
      <c r="E1341" s="0" t="n">
        <v>2019</v>
      </c>
      <c r="H1341" s="0" t="n">
        <v>1</v>
      </c>
      <c r="I1341" s="0" t="n">
        <v>616</v>
      </c>
      <c r="J1341" s="0" t="s">
        <v>290</v>
      </c>
      <c r="K1341" s="0" t="s">
        <v>298</v>
      </c>
      <c r="L1341" s="0" t="s">
        <v>270</v>
      </c>
      <c r="M1341" s="0" t="s">
        <v>5758</v>
      </c>
      <c r="N1341" s="0" t="s">
        <v>5758</v>
      </c>
      <c r="O1341" s="0" t="s">
        <v>5759</v>
      </c>
      <c r="P1341" s="0" t="s">
        <v>5760</v>
      </c>
      <c r="R1341" s="0" t="s">
        <v>284</v>
      </c>
      <c r="S1341" s="0" t="s">
        <v>268</v>
      </c>
      <c r="T1341" s="0" t="s">
        <v>276</v>
      </c>
      <c r="U1341" s="0" t="s">
        <v>277</v>
      </c>
    </row>
    <row r="1342" customFormat="false" ht="15" hidden="false" customHeight="false" outlineLevel="0" collapsed="false">
      <c r="A1342" s="0" t="n">
        <v>166</v>
      </c>
      <c r="B1342" s="0" t="s">
        <v>225</v>
      </c>
      <c r="C1342" s="0" t="s">
        <v>887</v>
      </c>
      <c r="D1342" s="0" t="s">
        <v>5761</v>
      </c>
      <c r="E1342" s="0" t="n">
        <v>2015</v>
      </c>
      <c r="H1342" s="0" t="n">
        <v>10</v>
      </c>
      <c r="I1342" s="0" t="n">
        <v>4659</v>
      </c>
      <c r="J1342" s="0" t="s">
        <v>268</v>
      </c>
      <c r="K1342" s="0" t="s">
        <v>286</v>
      </c>
      <c r="L1342" s="0" t="s">
        <v>270</v>
      </c>
      <c r="M1342" s="0" t="s">
        <v>5762</v>
      </c>
      <c r="N1342" s="0" t="s">
        <v>5762</v>
      </c>
      <c r="O1342" s="0" t="s">
        <v>5763</v>
      </c>
      <c r="P1342" s="0" t="s">
        <v>5764</v>
      </c>
      <c r="R1342" s="0" t="s">
        <v>284</v>
      </c>
      <c r="S1342" s="0" t="s">
        <v>268</v>
      </c>
      <c r="T1342" s="0" t="s">
        <v>276</v>
      </c>
      <c r="U1342" s="0" t="s">
        <v>277</v>
      </c>
    </row>
    <row r="1343" customFormat="false" ht="15" hidden="false" customHeight="false" outlineLevel="0" collapsed="false">
      <c r="A1343" s="0" t="n">
        <v>167</v>
      </c>
      <c r="B1343" s="0" t="s">
        <v>226</v>
      </c>
      <c r="C1343" s="0" t="s">
        <v>309</v>
      </c>
      <c r="D1343" s="0" t="s">
        <v>5765</v>
      </c>
      <c r="E1343" s="0" t="n">
        <v>2020</v>
      </c>
      <c r="H1343" s="0" t="n">
        <v>1</v>
      </c>
      <c r="I1343" s="0" t="n">
        <v>844</v>
      </c>
      <c r="J1343" s="0" t="s">
        <v>290</v>
      </c>
      <c r="K1343" s="0" t="s">
        <v>298</v>
      </c>
      <c r="L1343" s="0" t="s">
        <v>270</v>
      </c>
      <c r="M1343" s="0" t="s">
        <v>5766</v>
      </c>
      <c r="N1343" s="0" t="s">
        <v>5766</v>
      </c>
      <c r="O1343" s="0" t="s">
        <v>5767</v>
      </c>
      <c r="P1343" s="0" t="s">
        <v>5768</v>
      </c>
      <c r="R1343" s="0" t="s">
        <v>284</v>
      </c>
      <c r="S1343" s="0" t="s">
        <v>268</v>
      </c>
      <c r="T1343" s="0" t="s">
        <v>276</v>
      </c>
      <c r="U1343" s="0" t="s">
        <v>277</v>
      </c>
    </row>
    <row r="1344" customFormat="false" ht="15" hidden="false" customHeight="false" outlineLevel="0" collapsed="false">
      <c r="A1344" s="0" t="n">
        <v>167</v>
      </c>
      <c r="B1344" s="0" t="s">
        <v>226</v>
      </c>
      <c r="C1344" s="0" t="s">
        <v>887</v>
      </c>
      <c r="D1344" s="0" t="s">
        <v>5769</v>
      </c>
      <c r="E1344" s="0" t="n">
        <v>2027</v>
      </c>
      <c r="H1344" s="0" t="n">
        <v>24</v>
      </c>
      <c r="I1344" s="0" t="n">
        <v>6295</v>
      </c>
      <c r="J1344" s="0" t="s">
        <v>268</v>
      </c>
      <c r="K1344" s="0" t="s">
        <v>286</v>
      </c>
      <c r="L1344" s="0" t="s">
        <v>270</v>
      </c>
      <c r="M1344" s="0" t="s">
        <v>5770</v>
      </c>
      <c r="N1344" s="0" t="s">
        <v>5770</v>
      </c>
      <c r="O1344" s="0" t="s">
        <v>5771</v>
      </c>
      <c r="P1344" s="0" t="s">
        <v>5772</v>
      </c>
      <c r="R1344" s="0" t="s">
        <v>275</v>
      </c>
      <c r="S1344" s="0" t="s">
        <v>268</v>
      </c>
      <c r="T1344" s="0" t="s">
        <v>276</v>
      </c>
      <c r="U1344" s="0" t="s">
        <v>277</v>
      </c>
    </row>
    <row r="1345" customFormat="false" ht="15" hidden="false" customHeight="false" outlineLevel="0" collapsed="false">
      <c r="A1345" s="0" t="n">
        <v>167</v>
      </c>
      <c r="B1345" s="0" t="s">
        <v>226</v>
      </c>
      <c r="C1345" s="0" t="s">
        <v>887</v>
      </c>
      <c r="D1345" s="0" t="s">
        <v>5773</v>
      </c>
      <c r="E1345" s="0" t="n">
        <v>2026</v>
      </c>
      <c r="H1345" s="0" t="n">
        <v>7</v>
      </c>
      <c r="I1345" s="0" t="n">
        <v>2509</v>
      </c>
      <c r="J1345" s="0" t="s">
        <v>268</v>
      </c>
      <c r="K1345" s="0" t="s">
        <v>286</v>
      </c>
      <c r="L1345" s="0" t="s">
        <v>270</v>
      </c>
      <c r="M1345" s="0" t="s">
        <v>5774</v>
      </c>
      <c r="N1345" s="0" t="s">
        <v>5774</v>
      </c>
      <c r="O1345" s="0" t="s">
        <v>5775</v>
      </c>
      <c r="P1345" s="0" t="s">
        <v>5776</v>
      </c>
      <c r="R1345" s="0" t="s">
        <v>275</v>
      </c>
      <c r="S1345" s="0" t="s">
        <v>290</v>
      </c>
      <c r="T1345" s="0" t="s">
        <v>276</v>
      </c>
      <c r="U1345" s="0" t="s">
        <v>277</v>
      </c>
    </row>
    <row r="1346" customFormat="false" ht="15" hidden="false" customHeight="false" outlineLevel="0" collapsed="false">
      <c r="A1346" s="0" t="n">
        <v>168</v>
      </c>
      <c r="B1346" s="0" t="s">
        <v>227</v>
      </c>
      <c r="C1346" s="0" t="s">
        <v>56</v>
      </c>
      <c r="D1346" s="0" t="s">
        <v>5777</v>
      </c>
      <c r="E1346" s="0" t="n">
        <v>2026</v>
      </c>
      <c r="H1346" s="0" t="n">
        <v>7</v>
      </c>
      <c r="I1346" s="0" t="n">
        <v>4764</v>
      </c>
      <c r="J1346" s="0" t="s">
        <v>268</v>
      </c>
      <c r="K1346" s="0" t="s">
        <v>298</v>
      </c>
      <c r="L1346" s="0" t="s">
        <v>270</v>
      </c>
      <c r="M1346" s="0" t="s">
        <v>5778</v>
      </c>
      <c r="N1346" s="0" t="s">
        <v>5778</v>
      </c>
      <c r="O1346" s="0" t="s">
        <v>5779</v>
      </c>
      <c r="P1346" s="0" t="s">
        <v>5780</v>
      </c>
      <c r="R1346" s="0" t="s">
        <v>275</v>
      </c>
      <c r="S1346" s="0" t="s">
        <v>268</v>
      </c>
      <c r="T1346" s="0" t="s">
        <v>276</v>
      </c>
      <c r="U1346" s="0" t="s">
        <v>277</v>
      </c>
    </row>
    <row r="1347" customFormat="false" ht="15" hidden="false" customHeight="false" outlineLevel="0" collapsed="false">
      <c r="A1347" s="0" t="n">
        <v>168</v>
      </c>
      <c r="B1347" s="0" t="s">
        <v>227</v>
      </c>
      <c r="C1347" s="0" t="s">
        <v>309</v>
      </c>
      <c r="D1347" s="0" t="s">
        <v>5781</v>
      </c>
      <c r="E1347" s="0" t="n">
        <v>2025</v>
      </c>
      <c r="H1347" s="0" t="n">
        <v>1</v>
      </c>
      <c r="I1347" s="0" t="n">
        <v>470</v>
      </c>
      <c r="J1347" s="0" t="s">
        <v>290</v>
      </c>
      <c r="K1347" s="0" t="s">
        <v>298</v>
      </c>
      <c r="L1347" s="0" t="s">
        <v>270</v>
      </c>
      <c r="M1347" s="0" t="s">
        <v>5782</v>
      </c>
      <c r="N1347" s="0" t="s">
        <v>5782</v>
      </c>
      <c r="O1347" s="0" t="s">
        <v>5783</v>
      </c>
      <c r="P1347" s="0" t="s">
        <v>5784</v>
      </c>
      <c r="R1347" s="0" t="s">
        <v>275</v>
      </c>
      <c r="S1347" s="0" t="s">
        <v>268</v>
      </c>
      <c r="T1347" s="0" t="s">
        <v>276</v>
      </c>
      <c r="U1347" s="0" t="s">
        <v>277</v>
      </c>
    </row>
    <row r="1348" customFormat="false" ht="15" hidden="false" customHeight="false" outlineLevel="0" collapsed="false">
      <c r="A1348" s="0" t="n">
        <v>169</v>
      </c>
      <c r="B1348" s="0" t="s">
        <v>229</v>
      </c>
      <c r="C1348" s="0" t="s">
        <v>56</v>
      </c>
      <c r="D1348" s="0" t="s">
        <v>5785</v>
      </c>
      <c r="E1348" s="0" t="n">
        <v>2025</v>
      </c>
      <c r="H1348" s="0" t="n">
        <v>6</v>
      </c>
      <c r="I1348" s="0" t="n">
        <v>1340</v>
      </c>
      <c r="J1348" s="0" t="s">
        <v>268</v>
      </c>
      <c r="K1348" s="0" t="s">
        <v>298</v>
      </c>
      <c r="L1348" s="0" t="s">
        <v>270</v>
      </c>
      <c r="M1348" s="0" t="s">
        <v>5786</v>
      </c>
      <c r="N1348" s="0" t="s">
        <v>5786</v>
      </c>
      <c r="O1348" s="0" t="s">
        <v>5787</v>
      </c>
      <c r="P1348" s="0" t="s">
        <v>5788</v>
      </c>
      <c r="R1348" s="0" t="s">
        <v>275</v>
      </c>
      <c r="S1348" s="0" t="s">
        <v>268</v>
      </c>
      <c r="T1348" s="0" t="s">
        <v>276</v>
      </c>
      <c r="U1348" s="0" t="s">
        <v>277</v>
      </c>
    </row>
    <row r="1349" customFormat="false" ht="15" hidden="false" customHeight="false" outlineLevel="0" collapsed="false">
      <c r="A1349" s="0" t="n">
        <v>169</v>
      </c>
      <c r="B1349" s="0" t="s">
        <v>229</v>
      </c>
      <c r="C1349" s="0" t="s">
        <v>309</v>
      </c>
      <c r="D1349" s="0" t="s">
        <v>5789</v>
      </c>
      <c r="E1349" s="0" t="n">
        <v>2024</v>
      </c>
      <c r="H1349" s="0" t="n">
        <v>1</v>
      </c>
      <c r="I1349" s="0" t="n">
        <v>2206</v>
      </c>
      <c r="J1349" s="0" t="s">
        <v>268</v>
      </c>
      <c r="K1349" s="0" t="s">
        <v>298</v>
      </c>
      <c r="L1349" s="0" t="s">
        <v>270</v>
      </c>
      <c r="M1349" s="0" t="s">
        <v>5790</v>
      </c>
      <c r="N1349" s="0" t="s">
        <v>5790</v>
      </c>
      <c r="O1349" s="0" t="s">
        <v>5791</v>
      </c>
      <c r="P1349" s="0" t="s">
        <v>5792</v>
      </c>
      <c r="R1349" s="0" t="s">
        <v>284</v>
      </c>
      <c r="S1349" s="0" t="s">
        <v>268</v>
      </c>
      <c r="T1349" s="0" t="s">
        <v>314</v>
      </c>
      <c r="U1349" s="0" t="s">
        <v>277</v>
      </c>
      <c r="V1349" s="0" t="s">
        <v>5793</v>
      </c>
    </row>
    <row r="1350" customFormat="false" ht="15" hidden="false" customHeight="false" outlineLevel="0" collapsed="false">
      <c r="A1350" s="0" t="n">
        <v>171</v>
      </c>
      <c r="B1350" s="0" t="s">
        <v>231</v>
      </c>
      <c r="C1350" s="0" t="s">
        <v>56</v>
      </c>
      <c r="D1350" s="0" t="s">
        <v>5794</v>
      </c>
      <c r="E1350" s="0" t="n">
        <v>2019</v>
      </c>
      <c r="H1350" s="0" t="n">
        <v>11</v>
      </c>
      <c r="I1350" s="0" t="n">
        <v>436</v>
      </c>
      <c r="J1350" s="0" t="s">
        <v>268</v>
      </c>
      <c r="K1350" s="0" t="s">
        <v>298</v>
      </c>
      <c r="L1350" s="0" t="s">
        <v>270</v>
      </c>
      <c r="M1350" s="0" t="s">
        <v>5795</v>
      </c>
      <c r="N1350" s="0" t="s">
        <v>5795</v>
      </c>
      <c r="O1350" s="0" t="s">
        <v>5796</v>
      </c>
      <c r="P1350" s="0" t="s">
        <v>5797</v>
      </c>
      <c r="R1350" s="0" t="s">
        <v>284</v>
      </c>
      <c r="S1350" s="0" t="s">
        <v>268</v>
      </c>
      <c r="T1350" s="0" t="s">
        <v>276</v>
      </c>
      <c r="U1350" s="0" t="s">
        <v>277</v>
      </c>
    </row>
    <row r="1351" customFormat="false" ht="15" hidden="false" customHeight="false" outlineLevel="0" collapsed="false">
      <c r="A1351" s="0" t="n">
        <v>171</v>
      </c>
      <c r="B1351" s="0" t="s">
        <v>231</v>
      </c>
      <c r="C1351" s="0" t="s">
        <v>309</v>
      </c>
      <c r="D1351" s="0" t="s">
        <v>5798</v>
      </c>
      <c r="E1351" s="0" t="n">
        <v>2024</v>
      </c>
      <c r="H1351" s="0" t="n">
        <v>1</v>
      </c>
      <c r="I1351" s="0" t="n">
        <v>3735</v>
      </c>
      <c r="J1351" s="0" t="s">
        <v>268</v>
      </c>
      <c r="K1351" s="0" t="s">
        <v>298</v>
      </c>
      <c r="L1351" s="0" t="s">
        <v>270</v>
      </c>
      <c r="M1351" s="0" t="s">
        <v>5799</v>
      </c>
      <c r="N1351" s="0" t="s">
        <v>5799</v>
      </c>
      <c r="O1351" s="0" t="s">
        <v>5800</v>
      </c>
      <c r="P1351" s="0" t="s">
        <v>5801</v>
      </c>
      <c r="R1351" s="0" t="s">
        <v>284</v>
      </c>
      <c r="S1351" s="0" t="s">
        <v>268</v>
      </c>
      <c r="T1351" s="0" t="s">
        <v>276</v>
      </c>
      <c r="U1351" s="0" t="s">
        <v>277</v>
      </c>
    </row>
    <row r="1352" customFormat="false" ht="15" hidden="false" customHeight="false" outlineLevel="0" collapsed="false">
      <c r="A1352" s="0" t="n">
        <v>171</v>
      </c>
      <c r="B1352" s="0" t="s">
        <v>231</v>
      </c>
      <c r="C1352" s="0" t="s">
        <v>309</v>
      </c>
      <c r="D1352" s="0" t="s">
        <v>5802</v>
      </c>
      <c r="E1352" s="0" t="n">
        <v>2020</v>
      </c>
      <c r="H1352" s="0" t="n">
        <v>1</v>
      </c>
      <c r="I1352" s="0" t="n">
        <v>69</v>
      </c>
      <c r="J1352" s="0" t="s">
        <v>290</v>
      </c>
      <c r="K1352" s="0" t="s">
        <v>298</v>
      </c>
      <c r="L1352" s="0" t="s">
        <v>270</v>
      </c>
      <c r="M1352" s="0" t="s">
        <v>5803</v>
      </c>
      <c r="N1352" s="0" t="s">
        <v>5803</v>
      </c>
      <c r="O1352" s="0" t="s">
        <v>5804</v>
      </c>
      <c r="P1352" s="0" t="s">
        <v>5805</v>
      </c>
      <c r="R1352" s="0" t="s">
        <v>284</v>
      </c>
      <c r="S1352" s="0" t="s">
        <v>290</v>
      </c>
      <c r="T1352" s="0" t="s">
        <v>276</v>
      </c>
      <c r="U1352" s="0" t="s">
        <v>277</v>
      </c>
    </row>
    <row r="1353" customFormat="false" ht="15" hidden="false" customHeight="false" outlineLevel="0" collapsed="false">
      <c r="A1353" s="0" t="n">
        <v>172</v>
      </c>
      <c r="B1353" s="0" t="s">
        <v>232</v>
      </c>
      <c r="C1353" s="0" t="s">
        <v>56</v>
      </c>
      <c r="D1353" s="0" t="s">
        <v>5806</v>
      </c>
      <c r="E1353" s="0" t="n">
        <v>2017</v>
      </c>
      <c r="H1353" s="0" t="n">
        <v>4</v>
      </c>
      <c r="I1353" s="0" t="n">
        <v>1320</v>
      </c>
      <c r="J1353" s="0" t="s">
        <v>290</v>
      </c>
      <c r="K1353" s="0" t="s">
        <v>1696</v>
      </c>
      <c r="L1353" s="0" t="s">
        <v>1697</v>
      </c>
      <c r="M1353" s="0" t="s">
        <v>5807</v>
      </c>
      <c r="N1353" s="0" t="s">
        <v>5807</v>
      </c>
      <c r="O1353" s="0" t="s">
        <v>5808</v>
      </c>
      <c r="P1353" s="0" t="s">
        <v>5809</v>
      </c>
      <c r="R1353" s="0" t="s">
        <v>284</v>
      </c>
      <c r="S1353" s="0" t="s">
        <v>268</v>
      </c>
      <c r="T1353" s="0" t="s">
        <v>276</v>
      </c>
      <c r="U1353" s="0" t="s">
        <v>277</v>
      </c>
    </row>
    <row r="1354" customFormat="false" ht="15" hidden="false" customHeight="false" outlineLevel="0" collapsed="false">
      <c r="A1354" s="0" t="n">
        <v>172</v>
      </c>
      <c r="B1354" s="0" t="s">
        <v>232</v>
      </c>
      <c r="C1354" s="0" t="s">
        <v>56</v>
      </c>
      <c r="D1354" s="0" t="s">
        <v>5810</v>
      </c>
      <c r="E1354" s="0" t="n">
        <v>2014</v>
      </c>
      <c r="H1354" s="0" t="n">
        <v>4</v>
      </c>
      <c r="I1354" s="0" t="n">
        <v>626</v>
      </c>
      <c r="J1354" s="0" t="s">
        <v>268</v>
      </c>
      <c r="K1354" s="0" t="s">
        <v>1696</v>
      </c>
      <c r="L1354" s="0" t="s">
        <v>1697</v>
      </c>
      <c r="M1354" s="0" t="s">
        <v>5811</v>
      </c>
      <c r="N1354" s="0" t="s">
        <v>5811</v>
      </c>
      <c r="O1354" s="0" t="s">
        <v>5812</v>
      </c>
      <c r="P1354" s="0" t="s">
        <v>5813</v>
      </c>
      <c r="R1354" s="0" t="s">
        <v>284</v>
      </c>
      <c r="S1354" s="0" t="s">
        <v>290</v>
      </c>
      <c r="T1354" s="0" t="s">
        <v>276</v>
      </c>
      <c r="U1354" s="0" t="s">
        <v>277</v>
      </c>
    </row>
    <row r="1355" customFormat="false" ht="15" hidden="false" customHeight="false" outlineLevel="0" collapsed="false">
      <c r="A1355" s="0" t="n">
        <v>173</v>
      </c>
      <c r="B1355" s="0" t="s">
        <v>233</v>
      </c>
      <c r="C1355" s="0" t="s">
        <v>56</v>
      </c>
      <c r="D1355" s="0" t="s">
        <v>5814</v>
      </c>
      <c r="E1355" s="0" t="n">
        <v>2019</v>
      </c>
      <c r="H1355" s="0" t="n">
        <v>2</v>
      </c>
      <c r="I1355" s="0" t="n">
        <v>907</v>
      </c>
      <c r="J1355" s="0" t="s">
        <v>268</v>
      </c>
      <c r="K1355" s="0" t="s">
        <v>298</v>
      </c>
      <c r="L1355" s="0" t="s">
        <v>270</v>
      </c>
      <c r="M1355" s="0" t="s">
        <v>5815</v>
      </c>
      <c r="N1355" s="0" t="s">
        <v>5815</v>
      </c>
      <c r="O1355" s="0" t="s">
        <v>5816</v>
      </c>
      <c r="P1355" s="0" t="s">
        <v>5817</v>
      </c>
      <c r="R1355" s="0" t="s">
        <v>284</v>
      </c>
      <c r="S1355" s="0" t="s">
        <v>268</v>
      </c>
      <c r="T1355" s="0" t="s">
        <v>276</v>
      </c>
      <c r="U1355" s="0" t="s">
        <v>277</v>
      </c>
    </row>
    <row r="1356" customFormat="false" ht="15" hidden="false" customHeight="false" outlineLevel="0" collapsed="false">
      <c r="A1356" s="0" t="n">
        <v>173</v>
      </c>
      <c r="B1356" s="0" t="s">
        <v>233</v>
      </c>
      <c r="C1356" s="0" t="s">
        <v>309</v>
      </c>
      <c r="D1356" s="0" t="s">
        <v>5818</v>
      </c>
      <c r="E1356" s="0" t="n">
        <v>2019</v>
      </c>
      <c r="H1356" s="0" t="n">
        <v>1</v>
      </c>
      <c r="I1356" s="0" t="n">
        <v>1128</v>
      </c>
      <c r="J1356" s="0" t="s">
        <v>268</v>
      </c>
      <c r="K1356" s="0" t="s">
        <v>298</v>
      </c>
      <c r="L1356" s="0" t="s">
        <v>270</v>
      </c>
      <c r="M1356" s="0" t="s">
        <v>5819</v>
      </c>
      <c r="N1356" s="0" t="s">
        <v>5819</v>
      </c>
      <c r="O1356" s="0" t="s">
        <v>5820</v>
      </c>
      <c r="P1356" s="0" t="s">
        <v>5821</v>
      </c>
      <c r="R1356" s="0" t="s">
        <v>284</v>
      </c>
      <c r="S1356" s="0" t="s">
        <v>268</v>
      </c>
      <c r="T1356" s="0" t="s">
        <v>276</v>
      </c>
      <c r="U1356" s="0" t="s">
        <v>277</v>
      </c>
    </row>
    <row r="1357" customFormat="false" ht="15" hidden="false" customHeight="false" outlineLevel="0" collapsed="false">
      <c r="A1357" s="0" t="n">
        <v>173</v>
      </c>
      <c r="B1357" s="0" t="s">
        <v>233</v>
      </c>
      <c r="C1357" s="0" t="s">
        <v>887</v>
      </c>
      <c r="D1357" s="0" t="s">
        <v>5822</v>
      </c>
      <c r="E1357" s="0" t="n">
        <v>2023</v>
      </c>
      <c r="H1357" s="0" t="n">
        <v>7</v>
      </c>
      <c r="I1357" s="0" t="n">
        <v>1951</v>
      </c>
      <c r="J1357" s="0" t="s">
        <v>268</v>
      </c>
      <c r="K1357" s="0" t="s">
        <v>286</v>
      </c>
      <c r="L1357" s="0" t="s">
        <v>270</v>
      </c>
      <c r="M1357" s="0" t="s">
        <v>5823</v>
      </c>
      <c r="N1357" s="0" t="s">
        <v>5823</v>
      </c>
      <c r="O1357" s="0" t="s">
        <v>5824</v>
      </c>
      <c r="P1357" s="0" t="s">
        <v>5825</v>
      </c>
      <c r="R1357" s="0" t="s">
        <v>284</v>
      </c>
      <c r="S1357" s="0" t="s">
        <v>268</v>
      </c>
      <c r="T1357" s="0" t="s">
        <v>276</v>
      </c>
      <c r="U1357" s="0" t="s">
        <v>277</v>
      </c>
    </row>
    <row r="1358" customFormat="false" ht="15" hidden="false" customHeight="false" outlineLevel="0" collapsed="false">
      <c r="A1358" s="0" t="n">
        <v>174</v>
      </c>
      <c r="B1358" s="0" t="s">
        <v>234</v>
      </c>
      <c r="C1358" s="0" t="s">
        <v>56</v>
      </c>
      <c r="D1358" s="0" t="s">
        <v>5826</v>
      </c>
      <c r="E1358" s="0" t="n">
        <v>2025</v>
      </c>
      <c r="F1358" s="0" t="s">
        <v>1694</v>
      </c>
      <c r="G1358" s="0" t="s">
        <v>1695</v>
      </c>
      <c r="H1358" s="0" t="n">
        <v>3</v>
      </c>
      <c r="I1358" s="0" t="n">
        <v>400</v>
      </c>
      <c r="J1358" s="0" t="s">
        <v>268</v>
      </c>
      <c r="K1358" s="0" t="s">
        <v>1696</v>
      </c>
      <c r="L1358" s="0" t="s">
        <v>1697</v>
      </c>
      <c r="M1358" s="0" t="s">
        <v>5827</v>
      </c>
      <c r="N1358" s="0" t="s">
        <v>5827</v>
      </c>
      <c r="O1358" s="0" t="s">
        <v>5828</v>
      </c>
      <c r="P1358" s="0" t="s">
        <v>5829</v>
      </c>
      <c r="R1358" s="0" t="s">
        <v>275</v>
      </c>
      <c r="S1358" s="0" t="s">
        <v>268</v>
      </c>
      <c r="T1358" s="0" t="s">
        <v>276</v>
      </c>
      <c r="U1358" s="0" t="s">
        <v>277</v>
      </c>
    </row>
    <row r="1359" customFormat="false" ht="15" hidden="false" customHeight="false" outlineLevel="0" collapsed="false">
      <c r="A1359" s="0" t="n">
        <v>174</v>
      </c>
      <c r="B1359" s="0" t="s">
        <v>234</v>
      </c>
      <c r="C1359" s="0" t="s">
        <v>56</v>
      </c>
      <c r="D1359" s="0" t="s">
        <v>5830</v>
      </c>
      <c r="E1359" s="0" t="n">
        <v>2021</v>
      </c>
      <c r="F1359" s="0" t="s">
        <v>1702</v>
      </c>
      <c r="G1359" s="0" t="s">
        <v>1703</v>
      </c>
      <c r="H1359" s="0" t="n">
        <v>3</v>
      </c>
      <c r="I1359" s="0" t="n">
        <v>1095</v>
      </c>
      <c r="J1359" s="0" t="s">
        <v>268</v>
      </c>
      <c r="K1359" s="0" t="s">
        <v>1696</v>
      </c>
      <c r="L1359" s="0" t="s">
        <v>1697</v>
      </c>
      <c r="M1359" s="0" t="s">
        <v>5831</v>
      </c>
      <c r="N1359" s="0" t="s">
        <v>5831</v>
      </c>
      <c r="O1359" s="0" t="s">
        <v>5832</v>
      </c>
      <c r="P1359" s="0" t="s">
        <v>5833</v>
      </c>
      <c r="R1359" s="0" t="s">
        <v>284</v>
      </c>
      <c r="S1359" s="0" t="s">
        <v>290</v>
      </c>
      <c r="T1359" s="0" t="s">
        <v>276</v>
      </c>
      <c r="U1359" s="0" t="s">
        <v>277</v>
      </c>
    </row>
    <row r="1360" customFormat="false" ht="15" hidden="false" customHeight="false" outlineLevel="0" collapsed="false">
      <c r="A1360" s="0" t="n">
        <v>174</v>
      </c>
      <c r="B1360" s="0" t="s">
        <v>234</v>
      </c>
      <c r="C1360" s="0" t="s">
        <v>56</v>
      </c>
      <c r="D1360" s="0" t="s">
        <v>5834</v>
      </c>
      <c r="E1360" s="0" t="n">
        <v>2020</v>
      </c>
      <c r="F1360" s="0" t="s">
        <v>1776</v>
      </c>
      <c r="G1360" s="0" t="s">
        <v>1777</v>
      </c>
      <c r="H1360" s="0" t="n">
        <v>3</v>
      </c>
      <c r="I1360" s="0" t="n">
        <v>1042</v>
      </c>
      <c r="J1360" s="0" t="s">
        <v>268</v>
      </c>
      <c r="K1360" s="0" t="s">
        <v>1696</v>
      </c>
      <c r="L1360" s="0" t="s">
        <v>1697</v>
      </c>
      <c r="M1360" s="0" t="s">
        <v>5835</v>
      </c>
      <c r="N1360" s="0" t="s">
        <v>5835</v>
      </c>
      <c r="O1360" s="0" t="s">
        <v>5836</v>
      </c>
      <c r="P1360" s="0" t="s">
        <v>5837</v>
      </c>
      <c r="R1360" s="0" t="s">
        <v>284</v>
      </c>
      <c r="S1360" s="0" t="s">
        <v>290</v>
      </c>
      <c r="T1360" s="0" t="s">
        <v>276</v>
      </c>
      <c r="U1360" s="0" t="s">
        <v>277</v>
      </c>
    </row>
    <row r="1361" customFormat="false" ht="15" hidden="false" customHeight="false" outlineLevel="0" collapsed="false">
      <c r="A1361" s="0" t="n">
        <v>174</v>
      </c>
      <c r="B1361" s="0" t="s">
        <v>234</v>
      </c>
      <c r="C1361" s="0" t="s">
        <v>309</v>
      </c>
      <c r="D1361" s="0" t="s">
        <v>5838</v>
      </c>
      <c r="E1361" s="0" t="n">
        <v>2025</v>
      </c>
      <c r="H1361" s="0" t="n">
        <v>1</v>
      </c>
      <c r="I1361" s="0" t="n">
        <v>1295</v>
      </c>
      <c r="J1361" s="0" t="s">
        <v>290</v>
      </c>
      <c r="K1361" s="0" t="s">
        <v>1696</v>
      </c>
      <c r="L1361" s="0" t="s">
        <v>1697</v>
      </c>
      <c r="M1361" s="0" t="s">
        <v>5839</v>
      </c>
      <c r="N1361" s="0" t="s">
        <v>5839</v>
      </c>
      <c r="O1361" s="0" t="s">
        <v>5840</v>
      </c>
      <c r="P1361" s="0" t="s">
        <v>5841</v>
      </c>
      <c r="R1361" s="0" t="s">
        <v>275</v>
      </c>
      <c r="S1361" s="0" t="s">
        <v>268</v>
      </c>
      <c r="T1361" s="0" t="s">
        <v>276</v>
      </c>
      <c r="U1361" s="0" t="s">
        <v>277</v>
      </c>
    </row>
    <row r="1362" customFormat="false" ht="15" hidden="false" customHeight="false" outlineLevel="0" collapsed="false">
      <c r="A1362" s="0" t="n">
        <v>174</v>
      </c>
      <c r="B1362" s="0" t="s">
        <v>234</v>
      </c>
      <c r="C1362" s="0" t="s">
        <v>309</v>
      </c>
      <c r="D1362" s="0" t="s">
        <v>5842</v>
      </c>
      <c r="E1362" s="0" t="n">
        <v>2018</v>
      </c>
      <c r="H1362" s="0" t="n">
        <v>1</v>
      </c>
      <c r="I1362" s="0" t="n">
        <v>520</v>
      </c>
      <c r="J1362" s="0" t="s">
        <v>268</v>
      </c>
      <c r="K1362" s="0" t="s">
        <v>1696</v>
      </c>
      <c r="L1362" s="0" t="s">
        <v>1697</v>
      </c>
      <c r="M1362" s="0" t="s">
        <v>5843</v>
      </c>
      <c r="N1362" s="0" t="s">
        <v>5844</v>
      </c>
      <c r="O1362" s="0" t="s">
        <v>5845</v>
      </c>
      <c r="P1362" s="0" t="s">
        <v>5846</v>
      </c>
      <c r="R1362" s="0" t="s">
        <v>284</v>
      </c>
      <c r="S1362" s="0" t="s">
        <v>290</v>
      </c>
      <c r="T1362" s="0" t="s">
        <v>276</v>
      </c>
      <c r="U1362" s="0" t="s">
        <v>277</v>
      </c>
    </row>
    <row r="1363" customFormat="false" ht="15" hidden="false" customHeight="false" outlineLevel="0" collapsed="false">
      <c r="A1363" s="0" t="n">
        <v>175</v>
      </c>
      <c r="B1363" s="0" t="s">
        <v>235</v>
      </c>
      <c r="C1363" s="0" t="s">
        <v>56</v>
      </c>
      <c r="D1363" s="0" t="s">
        <v>5847</v>
      </c>
      <c r="E1363" s="0" t="n">
        <v>2026</v>
      </c>
      <c r="H1363" s="0" t="n">
        <v>10</v>
      </c>
      <c r="I1363" s="0" t="n">
        <v>9591</v>
      </c>
      <c r="J1363" s="0" t="s">
        <v>268</v>
      </c>
      <c r="K1363" s="0" t="s">
        <v>4535</v>
      </c>
      <c r="L1363" s="0" t="s">
        <v>1697</v>
      </c>
      <c r="M1363" s="0" t="s">
        <v>5848</v>
      </c>
      <c r="N1363" s="0" t="s">
        <v>5848</v>
      </c>
      <c r="O1363" s="0" t="s">
        <v>5849</v>
      </c>
      <c r="P1363" s="0" t="s">
        <v>5850</v>
      </c>
      <c r="R1363" s="0" t="s">
        <v>275</v>
      </c>
      <c r="S1363" s="0" t="s">
        <v>268</v>
      </c>
      <c r="T1363" s="0" t="s">
        <v>276</v>
      </c>
      <c r="U1363" s="0" t="s">
        <v>277</v>
      </c>
    </row>
    <row r="1364" customFormat="false" ht="15" hidden="false" customHeight="false" outlineLevel="0" collapsed="false">
      <c r="A1364" s="0" t="n">
        <v>175</v>
      </c>
      <c r="B1364" s="0" t="s">
        <v>235</v>
      </c>
      <c r="C1364" s="0" t="s">
        <v>56</v>
      </c>
      <c r="D1364" s="0" t="s">
        <v>5851</v>
      </c>
      <c r="E1364" s="0" t="n">
        <v>2025</v>
      </c>
      <c r="H1364" s="0" t="n">
        <v>6</v>
      </c>
      <c r="I1364" s="0" t="n">
        <v>6677</v>
      </c>
      <c r="J1364" s="0" t="s">
        <v>268</v>
      </c>
      <c r="K1364" s="0" t="s">
        <v>298</v>
      </c>
      <c r="L1364" s="0" t="s">
        <v>270</v>
      </c>
      <c r="M1364" s="0" t="s">
        <v>5852</v>
      </c>
      <c r="N1364" s="0" t="s">
        <v>5852</v>
      </c>
      <c r="O1364" s="0" t="s">
        <v>5853</v>
      </c>
      <c r="P1364" s="0" t="s">
        <v>5854</v>
      </c>
      <c r="R1364" s="0" t="s">
        <v>275</v>
      </c>
      <c r="S1364" s="0" t="s">
        <v>290</v>
      </c>
      <c r="T1364" s="0" t="s">
        <v>276</v>
      </c>
      <c r="U1364" s="0" t="s">
        <v>277</v>
      </c>
    </row>
    <row r="1365" customFormat="false" ht="15" hidden="false" customHeight="false" outlineLevel="0" collapsed="false">
      <c r="A1365" s="0" t="n">
        <v>175</v>
      </c>
      <c r="B1365" s="0" t="s">
        <v>235</v>
      </c>
      <c r="C1365" s="0" t="s">
        <v>91</v>
      </c>
      <c r="D1365" s="0" t="s">
        <v>5855</v>
      </c>
      <c r="E1365" s="0" t="n">
        <v>2023</v>
      </c>
      <c r="H1365" s="0" t="n">
        <v>3</v>
      </c>
      <c r="I1365" s="0" t="n">
        <v>2375</v>
      </c>
      <c r="J1365" s="0" t="s">
        <v>290</v>
      </c>
      <c r="K1365" s="0" t="s">
        <v>4535</v>
      </c>
      <c r="L1365" s="0" t="s">
        <v>1697</v>
      </c>
      <c r="M1365" s="0" t="s">
        <v>5856</v>
      </c>
      <c r="N1365" s="0" t="s">
        <v>5856</v>
      </c>
      <c r="O1365" s="0" t="s">
        <v>5857</v>
      </c>
      <c r="P1365" s="0" t="s">
        <v>5858</v>
      </c>
      <c r="R1365" s="0" t="s">
        <v>284</v>
      </c>
      <c r="S1365" s="0" t="s">
        <v>268</v>
      </c>
      <c r="T1365" s="0" t="s">
        <v>276</v>
      </c>
      <c r="U1365" s="0" t="s">
        <v>277</v>
      </c>
    </row>
    <row r="1366" customFormat="false" ht="15" hidden="false" customHeight="false" outlineLevel="0" collapsed="false">
      <c r="A1366" s="0" t="n">
        <v>175</v>
      </c>
      <c r="B1366" s="0" t="s">
        <v>235</v>
      </c>
      <c r="C1366" s="0" t="s">
        <v>35</v>
      </c>
      <c r="D1366" s="0" t="s">
        <v>5859</v>
      </c>
      <c r="E1366" s="0" t="n">
        <v>2023</v>
      </c>
      <c r="H1366" s="0" t="n">
        <v>22</v>
      </c>
      <c r="I1366" s="0" t="n">
        <v>5516</v>
      </c>
      <c r="J1366" s="0" t="s">
        <v>268</v>
      </c>
      <c r="K1366" s="0" t="s">
        <v>4535</v>
      </c>
      <c r="L1366" s="0" t="s">
        <v>1697</v>
      </c>
      <c r="M1366" s="0" t="s">
        <v>5860</v>
      </c>
      <c r="N1366" s="0" t="s">
        <v>5860</v>
      </c>
      <c r="O1366" s="0" t="s">
        <v>5861</v>
      </c>
      <c r="P1366" s="0" t="s">
        <v>5862</v>
      </c>
      <c r="R1366" s="0" t="s">
        <v>284</v>
      </c>
      <c r="S1366" s="0" t="s">
        <v>268</v>
      </c>
      <c r="T1366" s="0" t="s">
        <v>276</v>
      </c>
      <c r="U1366" s="0" t="s">
        <v>277</v>
      </c>
    </row>
    <row r="1367" customFormat="false" ht="15" hidden="false" customHeight="false" outlineLevel="0" collapsed="false">
      <c r="A1367" s="0" t="n">
        <v>175</v>
      </c>
      <c r="B1367" s="0" t="s">
        <v>235</v>
      </c>
      <c r="C1367" s="0" t="s">
        <v>309</v>
      </c>
      <c r="D1367" s="0" t="s">
        <v>5863</v>
      </c>
      <c r="E1367" s="0" t="n">
        <v>2025</v>
      </c>
      <c r="H1367" s="0" t="n">
        <v>1</v>
      </c>
      <c r="I1367" s="0" t="n">
        <v>1646</v>
      </c>
      <c r="J1367" s="0" t="s">
        <v>268</v>
      </c>
      <c r="K1367" s="0" t="s">
        <v>4535</v>
      </c>
      <c r="L1367" s="0" t="s">
        <v>1697</v>
      </c>
      <c r="M1367" s="0" t="s">
        <v>5864</v>
      </c>
      <c r="N1367" s="0" t="s">
        <v>5865</v>
      </c>
      <c r="O1367" s="0" t="s">
        <v>5866</v>
      </c>
      <c r="P1367" s="0" t="s">
        <v>5867</v>
      </c>
      <c r="R1367" s="0" t="s">
        <v>275</v>
      </c>
      <c r="S1367" s="0" t="s">
        <v>268</v>
      </c>
      <c r="T1367" s="0" t="s">
        <v>276</v>
      </c>
      <c r="U1367" s="0" t="s">
        <v>277</v>
      </c>
    </row>
    <row r="1368" customFormat="false" ht="15" hidden="false" customHeight="false" outlineLevel="0" collapsed="false">
      <c r="A1368" s="0" t="n">
        <v>175</v>
      </c>
      <c r="B1368" s="0" t="s">
        <v>235</v>
      </c>
      <c r="C1368" s="0" t="s">
        <v>586</v>
      </c>
      <c r="D1368" s="0" t="s">
        <v>5868</v>
      </c>
      <c r="E1368" s="0" t="n">
        <v>2025</v>
      </c>
      <c r="H1368" s="0" t="n">
        <v>22</v>
      </c>
      <c r="I1368" s="0" t="n">
        <v>55226</v>
      </c>
      <c r="J1368" s="0" t="s">
        <v>268</v>
      </c>
      <c r="K1368" s="0" t="s">
        <v>4535</v>
      </c>
      <c r="L1368" s="0" t="s">
        <v>1697</v>
      </c>
      <c r="M1368" s="0" t="s">
        <v>5869</v>
      </c>
      <c r="N1368" s="0" t="s">
        <v>5869</v>
      </c>
      <c r="O1368" s="0" t="s">
        <v>5870</v>
      </c>
      <c r="P1368" s="0" t="s">
        <v>5871</v>
      </c>
      <c r="R1368" s="0" t="s">
        <v>275</v>
      </c>
      <c r="S1368" s="0" t="s">
        <v>268</v>
      </c>
      <c r="T1368" s="0" t="s">
        <v>276</v>
      </c>
      <c r="U1368" s="0" t="s">
        <v>277</v>
      </c>
    </row>
    <row r="1369" customFormat="false" ht="15" hidden="false" customHeight="false" outlineLevel="0" collapsed="false">
      <c r="A1369" s="0" t="n">
        <v>175</v>
      </c>
      <c r="B1369" s="0" t="s">
        <v>235</v>
      </c>
      <c r="C1369" s="0" t="s">
        <v>266</v>
      </c>
      <c r="D1369" s="0" t="s">
        <v>5872</v>
      </c>
      <c r="E1369" s="0" t="n">
        <v>2026</v>
      </c>
      <c r="H1369" s="0" t="n">
        <v>31</v>
      </c>
      <c r="I1369" s="0" t="n">
        <v>54843</v>
      </c>
      <c r="J1369" s="0" t="s">
        <v>268</v>
      </c>
      <c r="K1369" s="0" t="s">
        <v>4535</v>
      </c>
      <c r="L1369" s="0" t="s">
        <v>1697</v>
      </c>
      <c r="M1369" s="0" t="s">
        <v>5873</v>
      </c>
      <c r="N1369" s="0" t="s">
        <v>5873</v>
      </c>
      <c r="O1369" s="0" t="s">
        <v>5874</v>
      </c>
      <c r="P1369" s="0" t="s">
        <v>5875</v>
      </c>
      <c r="R1369" s="0" t="s">
        <v>275</v>
      </c>
      <c r="S1369" s="0" t="s">
        <v>268</v>
      </c>
      <c r="T1369" s="0" t="s">
        <v>276</v>
      </c>
      <c r="U1369" s="0" t="s">
        <v>277</v>
      </c>
    </row>
    <row r="1370" customFormat="false" ht="15" hidden="false" customHeight="false" outlineLevel="0" collapsed="false">
      <c r="A1370" s="0" t="n">
        <v>175</v>
      </c>
      <c r="B1370" s="0" t="s">
        <v>235</v>
      </c>
      <c r="C1370" s="0" t="s">
        <v>266</v>
      </c>
      <c r="D1370" s="0" t="s">
        <v>5876</v>
      </c>
      <c r="E1370" s="0" t="n">
        <v>2026</v>
      </c>
      <c r="H1370" s="0" t="n">
        <v>14</v>
      </c>
      <c r="I1370" s="0" t="n">
        <v>7958</v>
      </c>
      <c r="J1370" s="0" t="s">
        <v>268</v>
      </c>
      <c r="K1370" s="0" t="s">
        <v>4535</v>
      </c>
      <c r="L1370" s="0" t="s">
        <v>1697</v>
      </c>
      <c r="M1370" s="0" t="s">
        <v>5877</v>
      </c>
      <c r="N1370" s="0" t="s">
        <v>5877</v>
      </c>
      <c r="O1370" s="0" t="s">
        <v>5878</v>
      </c>
      <c r="P1370" s="0" t="s">
        <v>5879</v>
      </c>
      <c r="R1370" s="0" t="s">
        <v>275</v>
      </c>
      <c r="S1370" s="0" t="s">
        <v>290</v>
      </c>
      <c r="T1370" s="0" t="s">
        <v>276</v>
      </c>
      <c r="U1370" s="0" t="s">
        <v>277</v>
      </c>
    </row>
    <row r="1371" customFormat="false" ht="15" hidden="false" customHeight="false" outlineLevel="0" collapsed="false">
      <c r="A1371" s="0" t="n">
        <v>175</v>
      </c>
      <c r="B1371" s="0" t="s">
        <v>235</v>
      </c>
      <c r="C1371" s="0" t="s">
        <v>324</v>
      </c>
      <c r="D1371" s="0" t="s">
        <v>5880</v>
      </c>
      <c r="E1371" s="0" t="n">
        <v>2026</v>
      </c>
      <c r="H1371" s="0" t="n">
        <v>16</v>
      </c>
      <c r="I1371" s="0" t="n">
        <v>990</v>
      </c>
      <c r="J1371" s="0" t="s">
        <v>268</v>
      </c>
      <c r="K1371" s="0" t="s">
        <v>4535</v>
      </c>
      <c r="L1371" s="0" t="s">
        <v>1697</v>
      </c>
      <c r="M1371" s="0" t="s">
        <v>5881</v>
      </c>
      <c r="N1371" s="0" t="s">
        <v>5881</v>
      </c>
      <c r="O1371" s="0" t="s">
        <v>5882</v>
      </c>
      <c r="P1371" s="0" t="s">
        <v>5883</v>
      </c>
      <c r="R1371" s="0" t="s">
        <v>275</v>
      </c>
      <c r="S1371" s="0" t="s">
        <v>268</v>
      </c>
      <c r="T1371" s="0" t="s">
        <v>276</v>
      </c>
      <c r="U1371" s="0" t="s">
        <v>277</v>
      </c>
    </row>
    <row r="1372" customFormat="false" ht="15" hidden="false" customHeight="false" outlineLevel="0" collapsed="false">
      <c r="A1372" s="0" t="n">
        <v>175</v>
      </c>
      <c r="B1372" s="0" t="s">
        <v>235</v>
      </c>
      <c r="C1372" s="0" t="s">
        <v>324</v>
      </c>
      <c r="D1372" s="0" t="s">
        <v>5884</v>
      </c>
      <c r="E1372" s="0" t="n">
        <v>2026</v>
      </c>
      <c r="H1372" s="0" t="n">
        <v>1</v>
      </c>
      <c r="I1372" s="0" t="n">
        <v>66</v>
      </c>
      <c r="J1372" s="0" t="s">
        <v>268</v>
      </c>
      <c r="K1372" s="0" t="s">
        <v>4535</v>
      </c>
      <c r="L1372" s="0" t="s">
        <v>1697</v>
      </c>
      <c r="M1372" s="0" t="s">
        <v>5885</v>
      </c>
      <c r="N1372" s="0" t="s">
        <v>5885</v>
      </c>
      <c r="O1372" s="0" t="s">
        <v>5886</v>
      </c>
      <c r="P1372" s="0" t="s">
        <v>5887</v>
      </c>
      <c r="R1372" s="0" t="s">
        <v>275</v>
      </c>
      <c r="S1372" s="0" t="s">
        <v>290</v>
      </c>
      <c r="T1372" s="0" t="s">
        <v>276</v>
      </c>
      <c r="U1372" s="0" t="s">
        <v>277</v>
      </c>
    </row>
    <row r="1373" customFormat="false" ht="15" hidden="false" customHeight="false" outlineLevel="0" collapsed="false">
      <c r="A1373" s="0" t="n">
        <v>175</v>
      </c>
      <c r="B1373" s="0" t="s">
        <v>235</v>
      </c>
      <c r="C1373" s="0" t="s">
        <v>530</v>
      </c>
      <c r="D1373" s="0" t="s">
        <v>5888</v>
      </c>
      <c r="E1373" s="0" t="n">
        <v>2026</v>
      </c>
      <c r="H1373" s="0" t="n">
        <v>3</v>
      </c>
      <c r="I1373" s="0" t="n">
        <v>1898</v>
      </c>
      <c r="J1373" s="0" t="s">
        <v>268</v>
      </c>
      <c r="K1373" s="0" t="s">
        <v>4535</v>
      </c>
      <c r="L1373" s="0" t="s">
        <v>1697</v>
      </c>
      <c r="M1373" s="0" t="s">
        <v>5889</v>
      </c>
      <c r="N1373" s="0" t="s">
        <v>5889</v>
      </c>
      <c r="O1373" s="0" t="s">
        <v>5890</v>
      </c>
      <c r="P1373" s="0" t="s">
        <v>5891</v>
      </c>
      <c r="R1373" s="0" t="s">
        <v>275</v>
      </c>
      <c r="S1373" s="0" t="s">
        <v>268</v>
      </c>
      <c r="T1373" s="0" t="s">
        <v>276</v>
      </c>
      <c r="U1373" s="0" t="s">
        <v>277</v>
      </c>
    </row>
    <row r="1374" customFormat="false" ht="15" hidden="false" customHeight="false" outlineLevel="0" collapsed="false">
      <c r="A1374" s="0" t="n">
        <v>175</v>
      </c>
      <c r="B1374" s="0" t="s">
        <v>235</v>
      </c>
      <c r="C1374" s="0" t="s">
        <v>530</v>
      </c>
      <c r="D1374" s="0" t="s">
        <v>5892</v>
      </c>
      <c r="E1374" s="0" t="n">
        <v>2025</v>
      </c>
      <c r="H1374" s="0" t="n">
        <v>8</v>
      </c>
      <c r="I1374" s="0" t="n">
        <v>3859</v>
      </c>
      <c r="J1374" s="0" t="s">
        <v>268</v>
      </c>
      <c r="K1374" s="0" t="s">
        <v>4535</v>
      </c>
      <c r="L1374" s="0" t="s">
        <v>1697</v>
      </c>
      <c r="M1374" s="0" t="s">
        <v>5893</v>
      </c>
      <c r="N1374" s="0" t="s">
        <v>5893</v>
      </c>
      <c r="O1374" s="0" t="s">
        <v>5894</v>
      </c>
      <c r="P1374" s="0" t="s">
        <v>5895</v>
      </c>
      <c r="R1374" s="0" t="s">
        <v>275</v>
      </c>
      <c r="S1374" s="0" t="s">
        <v>290</v>
      </c>
      <c r="T1374" s="0" t="s">
        <v>276</v>
      </c>
      <c r="U1374" s="0" t="s">
        <v>277</v>
      </c>
    </row>
    <row r="1375" customFormat="false" ht="15" hidden="false" customHeight="false" outlineLevel="0" collapsed="false">
      <c r="A1375" s="0" t="n">
        <v>175</v>
      </c>
      <c r="B1375" s="0" t="s">
        <v>235</v>
      </c>
      <c r="C1375" s="0" t="s">
        <v>530</v>
      </c>
      <c r="D1375" s="0" t="s">
        <v>5896</v>
      </c>
      <c r="E1375" s="0" t="n">
        <v>2025</v>
      </c>
      <c r="H1375" s="0" t="n">
        <v>6</v>
      </c>
      <c r="I1375" s="0" t="n">
        <v>8071</v>
      </c>
      <c r="J1375" s="0" t="s">
        <v>268</v>
      </c>
      <c r="K1375" s="0" t="s">
        <v>4535</v>
      </c>
      <c r="L1375" s="0" t="s">
        <v>1697</v>
      </c>
      <c r="M1375" s="0" t="s">
        <v>5897</v>
      </c>
      <c r="N1375" s="0" t="s">
        <v>5897</v>
      </c>
      <c r="O1375" s="0" t="s">
        <v>5898</v>
      </c>
      <c r="P1375" s="0" t="s">
        <v>5899</v>
      </c>
      <c r="R1375" s="0" t="s">
        <v>275</v>
      </c>
      <c r="S1375" s="0" t="s">
        <v>290</v>
      </c>
      <c r="T1375" s="0" t="s">
        <v>276</v>
      </c>
      <c r="U1375" s="0" t="s">
        <v>277</v>
      </c>
    </row>
    <row r="1376" customFormat="false" ht="15" hidden="false" customHeight="false" outlineLevel="0" collapsed="false">
      <c r="A1376" s="0" t="n">
        <v>175</v>
      </c>
      <c r="B1376" s="0" t="s">
        <v>235</v>
      </c>
      <c r="C1376" s="0" t="s">
        <v>530</v>
      </c>
      <c r="D1376" s="0" t="s">
        <v>5900</v>
      </c>
      <c r="E1376" s="0" t="n">
        <v>2025</v>
      </c>
      <c r="H1376" s="0" t="n">
        <v>6</v>
      </c>
      <c r="I1376" s="0" t="n">
        <v>5301</v>
      </c>
      <c r="J1376" s="0" t="s">
        <v>268</v>
      </c>
      <c r="K1376" s="0" t="s">
        <v>4535</v>
      </c>
      <c r="L1376" s="0" t="s">
        <v>1697</v>
      </c>
      <c r="M1376" s="0" t="s">
        <v>5901</v>
      </c>
      <c r="N1376" s="0" t="s">
        <v>5901</v>
      </c>
      <c r="O1376" s="0" t="s">
        <v>5902</v>
      </c>
      <c r="P1376" s="0" t="s">
        <v>5903</v>
      </c>
      <c r="R1376" s="0" t="s">
        <v>275</v>
      </c>
      <c r="S1376" s="0" t="s">
        <v>290</v>
      </c>
      <c r="T1376" s="0" t="s">
        <v>276</v>
      </c>
      <c r="U1376" s="0" t="s">
        <v>277</v>
      </c>
    </row>
    <row r="1377" customFormat="false" ht="15" hidden="false" customHeight="false" outlineLevel="0" collapsed="false">
      <c r="A1377" s="0" t="n">
        <v>175</v>
      </c>
      <c r="B1377" s="0" t="s">
        <v>235</v>
      </c>
      <c r="C1377" s="0" t="s">
        <v>530</v>
      </c>
      <c r="D1377" s="0" t="s">
        <v>5904</v>
      </c>
      <c r="E1377" s="0" t="n">
        <v>2023</v>
      </c>
      <c r="H1377" s="0" t="n">
        <v>5</v>
      </c>
      <c r="I1377" s="0" t="n">
        <v>729</v>
      </c>
      <c r="J1377" s="0" t="s">
        <v>268</v>
      </c>
      <c r="K1377" s="0" t="s">
        <v>4535</v>
      </c>
      <c r="L1377" s="0" t="s">
        <v>1697</v>
      </c>
      <c r="M1377" s="0" t="s">
        <v>5905</v>
      </c>
      <c r="N1377" s="0" t="s">
        <v>5905</v>
      </c>
      <c r="O1377" s="0" t="s">
        <v>5906</v>
      </c>
      <c r="P1377" s="0" t="s">
        <v>5907</v>
      </c>
      <c r="R1377" s="0" t="s">
        <v>284</v>
      </c>
      <c r="S1377" s="0" t="s">
        <v>290</v>
      </c>
      <c r="T1377" s="0" t="s">
        <v>276</v>
      </c>
      <c r="U1377" s="0" t="s">
        <v>277</v>
      </c>
    </row>
    <row r="1378" customFormat="false" ht="15" hidden="false" customHeight="false" outlineLevel="0" collapsed="false">
      <c r="A1378" s="0" t="n">
        <v>175</v>
      </c>
      <c r="B1378" s="0" t="s">
        <v>235</v>
      </c>
      <c r="C1378" s="0" t="s">
        <v>530</v>
      </c>
      <c r="D1378" s="0" t="s">
        <v>5908</v>
      </c>
      <c r="E1378" s="0" t="n">
        <v>2023</v>
      </c>
      <c r="H1378" s="0" t="n">
        <v>5</v>
      </c>
      <c r="I1378" s="0" t="n">
        <v>725</v>
      </c>
      <c r="J1378" s="0" t="s">
        <v>268</v>
      </c>
      <c r="K1378" s="0" t="s">
        <v>286</v>
      </c>
      <c r="L1378" s="0" t="s">
        <v>270</v>
      </c>
      <c r="M1378" s="0" t="s">
        <v>5909</v>
      </c>
      <c r="N1378" s="0" t="s">
        <v>5909</v>
      </c>
      <c r="O1378" s="0" t="s">
        <v>5910</v>
      </c>
      <c r="P1378" s="0" t="s">
        <v>5911</v>
      </c>
      <c r="R1378" s="0" t="s">
        <v>284</v>
      </c>
      <c r="S1378" s="0" t="s">
        <v>290</v>
      </c>
      <c r="T1378" s="0" t="s">
        <v>276</v>
      </c>
      <c r="U1378" s="0" t="s">
        <v>277</v>
      </c>
    </row>
    <row r="1379" customFormat="false" ht="15" hidden="false" customHeight="false" outlineLevel="0" collapsed="false">
      <c r="A1379" s="0" t="n">
        <v>175</v>
      </c>
      <c r="B1379" s="0" t="s">
        <v>235</v>
      </c>
      <c r="C1379" s="0" t="s">
        <v>530</v>
      </c>
      <c r="D1379" s="0" t="s">
        <v>5912</v>
      </c>
      <c r="E1379" s="0" t="n">
        <v>2022</v>
      </c>
      <c r="H1379" s="0" t="n">
        <v>4</v>
      </c>
      <c r="I1379" s="0" t="n">
        <v>441</v>
      </c>
      <c r="J1379" s="0" t="s">
        <v>268</v>
      </c>
      <c r="K1379" s="0" t="s">
        <v>4535</v>
      </c>
      <c r="L1379" s="0" t="s">
        <v>1697</v>
      </c>
      <c r="M1379" s="0" t="s">
        <v>5913</v>
      </c>
      <c r="N1379" s="0" t="s">
        <v>5913</v>
      </c>
      <c r="O1379" s="0" t="s">
        <v>5914</v>
      </c>
      <c r="P1379" s="0" t="s">
        <v>5915</v>
      </c>
      <c r="R1379" s="0" t="s">
        <v>284</v>
      </c>
      <c r="S1379" s="0" t="s">
        <v>290</v>
      </c>
      <c r="T1379" s="0" t="s">
        <v>314</v>
      </c>
      <c r="U1379" s="0" t="s">
        <v>277</v>
      </c>
      <c r="V1379" s="0" t="s">
        <v>5916</v>
      </c>
    </row>
    <row r="1380" customFormat="false" ht="15" hidden="false" customHeight="false" outlineLevel="0" collapsed="false">
      <c r="A1380" s="0" t="n">
        <v>177</v>
      </c>
      <c r="B1380" s="0" t="s">
        <v>238</v>
      </c>
      <c r="C1380" s="0" t="s">
        <v>530</v>
      </c>
      <c r="D1380" s="0" t="s">
        <v>5912</v>
      </c>
      <c r="E1380" s="0" t="n">
        <v>2022</v>
      </c>
      <c r="H1380" s="0" t="n">
        <v>4</v>
      </c>
      <c r="I1380" s="0" t="n">
        <v>441</v>
      </c>
      <c r="J1380" s="0" t="s">
        <v>268</v>
      </c>
      <c r="K1380" s="0" t="s">
        <v>4535</v>
      </c>
      <c r="L1380" s="0" t="s">
        <v>1697</v>
      </c>
      <c r="M1380" s="0" t="s">
        <v>5913</v>
      </c>
      <c r="N1380" s="0" t="s">
        <v>5913</v>
      </c>
      <c r="O1380" s="0" t="s">
        <v>5914</v>
      </c>
      <c r="P1380" s="0" t="s">
        <v>5915</v>
      </c>
      <c r="R1380" s="0" t="s">
        <v>284</v>
      </c>
      <c r="S1380" s="0" t="s">
        <v>290</v>
      </c>
      <c r="T1380" s="0" t="s">
        <v>314</v>
      </c>
      <c r="U1380" s="0" t="s">
        <v>277</v>
      </c>
      <c r="V1380" s="0" t="s">
        <v>5916</v>
      </c>
    </row>
    <row r="1381" customFormat="false" ht="15" hidden="false" customHeight="false" outlineLevel="0" collapsed="false">
      <c r="A1381" s="0" t="n">
        <v>175</v>
      </c>
      <c r="B1381" s="0" t="s">
        <v>235</v>
      </c>
      <c r="C1381" s="0" t="s">
        <v>480</v>
      </c>
      <c r="D1381" s="0" t="s">
        <v>5917</v>
      </c>
      <c r="E1381" s="0" t="n">
        <v>2026</v>
      </c>
      <c r="H1381" s="0" t="n">
        <v>2</v>
      </c>
      <c r="I1381" s="0" t="n">
        <v>4334</v>
      </c>
      <c r="J1381" s="0" t="s">
        <v>268</v>
      </c>
      <c r="K1381" s="0" t="s">
        <v>4535</v>
      </c>
      <c r="L1381" s="0" t="s">
        <v>1697</v>
      </c>
      <c r="M1381" s="0" t="s">
        <v>5918</v>
      </c>
      <c r="N1381" s="0" t="s">
        <v>5918</v>
      </c>
      <c r="O1381" s="0" t="s">
        <v>5919</v>
      </c>
      <c r="P1381" s="0" t="s">
        <v>5920</v>
      </c>
      <c r="R1381" s="0" t="s">
        <v>275</v>
      </c>
      <c r="S1381" s="0" t="s">
        <v>268</v>
      </c>
      <c r="T1381" s="0" t="s">
        <v>314</v>
      </c>
      <c r="U1381" s="0" t="s">
        <v>277</v>
      </c>
      <c r="V1381" s="0" t="s">
        <v>5921</v>
      </c>
    </row>
    <row r="1382" customFormat="false" ht="15" hidden="false" customHeight="false" outlineLevel="0" collapsed="false">
      <c r="A1382" s="0" t="n">
        <v>177</v>
      </c>
      <c r="B1382" s="0" t="s">
        <v>238</v>
      </c>
      <c r="C1382" s="0" t="s">
        <v>480</v>
      </c>
      <c r="D1382" s="0" t="s">
        <v>5917</v>
      </c>
      <c r="E1382" s="0" t="n">
        <v>2026</v>
      </c>
      <c r="H1382" s="0" t="n">
        <v>2</v>
      </c>
      <c r="I1382" s="0" t="n">
        <v>4334</v>
      </c>
      <c r="J1382" s="0" t="s">
        <v>268</v>
      </c>
      <c r="K1382" s="0" t="s">
        <v>4535</v>
      </c>
      <c r="L1382" s="0" t="s">
        <v>1697</v>
      </c>
      <c r="M1382" s="0" t="s">
        <v>5918</v>
      </c>
      <c r="N1382" s="0" t="s">
        <v>5918</v>
      </c>
      <c r="O1382" s="0" t="s">
        <v>5919</v>
      </c>
      <c r="P1382" s="0" t="s">
        <v>5920</v>
      </c>
      <c r="R1382" s="0" t="s">
        <v>275</v>
      </c>
      <c r="S1382" s="0" t="s">
        <v>268</v>
      </c>
      <c r="T1382" s="0" t="s">
        <v>314</v>
      </c>
      <c r="U1382" s="0" t="s">
        <v>277</v>
      </c>
      <c r="V1382" s="0" t="s">
        <v>5921</v>
      </c>
    </row>
    <row r="1383" customFormat="false" ht="15" hidden="false" customHeight="false" outlineLevel="0" collapsed="false">
      <c r="A1383" s="0" t="n">
        <v>176</v>
      </c>
      <c r="B1383" s="0" t="s">
        <v>237</v>
      </c>
      <c r="C1383" s="0" t="s">
        <v>480</v>
      </c>
      <c r="D1383" s="0" t="s">
        <v>5917</v>
      </c>
      <c r="E1383" s="0" t="n">
        <v>2026</v>
      </c>
      <c r="H1383" s="0" t="n">
        <v>2</v>
      </c>
      <c r="I1383" s="0" t="n">
        <v>4334</v>
      </c>
      <c r="J1383" s="0" t="s">
        <v>268</v>
      </c>
      <c r="K1383" s="0" t="s">
        <v>4535</v>
      </c>
      <c r="L1383" s="0" t="s">
        <v>1697</v>
      </c>
      <c r="M1383" s="0" t="s">
        <v>5918</v>
      </c>
      <c r="N1383" s="0" t="s">
        <v>5918</v>
      </c>
      <c r="O1383" s="0" t="s">
        <v>5919</v>
      </c>
      <c r="P1383" s="0" t="s">
        <v>5920</v>
      </c>
      <c r="R1383" s="0" t="s">
        <v>275</v>
      </c>
      <c r="S1383" s="0" t="s">
        <v>268</v>
      </c>
      <c r="T1383" s="0" t="s">
        <v>314</v>
      </c>
      <c r="U1383" s="0" t="s">
        <v>277</v>
      </c>
      <c r="V1383" s="0" t="s">
        <v>5921</v>
      </c>
    </row>
    <row r="1384" customFormat="false" ht="15" hidden="false" customHeight="false" outlineLevel="0" collapsed="false">
      <c r="A1384" s="0" t="n">
        <v>176</v>
      </c>
      <c r="B1384" s="0" t="s">
        <v>237</v>
      </c>
      <c r="C1384" s="0" t="s">
        <v>56</v>
      </c>
      <c r="D1384" s="0" t="s">
        <v>5922</v>
      </c>
      <c r="E1384" s="0" t="n">
        <v>2026</v>
      </c>
      <c r="H1384" s="0" t="n">
        <v>10</v>
      </c>
      <c r="I1384" s="0" t="n">
        <v>9863</v>
      </c>
      <c r="J1384" s="0" t="s">
        <v>268</v>
      </c>
      <c r="K1384" s="0" t="s">
        <v>4535</v>
      </c>
      <c r="L1384" s="0" t="s">
        <v>1697</v>
      </c>
      <c r="M1384" s="0" t="s">
        <v>5923</v>
      </c>
      <c r="N1384" s="0" t="s">
        <v>5923</v>
      </c>
      <c r="O1384" s="0" t="s">
        <v>5924</v>
      </c>
      <c r="P1384" s="0" t="s">
        <v>5925</v>
      </c>
      <c r="R1384" s="0" t="s">
        <v>275</v>
      </c>
      <c r="S1384" s="0" t="s">
        <v>290</v>
      </c>
      <c r="T1384" s="0" t="s">
        <v>276</v>
      </c>
      <c r="U1384" s="0" t="s">
        <v>277</v>
      </c>
    </row>
    <row r="1385" customFormat="false" ht="15" hidden="false" customHeight="false" outlineLevel="0" collapsed="false">
      <c r="A1385" s="0" t="n">
        <v>176</v>
      </c>
      <c r="B1385" s="0" t="s">
        <v>237</v>
      </c>
      <c r="C1385" s="0" t="s">
        <v>35</v>
      </c>
      <c r="D1385" s="0" t="s">
        <v>5926</v>
      </c>
      <c r="E1385" s="0" t="n">
        <v>2021</v>
      </c>
      <c r="H1385" s="0" t="n">
        <v>11</v>
      </c>
      <c r="I1385" s="0" t="n">
        <v>4809</v>
      </c>
      <c r="J1385" s="0" t="s">
        <v>268</v>
      </c>
      <c r="K1385" s="0" t="s">
        <v>4535</v>
      </c>
      <c r="L1385" s="0" t="s">
        <v>1697</v>
      </c>
      <c r="M1385" s="0" t="s">
        <v>5927</v>
      </c>
      <c r="N1385" s="0" t="s">
        <v>5927</v>
      </c>
      <c r="O1385" s="0" t="s">
        <v>5928</v>
      </c>
      <c r="P1385" s="0" t="s">
        <v>5929</v>
      </c>
      <c r="R1385" s="0" t="s">
        <v>284</v>
      </c>
      <c r="S1385" s="0" t="s">
        <v>268</v>
      </c>
      <c r="T1385" s="0" t="s">
        <v>276</v>
      </c>
      <c r="U1385" s="0" t="s">
        <v>277</v>
      </c>
    </row>
    <row r="1386" customFormat="false" ht="15" hidden="false" customHeight="false" outlineLevel="0" collapsed="false">
      <c r="A1386" s="0" t="n">
        <v>176</v>
      </c>
      <c r="B1386" s="0" t="s">
        <v>237</v>
      </c>
      <c r="C1386" s="0" t="s">
        <v>309</v>
      </c>
      <c r="D1386" s="0" t="s">
        <v>5930</v>
      </c>
      <c r="E1386" s="0" t="n">
        <v>2026</v>
      </c>
      <c r="H1386" s="0" t="n">
        <v>1</v>
      </c>
      <c r="I1386" s="0" t="n">
        <v>334</v>
      </c>
      <c r="J1386" s="0" t="s">
        <v>268</v>
      </c>
      <c r="K1386" s="0" t="s">
        <v>4535</v>
      </c>
      <c r="L1386" s="0" t="s">
        <v>1697</v>
      </c>
      <c r="M1386" s="0" t="s">
        <v>5931</v>
      </c>
      <c r="N1386" s="0" t="s">
        <v>5931</v>
      </c>
      <c r="O1386" s="0" t="s">
        <v>5932</v>
      </c>
      <c r="P1386" s="0" t="s">
        <v>5933</v>
      </c>
      <c r="R1386" s="0" t="s">
        <v>275</v>
      </c>
      <c r="S1386" s="0" t="s">
        <v>268</v>
      </c>
      <c r="T1386" s="0" t="s">
        <v>276</v>
      </c>
      <c r="U1386" s="0" t="s">
        <v>277</v>
      </c>
    </row>
    <row r="1387" customFormat="false" ht="15" hidden="false" customHeight="false" outlineLevel="0" collapsed="false">
      <c r="A1387" s="0" t="n">
        <v>176</v>
      </c>
      <c r="B1387" s="0" t="s">
        <v>237</v>
      </c>
      <c r="C1387" s="0" t="s">
        <v>266</v>
      </c>
      <c r="D1387" s="0" t="s">
        <v>5934</v>
      </c>
      <c r="E1387" s="0" t="n">
        <v>2026</v>
      </c>
      <c r="H1387" s="0" t="n">
        <v>11</v>
      </c>
      <c r="I1387" s="0" t="n">
        <v>8733</v>
      </c>
      <c r="J1387" s="0" t="s">
        <v>268</v>
      </c>
      <c r="K1387" s="0" t="s">
        <v>4535</v>
      </c>
      <c r="L1387" s="0" t="s">
        <v>1697</v>
      </c>
      <c r="M1387" s="0" t="s">
        <v>5935</v>
      </c>
      <c r="N1387" s="0" t="s">
        <v>5935</v>
      </c>
      <c r="O1387" s="0" t="s">
        <v>5936</v>
      </c>
      <c r="P1387" s="0" t="s">
        <v>5937</v>
      </c>
      <c r="R1387" s="0" t="s">
        <v>275</v>
      </c>
      <c r="S1387" s="0" t="s">
        <v>290</v>
      </c>
      <c r="T1387" s="0" t="s">
        <v>276</v>
      </c>
      <c r="U1387" s="0" t="s">
        <v>277</v>
      </c>
    </row>
    <row r="1388" customFormat="false" ht="15" hidden="false" customHeight="false" outlineLevel="0" collapsed="false">
      <c r="A1388" s="0" t="n">
        <v>176</v>
      </c>
      <c r="B1388" s="0" t="s">
        <v>237</v>
      </c>
      <c r="C1388" s="0" t="s">
        <v>266</v>
      </c>
      <c r="D1388" s="0" t="s">
        <v>5938</v>
      </c>
      <c r="E1388" s="0" t="n">
        <v>2026</v>
      </c>
      <c r="H1388" s="0" t="n">
        <v>31</v>
      </c>
      <c r="I1388" s="0" t="n">
        <v>49567</v>
      </c>
      <c r="J1388" s="0" t="s">
        <v>268</v>
      </c>
      <c r="K1388" s="0" t="s">
        <v>4535</v>
      </c>
      <c r="L1388" s="0" t="s">
        <v>1697</v>
      </c>
      <c r="M1388" s="0" t="s">
        <v>5939</v>
      </c>
      <c r="N1388" s="0" t="s">
        <v>5939</v>
      </c>
      <c r="O1388" s="0" t="s">
        <v>5940</v>
      </c>
      <c r="P1388" s="0" t="s">
        <v>5941</v>
      </c>
      <c r="R1388" s="0" t="s">
        <v>275</v>
      </c>
      <c r="S1388" s="0" t="s">
        <v>268</v>
      </c>
      <c r="T1388" s="0" t="s">
        <v>276</v>
      </c>
      <c r="U1388" s="0" t="s">
        <v>277</v>
      </c>
    </row>
    <row r="1389" customFormat="false" ht="15" hidden="false" customHeight="false" outlineLevel="0" collapsed="false">
      <c r="A1389" s="0" t="n">
        <v>176</v>
      </c>
      <c r="B1389" s="0" t="s">
        <v>237</v>
      </c>
      <c r="C1389" s="0" t="s">
        <v>324</v>
      </c>
      <c r="D1389" s="0" t="s">
        <v>5942</v>
      </c>
      <c r="E1389" s="0" t="n">
        <v>2026</v>
      </c>
      <c r="H1389" s="0" t="n">
        <v>24</v>
      </c>
      <c r="I1389" s="0" t="n">
        <v>2295</v>
      </c>
      <c r="J1389" s="0" t="s">
        <v>268</v>
      </c>
      <c r="K1389" s="0" t="s">
        <v>4535</v>
      </c>
      <c r="L1389" s="0" t="s">
        <v>1697</v>
      </c>
      <c r="M1389" s="0" t="s">
        <v>5943</v>
      </c>
      <c r="N1389" s="0" t="s">
        <v>5943</v>
      </c>
      <c r="O1389" s="0" t="s">
        <v>5944</v>
      </c>
      <c r="P1389" s="0" t="s">
        <v>5945</v>
      </c>
      <c r="R1389" s="0" t="s">
        <v>275</v>
      </c>
      <c r="S1389" s="0" t="s">
        <v>268</v>
      </c>
      <c r="T1389" s="0" t="s">
        <v>276</v>
      </c>
      <c r="U1389" s="0" t="s">
        <v>277</v>
      </c>
    </row>
    <row r="1390" customFormat="false" ht="15" hidden="false" customHeight="false" outlineLevel="0" collapsed="false">
      <c r="A1390" s="0" t="n">
        <v>176</v>
      </c>
      <c r="B1390" s="0" t="s">
        <v>237</v>
      </c>
      <c r="C1390" s="0" t="s">
        <v>324</v>
      </c>
      <c r="D1390" s="0" t="s">
        <v>5946</v>
      </c>
      <c r="E1390" s="0" t="n">
        <v>2026</v>
      </c>
      <c r="H1390" s="0" t="n">
        <v>1</v>
      </c>
      <c r="I1390" s="0" t="n">
        <v>119</v>
      </c>
      <c r="J1390" s="0" t="s">
        <v>268</v>
      </c>
      <c r="K1390" s="0" t="s">
        <v>4535</v>
      </c>
      <c r="L1390" s="0" t="s">
        <v>1697</v>
      </c>
      <c r="M1390" s="0" t="s">
        <v>5947</v>
      </c>
      <c r="N1390" s="0" t="s">
        <v>5947</v>
      </c>
      <c r="O1390" s="0" t="s">
        <v>5948</v>
      </c>
      <c r="P1390" s="0" t="s">
        <v>5949</v>
      </c>
      <c r="R1390" s="0" t="s">
        <v>275</v>
      </c>
      <c r="S1390" s="0" t="s">
        <v>290</v>
      </c>
      <c r="T1390" s="0" t="s">
        <v>276</v>
      </c>
      <c r="U1390" s="0" t="s">
        <v>277</v>
      </c>
    </row>
    <row r="1391" customFormat="false" ht="15" hidden="false" customHeight="false" outlineLevel="0" collapsed="false">
      <c r="A1391" s="0" t="n">
        <v>176</v>
      </c>
      <c r="B1391" s="0" t="s">
        <v>237</v>
      </c>
      <c r="C1391" s="0" t="s">
        <v>530</v>
      </c>
      <c r="D1391" s="0" t="s">
        <v>5950</v>
      </c>
      <c r="E1391" s="0" t="n">
        <v>2026</v>
      </c>
      <c r="H1391" s="0" t="n">
        <v>3</v>
      </c>
      <c r="I1391" s="0" t="n">
        <v>2537</v>
      </c>
      <c r="J1391" s="0" t="s">
        <v>268</v>
      </c>
      <c r="K1391" s="0" t="s">
        <v>4535</v>
      </c>
      <c r="L1391" s="0" t="s">
        <v>1697</v>
      </c>
      <c r="M1391" s="0" t="s">
        <v>5951</v>
      </c>
      <c r="N1391" s="0" t="s">
        <v>5951</v>
      </c>
      <c r="O1391" s="0" t="s">
        <v>5952</v>
      </c>
      <c r="P1391" s="0" t="s">
        <v>5953</v>
      </c>
      <c r="R1391" s="0" t="s">
        <v>275</v>
      </c>
      <c r="S1391" s="0" t="s">
        <v>268</v>
      </c>
      <c r="T1391" s="0" t="s">
        <v>276</v>
      </c>
      <c r="U1391" s="0" t="s">
        <v>277</v>
      </c>
    </row>
    <row r="1392" customFormat="false" ht="15" hidden="false" customHeight="false" outlineLevel="0" collapsed="false">
      <c r="A1392" s="0" t="n">
        <v>176</v>
      </c>
      <c r="B1392" s="0" t="s">
        <v>237</v>
      </c>
      <c r="C1392" s="0" t="s">
        <v>530</v>
      </c>
      <c r="D1392" s="0" t="s">
        <v>5954</v>
      </c>
      <c r="E1392" s="0" t="n">
        <v>2025</v>
      </c>
      <c r="H1392" s="0" t="n">
        <v>13</v>
      </c>
      <c r="I1392" s="0" t="n">
        <v>5912</v>
      </c>
      <c r="J1392" s="0" t="s">
        <v>268</v>
      </c>
      <c r="K1392" s="0" t="s">
        <v>4535</v>
      </c>
      <c r="L1392" s="0" t="s">
        <v>1697</v>
      </c>
      <c r="M1392" s="0" t="s">
        <v>5955</v>
      </c>
      <c r="N1392" s="0" t="s">
        <v>5955</v>
      </c>
      <c r="O1392" s="0" t="s">
        <v>5956</v>
      </c>
      <c r="P1392" s="0" t="s">
        <v>5957</v>
      </c>
      <c r="R1392" s="0" t="s">
        <v>275</v>
      </c>
      <c r="S1392" s="0" t="s">
        <v>290</v>
      </c>
      <c r="T1392" s="0" t="s">
        <v>276</v>
      </c>
      <c r="U1392" s="0" t="s">
        <v>277</v>
      </c>
    </row>
    <row r="1393" customFormat="false" ht="15" hidden="false" customHeight="false" outlineLevel="0" collapsed="false">
      <c r="A1393" s="0" t="n">
        <v>176</v>
      </c>
      <c r="B1393" s="0" t="s">
        <v>237</v>
      </c>
      <c r="C1393" s="0" t="s">
        <v>530</v>
      </c>
      <c r="D1393" s="0" t="s">
        <v>5958</v>
      </c>
      <c r="E1393" s="0" t="n">
        <v>2025</v>
      </c>
      <c r="H1393" s="0" t="n">
        <v>6</v>
      </c>
      <c r="I1393" s="0" t="n">
        <v>4908</v>
      </c>
      <c r="J1393" s="0" t="s">
        <v>268</v>
      </c>
      <c r="K1393" s="0" t="s">
        <v>4535</v>
      </c>
      <c r="L1393" s="0" t="s">
        <v>1697</v>
      </c>
      <c r="M1393" s="0" t="s">
        <v>5959</v>
      </c>
      <c r="N1393" s="0" t="s">
        <v>5959</v>
      </c>
      <c r="O1393" s="0" t="s">
        <v>5960</v>
      </c>
      <c r="P1393" s="0" t="s">
        <v>5961</v>
      </c>
      <c r="R1393" s="0" t="s">
        <v>275</v>
      </c>
      <c r="S1393" s="0" t="s">
        <v>290</v>
      </c>
      <c r="T1393" s="0" t="s">
        <v>276</v>
      </c>
      <c r="U1393" s="0" t="s">
        <v>277</v>
      </c>
    </row>
    <row r="1394" customFormat="false" ht="15" hidden="false" customHeight="false" outlineLevel="0" collapsed="false">
      <c r="A1394" s="0" t="n">
        <v>176</v>
      </c>
      <c r="B1394" s="0" t="s">
        <v>237</v>
      </c>
      <c r="C1394" s="0" t="s">
        <v>530</v>
      </c>
      <c r="D1394" s="0" t="s">
        <v>5962</v>
      </c>
      <c r="E1394" s="0" t="n">
        <v>2024</v>
      </c>
      <c r="H1394" s="0" t="n">
        <v>15</v>
      </c>
      <c r="I1394" s="0" t="n">
        <v>19834</v>
      </c>
      <c r="J1394" s="0" t="s">
        <v>268</v>
      </c>
      <c r="K1394" s="0" t="s">
        <v>4535</v>
      </c>
      <c r="L1394" s="0" t="s">
        <v>1697</v>
      </c>
      <c r="M1394" s="0" t="s">
        <v>5963</v>
      </c>
      <c r="N1394" s="0" t="s">
        <v>5963</v>
      </c>
      <c r="O1394" s="0" t="s">
        <v>5964</v>
      </c>
      <c r="P1394" s="0" t="s">
        <v>5965</v>
      </c>
      <c r="R1394" s="0" t="s">
        <v>284</v>
      </c>
      <c r="S1394" s="0" t="s">
        <v>290</v>
      </c>
      <c r="T1394" s="0" t="s">
        <v>276</v>
      </c>
      <c r="U1394" s="0" t="s">
        <v>277</v>
      </c>
    </row>
    <row r="1395" customFormat="false" ht="15" hidden="false" customHeight="false" outlineLevel="0" collapsed="false">
      <c r="A1395" s="0" t="n">
        <v>176</v>
      </c>
      <c r="B1395" s="0" t="s">
        <v>237</v>
      </c>
      <c r="C1395" s="0" t="s">
        <v>530</v>
      </c>
      <c r="D1395" s="0" t="s">
        <v>5966</v>
      </c>
      <c r="E1395" s="0" t="n">
        <v>2023</v>
      </c>
      <c r="H1395" s="0" t="n">
        <v>5</v>
      </c>
      <c r="I1395" s="0" t="n">
        <v>556</v>
      </c>
      <c r="J1395" s="0" t="s">
        <v>268</v>
      </c>
      <c r="K1395" s="0" t="s">
        <v>4535</v>
      </c>
      <c r="L1395" s="0" t="s">
        <v>1697</v>
      </c>
      <c r="M1395" s="0" t="s">
        <v>5967</v>
      </c>
      <c r="N1395" s="0" t="s">
        <v>5967</v>
      </c>
      <c r="O1395" s="0" t="s">
        <v>5968</v>
      </c>
      <c r="P1395" s="0" t="s">
        <v>5969</v>
      </c>
      <c r="R1395" s="0" t="s">
        <v>284</v>
      </c>
      <c r="S1395" s="0" t="s">
        <v>290</v>
      </c>
      <c r="T1395" s="0" t="s">
        <v>276</v>
      </c>
      <c r="U1395" s="0" t="s">
        <v>277</v>
      </c>
    </row>
    <row r="1396" customFormat="false" ht="15" hidden="false" customHeight="false" outlineLevel="0" collapsed="false">
      <c r="A1396" s="0" t="n">
        <v>177</v>
      </c>
      <c r="B1396" s="0" t="s">
        <v>238</v>
      </c>
      <c r="C1396" s="0" t="s">
        <v>56</v>
      </c>
      <c r="D1396" s="0" t="s">
        <v>5970</v>
      </c>
      <c r="E1396" s="0" t="n">
        <v>2026</v>
      </c>
      <c r="H1396" s="0" t="n">
        <v>10</v>
      </c>
      <c r="I1396" s="0" t="n">
        <v>10632</v>
      </c>
      <c r="J1396" s="0" t="s">
        <v>268</v>
      </c>
      <c r="K1396" s="0" t="s">
        <v>4535</v>
      </c>
      <c r="L1396" s="0" t="s">
        <v>1697</v>
      </c>
      <c r="M1396" s="0" t="s">
        <v>5971</v>
      </c>
      <c r="N1396" s="0" t="s">
        <v>5971</v>
      </c>
      <c r="O1396" s="0" t="s">
        <v>5972</v>
      </c>
      <c r="P1396" s="0" t="s">
        <v>5973</v>
      </c>
      <c r="R1396" s="0" t="s">
        <v>275</v>
      </c>
      <c r="S1396" s="0" t="s">
        <v>268</v>
      </c>
      <c r="T1396" s="0" t="s">
        <v>276</v>
      </c>
      <c r="U1396" s="0" t="s">
        <v>277</v>
      </c>
    </row>
    <row r="1397" customFormat="false" ht="15" hidden="false" customHeight="false" outlineLevel="0" collapsed="false">
      <c r="A1397" s="0" t="n">
        <v>177</v>
      </c>
      <c r="B1397" s="0" t="s">
        <v>238</v>
      </c>
      <c r="C1397" s="0" t="s">
        <v>91</v>
      </c>
      <c r="D1397" s="0" t="s">
        <v>5974</v>
      </c>
      <c r="E1397" s="0" t="n">
        <v>2022</v>
      </c>
      <c r="H1397" s="0" t="n">
        <v>1</v>
      </c>
      <c r="I1397" s="0" t="n">
        <v>355</v>
      </c>
      <c r="J1397" s="0" t="s">
        <v>268</v>
      </c>
      <c r="K1397" s="0" t="s">
        <v>4535</v>
      </c>
      <c r="L1397" s="0" t="s">
        <v>1697</v>
      </c>
      <c r="M1397" s="0" t="s">
        <v>5975</v>
      </c>
      <c r="N1397" s="0" t="s">
        <v>5975</v>
      </c>
      <c r="O1397" s="0" t="s">
        <v>5976</v>
      </c>
      <c r="P1397" s="0" t="s">
        <v>5977</v>
      </c>
      <c r="R1397" s="0" t="s">
        <v>284</v>
      </c>
      <c r="S1397" s="0" t="s">
        <v>268</v>
      </c>
      <c r="T1397" s="0" t="s">
        <v>276</v>
      </c>
      <c r="U1397" s="0" t="s">
        <v>277</v>
      </c>
    </row>
    <row r="1398" customFormat="false" ht="15" hidden="false" customHeight="false" outlineLevel="0" collapsed="false">
      <c r="A1398" s="0" t="n">
        <v>177</v>
      </c>
      <c r="B1398" s="0" t="s">
        <v>238</v>
      </c>
      <c r="C1398" s="0" t="s">
        <v>309</v>
      </c>
      <c r="D1398" s="0" t="s">
        <v>5978</v>
      </c>
      <c r="E1398" s="0" t="n">
        <v>2025</v>
      </c>
      <c r="H1398" s="0" t="n">
        <v>1</v>
      </c>
      <c r="I1398" s="0" t="n">
        <v>755</v>
      </c>
      <c r="J1398" s="0" t="s">
        <v>268</v>
      </c>
      <c r="K1398" s="0" t="s">
        <v>4535</v>
      </c>
      <c r="L1398" s="0" t="s">
        <v>1697</v>
      </c>
      <c r="M1398" s="0" t="s">
        <v>5979</v>
      </c>
      <c r="N1398" s="0" t="s">
        <v>5979</v>
      </c>
      <c r="O1398" s="0" t="s">
        <v>5980</v>
      </c>
      <c r="P1398" s="0" t="s">
        <v>5981</v>
      </c>
      <c r="R1398" s="0" t="s">
        <v>275</v>
      </c>
      <c r="S1398" s="0" t="s">
        <v>268</v>
      </c>
      <c r="T1398" s="0" t="s">
        <v>276</v>
      </c>
      <c r="U1398" s="0" t="s">
        <v>277</v>
      </c>
    </row>
    <row r="1399" customFormat="false" ht="15" hidden="false" customHeight="false" outlineLevel="0" collapsed="false">
      <c r="A1399" s="0" t="n">
        <v>177</v>
      </c>
      <c r="B1399" s="0" t="s">
        <v>238</v>
      </c>
      <c r="C1399" s="0" t="s">
        <v>586</v>
      </c>
      <c r="D1399" s="0" t="s">
        <v>5982</v>
      </c>
      <c r="E1399" s="0" t="n">
        <v>2025</v>
      </c>
      <c r="H1399" s="0" t="n">
        <v>22</v>
      </c>
      <c r="I1399" s="0" t="n">
        <v>59402</v>
      </c>
      <c r="J1399" s="0" t="s">
        <v>268</v>
      </c>
      <c r="K1399" s="0" t="s">
        <v>4535</v>
      </c>
      <c r="L1399" s="0" t="s">
        <v>1697</v>
      </c>
      <c r="M1399" s="0" t="s">
        <v>5983</v>
      </c>
      <c r="N1399" s="0" t="s">
        <v>5983</v>
      </c>
      <c r="O1399" s="0" t="s">
        <v>5984</v>
      </c>
      <c r="P1399" s="0" t="s">
        <v>5985</v>
      </c>
      <c r="R1399" s="0" t="s">
        <v>275</v>
      </c>
      <c r="S1399" s="0" t="s">
        <v>268</v>
      </c>
      <c r="T1399" s="0" t="s">
        <v>276</v>
      </c>
      <c r="U1399" s="0" t="s">
        <v>277</v>
      </c>
    </row>
    <row r="1400" customFormat="false" ht="15" hidden="false" customHeight="false" outlineLevel="0" collapsed="false">
      <c r="A1400" s="0" t="n">
        <v>177</v>
      </c>
      <c r="B1400" s="0" t="s">
        <v>238</v>
      </c>
      <c r="C1400" s="0" t="s">
        <v>324</v>
      </c>
      <c r="D1400" s="0" t="s">
        <v>5986</v>
      </c>
      <c r="E1400" s="0" t="n">
        <v>2026</v>
      </c>
      <c r="H1400" s="0" t="n">
        <v>18</v>
      </c>
      <c r="I1400" s="0" t="n">
        <v>1729</v>
      </c>
      <c r="J1400" s="0" t="s">
        <v>268</v>
      </c>
      <c r="K1400" s="0" t="s">
        <v>4535</v>
      </c>
      <c r="L1400" s="0" t="s">
        <v>1697</v>
      </c>
      <c r="M1400" s="0" t="s">
        <v>5987</v>
      </c>
      <c r="N1400" s="0" t="s">
        <v>5987</v>
      </c>
      <c r="O1400" s="0" t="s">
        <v>5988</v>
      </c>
      <c r="P1400" s="0" t="s">
        <v>5989</v>
      </c>
      <c r="R1400" s="0" t="s">
        <v>275</v>
      </c>
      <c r="S1400" s="0" t="s">
        <v>268</v>
      </c>
      <c r="T1400" s="0" t="s">
        <v>276</v>
      </c>
      <c r="U1400" s="0" t="s">
        <v>277</v>
      </c>
    </row>
    <row r="1401" customFormat="false" ht="15" hidden="false" customHeight="false" outlineLevel="0" collapsed="false">
      <c r="A1401" s="0" t="n">
        <v>177</v>
      </c>
      <c r="B1401" s="0" t="s">
        <v>238</v>
      </c>
      <c r="C1401" s="0" t="s">
        <v>324</v>
      </c>
      <c r="D1401" s="0" t="s">
        <v>5990</v>
      </c>
      <c r="E1401" s="0" t="n">
        <v>2026</v>
      </c>
      <c r="H1401" s="0" t="n">
        <v>1</v>
      </c>
      <c r="I1401" s="0" t="n">
        <v>124</v>
      </c>
      <c r="J1401" s="0" t="s">
        <v>268</v>
      </c>
      <c r="K1401" s="0" t="s">
        <v>4535</v>
      </c>
      <c r="L1401" s="0" t="s">
        <v>1697</v>
      </c>
      <c r="M1401" s="0" t="s">
        <v>5991</v>
      </c>
      <c r="N1401" s="0" t="s">
        <v>5991</v>
      </c>
      <c r="O1401" s="0" t="s">
        <v>5992</v>
      </c>
      <c r="P1401" s="0" t="s">
        <v>5993</v>
      </c>
      <c r="R1401" s="0" t="s">
        <v>275</v>
      </c>
      <c r="S1401" s="0" t="s">
        <v>290</v>
      </c>
      <c r="T1401" s="0" t="s">
        <v>276</v>
      </c>
      <c r="U1401" s="0" t="s">
        <v>277</v>
      </c>
    </row>
    <row r="1402" customFormat="false" ht="15" hidden="false" customHeight="false" outlineLevel="0" collapsed="false">
      <c r="A1402" s="0" t="n">
        <v>177</v>
      </c>
      <c r="B1402" s="0" t="s">
        <v>238</v>
      </c>
      <c r="C1402" s="0" t="s">
        <v>829</v>
      </c>
      <c r="D1402" s="0" t="s">
        <v>5994</v>
      </c>
      <c r="E1402" s="0" t="n">
        <v>2026</v>
      </c>
      <c r="H1402" s="0" t="n">
        <v>2</v>
      </c>
      <c r="I1402" s="0" t="n">
        <v>140</v>
      </c>
      <c r="J1402" s="0" t="s">
        <v>268</v>
      </c>
      <c r="K1402" s="0" t="s">
        <v>4535</v>
      </c>
      <c r="L1402" s="0" t="s">
        <v>1697</v>
      </c>
      <c r="M1402" s="0" t="s">
        <v>5995</v>
      </c>
      <c r="N1402" s="0" t="s">
        <v>5995</v>
      </c>
      <c r="O1402" s="0" t="s">
        <v>5996</v>
      </c>
      <c r="P1402" s="0" t="s">
        <v>5997</v>
      </c>
      <c r="R1402" s="0" t="s">
        <v>275</v>
      </c>
      <c r="S1402" s="0" t="s">
        <v>268</v>
      </c>
      <c r="T1402" s="0" t="s">
        <v>276</v>
      </c>
      <c r="U1402" s="0" t="s">
        <v>277</v>
      </c>
    </row>
    <row r="1403" customFormat="false" ht="15" hidden="false" customHeight="false" outlineLevel="0" collapsed="false">
      <c r="A1403" s="0" t="n">
        <v>177</v>
      </c>
      <c r="B1403" s="0" t="s">
        <v>238</v>
      </c>
      <c r="C1403" s="0" t="s">
        <v>530</v>
      </c>
      <c r="D1403" s="0" t="s">
        <v>5998</v>
      </c>
      <c r="E1403" s="0" t="n">
        <v>2022</v>
      </c>
      <c r="H1403" s="0" t="n">
        <v>23</v>
      </c>
      <c r="I1403" s="0" t="n">
        <v>11541</v>
      </c>
      <c r="J1403" s="0" t="s">
        <v>268</v>
      </c>
      <c r="K1403" s="0" t="s">
        <v>4535</v>
      </c>
      <c r="L1403" s="0" t="s">
        <v>1697</v>
      </c>
      <c r="M1403" s="0" t="s">
        <v>5999</v>
      </c>
      <c r="N1403" s="0" t="s">
        <v>5999</v>
      </c>
      <c r="O1403" s="0" t="s">
        <v>6000</v>
      </c>
      <c r="P1403" s="0" t="s">
        <v>6001</v>
      </c>
      <c r="R1403" s="0" t="s">
        <v>284</v>
      </c>
      <c r="S1403" s="0" t="s">
        <v>268</v>
      </c>
      <c r="T1403" s="0" t="s">
        <v>276</v>
      </c>
      <c r="U1403" s="0" t="s">
        <v>277</v>
      </c>
    </row>
    <row r="1404" customFormat="false" ht="15" hidden="false" customHeight="false" outlineLevel="0" collapsed="false">
      <c r="A1404" s="0" t="n">
        <v>177</v>
      </c>
      <c r="B1404" s="0" t="s">
        <v>238</v>
      </c>
      <c r="C1404" s="0" t="s">
        <v>480</v>
      </c>
      <c r="D1404" s="0" t="s">
        <v>6002</v>
      </c>
      <c r="E1404" s="0" t="n">
        <v>2026</v>
      </c>
      <c r="H1404" s="0" t="n">
        <v>3</v>
      </c>
      <c r="I1404" s="0" t="n">
        <v>2284</v>
      </c>
      <c r="J1404" s="0" t="s">
        <v>268</v>
      </c>
      <c r="K1404" s="0" t="s">
        <v>4535</v>
      </c>
      <c r="L1404" s="0" t="s">
        <v>1697</v>
      </c>
      <c r="M1404" s="0" t="s">
        <v>6003</v>
      </c>
      <c r="N1404" s="0" t="s">
        <v>6003</v>
      </c>
      <c r="O1404" s="0" t="s">
        <v>6004</v>
      </c>
      <c r="P1404" s="0" t="s">
        <v>6005</v>
      </c>
      <c r="R1404" s="0" t="s">
        <v>275</v>
      </c>
      <c r="S1404" s="0" t="s">
        <v>268</v>
      </c>
      <c r="T1404" s="0" t="s">
        <v>276</v>
      </c>
      <c r="U1404" s="0" t="s">
        <v>277</v>
      </c>
    </row>
    <row r="1405" customFormat="false" ht="15" hidden="false" customHeight="false" outlineLevel="0" collapsed="false">
      <c r="A1405" s="0" t="n">
        <v>178</v>
      </c>
      <c r="B1405" s="0" t="s">
        <v>239</v>
      </c>
      <c r="C1405" s="0" t="s">
        <v>56</v>
      </c>
      <c r="D1405" s="0" t="s">
        <v>6006</v>
      </c>
      <c r="E1405" s="0" t="n">
        <v>2019</v>
      </c>
      <c r="H1405" s="0" t="n">
        <v>5</v>
      </c>
      <c r="I1405" s="0" t="n">
        <v>823</v>
      </c>
      <c r="J1405" s="0" t="s">
        <v>268</v>
      </c>
      <c r="K1405" s="0" t="s">
        <v>298</v>
      </c>
      <c r="L1405" s="0" t="s">
        <v>270</v>
      </c>
      <c r="M1405" s="0" t="s">
        <v>6007</v>
      </c>
      <c r="N1405" s="0" t="s">
        <v>6007</v>
      </c>
      <c r="O1405" s="0" t="s">
        <v>6008</v>
      </c>
      <c r="P1405" s="0" t="s">
        <v>6009</v>
      </c>
      <c r="R1405" s="0" t="s">
        <v>284</v>
      </c>
      <c r="S1405" s="0" t="s">
        <v>268</v>
      </c>
      <c r="T1405" s="0" t="s">
        <v>276</v>
      </c>
      <c r="U1405" s="0" t="s">
        <v>277</v>
      </c>
    </row>
    <row r="1406" customFormat="false" ht="15" hidden="false" customHeight="false" outlineLevel="0" collapsed="false">
      <c r="A1406" s="0" t="n">
        <v>178</v>
      </c>
      <c r="B1406" s="0" t="s">
        <v>239</v>
      </c>
      <c r="C1406" s="0" t="s">
        <v>309</v>
      </c>
      <c r="D1406" s="0" t="s">
        <v>6010</v>
      </c>
      <c r="E1406" s="0" t="n">
        <v>2020</v>
      </c>
      <c r="H1406" s="0" t="n">
        <v>1</v>
      </c>
      <c r="I1406" s="0" t="n">
        <v>98</v>
      </c>
      <c r="J1406" s="0" t="s">
        <v>290</v>
      </c>
      <c r="K1406" s="0" t="s">
        <v>298</v>
      </c>
      <c r="L1406" s="0" t="s">
        <v>270</v>
      </c>
      <c r="M1406" s="0" t="s">
        <v>6011</v>
      </c>
      <c r="N1406" s="0" t="s">
        <v>6011</v>
      </c>
      <c r="O1406" s="0" t="s">
        <v>6012</v>
      </c>
      <c r="P1406" s="0" t="s">
        <v>6013</v>
      </c>
      <c r="R1406" s="0" t="s">
        <v>284</v>
      </c>
      <c r="S1406" s="0" t="s">
        <v>268</v>
      </c>
      <c r="T1406" s="0" t="s">
        <v>276</v>
      </c>
      <c r="U1406" s="0" t="s">
        <v>277</v>
      </c>
    </row>
    <row r="1407" customFormat="false" ht="15" hidden="false" customHeight="false" outlineLevel="0" collapsed="false">
      <c r="A1407" s="0" t="n">
        <v>178</v>
      </c>
      <c r="B1407" s="0" t="s">
        <v>239</v>
      </c>
      <c r="C1407" s="0" t="s">
        <v>586</v>
      </c>
      <c r="D1407" s="0" t="s">
        <v>6014</v>
      </c>
      <c r="E1407" s="0" t="n">
        <v>2018</v>
      </c>
      <c r="H1407" s="0" t="n">
        <v>4</v>
      </c>
      <c r="I1407" s="0" t="n">
        <v>847</v>
      </c>
      <c r="J1407" s="0" t="s">
        <v>268</v>
      </c>
      <c r="K1407" s="0" t="s">
        <v>1256</v>
      </c>
      <c r="L1407" s="0" t="s">
        <v>293</v>
      </c>
      <c r="M1407" s="0" t="s">
        <v>6015</v>
      </c>
      <c r="N1407" s="0" t="s">
        <v>6015</v>
      </c>
      <c r="O1407" s="0" t="s">
        <v>6016</v>
      </c>
      <c r="P1407" s="0" t="s">
        <v>6017</v>
      </c>
      <c r="R1407" s="0" t="s">
        <v>284</v>
      </c>
      <c r="S1407" s="0" t="s">
        <v>268</v>
      </c>
      <c r="T1407" s="0" t="s">
        <v>276</v>
      </c>
      <c r="U1407" s="0" t="s">
        <v>277</v>
      </c>
    </row>
    <row r="1408" customFormat="false" ht="15" hidden="false" customHeight="false" outlineLevel="0" collapsed="false">
      <c r="A1408" s="0" t="n">
        <v>178</v>
      </c>
      <c r="B1408" s="0" t="s">
        <v>239</v>
      </c>
      <c r="C1408" s="0" t="s">
        <v>266</v>
      </c>
      <c r="D1408" s="0" t="s">
        <v>6018</v>
      </c>
      <c r="E1408" s="0" t="n">
        <v>2019</v>
      </c>
      <c r="H1408" s="0" t="n">
        <v>4</v>
      </c>
      <c r="I1408" s="0" t="n">
        <v>1958</v>
      </c>
      <c r="J1408" s="0" t="s">
        <v>268</v>
      </c>
      <c r="K1408" s="0" t="s">
        <v>1256</v>
      </c>
      <c r="L1408" s="0" t="s">
        <v>293</v>
      </c>
      <c r="M1408" s="0" t="s">
        <v>6019</v>
      </c>
      <c r="N1408" s="0" t="s">
        <v>6019</v>
      </c>
      <c r="O1408" s="0" t="s">
        <v>6020</v>
      </c>
      <c r="P1408" s="0" t="s">
        <v>6021</v>
      </c>
      <c r="R1408" s="0" t="s">
        <v>284</v>
      </c>
      <c r="S1408" s="0" t="s">
        <v>268</v>
      </c>
      <c r="T1408" s="0" t="s">
        <v>314</v>
      </c>
      <c r="U1408" s="0" t="s">
        <v>277</v>
      </c>
      <c r="V1408" s="0" t="s">
        <v>6022</v>
      </c>
    </row>
    <row r="1409" customFormat="false" ht="15" hidden="false" customHeight="false" outlineLevel="0" collapsed="false">
      <c r="A1409" s="0" t="n">
        <v>135</v>
      </c>
      <c r="B1409" s="0" t="s">
        <v>191</v>
      </c>
      <c r="C1409" s="0" t="s">
        <v>266</v>
      </c>
      <c r="D1409" s="0" t="s">
        <v>6018</v>
      </c>
      <c r="E1409" s="0" t="n">
        <v>2019</v>
      </c>
      <c r="H1409" s="0" t="n">
        <v>4</v>
      </c>
      <c r="I1409" s="0" t="n">
        <v>1958</v>
      </c>
      <c r="J1409" s="0" t="s">
        <v>268</v>
      </c>
      <c r="K1409" s="0" t="s">
        <v>1256</v>
      </c>
      <c r="L1409" s="0" t="s">
        <v>293</v>
      </c>
      <c r="M1409" s="0" t="s">
        <v>6019</v>
      </c>
      <c r="N1409" s="0" t="s">
        <v>6019</v>
      </c>
      <c r="O1409" s="0" t="s">
        <v>6020</v>
      </c>
      <c r="P1409" s="0" t="s">
        <v>6021</v>
      </c>
      <c r="R1409" s="0" t="s">
        <v>284</v>
      </c>
      <c r="S1409" s="0" t="s">
        <v>268</v>
      </c>
      <c r="T1409" s="0" t="s">
        <v>314</v>
      </c>
      <c r="U1409" s="0" t="s">
        <v>277</v>
      </c>
      <c r="V1409" s="0" t="s">
        <v>6022</v>
      </c>
    </row>
    <row r="1410" customFormat="false" ht="15" hidden="false" customHeight="false" outlineLevel="0" collapsed="false">
      <c r="A1410" s="0" t="n">
        <v>178</v>
      </c>
      <c r="B1410" s="0" t="s">
        <v>239</v>
      </c>
      <c r="C1410" s="0" t="s">
        <v>500</v>
      </c>
      <c r="D1410" s="0" t="s">
        <v>6023</v>
      </c>
      <c r="E1410" s="0" t="n">
        <v>2019</v>
      </c>
      <c r="H1410" s="0" t="n">
        <v>13</v>
      </c>
      <c r="I1410" s="0" t="n">
        <v>5770</v>
      </c>
      <c r="J1410" s="0" t="s">
        <v>268</v>
      </c>
      <c r="K1410" s="0" t="s">
        <v>1256</v>
      </c>
      <c r="L1410" s="0" t="s">
        <v>293</v>
      </c>
      <c r="M1410" s="0" t="s">
        <v>6024</v>
      </c>
      <c r="N1410" s="0" t="s">
        <v>6024</v>
      </c>
      <c r="O1410" s="0" t="s">
        <v>6025</v>
      </c>
      <c r="P1410" s="0" t="s">
        <v>6026</v>
      </c>
      <c r="R1410" s="0" t="s">
        <v>284</v>
      </c>
      <c r="S1410" s="0" t="s">
        <v>268</v>
      </c>
      <c r="T1410" s="0" t="s">
        <v>276</v>
      </c>
      <c r="U1410" s="0" t="s">
        <v>277</v>
      </c>
    </row>
    <row r="1411" customFormat="false" ht="15" hidden="false" customHeight="false" outlineLevel="0" collapsed="false">
      <c r="A1411" s="0" t="n">
        <v>178</v>
      </c>
      <c r="B1411" s="0" t="s">
        <v>239</v>
      </c>
      <c r="C1411" s="0" t="s">
        <v>500</v>
      </c>
      <c r="D1411" s="0" t="s">
        <v>6027</v>
      </c>
      <c r="E1411" s="0" t="n">
        <v>2015</v>
      </c>
      <c r="H1411" s="0" t="n">
        <v>2</v>
      </c>
      <c r="I1411" s="0" t="n">
        <v>947</v>
      </c>
      <c r="J1411" s="0" t="s">
        <v>268</v>
      </c>
      <c r="K1411" s="0" t="s">
        <v>1256</v>
      </c>
      <c r="L1411" s="0" t="s">
        <v>293</v>
      </c>
      <c r="M1411" s="0" t="s">
        <v>6028</v>
      </c>
      <c r="N1411" s="0" t="s">
        <v>6029</v>
      </c>
      <c r="O1411" s="0" t="s">
        <v>6030</v>
      </c>
      <c r="P1411" s="0" t="s">
        <v>6031</v>
      </c>
      <c r="R1411" s="0" t="s">
        <v>284</v>
      </c>
      <c r="S1411" s="0" t="s">
        <v>290</v>
      </c>
      <c r="T1411" s="0" t="s">
        <v>314</v>
      </c>
      <c r="U1411" s="0" t="s">
        <v>277</v>
      </c>
      <c r="V1411" s="0" t="s">
        <v>6022</v>
      </c>
    </row>
    <row r="1412" customFormat="false" ht="15" hidden="false" customHeight="false" outlineLevel="0" collapsed="false">
      <c r="A1412" s="0" t="n">
        <v>135</v>
      </c>
      <c r="B1412" s="0" t="s">
        <v>191</v>
      </c>
      <c r="C1412" s="0" t="s">
        <v>500</v>
      </c>
      <c r="D1412" s="0" t="s">
        <v>6027</v>
      </c>
      <c r="E1412" s="0" t="n">
        <v>2015</v>
      </c>
      <c r="H1412" s="0" t="n">
        <v>2</v>
      </c>
      <c r="I1412" s="0" t="n">
        <v>947</v>
      </c>
      <c r="J1412" s="0" t="s">
        <v>268</v>
      </c>
      <c r="K1412" s="0" t="s">
        <v>1256</v>
      </c>
      <c r="L1412" s="0" t="s">
        <v>293</v>
      </c>
      <c r="M1412" s="0" t="s">
        <v>6028</v>
      </c>
      <c r="N1412" s="0" t="s">
        <v>6029</v>
      </c>
      <c r="O1412" s="0" t="s">
        <v>6030</v>
      </c>
      <c r="P1412" s="0" t="s">
        <v>6031</v>
      </c>
      <c r="R1412" s="0" t="s">
        <v>284</v>
      </c>
      <c r="S1412" s="0" t="s">
        <v>290</v>
      </c>
      <c r="T1412" s="0" t="s">
        <v>314</v>
      </c>
      <c r="U1412" s="0" t="s">
        <v>277</v>
      </c>
      <c r="V1412" s="0" t="s">
        <v>6022</v>
      </c>
    </row>
    <row r="1413" customFormat="false" ht="15" hidden="false" customHeight="false" outlineLevel="0" collapsed="false">
      <c r="A1413" s="0" t="n">
        <v>178</v>
      </c>
      <c r="B1413" s="0" t="s">
        <v>239</v>
      </c>
      <c r="C1413" s="0" t="s">
        <v>500</v>
      </c>
      <c r="D1413" s="0" t="s">
        <v>6032</v>
      </c>
      <c r="E1413" s="0" t="n">
        <v>2015</v>
      </c>
      <c r="H1413" s="0" t="n">
        <v>2</v>
      </c>
      <c r="I1413" s="0" t="n">
        <v>1518</v>
      </c>
      <c r="J1413" s="0" t="s">
        <v>290</v>
      </c>
      <c r="K1413" s="0" t="s">
        <v>1256</v>
      </c>
      <c r="L1413" s="0" t="s">
        <v>293</v>
      </c>
      <c r="M1413" s="0" t="s">
        <v>6033</v>
      </c>
      <c r="N1413" s="0" t="s">
        <v>6033</v>
      </c>
      <c r="O1413" s="0" t="s">
        <v>6034</v>
      </c>
      <c r="P1413" s="0" t="s">
        <v>6035</v>
      </c>
      <c r="R1413" s="0" t="s">
        <v>284</v>
      </c>
      <c r="S1413" s="0" t="s">
        <v>290</v>
      </c>
      <c r="T1413" s="0" t="s">
        <v>276</v>
      </c>
      <c r="U1413" s="0" t="s">
        <v>277</v>
      </c>
    </row>
    <row r="1414" customFormat="false" ht="15" hidden="false" customHeight="false" outlineLevel="0" collapsed="false">
      <c r="A1414" s="0" t="n">
        <v>179</v>
      </c>
      <c r="B1414" s="0" t="s">
        <v>240</v>
      </c>
      <c r="C1414" s="0" t="s">
        <v>56</v>
      </c>
      <c r="D1414" s="0" t="s">
        <v>6036</v>
      </c>
      <c r="E1414" s="0" t="n">
        <v>2024</v>
      </c>
      <c r="H1414" s="0" t="n">
        <v>17</v>
      </c>
      <c r="I1414" s="0" t="n">
        <v>21214</v>
      </c>
      <c r="J1414" s="0" t="s">
        <v>268</v>
      </c>
      <c r="K1414" s="0" t="s">
        <v>298</v>
      </c>
      <c r="L1414" s="0" t="s">
        <v>270</v>
      </c>
      <c r="M1414" s="0" t="s">
        <v>6037</v>
      </c>
      <c r="N1414" s="0" t="s">
        <v>6037</v>
      </c>
      <c r="O1414" s="0" t="s">
        <v>6038</v>
      </c>
      <c r="P1414" s="0" t="s">
        <v>6039</v>
      </c>
      <c r="R1414" s="0" t="s">
        <v>284</v>
      </c>
      <c r="S1414" s="0" t="s">
        <v>268</v>
      </c>
      <c r="T1414" s="0" t="s">
        <v>276</v>
      </c>
      <c r="U1414" s="0" t="s">
        <v>277</v>
      </c>
    </row>
    <row r="1415" customFormat="false" ht="15" hidden="false" customHeight="false" outlineLevel="0" collapsed="false">
      <c r="A1415" s="0" t="n">
        <v>179</v>
      </c>
      <c r="B1415" s="0" t="s">
        <v>240</v>
      </c>
      <c r="C1415" s="0" t="s">
        <v>309</v>
      </c>
      <c r="D1415" s="0" t="s">
        <v>6040</v>
      </c>
      <c r="E1415" s="0" t="n">
        <v>2025</v>
      </c>
      <c r="H1415" s="0" t="n">
        <v>1</v>
      </c>
      <c r="I1415" s="0" t="n">
        <v>5715</v>
      </c>
      <c r="J1415" s="0" t="s">
        <v>268</v>
      </c>
      <c r="K1415" s="0" t="s">
        <v>298</v>
      </c>
      <c r="L1415" s="0" t="s">
        <v>270</v>
      </c>
      <c r="M1415" s="0" t="s">
        <v>6041</v>
      </c>
      <c r="N1415" s="0" t="s">
        <v>6041</v>
      </c>
      <c r="O1415" s="0" t="s">
        <v>6042</v>
      </c>
      <c r="P1415" s="0" t="s">
        <v>6043</v>
      </c>
      <c r="R1415" s="0" t="s">
        <v>275</v>
      </c>
      <c r="S1415" s="0" t="s">
        <v>268</v>
      </c>
      <c r="T1415" s="0" t="s">
        <v>314</v>
      </c>
      <c r="U1415" s="0" t="s">
        <v>277</v>
      </c>
      <c r="V1415" s="0" t="s">
        <v>6044</v>
      </c>
    </row>
    <row r="1416" customFormat="false" ht="15" hidden="false" customHeight="false" outlineLevel="0" collapsed="false">
      <c r="A1416" s="0" t="n">
        <v>179</v>
      </c>
      <c r="B1416" s="0" t="s">
        <v>240</v>
      </c>
      <c r="C1416" s="0" t="s">
        <v>266</v>
      </c>
      <c r="D1416" s="0" t="s">
        <v>6045</v>
      </c>
      <c r="E1416" s="0" t="n">
        <v>2023</v>
      </c>
      <c r="H1416" s="0" t="n">
        <v>2</v>
      </c>
      <c r="I1416" s="0" t="n">
        <v>188</v>
      </c>
      <c r="J1416" s="0" t="s">
        <v>268</v>
      </c>
      <c r="K1416" s="0" t="s">
        <v>286</v>
      </c>
      <c r="L1416" s="0" t="s">
        <v>270</v>
      </c>
      <c r="M1416" s="0" t="s">
        <v>6046</v>
      </c>
      <c r="N1416" s="0" t="s">
        <v>6046</v>
      </c>
      <c r="O1416" s="0" t="s">
        <v>6047</v>
      </c>
      <c r="P1416" s="0" t="s">
        <v>6048</v>
      </c>
      <c r="R1416" s="0" t="s">
        <v>284</v>
      </c>
      <c r="S1416" s="0" t="s">
        <v>268</v>
      </c>
      <c r="T1416" s="0" t="s">
        <v>276</v>
      </c>
      <c r="U1416" s="0" t="s">
        <v>277</v>
      </c>
    </row>
    <row r="1417" customFormat="false" ht="15" hidden="false" customHeight="false" outlineLevel="0" collapsed="false">
      <c r="A1417" s="0" t="n">
        <v>180</v>
      </c>
      <c r="B1417" s="0" t="s">
        <v>241</v>
      </c>
      <c r="C1417" s="0" t="s">
        <v>56</v>
      </c>
      <c r="D1417" s="0" t="s">
        <v>6049</v>
      </c>
      <c r="E1417" s="0" t="n">
        <v>2025</v>
      </c>
      <c r="H1417" s="0" t="n">
        <v>19</v>
      </c>
      <c r="I1417" s="0" t="n">
        <v>2054</v>
      </c>
      <c r="J1417" s="0" t="s">
        <v>268</v>
      </c>
      <c r="K1417" s="0" t="s">
        <v>298</v>
      </c>
      <c r="L1417" s="0" t="s">
        <v>270</v>
      </c>
      <c r="M1417" s="0" t="s">
        <v>6050</v>
      </c>
      <c r="N1417" s="0" t="s">
        <v>6050</v>
      </c>
      <c r="O1417" s="0" t="s">
        <v>6051</v>
      </c>
      <c r="P1417" s="0" t="s">
        <v>6052</v>
      </c>
      <c r="R1417" s="0" t="s">
        <v>275</v>
      </c>
      <c r="S1417" s="0" t="s">
        <v>268</v>
      </c>
      <c r="T1417" s="0" t="s">
        <v>276</v>
      </c>
      <c r="U1417" s="0" t="s">
        <v>277</v>
      </c>
    </row>
    <row r="1418" customFormat="false" ht="15" hidden="false" customHeight="false" outlineLevel="0" collapsed="false">
      <c r="A1418" s="0" t="n">
        <v>180</v>
      </c>
      <c r="B1418" s="0" t="s">
        <v>241</v>
      </c>
      <c r="C1418" s="0" t="s">
        <v>309</v>
      </c>
      <c r="D1418" s="0" t="s">
        <v>6053</v>
      </c>
      <c r="E1418" s="0" t="n">
        <v>2019</v>
      </c>
      <c r="H1418" s="0" t="n">
        <v>1</v>
      </c>
      <c r="I1418" s="0" t="n">
        <v>217</v>
      </c>
      <c r="J1418" s="0" t="s">
        <v>290</v>
      </c>
      <c r="K1418" s="0" t="s">
        <v>298</v>
      </c>
      <c r="L1418" s="0" t="s">
        <v>270</v>
      </c>
      <c r="M1418" s="0" t="s">
        <v>6054</v>
      </c>
      <c r="N1418" s="0" t="s">
        <v>6054</v>
      </c>
      <c r="O1418" s="0" t="s">
        <v>6055</v>
      </c>
      <c r="P1418" s="0" t="s">
        <v>6056</v>
      </c>
      <c r="R1418" s="0" t="s">
        <v>284</v>
      </c>
      <c r="S1418" s="0" t="s">
        <v>268</v>
      </c>
      <c r="T1418" s="0" t="s">
        <v>276</v>
      </c>
      <c r="U1418" s="0" t="s">
        <v>277</v>
      </c>
    </row>
    <row r="1419" customFormat="false" ht="15" hidden="false" customHeight="false" outlineLevel="0" collapsed="false">
      <c r="A1419" s="0" t="n">
        <v>180</v>
      </c>
      <c r="B1419" s="0" t="s">
        <v>241</v>
      </c>
      <c r="C1419" s="0" t="s">
        <v>887</v>
      </c>
      <c r="D1419" s="0" t="s">
        <v>6057</v>
      </c>
      <c r="E1419" s="0" t="n">
        <v>2027</v>
      </c>
      <c r="H1419" s="0" t="n">
        <v>34</v>
      </c>
      <c r="I1419" s="0" t="n">
        <v>2601</v>
      </c>
      <c r="J1419" s="0" t="s">
        <v>268</v>
      </c>
      <c r="K1419" s="0" t="s">
        <v>286</v>
      </c>
      <c r="L1419" s="0" t="s">
        <v>270</v>
      </c>
      <c r="M1419" s="0" t="s">
        <v>6058</v>
      </c>
      <c r="N1419" s="0" t="s">
        <v>6058</v>
      </c>
      <c r="O1419" s="0" t="s">
        <v>6059</v>
      </c>
      <c r="P1419" s="0" t="s">
        <v>6060</v>
      </c>
      <c r="R1419" s="0" t="s">
        <v>275</v>
      </c>
      <c r="S1419" s="0" t="s">
        <v>268</v>
      </c>
      <c r="T1419" s="0" t="s">
        <v>276</v>
      </c>
      <c r="U1419" s="0" t="s">
        <v>277</v>
      </c>
    </row>
    <row r="1420" customFormat="false" ht="15" hidden="false" customHeight="false" outlineLevel="0" collapsed="false">
      <c r="A1420" s="0" t="n">
        <v>180</v>
      </c>
      <c r="B1420" s="0" t="s">
        <v>241</v>
      </c>
      <c r="C1420" s="0" t="s">
        <v>887</v>
      </c>
      <c r="D1420" s="0" t="s">
        <v>6061</v>
      </c>
      <c r="E1420" s="0" t="n">
        <v>2026</v>
      </c>
      <c r="H1420" s="0" t="n">
        <v>15</v>
      </c>
      <c r="I1420" s="0" t="n">
        <v>4223</v>
      </c>
      <c r="J1420" s="0" t="s">
        <v>268</v>
      </c>
      <c r="K1420" s="0" t="s">
        <v>286</v>
      </c>
      <c r="L1420" s="0" t="s">
        <v>270</v>
      </c>
      <c r="M1420" s="0" t="s">
        <v>6062</v>
      </c>
      <c r="N1420" s="0" t="s">
        <v>6062</v>
      </c>
      <c r="O1420" s="0" t="s">
        <v>6063</v>
      </c>
      <c r="P1420" s="0" t="s">
        <v>6064</v>
      </c>
      <c r="R1420" s="0" t="s">
        <v>275</v>
      </c>
      <c r="S1420" s="0" t="s">
        <v>290</v>
      </c>
      <c r="T1420" s="0" t="s">
        <v>276</v>
      </c>
      <c r="U1420" s="0" t="s">
        <v>277</v>
      </c>
    </row>
    <row r="1421" customFormat="false" ht="15" hidden="false" customHeight="false" outlineLevel="0" collapsed="false">
      <c r="A1421" s="0" t="n">
        <v>182</v>
      </c>
      <c r="B1421" s="0" t="s">
        <v>243</v>
      </c>
      <c r="C1421" s="0" t="s">
        <v>56</v>
      </c>
      <c r="D1421" s="0" t="s">
        <v>6065</v>
      </c>
      <c r="E1421" s="0" t="n">
        <v>2025</v>
      </c>
      <c r="H1421" s="0" t="n">
        <v>2</v>
      </c>
      <c r="I1421" s="0" t="n">
        <v>9554</v>
      </c>
      <c r="J1421" s="0" t="s">
        <v>290</v>
      </c>
      <c r="K1421" s="0" t="s">
        <v>298</v>
      </c>
      <c r="L1421" s="0" t="s">
        <v>270</v>
      </c>
      <c r="M1421" s="0" t="s">
        <v>6066</v>
      </c>
      <c r="N1421" s="0" t="s">
        <v>6066</v>
      </c>
      <c r="O1421" s="0" t="s">
        <v>6067</v>
      </c>
      <c r="P1421" s="0" t="s">
        <v>6068</v>
      </c>
      <c r="R1421" s="0" t="s">
        <v>275</v>
      </c>
      <c r="S1421" s="0" t="s">
        <v>268</v>
      </c>
      <c r="T1421" s="0" t="s">
        <v>276</v>
      </c>
      <c r="U1421" s="0" t="s">
        <v>277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3" min="2" style="0" width="60"/>
    <col collapsed="false" customWidth="true" hidden="false" outlineLevel="0" max="4" min="4" style="0" width="11"/>
    <col collapsed="false" customWidth="true" hidden="false" outlineLevel="0" max="5" min="5" style="0" width="60"/>
    <col collapsed="false" customWidth="true" hidden="false" outlineLevel="0" max="6" min="6" style="0" width="8"/>
    <col collapsed="false" customWidth="true" hidden="false" outlineLevel="0" max="7" min="7" style="0" width="12"/>
    <col collapsed="false" customWidth="true" hidden="false" outlineLevel="0" max="8" min="8" style="0" width="13"/>
    <col collapsed="false" customWidth="true" hidden="false" outlineLevel="0" max="9" min="9" style="0" width="60"/>
  </cols>
  <sheetData>
    <row r="1" customFormat="false" ht="15" hidden="false" customHeight="false" outlineLevel="0" collapsed="false">
      <c r="A1" s="1" t="s">
        <v>244</v>
      </c>
      <c r="B1" s="1" t="s">
        <v>6069</v>
      </c>
      <c r="C1" s="1" t="s">
        <v>256</v>
      </c>
      <c r="D1" s="1" t="s">
        <v>6070</v>
      </c>
      <c r="E1" s="1" t="s">
        <v>6071</v>
      </c>
      <c r="F1" s="1" t="s">
        <v>6072</v>
      </c>
      <c r="G1" s="1" t="s">
        <v>6073</v>
      </c>
      <c r="H1" s="1" t="s">
        <v>255</v>
      </c>
      <c r="I1" s="1" t="s">
        <v>6074</v>
      </c>
    </row>
    <row r="2" customFormat="false" ht="15" hidden="false" customHeight="false" outlineLevel="0" collapsed="false">
      <c r="A2" s="0" t="n">
        <v>69</v>
      </c>
      <c r="B2" s="0" t="s">
        <v>120</v>
      </c>
      <c r="C2" s="0" t="s">
        <v>6075</v>
      </c>
      <c r="D2" s="0" t="s">
        <v>6076</v>
      </c>
      <c r="E2" s="0" t="s">
        <v>6077</v>
      </c>
      <c r="F2" s="0" t="n">
        <v>22314</v>
      </c>
      <c r="G2" s="0" t="s">
        <v>277</v>
      </c>
      <c r="H2" s="0" t="s">
        <v>270</v>
      </c>
      <c r="I2" s="0" t="s">
        <v>6078</v>
      </c>
    </row>
    <row r="3" customFormat="false" ht="15" hidden="false" customHeight="false" outlineLevel="0" collapsed="false">
      <c r="A3" s="0" t="n">
        <v>3</v>
      </c>
      <c r="B3" s="0" t="s">
        <v>32</v>
      </c>
      <c r="C3" s="0" t="s">
        <v>6079</v>
      </c>
      <c r="D3" s="0" t="s">
        <v>6076</v>
      </c>
      <c r="E3" s="0" t="s">
        <v>6080</v>
      </c>
      <c r="F3" s="0" t="n">
        <v>27259</v>
      </c>
      <c r="G3" s="0" t="s">
        <v>277</v>
      </c>
      <c r="H3" s="0" t="s">
        <v>270</v>
      </c>
      <c r="I3" s="0" t="s">
        <v>6081</v>
      </c>
    </row>
    <row r="4" customFormat="false" ht="15" hidden="false" customHeight="false" outlineLevel="0" collapsed="false">
      <c r="A4" s="0" t="n">
        <v>163</v>
      </c>
      <c r="B4" s="0" t="s">
        <v>221</v>
      </c>
      <c r="C4" s="0" t="s">
        <v>6082</v>
      </c>
      <c r="D4" s="0" t="s">
        <v>6076</v>
      </c>
      <c r="E4" s="0" t="s">
        <v>6083</v>
      </c>
      <c r="F4" s="0" t="n">
        <v>24006</v>
      </c>
      <c r="G4" s="0" t="s">
        <v>277</v>
      </c>
      <c r="H4" s="0" t="s">
        <v>270</v>
      </c>
      <c r="I4" s="0" t="s">
        <v>6084</v>
      </c>
    </row>
    <row r="5" customFormat="false" ht="15" hidden="false" customHeight="false" outlineLevel="0" collapsed="false">
      <c r="A5" s="0" t="n">
        <v>15</v>
      </c>
      <c r="B5" s="0" t="s">
        <v>50</v>
      </c>
      <c r="C5" s="0" t="s">
        <v>6085</v>
      </c>
      <c r="D5" s="0" t="s">
        <v>6076</v>
      </c>
      <c r="E5" s="0" t="s">
        <v>6086</v>
      </c>
      <c r="F5" s="0" t="n">
        <v>24170</v>
      </c>
      <c r="G5" s="0" t="s">
        <v>277</v>
      </c>
      <c r="H5" s="0" t="s">
        <v>270</v>
      </c>
      <c r="I5" s="0" t="s">
        <v>6087</v>
      </c>
    </row>
    <row r="6" customFormat="false" ht="15" hidden="false" customHeight="false" outlineLevel="0" collapsed="false">
      <c r="A6" s="0" t="n">
        <v>39</v>
      </c>
      <c r="B6" s="0" t="s">
        <v>81</v>
      </c>
      <c r="C6" s="0" t="s">
        <v>6088</v>
      </c>
      <c r="D6" s="0" t="s">
        <v>6076</v>
      </c>
      <c r="E6" s="0" t="s">
        <v>6089</v>
      </c>
      <c r="F6" s="0" t="n">
        <v>29585</v>
      </c>
      <c r="G6" s="0" t="s">
        <v>277</v>
      </c>
      <c r="H6" s="0" t="s">
        <v>270</v>
      </c>
      <c r="I6" s="0" t="s">
        <v>6090</v>
      </c>
    </row>
    <row r="7" customFormat="false" ht="15" hidden="false" customHeight="false" outlineLevel="0" collapsed="false">
      <c r="A7" s="0" t="n">
        <v>9</v>
      </c>
      <c r="B7" s="0" t="s">
        <v>42</v>
      </c>
      <c r="C7" s="0" t="s">
        <v>6091</v>
      </c>
      <c r="D7" s="0" t="s">
        <v>6076</v>
      </c>
      <c r="E7" s="0" t="s">
        <v>6092</v>
      </c>
      <c r="F7" s="0" t="n">
        <v>27314</v>
      </c>
      <c r="G7" s="0" t="s">
        <v>277</v>
      </c>
      <c r="H7" s="0" t="s">
        <v>270</v>
      </c>
      <c r="I7" s="0" t="s">
        <v>6093</v>
      </c>
    </row>
    <row r="8" customFormat="false" ht="15" hidden="false" customHeight="false" outlineLevel="0" collapsed="false">
      <c r="A8" s="0" t="n">
        <v>145</v>
      </c>
      <c r="B8" s="0" t="s">
        <v>201</v>
      </c>
      <c r="C8" s="0" t="s">
        <v>6094</v>
      </c>
      <c r="D8" s="0" t="s">
        <v>6076</v>
      </c>
      <c r="E8" s="0" t="s">
        <v>6095</v>
      </c>
      <c r="F8" s="0" t="n">
        <v>25304</v>
      </c>
      <c r="G8" s="0" t="s">
        <v>277</v>
      </c>
      <c r="H8" s="0" t="s">
        <v>270</v>
      </c>
      <c r="I8" s="0" t="s">
        <v>6096</v>
      </c>
    </row>
    <row r="9" customFormat="false" ht="15" hidden="false" customHeight="false" outlineLevel="0" collapsed="false">
      <c r="A9" s="0" t="n">
        <v>106</v>
      </c>
      <c r="B9" s="0" t="s">
        <v>160</v>
      </c>
      <c r="C9" s="0" t="s">
        <v>6097</v>
      </c>
      <c r="D9" s="0" t="s">
        <v>6076</v>
      </c>
      <c r="E9" s="0" t="s">
        <v>6098</v>
      </c>
      <c r="F9" s="0" t="n">
        <v>24814</v>
      </c>
      <c r="G9" s="0" t="s">
        <v>277</v>
      </c>
      <c r="H9" s="0" t="s">
        <v>270</v>
      </c>
      <c r="I9" s="0" t="s">
        <v>6099</v>
      </c>
    </row>
    <row r="10" customFormat="false" ht="15" hidden="false" customHeight="false" outlineLevel="0" collapsed="false">
      <c r="A10" s="0" t="n">
        <v>146</v>
      </c>
      <c r="B10" s="0" t="s">
        <v>202</v>
      </c>
      <c r="C10" s="0" t="s">
        <v>6100</v>
      </c>
      <c r="D10" s="0" t="s">
        <v>6076</v>
      </c>
      <c r="E10" s="0" t="s">
        <v>6101</v>
      </c>
      <c r="F10" s="0" t="n">
        <v>24192</v>
      </c>
      <c r="G10" s="0" t="s">
        <v>277</v>
      </c>
      <c r="H10" s="0" t="s">
        <v>270</v>
      </c>
      <c r="I10" s="0" t="s">
        <v>6102</v>
      </c>
    </row>
    <row r="11" customFormat="false" ht="15" hidden="false" customHeight="false" outlineLevel="0" collapsed="false">
      <c r="A11" s="0" t="n">
        <v>96</v>
      </c>
      <c r="B11" s="0" t="s">
        <v>149</v>
      </c>
      <c r="C11" s="0" t="s">
        <v>6103</v>
      </c>
      <c r="D11" s="0" t="s">
        <v>6076</v>
      </c>
      <c r="E11" s="0" t="s">
        <v>6104</v>
      </c>
      <c r="F11" s="0" t="n">
        <v>23566</v>
      </c>
      <c r="G11" s="0" t="s">
        <v>277</v>
      </c>
      <c r="H11" s="0" t="s">
        <v>270</v>
      </c>
      <c r="I11" s="0" t="s">
        <v>6105</v>
      </c>
    </row>
    <row r="12" customFormat="false" ht="15" hidden="false" customHeight="false" outlineLevel="0" collapsed="false">
      <c r="A12" s="0" t="n">
        <v>97</v>
      </c>
      <c r="B12" s="0" t="s">
        <v>151</v>
      </c>
      <c r="C12" s="0" t="s">
        <v>6106</v>
      </c>
      <c r="D12" s="0" t="s">
        <v>6076</v>
      </c>
      <c r="E12" s="0" t="s">
        <v>6107</v>
      </c>
      <c r="F12" s="0" t="n">
        <v>23209</v>
      </c>
      <c r="G12" s="0" t="s">
        <v>277</v>
      </c>
      <c r="H12" s="0" t="s">
        <v>270</v>
      </c>
      <c r="I12" s="0" t="s">
        <v>6108</v>
      </c>
    </row>
    <row r="13" customFormat="false" ht="15" hidden="false" customHeight="false" outlineLevel="0" collapsed="false">
      <c r="A13" s="0" t="n">
        <v>77</v>
      </c>
      <c r="B13" s="0" t="s">
        <v>128</v>
      </c>
      <c r="C13" s="0" t="s">
        <v>6109</v>
      </c>
      <c r="D13" s="0" t="s">
        <v>6076</v>
      </c>
      <c r="E13" s="0" t="s">
        <v>6110</v>
      </c>
      <c r="F13" s="0" t="n">
        <v>29894</v>
      </c>
      <c r="G13" s="0" t="s">
        <v>277</v>
      </c>
      <c r="H13" s="0" t="s">
        <v>270</v>
      </c>
      <c r="I13" s="0" t="s">
        <v>6111</v>
      </c>
    </row>
    <row r="14" customFormat="false" ht="15" hidden="false" customHeight="false" outlineLevel="0" collapsed="false">
      <c r="A14" s="0" t="n">
        <v>4</v>
      </c>
      <c r="B14" s="0" t="s">
        <v>34</v>
      </c>
      <c r="C14" s="0" t="s">
        <v>6112</v>
      </c>
      <c r="D14" s="0" t="s">
        <v>6076</v>
      </c>
      <c r="E14" s="0" t="s">
        <v>6113</v>
      </c>
      <c r="F14" s="0" t="n">
        <v>24539</v>
      </c>
      <c r="G14" s="0" t="s">
        <v>277</v>
      </c>
      <c r="H14" s="0" t="s">
        <v>270</v>
      </c>
      <c r="I14" s="0" t="s">
        <v>6114</v>
      </c>
    </row>
    <row r="15" customFormat="false" ht="15" hidden="false" customHeight="false" outlineLevel="0" collapsed="false">
      <c r="A15" s="0" t="n">
        <v>120</v>
      </c>
      <c r="B15" s="0" t="s">
        <v>175</v>
      </c>
      <c r="C15" s="0" t="s">
        <v>6115</v>
      </c>
      <c r="D15" s="0" t="s">
        <v>6076</v>
      </c>
      <c r="E15" s="0" t="s">
        <v>6116</v>
      </c>
      <c r="F15" s="0" t="n">
        <v>27488</v>
      </c>
      <c r="G15" s="0" t="s">
        <v>277</v>
      </c>
      <c r="H15" s="0" t="s">
        <v>270</v>
      </c>
      <c r="I15" s="0" t="s">
        <v>6117</v>
      </c>
    </row>
    <row r="16" customFormat="false" ht="15" hidden="false" customHeight="false" outlineLevel="0" collapsed="false">
      <c r="A16" s="0" t="n">
        <v>169</v>
      </c>
      <c r="B16" s="0" t="s">
        <v>229</v>
      </c>
      <c r="C16" s="0" t="s">
        <v>6118</v>
      </c>
      <c r="D16" s="0" t="s">
        <v>6076</v>
      </c>
      <c r="E16" s="0" t="s">
        <v>6119</v>
      </c>
      <c r="F16" s="0" t="n">
        <v>25520</v>
      </c>
      <c r="G16" s="0" t="s">
        <v>277</v>
      </c>
      <c r="H16" s="0" t="s">
        <v>270</v>
      </c>
      <c r="I16" s="0" t="s">
        <v>6120</v>
      </c>
    </row>
    <row r="17" customFormat="false" ht="15" hidden="false" customHeight="false" outlineLevel="0" collapsed="false">
      <c r="A17" s="0" t="n">
        <v>164</v>
      </c>
      <c r="B17" s="0" t="s">
        <v>222</v>
      </c>
      <c r="C17" s="0" t="s">
        <v>6121</v>
      </c>
      <c r="D17" s="0" t="s">
        <v>6076</v>
      </c>
      <c r="E17" s="0" t="s">
        <v>6122</v>
      </c>
      <c r="F17" s="0" t="n">
        <v>35087</v>
      </c>
      <c r="G17" s="0" t="s">
        <v>277</v>
      </c>
      <c r="H17" s="0" t="s">
        <v>270</v>
      </c>
      <c r="I17" s="0" t="s">
        <v>6123</v>
      </c>
    </row>
    <row r="18" customFormat="false" ht="15" hidden="false" customHeight="false" outlineLevel="0" collapsed="false">
      <c r="A18" s="0" t="n">
        <v>21</v>
      </c>
      <c r="B18" s="0" t="s">
        <v>58</v>
      </c>
      <c r="C18" s="0" t="s">
        <v>6124</v>
      </c>
      <c r="D18" s="0" t="s">
        <v>6076</v>
      </c>
      <c r="E18" s="0" t="s">
        <v>6125</v>
      </c>
      <c r="F18" s="0" t="n">
        <v>25582</v>
      </c>
      <c r="G18" s="0" t="s">
        <v>277</v>
      </c>
      <c r="H18" s="0" t="s">
        <v>270</v>
      </c>
      <c r="I18" s="0" t="s">
        <v>6126</v>
      </c>
    </row>
    <row r="19" customFormat="false" ht="15" hidden="false" customHeight="false" outlineLevel="0" collapsed="false">
      <c r="A19" s="0" t="n">
        <v>126</v>
      </c>
      <c r="B19" s="0" t="s">
        <v>181</v>
      </c>
      <c r="C19" s="0" t="s">
        <v>6127</v>
      </c>
      <c r="D19" s="0" t="s">
        <v>6076</v>
      </c>
      <c r="E19" s="0" t="s">
        <v>6128</v>
      </c>
      <c r="F19" s="0" t="n">
        <v>32674</v>
      </c>
      <c r="G19" s="0" t="s">
        <v>277</v>
      </c>
      <c r="H19" s="0" t="s">
        <v>270</v>
      </c>
      <c r="I19" s="0" t="s">
        <v>6129</v>
      </c>
    </row>
    <row r="20" customFormat="false" ht="15" hidden="false" customHeight="false" outlineLevel="0" collapsed="false">
      <c r="A20" s="0" t="n">
        <v>85</v>
      </c>
      <c r="B20" s="0" t="s">
        <v>136</v>
      </c>
      <c r="C20" s="0" t="s">
        <v>6130</v>
      </c>
      <c r="D20" s="0" t="s">
        <v>6076</v>
      </c>
      <c r="E20" s="0" t="s">
        <v>6131</v>
      </c>
      <c r="F20" s="0" t="n">
        <v>26754</v>
      </c>
      <c r="G20" s="0" t="s">
        <v>277</v>
      </c>
      <c r="H20" s="0" t="s">
        <v>270</v>
      </c>
      <c r="I20" s="0" t="s">
        <v>6132</v>
      </c>
    </row>
    <row r="21" customFormat="false" ht="15" hidden="false" customHeight="false" outlineLevel="0" collapsed="false">
      <c r="A21" s="0" t="n">
        <v>85</v>
      </c>
      <c r="B21" s="0" t="s">
        <v>136</v>
      </c>
      <c r="C21" s="0" t="s">
        <v>6133</v>
      </c>
      <c r="D21" s="0" t="s">
        <v>6076</v>
      </c>
      <c r="E21" s="0" t="s">
        <v>6134</v>
      </c>
      <c r="F21" s="0" t="n">
        <v>28098</v>
      </c>
      <c r="G21" s="0" t="s">
        <v>277</v>
      </c>
      <c r="H21" s="0" t="s">
        <v>270</v>
      </c>
      <c r="I21" s="0" t="s">
        <v>6135</v>
      </c>
    </row>
    <row r="22" customFormat="false" ht="15" hidden="false" customHeight="false" outlineLevel="0" collapsed="false">
      <c r="A22" s="0" t="n">
        <v>26</v>
      </c>
      <c r="B22" s="0" t="s">
        <v>65</v>
      </c>
      <c r="C22" s="0" t="s">
        <v>6136</v>
      </c>
      <c r="D22" s="0" t="s">
        <v>6076</v>
      </c>
      <c r="E22" s="0" t="s">
        <v>6137</v>
      </c>
      <c r="F22" s="0" t="n">
        <v>28972</v>
      </c>
      <c r="G22" s="0" t="s">
        <v>277</v>
      </c>
      <c r="H22" s="0" t="s">
        <v>270</v>
      </c>
      <c r="I22" s="0" t="s">
        <v>6138</v>
      </c>
    </row>
    <row r="23" customFormat="false" ht="15" hidden="false" customHeight="false" outlineLevel="0" collapsed="false">
      <c r="A23" s="0" t="n">
        <v>65</v>
      </c>
      <c r="B23" s="0" t="s">
        <v>116</v>
      </c>
      <c r="C23" s="0" t="s">
        <v>6139</v>
      </c>
      <c r="D23" s="0" t="s">
        <v>6076</v>
      </c>
      <c r="E23" s="0" t="s">
        <v>6140</v>
      </c>
      <c r="F23" s="0" t="n">
        <v>29576</v>
      </c>
      <c r="G23" s="0" t="s">
        <v>277</v>
      </c>
      <c r="H23" s="0" t="s">
        <v>270</v>
      </c>
      <c r="I23" s="0" t="s">
        <v>6141</v>
      </c>
    </row>
    <row r="24" customFormat="false" ht="15" hidden="false" customHeight="false" outlineLevel="0" collapsed="false">
      <c r="A24" s="0" t="n">
        <v>159</v>
      </c>
      <c r="B24" s="0" t="s">
        <v>217</v>
      </c>
      <c r="C24" s="0" t="s">
        <v>6142</v>
      </c>
      <c r="D24" s="0" t="s">
        <v>6076</v>
      </c>
      <c r="E24" s="0" t="s">
        <v>6143</v>
      </c>
      <c r="F24" s="0" t="n">
        <v>23651</v>
      </c>
      <c r="G24" s="0" t="s">
        <v>277</v>
      </c>
      <c r="H24" s="0" t="s">
        <v>270</v>
      </c>
      <c r="I24" s="0" t="s">
        <v>6144</v>
      </c>
    </row>
    <row r="25" customFormat="false" ht="15" hidden="false" customHeight="false" outlineLevel="0" collapsed="false">
      <c r="A25" s="0" t="n">
        <v>160</v>
      </c>
      <c r="B25" s="0" t="s">
        <v>218</v>
      </c>
      <c r="C25" s="0" t="s">
        <v>6145</v>
      </c>
      <c r="D25" s="0" t="s">
        <v>6076</v>
      </c>
      <c r="E25" s="0" t="s">
        <v>6146</v>
      </c>
      <c r="F25" s="0" t="n">
        <v>22869</v>
      </c>
      <c r="G25" s="0" t="s">
        <v>277</v>
      </c>
      <c r="H25" s="0" t="s">
        <v>270</v>
      </c>
      <c r="I25" s="0" t="s">
        <v>6147</v>
      </c>
    </row>
    <row r="26" customFormat="false" ht="15" hidden="false" customHeight="false" outlineLevel="0" collapsed="false">
      <c r="A26" s="0" t="n">
        <v>150</v>
      </c>
      <c r="B26" s="0" t="s">
        <v>207</v>
      </c>
      <c r="C26" s="0" t="s">
        <v>6148</v>
      </c>
      <c r="D26" s="0" t="s">
        <v>6076</v>
      </c>
      <c r="E26" s="0" t="s">
        <v>6149</v>
      </c>
      <c r="F26" s="0" t="n">
        <v>28608</v>
      </c>
      <c r="G26" s="0" t="s">
        <v>277</v>
      </c>
      <c r="H26" s="0" t="s">
        <v>270</v>
      </c>
      <c r="I26" s="0" t="s">
        <v>6150</v>
      </c>
    </row>
    <row r="27" customFormat="false" ht="15" hidden="false" customHeight="false" outlineLevel="0" collapsed="false">
      <c r="A27" s="0" t="n">
        <v>32</v>
      </c>
      <c r="B27" s="0" t="s">
        <v>72</v>
      </c>
      <c r="C27" s="0" t="s">
        <v>6151</v>
      </c>
      <c r="D27" s="0" t="s">
        <v>6076</v>
      </c>
      <c r="E27" s="0" t="s">
        <v>6152</v>
      </c>
      <c r="F27" s="0" t="n">
        <v>28029</v>
      </c>
      <c r="G27" s="0" t="s">
        <v>277</v>
      </c>
      <c r="H27" s="0" t="s">
        <v>270</v>
      </c>
      <c r="I27" s="0" t="s">
        <v>6153</v>
      </c>
    </row>
    <row r="28" customFormat="false" ht="15" hidden="false" customHeight="false" outlineLevel="0" collapsed="false">
      <c r="A28" s="0" t="n">
        <v>121</v>
      </c>
      <c r="B28" s="0" t="s">
        <v>176</v>
      </c>
      <c r="C28" s="0" t="s">
        <v>6154</v>
      </c>
      <c r="D28" s="0" t="s">
        <v>6076</v>
      </c>
      <c r="E28" s="0" t="s">
        <v>6155</v>
      </c>
      <c r="F28" s="0" t="n">
        <v>28318</v>
      </c>
      <c r="G28" s="0" t="s">
        <v>277</v>
      </c>
      <c r="H28" s="0" t="s">
        <v>270</v>
      </c>
      <c r="I28" s="0" t="s">
        <v>6156</v>
      </c>
    </row>
    <row r="29" customFormat="false" ht="15" hidden="false" customHeight="false" outlineLevel="0" collapsed="false">
      <c r="A29" s="0" t="n">
        <v>66</v>
      </c>
      <c r="B29" s="0" t="s">
        <v>117</v>
      </c>
      <c r="C29" s="0" t="s">
        <v>6157</v>
      </c>
      <c r="D29" s="0" t="s">
        <v>6076</v>
      </c>
      <c r="E29" s="0" t="s">
        <v>6158</v>
      </c>
      <c r="F29" s="0" t="n">
        <v>33854</v>
      </c>
      <c r="G29" s="0" t="s">
        <v>277</v>
      </c>
      <c r="H29" s="0" t="s">
        <v>270</v>
      </c>
      <c r="I29" s="0" t="s">
        <v>6159</v>
      </c>
    </row>
    <row r="30" customFormat="false" ht="15" hidden="false" customHeight="false" outlineLevel="0" collapsed="false">
      <c r="A30" s="0" t="n">
        <v>99</v>
      </c>
      <c r="B30" s="0" t="s">
        <v>153</v>
      </c>
      <c r="C30" s="0" t="s">
        <v>6160</v>
      </c>
      <c r="D30" s="0" t="s">
        <v>6076</v>
      </c>
      <c r="E30" s="0" t="s">
        <v>6161</v>
      </c>
      <c r="F30" s="0" t="n">
        <v>34226</v>
      </c>
      <c r="G30" s="0" t="s">
        <v>277</v>
      </c>
      <c r="H30" s="0" t="s">
        <v>270</v>
      </c>
      <c r="I30" s="0" t="s">
        <v>6162</v>
      </c>
    </row>
    <row r="31" customFormat="false" ht="15" hidden="false" customHeight="false" outlineLevel="0" collapsed="false">
      <c r="A31" s="0" t="n">
        <v>155</v>
      </c>
      <c r="B31" s="0" t="s">
        <v>212</v>
      </c>
      <c r="C31" s="0" t="s">
        <v>6163</v>
      </c>
      <c r="D31" s="0" t="s">
        <v>6076</v>
      </c>
      <c r="E31" s="0" t="s">
        <v>6164</v>
      </c>
      <c r="F31" s="0" t="n">
        <v>25583</v>
      </c>
      <c r="G31" s="0" t="s">
        <v>277</v>
      </c>
      <c r="H31" s="0" t="s">
        <v>270</v>
      </c>
      <c r="I31" s="0" t="s">
        <v>6165</v>
      </c>
    </row>
    <row r="32" customFormat="false" ht="15" hidden="false" customHeight="false" outlineLevel="0" collapsed="false">
      <c r="A32" s="0" t="n">
        <v>109</v>
      </c>
      <c r="B32" s="0" t="s">
        <v>163</v>
      </c>
      <c r="C32" s="0" t="s">
        <v>6166</v>
      </c>
      <c r="D32" s="0" t="s">
        <v>6076</v>
      </c>
      <c r="E32" s="0" t="s">
        <v>6167</v>
      </c>
      <c r="F32" s="0" t="n">
        <v>25334</v>
      </c>
      <c r="G32" s="0" t="s">
        <v>277</v>
      </c>
      <c r="H32" s="0" t="s">
        <v>270</v>
      </c>
      <c r="I32" s="0" t="s">
        <v>6168</v>
      </c>
    </row>
    <row r="33" customFormat="false" ht="15" hidden="false" customHeight="false" outlineLevel="0" collapsed="false">
      <c r="A33" s="0" t="n">
        <v>62</v>
      </c>
      <c r="B33" s="0" t="s">
        <v>113</v>
      </c>
      <c r="C33" s="0" t="s">
        <v>6169</v>
      </c>
      <c r="D33" s="0" t="s">
        <v>6076</v>
      </c>
      <c r="E33" s="0" t="s">
        <v>6170</v>
      </c>
      <c r="F33" s="0" t="n">
        <v>27632</v>
      </c>
      <c r="G33" s="0" t="s">
        <v>277</v>
      </c>
      <c r="H33" s="0" t="s">
        <v>270</v>
      </c>
      <c r="I33" s="0" t="s">
        <v>6171</v>
      </c>
    </row>
    <row r="34" customFormat="false" ht="15" hidden="false" customHeight="false" outlineLevel="0" collapsed="false">
      <c r="A34" s="0" t="n">
        <v>33</v>
      </c>
      <c r="B34" s="0" t="s">
        <v>73</v>
      </c>
      <c r="C34" s="0" t="s">
        <v>6172</v>
      </c>
      <c r="D34" s="0" t="s">
        <v>6076</v>
      </c>
      <c r="E34" s="0" t="s">
        <v>6173</v>
      </c>
      <c r="F34" s="0" t="n">
        <v>25852</v>
      </c>
      <c r="G34" s="0" t="s">
        <v>277</v>
      </c>
      <c r="H34" s="0" t="s">
        <v>270</v>
      </c>
      <c r="I34" s="0" t="s">
        <v>6174</v>
      </c>
    </row>
    <row r="35" customFormat="false" ht="15" hidden="false" customHeight="false" outlineLevel="0" collapsed="false">
      <c r="A35" s="0" t="n">
        <v>178</v>
      </c>
      <c r="B35" s="0" t="s">
        <v>239</v>
      </c>
      <c r="C35" s="0" t="s">
        <v>6175</v>
      </c>
      <c r="D35" s="0" t="s">
        <v>6076</v>
      </c>
      <c r="E35" s="0" t="s">
        <v>6176</v>
      </c>
      <c r="F35" s="0" t="n">
        <v>26858</v>
      </c>
      <c r="G35" s="0" t="s">
        <v>277</v>
      </c>
      <c r="H35" s="0" t="s">
        <v>270</v>
      </c>
      <c r="I35" s="0" t="s">
        <v>6177</v>
      </c>
    </row>
    <row r="36" customFormat="false" ht="15" hidden="false" customHeight="false" outlineLevel="0" collapsed="false">
      <c r="A36" s="0" t="n">
        <v>135</v>
      </c>
      <c r="B36" s="0" t="s">
        <v>191</v>
      </c>
      <c r="C36" s="0" t="s">
        <v>6178</v>
      </c>
      <c r="D36" s="0" t="s">
        <v>6076</v>
      </c>
      <c r="E36" s="0" t="s">
        <v>6179</v>
      </c>
      <c r="F36" s="0" t="n">
        <v>28066</v>
      </c>
      <c r="G36" s="0" t="s">
        <v>277</v>
      </c>
      <c r="H36" s="0" t="s">
        <v>270</v>
      </c>
      <c r="I36" s="0" t="s">
        <v>6180</v>
      </c>
    </row>
    <row r="37" customFormat="false" ht="15" hidden="false" customHeight="false" outlineLevel="0" collapsed="false">
      <c r="A37" s="0" t="n">
        <v>48</v>
      </c>
      <c r="B37" s="0" t="s">
        <v>95</v>
      </c>
      <c r="C37" s="0" t="s">
        <v>6181</v>
      </c>
      <c r="D37" s="0" t="s">
        <v>6076</v>
      </c>
      <c r="E37" s="0" t="s">
        <v>6182</v>
      </c>
      <c r="F37" s="0" t="n">
        <v>29269</v>
      </c>
      <c r="G37" s="0" t="s">
        <v>277</v>
      </c>
      <c r="H37" s="0" t="s">
        <v>270</v>
      </c>
      <c r="I37" s="0" t="s">
        <v>6183</v>
      </c>
    </row>
    <row r="38" customFormat="false" ht="15" hidden="false" customHeight="false" outlineLevel="0" collapsed="false">
      <c r="A38" s="0" t="n">
        <v>54</v>
      </c>
      <c r="B38" s="0" t="s">
        <v>102</v>
      </c>
      <c r="C38" s="0" t="s">
        <v>6184</v>
      </c>
      <c r="D38" s="0" t="s">
        <v>6076</v>
      </c>
      <c r="E38" s="0" t="s">
        <v>6185</v>
      </c>
      <c r="F38" s="0" t="n">
        <v>26664</v>
      </c>
      <c r="G38" s="0" t="s">
        <v>277</v>
      </c>
      <c r="H38" s="0" t="s">
        <v>270</v>
      </c>
      <c r="I38" s="0" t="s">
        <v>6186</v>
      </c>
    </row>
    <row r="39" customFormat="false" ht="15" hidden="false" customHeight="false" outlineLevel="0" collapsed="false">
      <c r="A39" s="0" t="n">
        <v>51</v>
      </c>
      <c r="B39" s="0" t="s">
        <v>99</v>
      </c>
      <c r="C39" s="0" t="s">
        <v>6187</v>
      </c>
      <c r="D39" s="0" t="s">
        <v>6076</v>
      </c>
      <c r="E39" s="0" t="s">
        <v>6188</v>
      </c>
      <c r="F39" s="0" t="n">
        <v>29956</v>
      </c>
      <c r="G39" s="0" t="s">
        <v>277</v>
      </c>
      <c r="H39" s="0" t="s">
        <v>270</v>
      </c>
      <c r="I39" s="0" t="s">
        <v>6189</v>
      </c>
    </row>
    <row r="40" customFormat="false" ht="15" hidden="false" customHeight="false" outlineLevel="0" collapsed="false">
      <c r="A40" s="0" t="n">
        <v>58</v>
      </c>
      <c r="B40" s="0" t="s">
        <v>107</v>
      </c>
      <c r="C40" s="0" t="s">
        <v>6190</v>
      </c>
      <c r="D40" s="0" t="s">
        <v>6076</v>
      </c>
      <c r="E40" s="0" t="s">
        <v>6191</v>
      </c>
      <c r="F40" s="0" t="n">
        <v>32326</v>
      </c>
      <c r="G40" s="0" t="s">
        <v>277</v>
      </c>
      <c r="H40" s="0" t="s">
        <v>270</v>
      </c>
      <c r="I40" s="0" t="s">
        <v>6192</v>
      </c>
    </row>
    <row r="41" customFormat="false" ht="15" hidden="false" customHeight="false" outlineLevel="0" collapsed="false">
      <c r="A41" s="0" t="n">
        <v>136</v>
      </c>
      <c r="B41" s="0" t="s">
        <v>192</v>
      </c>
      <c r="C41" s="0" t="s">
        <v>6193</v>
      </c>
      <c r="D41" s="0" t="s">
        <v>6076</v>
      </c>
      <c r="E41" s="0" t="s">
        <v>6194</v>
      </c>
      <c r="F41" s="0" t="n">
        <v>33000</v>
      </c>
      <c r="G41" s="0" t="s">
        <v>277</v>
      </c>
      <c r="H41" s="0" t="s">
        <v>270</v>
      </c>
      <c r="I41" s="0" t="s">
        <v>6195</v>
      </c>
    </row>
    <row r="42" customFormat="false" ht="15" hidden="false" customHeight="false" outlineLevel="0" collapsed="false">
      <c r="A42" s="0" t="n">
        <v>56</v>
      </c>
      <c r="B42" s="0" t="s">
        <v>104</v>
      </c>
      <c r="C42" s="0" t="s">
        <v>6196</v>
      </c>
      <c r="D42" s="0" t="s">
        <v>6076</v>
      </c>
      <c r="E42" s="0" t="s">
        <v>6197</v>
      </c>
      <c r="F42" s="0" t="n">
        <v>29310</v>
      </c>
      <c r="G42" s="0" t="s">
        <v>277</v>
      </c>
      <c r="H42" s="0" t="s">
        <v>270</v>
      </c>
      <c r="I42" s="0" t="s">
        <v>6198</v>
      </c>
    </row>
    <row r="43" customFormat="false" ht="15" hidden="false" customHeight="false" outlineLevel="0" collapsed="false">
      <c r="A43" s="0" t="n">
        <v>52</v>
      </c>
      <c r="B43" s="0" t="s">
        <v>100</v>
      </c>
      <c r="C43" s="0" t="s">
        <v>6199</v>
      </c>
      <c r="D43" s="0" t="s">
        <v>6076</v>
      </c>
      <c r="E43" s="0" t="s">
        <v>6200</v>
      </c>
      <c r="F43" s="0" t="n">
        <v>29132</v>
      </c>
      <c r="G43" s="0" t="s">
        <v>277</v>
      </c>
      <c r="H43" s="0" t="s">
        <v>270</v>
      </c>
      <c r="I43" s="0" t="s">
        <v>6201</v>
      </c>
    </row>
    <row r="44" customFormat="false" ht="15" hidden="false" customHeight="false" outlineLevel="0" collapsed="false">
      <c r="A44" s="0" t="n">
        <v>27</v>
      </c>
      <c r="B44" s="0" t="s">
        <v>66</v>
      </c>
      <c r="C44" s="0" t="s">
        <v>6202</v>
      </c>
      <c r="D44" s="0" t="s">
        <v>6076</v>
      </c>
      <c r="E44" s="0" t="s">
        <v>6203</v>
      </c>
      <c r="F44" s="0" t="n">
        <v>25810</v>
      </c>
      <c r="G44" s="0" t="s">
        <v>277</v>
      </c>
      <c r="H44" s="0" t="s">
        <v>270</v>
      </c>
      <c r="I44" s="0" t="s">
        <v>6204</v>
      </c>
    </row>
    <row r="45" customFormat="false" ht="15" hidden="false" customHeight="false" outlineLevel="0" collapsed="false">
      <c r="A45" s="0" t="n">
        <v>44</v>
      </c>
      <c r="B45" s="0" t="s">
        <v>88</v>
      </c>
      <c r="C45" s="0" t="s">
        <v>6205</v>
      </c>
      <c r="D45" s="0" t="s">
        <v>6076</v>
      </c>
      <c r="E45" s="0" t="s">
        <v>6206</v>
      </c>
      <c r="F45" s="0" t="n">
        <v>28552</v>
      </c>
      <c r="G45" s="0" t="s">
        <v>277</v>
      </c>
      <c r="H45" s="0" t="s">
        <v>270</v>
      </c>
      <c r="I45" s="0" t="s">
        <v>6207</v>
      </c>
    </row>
    <row r="46" customFormat="false" ht="15" hidden="false" customHeight="false" outlineLevel="0" collapsed="false">
      <c r="A46" s="0" t="n">
        <v>35</v>
      </c>
      <c r="B46" s="0" t="s">
        <v>76</v>
      </c>
      <c r="C46" s="0" t="s">
        <v>6208</v>
      </c>
      <c r="D46" s="0" t="s">
        <v>6076</v>
      </c>
      <c r="E46" s="0" t="s">
        <v>6209</v>
      </c>
      <c r="F46" s="0" t="n">
        <v>23759</v>
      </c>
      <c r="G46" s="0" t="s">
        <v>277</v>
      </c>
      <c r="H46" s="0" t="s">
        <v>270</v>
      </c>
      <c r="I46" s="0" t="s">
        <v>6210</v>
      </c>
    </row>
    <row r="47" customFormat="false" ht="15" hidden="false" customHeight="false" outlineLevel="0" collapsed="false">
      <c r="A47" s="0" t="n">
        <v>76</v>
      </c>
      <c r="B47" s="0" t="s">
        <v>127</v>
      </c>
      <c r="C47" s="0" t="s">
        <v>6211</v>
      </c>
      <c r="D47" s="0" t="s">
        <v>6076</v>
      </c>
      <c r="E47" s="0" t="s">
        <v>6212</v>
      </c>
      <c r="F47" s="0" t="n">
        <v>33215</v>
      </c>
      <c r="G47" s="0" t="s">
        <v>277</v>
      </c>
      <c r="H47" s="0" t="s">
        <v>270</v>
      </c>
      <c r="I47" s="0" t="s">
        <v>6213</v>
      </c>
    </row>
    <row r="48" customFormat="false" ht="15" hidden="false" customHeight="false" outlineLevel="0" collapsed="false">
      <c r="A48" s="0" t="n">
        <v>8</v>
      </c>
      <c r="B48" s="0" t="s">
        <v>41</v>
      </c>
      <c r="C48" s="0" t="s">
        <v>6214</v>
      </c>
      <c r="D48" s="0" t="s">
        <v>6076</v>
      </c>
      <c r="E48" s="0" t="s">
        <v>6215</v>
      </c>
      <c r="F48" s="0" t="n">
        <v>27863</v>
      </c>
      <c r="G48" s="0" t="s">
        <v>277</v>
      </c>
      <c r="H48" s="0" t="s">
        <v>270</v>
      </c>
      <c r="I48" s="0" t="s">
        <v>6216</v>
      </c>
    </row>
    <row r="49" customFormat="false" ht="15" hidden="false" customHeight="false" outlineLevel="0" collapsed="false">
      <c r="A49" s="0" t="n">
        <v>30</v>
      </c>
      <c r="B49" s="0" t="s">
        <v>70</v>
      </c>
      <c r="C49" s="0" t="s">
        <v>6217</v>
      </c>
      <c r="D49" s="0" t="s">
        <v>6076</v>
      </c>
      <c r="E49" s="0" t="s">
        <v>6218</v>
      </c>
      <c r="F49" s="0" t="n">
        <v>37059</v>
      </c>
      <c r="G49" s="0" t="s">
        <v>277</v>
      </c>
      <c r="H49" s="0" t="s">
        <v>270</v>
      </c>
      <c r="I49" s="0" t="s">
        <v>6219</v>
      </c>
    </row>
    <row r="50" customFormat="false" ht="15" hidden="false" customHeight="false" outlineLevel="0" collapsed="false">
      <c r="A50" s="0" t="n">
        <v>111</v>
      </c>
      <c r="B50" s="0" t="s">
        <v>165</v>
      </c>
      <c r="C50" s="0" t="s">
        <v>6220</v>
      </c>
      <c r="D50" s="0" t="s">
        <v>6076</v>
      </c>
      <c r="E50" s="0" t="s">
        <v>6221</v>
      </c>
      <c r="F50" s="0" t="n">
        <v>30379</v>
      </c>
      <c r="G50" s="0" t="s">
        <v>277</v>
      </c>
      <c r="H50" s="0" t="s">
        <v>270</v>
      </c>
      <c r="I50" s="0" t="s">
        <v>6222</v>
      </c>
    </row>
    <row r="51" customFormat="false" ht="15" hidden="false" customHeight="false" outlineLevel="0" collapsed="false">
      <c r="A51" s="0" t="n">
        <v>82</v>
      </c>
      <c r="B51" s="0" t="s">
        <v>133</v>
      </c>
      <c r="C51" s="0" t="s">
        <v>6223</v>
      </c>
      <c r="D51" s="0" t="s">
        <v>6076</v>
      </c>
      <c r="E51" s="0" t="s">
        <v>6224</v>
      </c>
      <c r="F51" s="0" t="n">
        <v>29258</v>
      </c>
      <c r="G51" s="0" t="s">
        <v>277</v>
      </c>
      <c r="H51" s="0" t="s">
        <v>270</v>
      </c>
      <c r="I51" s="0" t="s">
        <v>6225</v>
      </c>
    </row>
    <row r="52" customFormat="false" ht="15" hidden="false" customHeight="false" outlineLevel="0" collapsed="false">
      <c r="A52" s="0" t="n">
        <v>89</v>
      </c>
      <c r="B52" s="0" t="s">
        <v>141</v>
      </c>
      <c r="C52" s="0" t="s">
        <v>6226</v>
      </c>
      <c r="D52" s="0" t="s">
        <v>6076</v>
      </c>
      <c r="E52" s="0" t="s">
        <v>6227</v>
      </c>
      <c r="F52" s="0" t="n">
        <v>642</v>
      </c>
      <c r="G52" s="0" t="s">
        <v>277</v>
      </c>
      <c r="H52" s="0" t="s">
        <v>270</v>
      </c>
      <c r="I52" s="0" t="s">
        <v>6228</v>
      </c>
    </row>
    <row r="53" customFormat="false" ht="15" hidden="false" customHeight="false" outlineLevel="0" collapsed="false">
      <c r="A53" s="0" t="n">
        <v>68</v>
      </c>
      <c r="B53" s="0" t="s">
        <v>119</v>
      </c>
      <c r="C53" s="0" t="s">
        <v>6229</v>
      </c>
      <c r="D53" s="0" t="s">
        <v>6076</v>
      </c>
      <c r="E53" s="0" t="s">
        <v>6230</v>
      </c>
      <c r="F53" s="0" t="n">
        <v>30804</v>
      </c>
      <c r="G53" s="0" t="s">
        <v>277</v>
      </c>
      <c r="H53" s="0" t="s">
        <v>270</v>
      </c>
      <c r="I53" s="0" t="s">
        <v>6231</v>
      </c>
    </row>
    <row r="54" customFormat="false" ht="15" hidden="false" customHeight="false" outlineLevel="0" collapsed="false">
      <c r="A54" s="0" t="n">
        <v>6</v>
      </c>
      <c r="B54" s="0" t="s">
        <v>38</v>
      </c>
      <c r="C54" s="0" t="s">
        <v>6232</v>
      </c>
      <c r="D54" s="0" t="s">
        <v>6076</v>
      </c>
      <c r="E54" s="0" t="s">
        <v>6233</v>
      </c>
      <c r="F54" s="0" t="n">
        <v>28625</v>
      </c>
      <c r="G54" s="0" t="s">
        <v>277</v>
      </c>
      <c r="H54" s="0" t="s">
        <v>270</v>
      </c>
      <c r="I54" s="0" t="s">
        <v>6234</v>
      </c>
    </row>
    <row r="55" customFormat="false" ht="15" hidden="false" customHeight="false" outlineLevel="0" collapsed="false">
      <c r="A55" s="0" t="n">
        <v>7</v>
      </c>
      <c r="B55" s="0" t="s">
        <v>40</v>
      </c>
      <c r="C55" s="0" t="s">
        <v>6235</v>
      </c>
      <c r="D55" s="0" t="s">
        <v>6076</v>
      </c>
      <c r="E55" s="0" t="s">
        <v>6236</v>
      </c>
      <c r="F55" s="0" t="n">
        <v>29068</v>
      </c>
      <c r="G55" s="0" t="s">
        <v>277</v>
      </c>
      <c r="H55" s="0" t="s">
        <v>270</v>
      </c>
      <c r="I55" s="0" t="s">
        <v>6237</v>
      </c>
    </row>
    <row r="56" customFormat="false" ht="15" hidden="false" customHeight="false" outlineLevel="0" collapsed="false">
      <c r="A56" s="0" t="n">
        <v>70</v>
      </c>
      <c r="B56" s="0" t="s">
        <v>121</v>
      </c>
      <c r="C56" s="0" t="s">
        <v>6238</v>
      </c>
      <c r="D56" s="0" t="s">
        <v>6076</v>
      </c>
      <c r="E56" s="0" t="s">
        <v>6239</v>
      </c>
      <c r="F56" s="0" t="n">
        <v>26393</v>
      </c>
      <c r="G56" s="0" t="s">
        <v>277</v>
      </c>
      <c r="H56" s="0" t="s">
        <v>270</v>
      </c>
      <c r="I56" s="0" t="s">
        <v>6240</v>
      </c>
    </row>
    <row r="57" customFormat="false" ht="15" hidden="false" customHeight="false" outlineLevel="0" collapsed="false">
      <c r="A57" s="0" t="n">
        <v>59</v>
      </c>
      <c r="B57" s="0" t="s">
        <v>109</v>
      </c>
      <c r="C57" s="0" t="s">
        <v>6241</v>
      </c>
      <c r="D57" s="0" t="s">
        <v>6076</v>
      </c>
      <c r="E57" s="0" t="s">
        <v>6242</v>
      </c>
      <c r="F57" s="0" t="n">
        <v>27150</v>
      </c>
      <c r="G57" s="0" t="s">
        <v>277</v>
      </c>
      <c r="H57" s="0" t="s">
        <v>270</v>
      </c>
      <c r="I57" s="0" t="s">
        <v>6243</v>
      </c>
    </row>
    <row r="58" customFormat="false" ht="15" hidden="false" customHeight="false" outlineLevel="0" collapsed="false">
      <c r="A58" s="0" t="n">
        <v>16</v>
      </c>
      <c r="B58" s="0" t="s">
        <v>51</v>
      </c>
      <c r="C58" s="0" t="s">
        <v>6244</v>
      </c>
      <c r="D58" s="0" t="s">
        <v>6076</v>
      </c>
      <c r="E58" s="0" t="s">
        <v>6245</v>
      </c>
      <c r="F58" s="0" t="n">
        <v>23597</v>
      </c>
      <c r="G58" s="0" t="s">
        <v>277</v>
      </c>
      <c r="H58" s="0" t="s">
        <v>270</v>
      </c>
      <c r="I58" s="0" t="s">
        <v>6246</v>
      </c>
    </row>
    <row r="59" customFormat="false" ht="15" hidden="false" customHeight="false" outlineLevel="0" collapsed="false">
      <c r="A59" s="0" t="n">
        <v>18</v>
      </c>
      <c r="B59" s="0" t="s">
        <v>54</v>
      </c>
      <c r="C59" s="0" t="s">
        <v>6247</v>
      </c>
      <c r="D59" s="0" t="s">
        <v>6076</v>
      </c>
      <c r="E59" s="0" t="s">
        <v>6248</v>
      </c>
      <c r="F59" s="0" t="n">
        <v>29275</v>
      </c>
      <c r="G59" s="0" t="s">
        <v>277</v>
      </c>
      <c r="H59" s="0" t="s">
        <v>270</v>
      </c>
      <c r="I59" s="0" t="s">
        <v>6249</v>
      </c>
    </row>
    <row r="60" customFormat="false" ht="15" hidden="false" customHeight="false" outlineLevel="0" collapsed="false">
      <c r="A60" s="0" t="n">
        <v>75</v>
      </c>
      <c r="B60" s="0" t="s">
        <v>126</v>
      </c>
      <c r="C60" s="0" t="s">
        <v>6250</v>
      </c>
      <c r="D60" s="0" t="s">
        <v>6076</v>
      </c>
      <c r="E60" s="0" t="s">
        <v>6251</v>
      </c>
      <c r="F60" s="0" t="n">
        <v>28235</v>
      </c>
      <c r="G60" s="0" t="s">
        <v>277</v>
      </c>
      <c r="H60" s="0" t="s">
        <v>270</v>
      </c>
      <c r="I60" s="0" t="s">
        <v>6252</v>
      </c>
    </row>
    <row r="61" customFormat="false" ht="15" hidden="false" customHeight="false" outlineLevel="0" collapsed="false">
      <c r="A61" s="0" t="n">
        <v>74</v>
      </c>
      <c r="B61" s="0" t="s">
        <v>125</v>
      </c>
      <c r="C61" s="0" t="s">
        <v>6253</v>
      </c>
      <c r="D61" s="0" t="s">
        <v>6076</v>
      </c>
      <c r="E61" s="0" t="s">
        <v>6254</v>
      </c>
      <c r="F61" s="0" t="n">
        <v>27872</v>
      </c>
      <c r="G61" s="0" t="s">
        <v>277</v>
      </c>
      <c r="H61" s="0" t="s">
        <v>270</v>
      </c>
      <c r="I61" s="0" t="s">
        <v>6255</v>
      </c>
    </row>
    <row r="62" customFormat="false" ht="15" hidden="false" customHeight="false" outlineLevel="0" collapsed="false">
      <c r="A62" s="0" t="n">
        <v>90</v>
      </c>
      <c r="B62" s="0" t="s">
        <v>142</v>
      </c>
      <c r="C62" s="0" t="s">
        <v>6256</v>
      </c>
      <c r="D62" s="0" t="s">
        <v>6076</v>
      </c>
      <c r="E62" s="0" t="s">
        <v>6257</v>
      </c>
      <c r="F62" s="0" t="n">
        <v>45087</v>
      </c>
      <c r="G62" s="0" t="s">
        <v>277</v>
      </c>
      <c r="H62" s="0" t="s">
        <v>270</v>
      </c>
      <c r="I62" s="0" t="s">
        <v>6258</v>
      </c>
    </row>
    <row r="63" customFormat="false" ht="15" hidden="false" customHeight="false" outlineLevel="0" collapsed="false">
      <c r="A63" s="0" t="n">
        <v>105</v>
      </c>
      <c r="B63" s="0" t="s">
        <v>159</v>
      </c>
      <c r="C63" s="0" t="s">
        <v>6259</v>
      </c>
      <c r="D63" s="0" t="s">
        <v>6076</v>
      </c>
      <c r="E63" s="0" t="s">
        <v>6260</v>
      </c>
      <c r="F63" s="0" t="n">
        <v>28555</v>
      </c>
      <c r="G63" s="0" t="s">
        <v>277</v>
      </c>
      <c r="H63" s="0" t="s">
        <v>270</v>
      </c>
      <c r="I63" s="0" t="s">
        <v>6261</v>
      </c>
    </row>
    <row r="64" customFormat="false" ht="15" hidden="false" customHeight="false" outlineLevel="0" collapsed="false">
      <c r="A64" s="0" t="n">
        <v>139</v>
      </c>
      <c r="B64" s="0" t="s">
        <v>195</v>
      </c>
      <c r="C64" s="0" t="s">
        <v>6262</v>
      </c>
      <c r="D64" s="0" t="s">
        <v>6076</v>
      </c>
      <c r="E64" s="0" t="s">
        <v>6263</v>
      </c>
      <c r="F64" s="0" t="n">
        <v>23924</v>
      </c>
      <c r="G64" s="0" t="s">
        <v>277</v>
      </c>
      <c r="H64" s="0" t="s">
        <v>270</v>
      </c>
      <c r="I64" s="0" t="s">
        <v>6264</v>
      </c>
    </row>
    <row r="65" customFormat="false" ht="15" hidden="false" customHeight="false" outlineLevel="0" collapsed="false">
      <c r="A65" s="0" t="n">
        <v>166</v>
      </c>
      <c r="B65" s="0" t="s">
        <v>225</v>
      </c>
      <c r="C65" s="0" t="s">
        <v>6265</v>
      </c>
      <c r="D65" s="0" t="s">
        <v>6076</v>
      </c>
      <c r="E65" s="0" t="s">
        <v>6266</v>
      </c>
      <c r="F65" s="0" t="n">
        <v>41041</v>
      </c>
      <c r="G65" s="0" t="s">
        <v>277</v>
      </c>
      <c r="H65" s="0" t="s">
        <v>270</v>
      </c>
      <c r="I65" s="0" t="s">
        <v>6267</v>
      </c>
    </row>
    <row r="66" customFormat="false" ht="15" hidden="false" customHeight="false" outlineLevel="0" collapsed="false">
      <c r="A66" s="0" t="n">
        <v>182</v>
      </c>
      <c r="B66" s="0" t="s">
        <v>243</v>
      </c>
      <c r="C66" s="0" t="s">
        <v>6268</v>
      </c>
      <c r="D66" s="0" t="s">
        <v>6076</v>
      </c>
      <c r="E66" s="0" t="s">
        <v>6269</v>
      </c>
      <c r="F66" s="0" t="n">
        <v>27407</v>
      </c>
      <c r="G66" s="0" t="s">
        <v>277</v>
      </c>
      <c r="H66" s="0" t="s">
        <v>270</v>
      </c>
      <c r="I66" s="0" t="s">
        <v>6270</v>
      </c>
    </row>
    <row r="67" customFormat="false" ht="15" hidden="false" customHeight="false" outlineLevel="0" collapsed="false">
      <c r="A67" s="0" t="n">
        <v>173</v>
      </c>
      <c r="B67" s="0" t="s">
        <v>233</v>
      </c>
      <c r="C67" s="0" t="s">
        <v>6271</v>
      </c>
      <c r="D67" s="0" t="s">
        <v>6076</v>
      </c>
      <c r="E67" s="0" t="s">
        <v>6272</v>
      </c>
      <c r="F67" s="0" t="n">
        <v>34215</v>
      </c>
      <c r="G67" s="0" t="s">
        <v>277</v>
      </c>
      <c r="H67" s="0" t="s">
        <v>270</v>
      </c>
      <c r="I67" s="0" t="s">
        <v>6273</v>
      </c>
    </row>
    <row r="68" customFormat="false" ht="15" hidden="false" customHeight="false" outlineLevel="0" collapsed="false">
      <c r="A68" s="0" t="n">
        <v>87</v>
      </c>
      <c r="B68" s="0" t="s">
        <v>139</v>
      </c>
      <c r="C68" s="0" t="s">
        <v>6274</v>
      </c>
      <c r="D68" s="0" t="s">
        <v>6076</v>
      </c>
      <c r="E68" s="0" t="s">
        <v>6275</v>
      </c>
      <c r="F68" s="0" t="n">
        <v>36656</v>
      </c>
      <c r="G68" s="0" t="s">
        <v>277</v>
      </c>
      <c r="H68" s="0" t="s">
        <v>270</v>
      </c>
      <c r="I68" s="0" t="s">
        <v>6276</v>
      </c>
    </row>
    <row r="69" customFormat="false" ht="15" hidden="false" customHeight="false" outlineLevel="0" collapsed="false">
      <c r="A69" s="0" t="n">
        <v>40</v>
      </c>
      <c r="B69" s="0" t="s">
        <v>83</v>
      </c>
      <c r="C69" s="0" t="s">
        <v>6277</v>
      </c>
      <c r="D69" s="0" t="s">
        <v>6076</v>
      </c>
      <c r="E69" s="0" t="s">
        <v>6278</v>
      </c>
      <c r="F69" s="0" t="n">
        <v>30960</v>
      </c>
      <c r="G69" s="0" t="s">
        <v>277</v>
      </c>
      <c r="H69" s="0" t="s">
        <v>270</v>
      </c>
      <c r="I69" s="0" t="s">
        <v>6279</v>
      </c>
    </row>
    <row r="70" customFormat="false" ht="15" hidden="false" customHeight="false" outlineLevel="0" collapsed="false">
      <c r="A70" s="0" t="n">
        <v>91</v>
      </c>
      <c r="B70" s="0" t="s">
        <v>143</v>
      </c>
      <c r="C70" s="0" t="s">
        <v>6280</v>
      </c>
      <c r="D70" s="0" t="s">
        <v>6076</v>
      </c>
      <c r="E70" s="0" t="s">
        <v>6281</v>
      </c>
      <c r="F70" s="0" t="n">
        <v>41219</v>
      </c>
      <c r="G70" s="0" t="s">
        <v>277</v>
      </c>
      <c r="H70" s="0" t="s">
        <v>270</v>
      </c>
      <c r="I70" s="0" t="s">
        <v>6282</v>
      </c>
    </row>
    <row r="71" customFormat="false" ht="15" hidden="false" customHeight="false" outlineLevel="0" collapsed="false">
      <c r="A71" s="0" t="n">
        <v>180</v>
      </c>
      <c r="B71" s="0" t="s">
        <v>241</v>
      </c>
      <c r="C71" s="0" t="s">
        <v>6283</v>
      </c>
      <c r="D71" s="0" t="s">
        <v>6076</v>
      </c>
      <c r="E71" s="0" t="s">
        <v>6284</v>
      </c>
      <c r="F71" s="0" t="n">
        <v>33251</v>
      </c>
      <c r="G71" s="0" t="s">
        <v>277</v>
      </c>
      <c r="H71" s="0" t="s">
        <v>270</v>
      </c>
      <c r="I71" s="0" t="s">
        <v>6285</v>
      </c>
    </row>
    <row r="72" customFormat="false" ht="15" hidden="false" customHeight="false" outlineLevel="0" collapsed="false">
      <c r="A72" s="0" t="n">
        <v>119</v>
      </c>
      <c r="B72" s="0" t="s">
        <v>173</v>
      </c>
      <c r="C72" s="0" t="s">
        <v>6286</v>
      </c>
      <c r="D72" s="0" t="s">
        <v>6076</v>
      </c>
      <c r="E72" s="0" t="s">
        <v>6287</v>
      </c>
      <c r="F72" s="0" t="n">
        <v>26827</v>
      </c>
      <c r="G72" s="0" t="s">
        <v>277</v>
      </c>
      <c r="H72" s="0" t="s">
        <v>270</v>
      </c>
      <c r="I72" s="0" t="s">
        <v>6288</v>
      </c>
    </row>
    <row r="73" customFormat="false" ht="15" hidden="false" customHeight="false" outlineLevel="0" collapsed="false">
      <c r="A73" s="0" t="n">
        <v>95</v>
      </c>
      <c r="B73" s="0" t="s">
        <v>148</v>
      </c>
      <c r="C73" s="0" t="s">
        <v>6289</v>
      </c>
      <c r="D73" s="0" t="s">
        <v>6076</v>
      </c>
      <c r="E73" s="0" t="s">
        <v>6290</v>
      </c>
      <c r="F73" s="0" t="n">
        <v>25742</v>
      </c>
      <c r="G73" s="0" t="s">
        <v>277</v>
      </c>
      <c r="H73" s="0" t="s">
        <v>270</v>
      </c>
      <c r="I73" s="0" t="s">
        <v>6291</v>
      </c>
    </row>
    <row r="74" customFormat="false" ht="15" hidden="false" customHeight="false" outlineLevel="0" collapsed="false">
      <c r="A74" s="0" t="n">
        <v>22</v>
      </c>
      <c r="B74" s="0" t="s">
        <v>59</v>
      </c>
      <c r="C74" s="0" t="s">
        <v>6292</v>
      </c>
      <c r="D74" s="0" t="s">
        <v>6076</v>
      </c>
      <c r="E74" s="0" t="s">
        <v>6293</v>
      </c>
      <c r="F74" s="0" t="n">
        <v>22931</v>
      </c>
      <c r="G74" s="0" t="s">
        <v>277</v>
      </c>
      <c r="H74" s="0" t="s">
        <v>270</v>
      </c>
      <c r="I74" s="0" t="s">
        <v>6294</v>
      </c>
    </row>
    <row r="75" customFormat="false" ht="15" hidden="false" customHeight="false" outlineLevel="0" collapsed="false">
      <c r="A75" s="0" t="n">
        <v>167</v>
      </c>
      <c r="B75" s="0" t="s">
        <v>226</v>
      </c>
      <c r="C75" s="0" t="s">
        <v>6295</v>
      </c>
      <c r="D75" s="0" t="s">
        <v>6076</v>
      </c>
      <c r="E75" s="0" t="s">
        <v>6296</v>
      </c>
      <c r="F75" s="0" t="n">
        <v>37097</v>
      </c>
      <c r="G75" s="0" t="s">
        <v>277</v>
      </c>
      <c r="H75" s="0" t="s">
        <v>270</v>
      </c>
      <c r="I75" s="0" t="s">
        <v>6297</v>
      </c>
    </row>
    <row r="76" customFormat="false" ht="15" hidden="false" customHeight="false" outlineLevel="0" collapsed="false">
      <c r="A76" s="0" t="n">
        <v>92</v>
      </c>
      <c r="B76" s="0" t="s">
        <v>144</v>
      </c>
      <c r="C76" s="0" t="s">
        <v>6298</v>
      </c>
      <c r="D76" s="0" t="s">
        <v>6076</v>
      </c>
      <c r="E76" s="0" t="s">
        <v>6299</v>
      </c>
      <c r="F76" s="0" t="n">
        <v>26444</v>
      </c>
      <c r="G76" s="0" t="s">
        <v>277</v>
      </c>
      <c r="H76" s="0" t="s">
        <v>270</v>
      </c>
      <c r="I76" s="0" t="s">
        <v>6300</v>
      </c>
    </row>
    <row r="77" customFormat="false" ht="15" hidden="false" customHeight="false" outlineLevel="0" collapsed="false">
      <c r="A77" s="0" t="n">
        <v>112</v>
      </c>
      <c r="B77" s="0" t="s">
        <v>166</v>
      </c>
      <c r="C77" s="0" t="s">
        <v>6301</v>
      </c>
      <c r="D77" s="0" t="s">
        <v>6076</v>
      </c>
      <c r="E77" s="0" t="s">
        <v>6302</v>
      </c>
      <c r="F77" s="0" t="n">
        <v>34009</v>
      </c>
      <c r="G77" s="0" t="s">
        <v>277</v>
      </c>
      <c r="H77" s="0" t="s">
        <v>270</v>
      </c>
      <c r="I77" s="0" t="s">
        <v>6303</v>
      </c>
    </row>
    <row r="78" customFormat="false" ht="15" hidden="false" customHeight="false" outlineLevel="0" collapsed="false">
      <c r="A78" s="0" t="n">
        <v>117</v>
      </c>
      <c r="B78" s="0" t="s">
        <v>171</v>
      </c>
      <c r="C78" s="0" t="s">
        <v>6304</v>
      </c>
      <c r="D78" s="0" t="s">
        <v>6076</v>
      </c>
      <c r="E78" s="0" t="s">
        <v>6305</v>
      </c>
      <c r="F78" s="0" t="n">
        <v>36488</v>
      </c>
      <c r="G78" s="0" t="s">
        <v>277</v>
      </c>
      <c r="H78" s="0" t="s">
        <v>270</v>
      </c>
      <c r="I78" s="0" t="s">
        <v>6306</v>
      </c>
    </row>
    <row r="79" customFormat="false" ht="15" hidden="false" customHeight="false" outlineLevel="0" collapsed="false">
      <c r="A79" s="0" t="n">
        <v>132</v>
      </c>
      <c r="B79" s="0" t="s">
        <v>187</v>
      </c>
      <c r="C79" s="0" t="s">
        <v>6307</v>
      </c>
      <c r="D79" s="0" t="s">
        <v>6076</v>
      </c>
      <c r="E79" s="0" t="s">
        <v>6308</v>
      </c>
      <c r="F79" s="0" t="n">
        <v>26548</v>
      </c>
      <c r="G79" s="0" t="s">
        <v>277</v>
      </c>
      <c r="H79" s="0" t="s">
        <v>270</v>
      </c>
      <c r="I79" s="0" t="s">
        <v>6309</v>
      </c>
    </row>
    <row r="80" customFormat="false" ht="15" hidden="false" customHeight="false" outlineLevel="0" collapsed="false">
      <c r="A80" s="0" t="n">
        <v>23</v>
      </c>
      <c r="B80" s="0" t="s">
        <v>61</v>
      </c>
      <c r="C80" s="0" t="s">
        <v>6310</v>
      </c>
      <c r="D80" s="0" t="s">
        <v>6076</v>
      </c>
      <c r="E80" s="0" t="s">
        <v>6311</v>
      </c>
      <c r="F80" s="0" t="n">
        <v>25906</v>
      </c>
      <c r="G80" s="0" t="s">
        <v>277</v>
      </c>
      <c r="H80" s="0" t="s">
        <v>270</v>
      </c>
      <c r="I80" s="0" t="s">
        <v>6312</v>
      </c>
    </row>
    <row r="81" customFormat="false" ht="15" hidden="false" customHeight="false" outlineLevel="0" collapsed="false">
      <c r="A81" s="0" t="n">
        <v>116</v>
      </c>
      <c r="B81" s="0" t="s">
        <v>170</v>
      </c>
      <c r="C81" s="0" t="s">
        <v>6313</v>
      </c>
      <c r="D81" s="0" t="s">
        <v>6076</v>
      </c>
      <c r="E81" s="0" t="s">
        <v>6314</v>
      </c>
      <c r="F81" s="0" t="n">
        <v>27397</v>
      </c>
      <c r="G81" s="0" t="s">
        <v>277</v>
      </c>
      <c r="H81" s="0" t="s">
        <v>270</v>
      </c>
      <c r="I81" s="0" t="s">
        <v>6315</v>
      </c>
    </row>
    <row r="82" customFormat="false" ht="15" hidden="false" customHeight="false" outlineLevel="0" collapsed="false">
      <c r="A82" s="0" t="n">
        <v>133</v>
      </c>
      <c r="B82" s="0" t="s">
        <v>188</v>
      </c>
      <c r="C82" s="0" t="s">
        <v>6316</v>
      </c>
      <c r="D82" s="0" t="s">
        <v>6076</v>
      </c>
      <c r="E82" s="0" t="s">
        <v>6317</v>
      </c>
      <c r="F82" s="0" t="n">
        <v>29130</v>
      </c>
      <c r="G82" s="0" t="s">
        <v>277</v>
      </c>
      <c r="H82" s="0" t="s">
        <v>270</v>
      </c>
      <c r="I82" s="0" t="s">
        <v>6318</v>
      </c>
    </row>
    <row r="83" customFormat="false" ht="15" hidden="false" customHeight="false" outlineLevel="0" collapsed="false">
      <c r="A83" s="0" t="n">
        <v>115</v>
      </c>
      <c r="B83" s="0" t="s">
        <v>169</v>
      </c>
      <c r="C83" s="0" t="s">
        <v>6319</v>
      </c>
      <c r="D83" s="0" t="s">
        <v>6076</v>
      </c>
      <c r="E83" s="0" t="s">
        <v>6320</v>
      </c>
      <c r="F83" s="0" t="n">
        <v>26740</v>
      </c>
      <c r="G83" s="0" t="s">
        <v>277</v>
      </c>
      <c r="H83" s="0" t="s">
        <v>270</v>
      </c>
      <c r="I83" s="0" t="s">
        <v>6321</v>
      </c>
    </row>
    <row r="84" customFormat="false" ht="15" hidden="false" customHeight="false" outlineLevel="0" collapsed="false">
      <c r="A84" s="0" t="n">
        <v>115</v>
      </c>
      <c r="B84" s="0" t="s">
        <v>169</v>
      </c>
      <c r="C84" s="0" t="s">
        <v>6322</v>
      </c>
      <c r="D84" s="0" t="s">
        <v>6076</v>
      </c>
      <c r="E84" s="0" t="s">
        <v>6323</v>
      </c>
      <c r="F84" s="0" t="n">
        <v>26891</v>
      </c>
      <c r="G84" s="0" t="s">
        <v>277</v>
      </c>
      <c r="H84" s="0" t="s">
        <v>270</v>
      </c>
      <c r="I84" s="0" t="s">
        <v>6324</v>
      </c>
    </row>
    <row r="85" customFormat="false" ht="15" hidden="false" customHeight="false" outlineLevel="0" collapsed="false">
      <c r="A85" s="0" t="n">
        <v>50</v>
      </c>
      <c r="B85" s="0" t="s">
        <v>97</v>
      </c>
      <c r="C85" s="0" t="s">
        <v>6325</v>
      </c>
      <c r="D85" s="0" t="s">
        <v>6076</v>
      </c>
      <c r="E85" s="0" t="s">
        <v>6326</v>
      </c>
      <c r="F85" s="0" t="n">
        <v>34777</v>
      </c>
      <c r="G85" s="0" t="s">
        <v>277</v>
      </c>
      <c r="H85" s="0" t="s">
        <v>270</v>
      </c>
      <c r="I85" s="0" t="s">
        <v>6327</v>
      </c>
    </row>
    <row r="86" customFormat="false" ht="15" hidden="false" customHeight="false" outlineLevel="0" collapsed="false">
      <c r="A86" s="0" t="n">
        <v>128</v>
      </c>
      <c r="B86" s="0" t="s">
        <v>183</v>
      </c>
      <c r="C86" s="0" t="s">
        <v>6328</v>
      </c>
      <c r="D86" s="0" t="s">
        <v>6076</v>
      </c>
      <c r="E86" s="0" t="s">
        <v>6329</v>
      </c>
      <c r="F86" s="0" t="n">
        <v>43679</v>
      </c>
      <c r="G86" s="0" t="s">
        <v>277</v>
      </c>
      <c r="H86" s="0" t="s">
        <v>270</v>
      </c>
      <c r="I86" s="0" t="s">
        <v>6330</v>
      </c>
    </row>
    <row r="87" customFormat="false" ht="15" hidden="false" customHeight="false" outlineLevel="0" collapsed="false">
      <c r="A87" s="0" t="n">
        <v>41</v>
      </c>
      <c r="B87" s="0" t="s">
        <v>84</v>
      </c>
      <c r="C87" s="0" t="s">
        <v>6331</v>
      </c>
      <c r="D87" s="0" t="s">
        <v>6076</v>
      </c>
      <c r="E87" s="0" t="s">
        <v>6332</v>
      </c>
      <c r="F87" s="0" t="n">
        <v>27486</v>
      </c>
      <c r="G87" s="0" t="s">
        <v>277</v>
      </c>
      <c r="H87" s="0" t="s">
        <v>270</v>
      </c>
      <c r="I87" s="0" t="s">
        <v>6333</v>
      </c>
    </row>
    <row r="88" customFormat="false" ht="15" hidden="false" customHeight="false" outlineLevel="0" collapsed="false">
      <c r="A88" s="0" t="n">
        <v>5</v>
      </c>
      <c r="B88" s="0" t="s">
        <v>36</v>
      </c>
      <c r="C88" s="0" t="s">
        <v>6334</v>
      </c>
      <c r="D88" s="0" t="s">
        <v>6076</v>
      </c>
      <c r="E88" s="0" t="s">
        <v>6335</v>
      </c>
      <c r="F88" s="0" t="n">
        <v>30792</v>
      </c>
      <c r="G88" s="0" t="s">
        <v>277</v>
      </c>
      <c r="H88" s="0" t="s">
        <v>270</v>
      </c>
      <c r="I88" s="0" t="s">
        <v>6336</v>
      </c>
    </row>
    <row r="89" customFormat="false" ht="15" hidden="false" customHeight="false" outlineLevel="0" collapsed="false">
      <c r="A89" s="0" t="n">
        <v>175</v>
      </c>
      <c r="B89" s="0" t="s">
        <v>235</v>
      </c>
      <c r="C89" s="0" t="s">
        <v>6337</v>
      </c>
      <c r="D89" s="0" t="s">
        <v>6076</v>
      </c>
      <c r="E89" s="0" t="s">
        <v>6338</v>
      </c>
      <c r="F89" s="0" t="n">
        <v>29901</v>
      </c>
      <c r="G89" s="0" t="s">
        <v>277</v>
      </c>
      <c r="H89" s="0" t="s">
        <v>270</v>
      </c>
      <c r="I89" s="0" t="s">
        <v>6339</v>
      </c>
    </row>
    <row r="90" customFormat="false" ht="15" hidden="false" customHeight="false" outlineLevel="0" collapsed="false">
      <c r="A90" s="0" t="n">
        <v>158</v>
      </c>
      <c r="B90" s="0" t="s">
        <v>216</v>
      </c>
      <c r="C90" s="0" t="s">
        <v>6340</v>
      </c>
      <c r="D90" s="0" t="s">
        <v>6076</v>
      </c>
      <c r="E90" s="0" t="s">
        <v>6341</v>
      </c>
      <c r="F90" s="0" t="n">
        <v>32922</v>
      </c>
      <c r="G90" s="0" t="s">
        <v>277</v>
      </c>
      <c r="H90" s="0" t="s">
        <v>270</v>
      </c>
      <c r="I90" s="0" t="s">
        <v>6342</v>
      </c>
    </row>
    <row r="91" customFormat="false" ht="15" hidden="false" customHeight="false" outlineLevel="0" collapsed="false">
      <c r="A91" s="0" t="n">
        <v>80</v>
      </c>
      <c r="B91" s="0" t="s">
        <v>131</v>
      </c>
      <c r="C91" s="0" t="s">
        <v>6343</v>
      </c>
      <c r="D91" s="0" t="s">
        <v>6076</v>
      </c>
      <c r="E91" s="0" t="s">
        <v>6344</v>
      </c>
      <c r="F91" s="0" t="n">
        <v>28436</v>
      </c>
      <c r="G91" s="0" t="s">
        <v>277</v>
      </c>
      <c r="H91" s="0" t="s">
        <v>270</v>
      </c>
      <c r="I91" s="0" t="s">
        <v>6345</v>
      </c>
    </row>
    <row r="92" customFormat="false" ht="15" hidden="false" customHeight="false" outlineLevel="0" collapsed="false">
      <c r="A92" s="0" t="n">
        <v>64</v>
      </c>
      <c r="B92" s="0" t="s">
        <v>115</v>
      </c>
      <c r="C92" s="0" t="s">
        <v>6346</v>
      </c>
      <c r="D92" s="0" t="s">
        <v>6076</v>
      </c>
      <c r="E92" s="0" t="s">
        <v>6347</v>
      </c>
      <c r="F92" s="0" t="n">
        <v>30270</v>
      </c>
      <c r="G92" s="0" t="s">
        <v>277</v>
      </c>
      <c r="H92" s="0" t="s">
        <v>270</v>
      </c>
      <c r="I92" s="0" t="s">
        <v>6348</v>
      </c>
    </row>
    <row r="93" customFormat="false" ht="15" hidden="false" customHeight="false" outlineLevel="0" collapsed="false">
      <c r="A93" s="0" t="n">
        <v>25</v>
      </c>
      <c r="B93" s="0" t="s">
        <v>63</v>
      </c>
      <c r="C93" s="0" t="s">
        <v>6349</v>
      </c>
      <c r="D93" s="0" t="s">
        <v>6076</v>
      </c>
      <c r="E93" s="0" t="s">
        <v>6350</v>
      </c>
      <c r="F93" s="0" t="n">
        <v>26539</v>
      </c>
      <c r="G93" s="0" t="s">
        <v>277</v>
      </c>
      <c r="H93" s="0" t="s">
        <v>270</v>
      </c>
      <c r="I93" s="0" t="s">
        <v>6351</v>
      </c>
    </row>
    <row r="94" customFormat="false" ht="15" hidden="false" customHeight="false" outlineLevel="0" collapsed="false">
      <c r="A94" s="0" t="n">
        <v>45</v>
      </c>
      <c r="B94" s="0" t="s">
        <v>90</v>
      </c>
      <c r="C94" s="0" t="s">
        <v>6352</v>
      </c>
      <c r="D94" s="0" t="s">
        <v>6076</v>
      </c>
      <c r="E94" s="0" t="s">
        <v>6353</v>
      </c>
      <c r="F94" s="0" t="n">
        <v>28704</v>
      </c>
      <c r="G94" s="0" t="s">
        <v>277</v>
      </c>
      <c r="H94" s="0" t="s">
        <v>270</v>
      </c>
      <c r="I94" s="0" t="s">
        <v>6354</v>
      </c>
    </row>
    <row r="95" customFormat="false" ht="15" hidden="false" customHeight="false" outlineLevel="0" collapsed="false">
      <c r="A95" s="0" t="n">
        <v>103</v>
      </c>
      <c r="B95" s="0" t="s">
        <v>157</v>
      </c>
      <c r="C95" s="0" t="s">
        <v>6355</v>
      </c>
      <c r="D95" s="0" t="s">
        <v>6076</v>
      </c>
      <c r="E95" s="0" t="s">
        <v>6356</v>
      </c>
      <c r="F95" s="0" t="n">
        <v>30521</v>
      </c>
      <c r="G95" s="0" t="s">
        <v>277</v>
      </c>
      <c r="H95" s="0" t="s">
        <v>270</v>
      </c>
      <c r="I95" s="0" t="s">
        <v>6357</v>
      </c>
    </row>
    <row r="96" customFormat="false" ht="15" hidden="false" customHeight="false" outlineLevel="0" collapsed="false">
      <c r="A96" s="0" t="n">
        <v>179</v>
      </c>
      <c r="B96" s="0" t="s">
        <v>240</v>
      </c>
      <c r="C96" s="0" t="s">
        <v>6358</v>
      </c>
      <c r="D96" s="0" t="s">
        <v>6076</v>
      </c>
      <c r="E96" s="0" t="s">
        <v>6359</v>
      </c>
      <c r="F96" s="0" t="n">
        <v>32890</v>
      </c>
      <c r="G96" s="0" t="s">
        <v>277</v>
      </c>
      <c r="H96" s="0" t="s">
        <v>270</v>
      </c>
      <c r="I96" s="0" t="s">
        <v>6360</v>
      </c>
    </row>
    <row r="97" customFormat="false" ht="15" hidden="false" customHeight="false" outlineLevel="0" collapsed="false">
      <c r="A97" s="0" t="n">
        <v>46</v>
      </c>
      <c r="B97" s="0" t="s">
        <v>93</v>
      </c>
      <c r="C97" s="0" t="s">
        <v>6361</v>
      </c>
      <c r="D97" s="0" t="s">
        <v>6076</v>
      </c>
      <c r="E97" s="0" t="s">
        <v>6362</v>
      </c>
      <c r="F97" s="0" t="n">
        <v>28658</v>
      </c>
      <c r="G97" s="0" t="s">
        <v>277</v>
      </c>
      <c r="H97" s="0" t="s">
        <v>270</v>
      </c>
      <c r="I97" s="0" t="s">
        <v>6363</v>
      </c>
    </row>
    <row r="98" customFormat="false" ht="15" hidden="false" customHeight="false" outlineLevel="0" collapsed="false">
      <c r="A98" s="0" t="n">
        <v>141</v>
      </c>
      <c r="B98" s="0" t="s">
        <v>197</v>
      </c>
      <c r="C98" s="0" t="s">
        <v>6364</v>
      </c>
      <c r="D98" s="0" t="s">
        <v>6076</v>
      </c>
      <c r="E98" s="0" t="s">
        <v>6365</v>
      </c>
      <c r="F98" s="0" t="n">
        <v>44964</v>
      </c>
      <c r="G98" s="0" t="s">
        <v>277</v>
      </c>
      <c r="H98" s="0" t="s">
        <v>270</v>
      </c>
      <c r="I98" s="0" t="s">
        <v>6366</v>
      </c>
    </row>
    <row r="99" customFormat="false" ht="15" hidden="false" customHeight="false" outlineLevel="0" collapsed="false">
      <c r="A99" s="0" t="n">
        <v>143</v>
      </c>
      <c r="B99" s="0" t="s">
        <v>199</v>
      </c>
      <c r="C99" s="0" t="s">
        <v>6367</v>
      </c>
      <c r="D99" s="0" t="s">
        <v>6076</v>
      </c>
      <c r="E99" s="0" t="s">
        <v>6368</v>
      </c>
      <c r="F99" s="0" t="n">
        <v>31038</v>
      </c>
      <c r="G99" s="0" t="s">
        <v>277</v>
      </c>
      <c r="H99" s="0" t="s">
        <v>270</v>
      </c>
      <c r="I99" s="0" t="s">
        <v>6369</v>
      </c>
    </row>
    <row r="100" customFormat="false" ht="15" hidden="false" customHeight="false" outlineLevel="0" collapsed="false">
      <c r="A100" s="0" t="n">
        <v>118</v>
      </c>
      <c r="B100" s="0" t="s">
        <v>172</v>
      </c>
      <c r="C100" s="0" t="s">
        <v>6370</v>
      </c>
      <c r="D100" s="0" t="s">
        <v>6076</v>
      </c>
      <c r="E100" s="0" t="s">
        <v>6371</v>
      </c>
      <c r="F100" s="0" t="n">
        <v>30431</v>
      </c>
      <c r="G100" s="0" t="s">
        <v>277</v>
      </c>
      <c r="H100" s="0" t="s">
        <v>270</v>
      </c>
      <c r="I100" s="0" t="s">
        <v>6372</v>
      </c>
    </row>
    <row r="101" customFormat="false" ht="15" hidden="false" customHeight="false" outlineLevel="0" collapsed="false">
      <c r="A101" s="0" t="n">
        <v>147</v>
      </c>
      <c r="B101" s="0" t="s">
        <v>203</v>
      </c>
      <c r="C101" s="0" t="s">
        <v>6373</v>
      </c>
      <c r="D101" s="0" t="s">
        <v>6076</v>
      </c>
      <c r="E101" s="0" t="s">
        <v>6374</v>
      </c>
      <c r="F101" s="0" t="n">
        <v>36080</v>
      </c>
      <c r="G101" s="0" t="s">
        <v>277</v>
      </c>
      <c r="H101" s="0" t="s">
        <v>270</v>
      </c>
      <c r="I101" s="0" t="s">
        <v>6375</v>
      </c>
    </row>
    <row r="102" customFormat="false" ht="15" hidden="false" customHeight="false" outlineLevel="0" collapsed="false">
      <c r="A102" s="0" t="n">
        <v>153</v>
      </c>
      <c r="B102" s="0" t="s">
        <v>210</v>
      </c>
      <c r="C102" s="0" t="s">
        <v>6376</v>
      </c>
      <c r="D102" s="0" t="s">
        <v>6076</v>
      </c>
      <c r="E102" s="0" t="s">
        <v>6377</v>
      </c>
      <c r="F102" s="0" t="n">
        <v>31888</v>
      </c>
      <c r="G102" s="0" t="s">
        <v>277</v>
      </c>
      <c r="H102" s="0" t="s">
        <v>270</v>
      </c>
      <c r="I102" s="0" t="s">
        <v>6378</v>
      </c>
    </row>
    <row r="103" customFormat="false" ht="15" hidden="false" customHeight="false" outlineLevel="0" collapsed="false">
      <c r="A103" s="0" t="n">
        <v>154</v>
      </c>
      <c r="B103" s="0" t="s">
        <v>211</v>
      </c>
      <c r="C103" s="0" t="s">
        <v>6379</v>
      </c>
      <c r="D103" s="0" t="s">
        <v>6076</v>
      </c>
      <c r="E103" s="0" t="s">
        <v>6380</v>
      </c>
      <c r="F103" s="0" t="n">
        <v>30324</v>
      </c>
      <c r="G103" s="0" t="s">
        <v>277</v>
      </c>
      <c r="H103" s="0" t="s">
        <v>270</v>
      </c>
      <c r="I103" s="0" t="s">
        <v>6381</v>
      </c>
    </row>
    <row r="104" customFormat="false" ht="15" hidden="false" customHeight="false" outlineLevel="0" collapsed="false">
      <c r="A104" s="0" t="n">
        <v>37</v>
      </c>
      <c r="B104" s="0" t="s">
        <v>78</v>
      </c>
      <c r="C104" s="0" t="s">
        <v>6382</v>
      </c>
      <c r="D104" s="0" t="s">
        <v>6076</v>
      </c>
      <c r="E104" s="0" t="s">
        <v>6383</v>
      </c>
      <c r="F104" s="0" t="n">
        <v>25324</v>
      </c>
      <c r="G104" s="0" t="s">
        <v>277</v>
      </c>
      <c r="H104" s="0" t="s">
        <v>270</v>
      </c>
      <c r="I104" s="0" t="s">
        <v>6384</v>
      </c>
    </row>
    <row r="105" customFormat="false" ht="15" hidden="false" customHeight="false" outlineLevel="0" collapsed="false">
      <c r="A105" s="0" t="n">
        <v>134</v>
      </c>
      <c r="B105" s="0" t="s">
        <v>190</v>
      </c>
      <c r="C105" s="0" t="s">
        <v>6385</v>
      </c>
      <c r="D105" s="0" t="s">
        <v>6076</v>
      </c>
      <c r="E105" s="0" t="s">
        <v>6386</v>
      </c>
      <c r="F105" s="0" t="n">
        <v>51862</v>
      </c>
      <c r="G105" s="0" t="s">
        <v>277</v>
      </c>
      <c r="H105" s="0" t="s">
        <v>270</v>
      </c>
      <c r="I105" s="0" t="s">
        <v>6387</v>
      </c>
    </row>
    <row r="106" customFormat="false" ht="15" hidden="false" customHeight="false" outlineLevel="0" collapsed="false">
      <c r="A106" s="0" t="n">
        <v>140</v>
      </c>
      <c r="B106" s="0" t="s">
        <v>196</v>
      </c>
      <c r="C106" s="0" t="s">
        <v>6388</v>
      </c>
      <c r="D106" s="0" t="s">
        <v>6076</v>
      </c>
      <c r="E106" s="0" t="s">
        <v>6389</v>
      </c>
      <c r="F106" s="0" t="n">
        <v>32743</v>
      </c>
      <c r="G106" s="0" t="s">
        <v>277</v>
      </c>
      <c r="H106" s="0" t="s">
        <v>270</v>
      </c>
      <c r="I106" s="0" t="s">
        <v>6390</v>
      </c>
    </row>
    <row r="107" customFormat="false" ht="15" hidden="false" customHeight="false" outlineLevel="0" collapsed="false">
      <c r="A107" s="0" t="n">
        <v>148</v>
      </c>
      <c r="B107" s="0" t="s">
        <v>204</v>
      </c>
      <c r="C107" s="0" t="s">
        <v>6391</v>
      </c>
      <c r="D107" s="0" t="s">
        <v>6076</v>
      </c>
      <c r="E107" s="0" t="s">
        <v>6392</v>
      </c>
      <c r="F107" s="0" t="n">
        <v>36622</v>
      </c>
      <c r="G107" s="0" t="s">
        <v>277</v>
      </c>
      <c r="H107" s="0" t="s">
        <v>270</v>
      </c>
      <c r="I107" s="0" t="s">
        <v>6393</v>
      </c>
    </row>
    <row r="108" customFormat="false" ht="15" hidden="false" customHeight="false" outlineLevel="0" collapsed="false">
      <c r="A108" s="0" t="n">
        <v>49</v>
      </c>
      <c r="B108" s="0" t="s">
        <v>96</v>
      </c>
      <c r="C108" s="0" t="s">
        <v>6394</v>
      </c>
      <c r="D108" s="0" t="s">
        <v>6076</v>
      </c>
      <c r="E108" s="0" t="s">
        <v>6395</v>
      </c>
      <c r="F108" s="0" t="n">
        <v>35440</v>
      </c>
      <c r="G108" s="0" t="s">
        <v>277</v>
      </c>
      <c r="H108" s="0" t="s">
        <v>270</v>
      </c>
      <c r="I108" s="0" t="s">
        <v>6396</v>
      </c>
    </row>
    <row r="109" customFormat="false" ht="15" hidden="false" customHeight="false" outlineLevel="0" collapsed="false">
      <c r="A109" s="0" t="n">
        <v>138</v>
      </c>
      <c r="B109" s="0" t="s">
        <v>194</v>
      </c>
      <c r="C109" s="0" t="s">
        <v>6397</v>
      </c>
      <c r="D109" s="0" t="s">
        <v>6076</v>
      </c>
      <c r="E109" s="0" t="s">
        <v>6398</v>
      </c>
      <c r="F109" s="0" t="n">
        <v>27360</v>
      </c>
      <c r="G109" s="0" t="s">
        <v>277</v>
      </c>
      <c r="H109" s="0" t="s">
        <v>270</v>
      </c>
      <c r="I109" s="0" t="s">
        <v>6399</v>
      </c>
    </row>
    <row r="110" customFormat="false" ht="15" hidden="false" customHeight="false" outlineLevel="0" collapsed="false">
      <c r="A110" s="0" t="n">
        <v>171</v>
      </c>
      <c r="B110" s="0" t="s">
        <v>231</v>
      </c>
      <c r="C110" s="0" t="s">
        <v>6400</v>
      </c>
      <c r="D110" s="0" t="s">
        <v>6076</v>
      </c>
      <c r="E110" s="0" t="s">
        <v>6401</v>
      </c>
      <c r="F110" s="0" t="n">
        <v>35865</v>
      </c>
      <c r="G110" s="0" t="s">
        <v>277</v>
      </c>
      <c r="H110" s="0" t="s">
        <v>270</v>
      </c>
      <c r="I110" s="0" t="s">
        <v>6402</v>
      </c>
    </row>
    <row r="111" customFormat="false" ht="15" hidden="false" customHeight="false" outlineLevel="0" collapsed="false">
      <c r="A111" s="0" t="n">
        <v>165</v>
      </c>
      <c r="B111" s="0" t="s">
        <v>223</v>
      </c>
      <c r="C111" s="0" t="s">
        <v>6403</v>
      </c>
      <c r="D111" s="0" t="s">
        <v>6076</v>
      </c>
      <c r="E111" s="0" t="s">
        <v>6404</v>
      </c>
      <c r="F111" s="0" t="n">
        <v>36915</v>
      </c>
      <c r="G111" s="0" t="s">
        <v>277</v>
      </c>
      <c r="H111" s="0" t="s">
        <v>270</v>
      </c>
      <c r="I111" s="0" t="s">
        <v>6405</v>
      </c>
    </row>
    <row r="112" customFormat="false" ht="15" hidden="false" customHeight="false" outlineLevel="0" collapsed="false">
      <c r="A112" s="0" t="n">
        <v>102</v>
      </c>
      <c r="B112" s="0" t="s">
        <v>156</v>
      </c>
      <c r="C112" s="0" t="s">
        <v>6406</v>
      </c>
      <c r="D112" s="0" t="s">
        <v>6076</v>
      </c>
      <c r="E112" s="0" t="s">
        <v>6407</v>
      </c>
      <c r="F112" s="0" t="n">
        <v>32898</v>
      </c>
      <c r="G112" s="0" t="s">
        <v>277</v>
      </c>
      <c r="H112" s="0" t="s">
        <v>270</v>
      </c>
      <c r="I112" s="0" t="s">
        <v>6408</v>
      </c>
    </row>
    <row r="113" customFormat="false" ht="15" hidden="false" customHeight="false" outlineLevel="0" collapsed="false">
      <c r="A113" s="0" t="n">
        <v>67</v>
      </c>
      <c r="B113" s="0" t="s">
        <v>118</v>
      </c>
      <c r="C113" s="0" t="s">
        <v>6409</v>
      </c>
      <c r="D113" s="0" t="s">
        <v>6076</v>
      </c>
      <c r="E113" s="0" t="s">
        <v>6410</v>
      </c>
      <c r="F113" s="0" t="n">
        <v>41745</v>
      </c>
      <c r="G113" s="0" t="s">
        <v>277</v>
      </c>
      <c r="H113" s="0" t="s">
        <v>270</v>
      </c>
      <c r="I113" s="0" t="s">
        <v>6411</v>
      </c>
    </row>
    <row r="114" customFormat="false" ht="15" hidden="false" customHeight="false" outlineLevel="0" collapsed="false">
      <c r="A114" s="0" t="n">
        <v>32</v>
      </c>
      <c r="B114" s="0" t="s">
        <v>72</v>
      </c>
      <c r="C114" s="0" t="s">
        <v>6412</v>
      </c>
      <c r="D114" s="0" t="s">
        <v>6076</v>
      </c>
      <c r="E114" s="0" t="s">
        <v>6413</v>
      </c>
      <c r="F114" s="0" t="n">
        <v>27890</v>
      </c>
      <c r="G114" s="0" t="s">
        <v>277</v>
      </c>
      <c r="H114" s="0" t="s">
        <v>270</v>
      </c>
      <c r="I114" s="0" t="s">
        <v>6414</v>
      </c>
    </row>
    <row r="115" customFormat="false" ht="15" hidden="false" customHeight="false" outlineLevel="0" collapsed="false">
      <c r="A115" s="0" t="n">
        <v>4</v>
      </c>
      <c r="B115" s="0" t="s">
        <v>34</v>
      </c>
      <c r="C115" s="0" t="s">
        <v>6415</v>
      </c>
      <c r="D115" s="0" t="s">
        <v>6416</v>
      </c>
      <c r="E115" s="0" t="s">
        <v>6417</v>
      </c>
      <c r="F115" s="0" t="n">
        <v>2348</v>
      </c>
      <c r="G115" s="0" t="s">
        <v>277</v>
      </c>
      <c r="H115" s="0" t="s">
        <v>293</v>
      </c>
      <c r="I115" s="0" t="s">
        <v>6418</v>
      </c>
    </row>
    <row r="116" customFormat="false" ht="15" hidden="false" customHeight="false" outlineLevel="0" collapsed="false">
      <c r="A116" s="0" t="n">
        <v>4</v>
      </c>
      <c r="B116" s="0" t="s">
        <v>34</v>
      </c>
      <c r="C116" s="0" t="s">
        <v>6419</v>
      </c>
      <c r="D116" s="0" t="s">
        <v>6416</v>
      </c>
      <c r="E116" s="0" t="s">
        <v>6420</v>
      </c>
      <c r="F116" s="0" t="n">
        <v>3494</v>
      </c>
      <c r="G116" s="0" t="s">
        <v>277</v>
      </c>
      <c r="H116" s="0" t="s">
        <v>293</v>
      </c>
      <c r="I116" s="0" t="s">
        <v>6421</v>
      </c>
    </row>
    <row r="117" customFormat="false" ht="15" hidden="false" customHeight="false" outlineLevel="0" collapsed="false">
      <c r="A117" s="0" t="n">
        <v>4</v>
      </c>
      <c r="B117" s="0" t="s">
        <v>34</v>
      </c>
      <c r="C117" s="0" t="s">
        <v>6422</v>
      </c>
      <c r="D117" s="0" t="s">
        <v>6416</v>
      </c>
      <c r="E117" s="0" t="s">
        <v>6417</v>
      </c>
      <c r="F117" s="0" t="n">
        <v>2348</v>
      </c>
      <c r="G117" s="0" t="s">
        <v>277</v>
      </c>
      <c r="H117" s="0" t="s">
        <v>293</v>
      </c>
      <c r="I117" s="0" t="s">
        <v>6423</v>
      </c>
    </row>
    <row r="118" customFormat="false" ht="15" hidden="false" customHeight="false" outlineLevel="0" collapsed="false">
      <c r="A118" s="0" t="n">
        <v>4</v>
      </c>
      <c r="B118" s="0" t="s">
        <v>34</v>
      </c>
      <c r="C118" s="0" t="s">
        <v>6424</v>
      </c>
      <c r="D118" s="0" t="s">
        <v>6425</v>
      </c>
      <c r="E118" s="0" t="s">
        <v>6426</v>
      </c>
      <c r="F118" s="0" t="n">
        <v>719</v>
      </c>
      <c r="G118" s="0" t="s">
        <v>277</v>
      </c>
      <c r="H118" s="0" t="s">
        <v>293</v>
      </c>
      <c r="I118" s="0" t="s">
        <v>6427</v>
      </c>
    </row>
    <row r="119" customFormat="false" ht="15" hidden="false" customHeight="false" outlineLevel="0" collapsed="false">
      <c r="A119" s="0" t="n">
        <v>4</v>
      </c>
      <c r="B119" s="0" t="s">
        <v>34</v>
      </c>
      <c r="C119" s="0" t="s">
        <v>6428</v>
      </c>
      <c r="D119" s="0" t="s">
        <v>6416</v>
      </c>
      <c r="E119" s="0" t="s">
        <v>6429</v>
      </c>
      <c r="F119" s="0" t="n">
        <v>3099</v>
      </c>
      <c r="G119" s="0" t="s">
        <v>277</v>
      </c>
      <c r="H119" s="0" t="s">
        <v>293</v>
      </c>
      <c r="I119" s="0" t="s">
        <v>6430</v>
      </c>
    </row>
    <row r="120" customFormat="false" ht="15" hidden="false" customHeight="false" outlineLevel="0" collapsed="false">
      <c r="A120" s="0" t="n">
        <v>4</v>
      </c>
      <c r="B120" s="0" t="s">
        <v>34</v>
      </c>
      <c r="C120" s="0" t="s">
        <v>6431</v>
      </c>
      <c r="D120" s="0" t="s">
        <v>6416</v>
      </c>
      <c r="E120" s="0" t="s">
        <v>6432</v>
      </c>
      <c r="F120" s="0" t="n">
        <v>4018</v>
      </c>
      <c r="G120" s="0" t="s">
        <v>277</v>
      </c>
      <c r="H120" s="0" t="s">
        <v>293</v>
      </c>
      <c r="I120" s="0" t="s">
        <v>6433</v>
      </c>
    </row>
    <row r="121" customFormat="false" ht="15" hidden="false" customHeight="false" outlineLevel="0" collapsed="false">
      <c r="A121" s="0" t="n">
        <v>4</v>
      </c>
      <c r="B121" s="0" t="s">
        <v>34</v>
      </c>
      <c r="C121" s="0" t="s">
        <v>6434</v>
      </c>
      <c r="D121" s="0" t="s">
        <v>6416</v>
      </c>
      <c r="E121" s="0" t="s">
        <v>6435</v>
      </c>
      <c r="F121" s="0" t="n">
        <v>663</v>
      </c>
      <c r="G121" s="0" t="s">
        <v>277</v>
      </c>
      <c r="H121" s="0" t="s">
        <v>293</v>
      </c>
      <c r="I121" s="0" t="s">
        <v>6436</v>
      </c>
    </row>
    <row r="122" customFormat="false" ht="15" hidden="false" customHeight="false" outlineLevel="0" collapsed="false">
      <c r="A122" s="0" t="n">
        <v>3</v>
      </c>
      <c r="B122" s="0" t="s">
        <v>32</v>
      </c>
      <c r="C122" s="0" t="s">
        <v>6437</v>
      </c>
      <c r="D122" s="0" t="s">
        <v>6416</v>
      </c>
      <c r="E122" s="0" t="s">
        <v>6438</v>
      </c>
      <c r="F122" s="0" t="n">
        <v>8625</v>
      </c>
      <c r="G122" s="0" t="s">
        <v>277</v>
      </c>
      <c r="H122" s="0" t="s">
        <v>293</v>
      </c>
      <c r="I122" s="0" t="s">
        <v>6439</v>
      </c>
    </row>
    <row r="123" customFormat="false" ht="15" hidden="false" customHeight="false" outlineLevel="0" collapsed="false">
      <c r="A123" s="0" t="n">
        <v>4</v>
      </c>
      <c r="B123" s="0" t="s">
        <v>34</v>
      </c>
      <c r="C123" s="0" t="s">
        <v>6440</v>
      </c>
      <c r="D123" s="0" t="s">
        <v>6416</v>
      </c>
      <c r="E123" s="0" t="s">
        <v>6441</v>
      </c>
      <c r="F123" s="0" t="n">
        <v>708</v>
      </c>
      <c r="G123" s="0" t="s">
        <v>277</v>
      </c>
      <c r="H123" s="0" t="s">
        <v>293</v>
      </c>
      <c r="I123" s="0" t="s">
        <v>6442</v>
      </c>
    </row>
    <row r="124" customFormat="false" ht="15" hidden="false" customHeight="false" outlineLevel="0" collapsed="false">
      <c r="A124" s="0" t="n">
        <v>3</v>
      </c>
      <c r="B124" s="0" t="s">
        <v>32</v>
      </c>
      <c r="C124" s="0" t="s">
        <v>6443</v>
      </c>
      <c r="D124" s="0" t="s">
        <v>6416</v>
      </c>
      <c r="E124" s="0" t="s">
        <v>6444</v>
      </c>
      <c r="F124" s="0" t="n">
        <v>2554</v>
      </c>
      <c r="G124" s="0" t="s">
        <v>277</v>
      </c>
      <c r="H124" s="0" t="s">
        <v>293</v>
      </c>
      <c r="I124" s="0" t="s">
        <v>6445</v>
      </c>
    </row>
    <row r="125" customFormat="false" ht="15" hidden="false" customHeight="false" outlineLevel="0" collapsed="false">
      <c r="A125" s="0" t="n">
        <v>4</v>
      </c>
      <c r="B125" s="0" t="s">
        <v>34</v>
      </c>
      <c r="C125" s="0" t="s">
        <v>6446</v>
      </c>
      <c r="D125" s="0" t="s">
        <v>6416</v>
      </c>
      <c r="E125" s="0" t="s">
        <v>6447</v>
      </c>
      <c r="F125" s="0" t="n">
        <v>1094</v>
      </c>
      <c r="G125" s="0" t="s">
        <v>277</v>
      </c>
      <c r="H125" s="0" t="s">
        <v>293</v>
      </c>
      <c r="I125" s="0" t="s">
        <v>6448</v>
      </c>
    </row>
    <row r="126" customFormat="false" ht="15" hidden="false" customHeight="false" outlineLevel="0" collapsed="false">
      <c r="A126" s="0" t="n">
        <v>3</v>
      </c>
      <c r="B126" s="0" t="s">
        <v>32</v>
      </c>
      <c r="C126" s="0" t="s">
        <v>6449</v>
      </c>
      <c r="D126" s="0" t="s">
        <v>6416</v>
      </c>
      <c r="E126" s="0" t="s">
        <v>6450</v>
      </c>
      <c r="F126" s="0" t="n">
        <v>2914</v>
      </c>
      <c r="G126" s="0" t="s">
        <v>277</v>
      </c>
      <c r="H126" s="0" t="s">
        <v>293</v>
      </c>
      <c r="I126" s="0" t="s">
        <v>6451</v>
      </c>
    </row>
    <row r="127" customFormat="false" ht="15" hidden="false" customHeight="false" outlineLevel="0" collapsed="false">
      <c r="A127" s="0" t="n">
        <v>4</v>
      </c>
      <c r="B127" s="0" t="s">
        <v>34</v>
      </c>
      <c r="C127" s="0" t="s">
        <v>6452</v>
      </c>
      <c r="D127" s="0" t="s">
        <v>6416</v>
      </c>
      <c r="E127" s="0" t="s">
        <v>6453</v>
      </c>
      <c r="F127" s="0" t="n">
        <v>3165</v>
      </c>
      <c r="G127" s="0" t="s">
        <v>277</v>
      </c>
      <c r="H127" s="0" t="s">
        <v>293</v>
      </c>
      <c r="I127" s="0" t="s">
        <v>6454</v>
      </c>
    </row>
    <row r="128" customFormat="false" ht="15" hidden="false" customHeight="false" outlineLevel="0" collapsed="false">
      <c r="A128" s="0" t="n">
        <v>3</v>
      </c>
      <c r="B128" s="0" t="s">
        <v>32</v>
      </c>
      <c r="C128" s="0" t="s">
        <v>6455</v>
      </c>
      <c r="D128" s="0" t="s">
        <v>6416</v>
      </c>
      <c r="E128" s="0" t="s">
        <v>6456</v>
      </c>
      <c r="F128" s="0" t="n">
        <v>3114</v>
      </c>
      <c r="G128" s="0" t="s">
        <v>277</v>
      </c>
      <c r="H128" s="0" t="s">
        <v>293</v>
      </c>
      <c r="I128" s="0" t="s">
        <v>6457</v>
      </c>
    </row>
    <row r="129" customFormat="false" ht="15" hidden="false" customHeight="false" outlineLevel="0" collapsed="false">
      <c r="A129" s="0" t="n">
        <v>4</v>
      </c>
      <c r="B129" s="0" t="s">
        <v>34</v>
      </c>
      <c r="C129" s="0" t="s">
        <v>6458</v>
      </c>
      <c r="D129" s="0" t="s">
        <v>6425</v>
      </c>
      <c r="E129" s="0" t="s">
        <v>6459</v>
      </c>
      <c r="F129" s="0" t="n">
        <v>2423</v>
      </c>
      <c r="G129" s="0" t="s">
        <v>277</v>
      </c>
      <c r="H129" s="0" t="s">
        <v>293</v>
      </c>
      <c r="I129" s="0" t="s">
        <v>6460</v>
      </c>
    </row>
    <row r="130" customFormat="false" ht="15" hidden="false" customHeight="false" outlineLevel="0" collapsed="false">
      <c r="A130" s="0" t="n">
        <v>3</v>
      </c>
      <c r="B130" s="0" t="s">
        <v>32</v>
      </c>
      <c r="C130" s="0" t="s">
        <v>6461</v>
      </c>
      <c r="D130" s="0" t="s">
        <v>91</v>
      </c>
      <c r="E130" s="0" t="s">
        <v>6462</v>
      </c>
      <c r="F130" s="0" t="n">
        <v>1809</v>
      </c>
      <c r="G130" s="0" t="s">
        <v>277</v>
      </c>
      <c r="H130" s="0" t="s">
        <v>293</v>
      </c>
      <c r="I130" s="0" t="s">
        <v>6463</v>
      </c>
    </row>
    <row r="131" customFormat="false" ht="15" hidden="false" customHeight="false" outlineLevel="0" collapsed="false">
      <c r="A131" s="0" t="n">
        <v>4</v>
      </c>
      <c r="B131" s="0" t="s">
        <v>34</v>
      </c>
      <c r="C131" s="0" t="s">
        <v>6464</v>
      </c>
      <c r="D131" s="0" t="s">
        <v>6425</v>
      </c>
      <c r="E131" s="0" t="s">
        <v>6465</v>
      </c>
      <c r="F131" s="0" t="n">
        <v>1657</v>
      </c>
      <c r="G131" s="0" t="s">
        <v>277</v>
      </c>
      <c r="H131" s="0" t="s">
        <v>293</v>
      </c>
      <c r="I131" s="0" t="s">
        <v>6466</v>
      </c>
    </row>
    <row r="132" customFormat="false" ht="15" hidden="false" customHeight="false" outlineLevel="0" collapsed="false">
      <c r="A132" s="0" t="n">
        <v>4</v>
      </c>
      <c r="B132" s="0" t="s">
        <v>34</v>
      </c>
      <c r="C132" s="0" t="s">
        <v>6467</v>
      </c>
      <c r="D132" s="0" t="s">
        <v>6416</v>
      </c>
      <c r="E132" s="0" t="s">
        <v>6468</v>
      </c>
      <c r="F132" s="0" t="n">
        <v>2780</v>
      </c>
      <c r="G132" s="0" t="s">
        <v>277</v>
      </c>
      <c r="H132" s="0" t="s">
        <v>293</v>
      </c>
      <c r="I132" s="0" t="s">
        <v>6469</v>
      </c>
    </row>
    <row r="133" customFormat="false" ht="15" hidden="false" customHeight="false" outlineLevel="0" collapsed="false">
      <c r="A133" s="0" t="n">
        <v>3</v>
      </c>
      <c r="B133" s="0" t="s">
        <v>32</v>
      </c>
      <c r="C133" s="0" t="s">
        <v>6470</v>
      </c>
      <c r="D133" s="0" t="s">
        <v>6416</v>
      </c>
      <c r="E133" s="0" t="s">
        <v>6456</v>
      </c>
      <c r="F133" s="0" t="n">
        <v>3470</v>
      </c>
      <c r="G133" s="0" t="s">
        <v>277</v>
      </c>
      <c r="H133" s="0" t="s">
        <v>293</v>
      </c>
      <c r="I133" s="0" t="s">
        <v>6471</v>
      </c>
    </row>
    <row r="134" customFormat="false" ht="15" hidden="false" customHeight="false" outlineLevel="0" collapsed="false">
      <c r="A134" s="0" t="n">
        <v>3</v>
      </c>
      <c r="B134" s="0" t="s">
        <v>32</v>
      </c>
      <c r="C134" s="0" t="s">
        <v>6472</v>
      </c>
      <c r="D134" s="0" t="s">
        <v>6416</v>
      </c>
      <c r="E134" s="0" t="s">
        <v>6473</v>
      </c>
      <c r="F134" s="0" t="n">
        <v>1528</v>
      </c>
      <c r="G134" s="0" t="s">
        <v>277</v>
      </c>
      <c r="H134" s="0" t="s">
        <v>293</v>
      </c>
      <c r="I134" s="0" t="s">
        <v>6474</v>
      </c>
    </row>
    <row r="135" customFormat="false" ht="15" hidden="false" customHeight="false" outlineLevel="0" collapsed="false">
      <c r="A135" s="0" t="n">
        <v>4</v>
      </c>
      <c r="B135" s="0" t="s">
        <v>34</v>
      </c>
      <c r="C135" s="0" t="s">
        <v>6475</v>
      </c>
      <c r="D135" s="0" t="s">
        <v>6416</v>
      </c>
      <c r="E135" s="0" t="s">
        <v>6476</v>
      </c>
      <c r="F135" s="0" t="n">
        <v>2693</v>
      </c>
      <c r="G135" s="0" t="s">
        <v>277</v>
      </c>
      <c r="H135" s="0" t="s">
        <v>293</v>
      </c>
      <c r="I135" s="0" t="s">
        <v>6477</v>
      </c>
    </row>
    <row r="136" customFormat="false" ht="15" hidden="false" customHeight="false" outlineLevel="0" collapsed="false">
      <c r="A136" s="0" t="n">
        <v>3</v>
      </c>
      <c r="B136" s="0" t="s">
        <v>32</v>
      </c>
      <c r="C136" s="0" t="s">
        <v>6478</v>
      </c>
      <c r="D136" s="0" t="s">
        <v>6425</v>
      </c>
      <c r="E136" s="0" t="s">
        <v>6479</v>
      </c>
      <c r="F136" s="0" t="n">
        <v>1279</v>
      </c>
      <c r="G136" s="0" t="s">
        <v>277</v>
      </c>
      <c r="H136" s="0" t="s">
        <v>293</v>
      </c>
      <c r="I136" s="0" t="s">
        <v>6480</v>
      </c>
    </row>
    <row r="137" customFormat="false" ht="15" hidden="false" customHeight="false" outlineLevel="0" collapsed="false">
      <c r="A137" s="0" t="n">
        <v>4</v>
      </c>
      <c r="B137" s="0" t="s">
        <v>34</v>
      </c>
      <c r="C137" s="0" t="s">
        <v>6481</v>
      </c>
      <c r="D137" s="0" t="s">
        <v>6416</v>
      </c>
      <c r="E137" s="0" t="s">
        <v>6482</v>
      </c>
      <c r="F137" s="0" t="n">
        <v>1570</v>
      </c>
      <c r="G137" s="0" t="s">
        <v>277</v>
      </c>
      <c r="H137" s="0" t="s">
        <v>293</v>
      </c>
      <c r="I137" s="0" t="s">
        <v>6483</v>
      </c>
    </row>
    <row r="138" customFormat="false" ht="15" hidden="false" customHeight="false" outlineLevel="0" collapsed="false">
      <c r="A138" s="0" t="n">
        <v>3</v>
      </c>
      <c r="B138" s="0" t="s">
        <v>32</v>
      </c>
      <c r="C138" s="0" t="s">
        <v>6484</v>
      </c>
      <c r="D138" s="0" t="s">
        <v>6416</v>
      </c>
      <c r="E138" s="0" t="s">
        <v>6485</v>
      </c>
      <c r="F138" s="0" t="n">
        <v>3307</v>
      </c>
      <c r="G138" s="0" t="s">
        <v>277</v>
      </c>
      <c r="H138" s="0" t="s">
        <v>293</v>
      </c>
      <c r="I138" s="0" t="s">
        <v>6486</v>
      </c>
    </row>
    <row r="139" customFormat="false" ht="15" hidden="false" customHeight="false" outlineLevel="0" collapsed="false">
      <c r="A139" s="0" t="n">
        <v>4</v>
      </c>
      <c r="B139" s="0" t="s">
        <v>34</v>
      </c>
      <c r="C139" s="0" t="s">
        <v>6487</v>
      </c>
      <c r="D139" s="0" t="s">
        <v>6416</v>
      </c>
      <c r="E139" s="0" t="s">
        <v>6488</v>
      </c>
      <c r="F139" s="0" t="n">
        <v>2744</v>
      </c>
      <c r="G139" s="0" t="s">
        <v>277</v>
      </c>
      <c r="H139" s="0" t="s">
        <v>293</v>
      </c>
      <c r="I139" s="0" t="s">
        <v>6489</v>
      </c>
    </row>
    <row r="140" customFormat="false" ht="15" hidden="false" customHeight="false" outlineLevel="0" collapsed="false">
      <c r="A140" s="0" t="n">
        <v>3</v>
      </c>
      <c r="B140" s="0" t="s">
        <v>32</v>
      </c>
      <c r="C140" s="0" t="s">
        <v>6490</v>
      </c>
      <c r="D140" s="0" t="s">
        <v>500</v>
      </c>
      <c r="E140" s="0" t="s">
        <v>6491</v>
      </c>
      <c r="F140" s="0" t="n">
        <v>1344</v>
      </c>
      <c r="G140" s="0" t="s">
        <v>277</v>
      </c>
      <c r="H140" s="0" t="s">
        <v>293</v>
      </c>
      <c r="I140" s="0" t="s">
        <v>6492</v>
      </c>
    </row>
    <row r="141" customFormat="false" ht="15" hidden="false" customHeight="false" outlineLevel="0" collapsed="false">
      <c r="A141" s="0" t="n">
        <v>4</v>
      </c>
      <c r="B141" s="0" t="s">
        <v>34</v>
      </c>
      <c r="C141" s="0" t="s">
        <v>6493</v>
      </c>
      <c r="D141" s="0" t="s">
        <v>6416</v>
      </c>
      <c r="E141" s="0" t="s">
        <v>6494</v>
      </c>
      <c r="F141" s="0" t="n">
        <v>3200</v>
      </c>
      <c r="G141" s="0" t="s">
        <v>277</v>
      </c>
      <c r="H141" s="0" t="s">
        <v>293</v>
      </c>
      <c r="I141" s="0" t="s">
        <v>6495</v>
      </c>
    </row>
    <row r="142" customFormat="false" ht="15" hidden="false" customHeight="false" outlineLevel="0" collapsed="false">
      <c r="A142" s="0" t="n">
        <v>3</v>
      </c>
      <c r="B142" s="0" t="s">
        <v>32</v>
      </c>
      <c r="C142" s="0" t="s">
        <v>6496</v>
      </c>
      <c r="D142" s="0" t="s">
        <v>6416</v>
      </c>
      <c r="E142" s="0" t="s">
        <v>6497</v>
      </c>
      <c r="F142" s="0" t="n">
        <v>2921</v>
      </c>
      <c r="G142" s="0" t="s">
        <v>277</v>
      </c>
      <c r="H142" s="0" t="s">
        <v>293</v>
      </c>
      <c r="I142" s="0" t="s">
        <v>6498</v>
      </c>
    </row>
    <row r="143" customFormat="false" ht="15" hidden="false" customHeight="false" outlineLevel="0" collapsed="false">
      <c r="A143" s="0" t="n">
        <v>4</v>
      </c>
      <c r="B143" s="0" t="s">
        <v>34</v>
      </c>
      <c r="C143" s="0" t="s">
        <v>6499</v>
      </c>
      <c r="D143" s="0" t="s">
        <v>6416</v>
      </c>
      <c r="E143" s="0" t="s">
        <v>6500</v>
      </c>
      <c r="F143" s="0" t="n">
        <v>624</v>
      </c>
      <c r="G143" s="0" t="s">
        <v>277</v>
      </c>
      <c r="H143" s="0" t="s">
        <v>293</v>
      </c>
      <c r="I143" s="0" t="s">
        <v>6501</v>
      </c>
    </row>
    <row r="144" customFormat="false" ht="15" hidden="false" customHeight="false" outlineLevel="0" collapsed="false">
      <c r="A144" s="0" t="n">
        <v>3</v>
      </c>
      <c r="B144" s="0" t="s">
        <v>32</v>
      </c>
      <c r="C144" s="0" t="s">
        <v>6502</v>
      </c>
      <c r="D144" s="0" t="s">
        <v>6425</v>
      </c>
      <c r="E144" s="0" t="s">
        <v>6503</v>
      </c>
      <c r="F144" s="0" t="n">
        <v>1386</v>
      </c>
      <c r="G144" s="0" t="s">
        <v>277</v>
      </c>
      <c r="H144" s="0" t="s">
        <v>293</v>
      </c>
      <c r="I144" s="0" t="s">
        <v>6504</v>
      </c>
    </row>
    <row r="145" customFormat="false" ht="15" hidden="false" customHeight="false" outlineLevel="0" collapsed="false">
      <c r="A145" s="0" t="n">
        <v>4</v>
      </c>
      <c r="B145" s="0" t="s">
        <v>34</v>
      </c>
      <c r="C145" s="0" t="s">
        <v>6505</v>
      </c>
      <c r="D145" s="0" t="s">
        <v>6425</v>
      </c>
      <c r="E145" s="0" t="s">
        <v>6506</v>
      </c>
      <c r="F145" s="0" t="n">
        <v>2487</v>
      </c>
      <c r="G145" s="0" t="s">
        <v>277</v>
      </c>
      <c r="H145" s="0" t="s">
        <v>293</v>
      </c>
      <c r="I145" s="0" t="s">
        <v>6507</v>
      </c>
    </row>
    <row r="146" customFormat="false" ht="15" hidden="false" customHeight="false" outlineLevel="0" collapsed="false">
      <c r="A146" s="0" t="n">
        <v>3</v>
      </c>
      <c r="B146" s="0" t="s">
        <v>32</v>
      </c>
      <c r="C146" s="0" t="s">
        <v>6508</v>
      </c>
      <c r="D146" s="0" t="s">
        <v>6425</v>
      </c>
      <c r="E146" s="0" t="s">
        <v>6509</v>
      </c>
      <c r="F146" s="0" t="n">
        <v>1201</v>
      </c>
      <c r="G146" s="0" t="s">
        <v>277</v>
      </c>
      <c r="H146" s="0" t="s">
        <v>293</v>
      </c>
      <c r="I146" s="0" t="s">
        <v>6510</v>
      </c>
    </row>
    <row r="147" customFormat="false" ht="15" hidden="false" customHeight="false" outlineLevel="0" collapsed="false">
      <c r="A147" s="0" t="n">
        <v>4</v>
      </c>
      <c r="B147" s="0" t="s">
        <v>34</v>
      </c>
      <c r="C147" s="0" t="s">
        <v>6511</v>
      </c>
      <c r="D147" s="0" t="s">
        <v>6416</v>
      </c>
      <c r="E147" s="0" t="s">
        <v>6512</v>
      </c>
      <c r="F147" s="0" t="n">
        <v>2554</v>
      </c>
      <c r="G147" s="0" t="s">
        <v>277</v>
      </c>
      <c r="H147" s="0" t="s">
        <v>293</v>
      </c>
      <c r="I147" s="0" t="s">
        <v>6513</v>
      </c>
    </row>
    <row r="148" customFormat="false" ht="15" hidden="false" customHeight="false" outlineLevel="0" collapsed="false">
      <c r="A148" s="0" t="n">
        <v>2</v>
      </c>
      <c r="B148" s="0" t="s">
        <v>29</v>
      </c>
      <c r="C148" s="0" t="s">
        <v>6514</v>
      </c>
      <c r="D148" s="0" t="s">
        <v>500</v>
      </c>
      <c r="E148" s="0" t="s">
        <v>6515</v>
      </c>
      <c r="F148" s="0" t="n">
        <v>223</v>
      </c>
      <c r="G148" s="0" t="s">
        <v>277</v>
      </c>
      <c r="H148" s="0" t="s">
        <v>293</v>
      </c>
      <c r="I148" s="0" t="s">
        <v>6516</v>
      </c>
    </row>
    <row r="149" customFormat="false" ht="15" hidden="false" customHeight="false" outlineLevel="0" collapsed="false">
      <c r="A149" s="0" t="n">
        <v>3</v>
      </c>
      <c r="B149" s="0" t="s">
        <v>32</v>
      </c>
      <c r="C149" s="0" t="s">
        <v>6517</v>
      </c>
      <c r="D149" s="0" t="s">
        <v>6416</v>
      </c>
      <c r="E149" s="0" t="s">
        <v>6518</v>
      </c>
      <c r="F149" s="0" t="n">
        <v>2622</v>
      </c>
      <c r="G149" s="0" t="s">
        <v>277</v>
      </c>
      <c r="H149" s="0" t="s">
        <v>293</v>
      </c>
      <c r="I149" s="0" t="s">
        <v>6519</v>
      </c>
    </row>
    <row r="150" customFormat="false" ht="15" hidden="false" customHeight="false" outlineLevel="0" collapsed="false">
      <c r="A150" s="0" t="n">
        <v>4</v>
      </c>
      <c r="B150" s="0" t="s">
        <v>34</v>
      </c>
      <c r="C150" s="0" t="s">
        <v>6520</v>
      </c>
      <c r="D150" s="0" t="s">
        <v>6416</v>
      </c>
      <c r="E150" s="0" t="s">
        <v>6521</v>
      </c>
      <c r="F150" s="0" t="n">
        <v>2007</v>
      </c>
      <c r="G150" s="0" t="s">
        <v>277</v>
      </c>
      <c r="H150" s="0" t="s">
        <v>293</v>
      </c>
      <c r="I150" s="0" t="s">
        <v>6522</v>
      </c>
    </row>
    <row r="151" customFormat="false" ht="15" hidden="false" customHeight="false" outlineLevel="0" collapsed="false">
      <c r="A151" s="0" t="n">
        <v>3</v>
      </c>
      <c r="B151" s="0" t="s">
        <v>32</v>
      </c>
      <c r="C151" s="0" t="s">
        <v>6523</v>
      </c>
      <c r="D151" s="0" t="s">
        <v>6416</v>
      </c>
      <c r="E151" s="0" t="s">
        <v>6524</v>
      </c>
      <c r="F151" s="0" t="n">
        <v>8683</v>
      </c>
      <c r="G151" s="0" t="s">
        <v>277</v>
      </c>
      <c r="H151" s="0" t="s">
        <v>293</v>
      </c>
      <c r="I151" s="0" t="s">
        <v>6525</v>
      </c>
    </row>
    <row r="152" customFormat="false" ht="15" hidden="false" customHeight="false" outlineLevel="0" collapsed="false">
      <c r="A152" s="0" t="n">
        <v>4</v>
      </c>
      <c r="B152" s="0" t="s">
        <v>34</v>
      </c>
      <c r="C152" s="0" t="s">
        <v>6526</v>
      </c>
      <c r="D152" s="0" t="s">
        <v>6416</v>
      </c>
      <c r="E152" s="0" t="s">
        <v>6527</v>
      </c>
      <c r="F152" s="0" t="n">
        <v>4157</v>
      </c>
      <c r="G152" s="0" t="s">
        <v>277</v>
      </c>
      <c r="H152" s="0" t="s">
        <v>293</v>
      </c>
      <c r="I152" s="0" t="s">
        <v>6528</v>
      </c>
    </row>
    <row r="153" customFormat="false" ht="15" hidden="false" customHeight="false" outlineLevel="0" collapsed="false">
      <c r="A153" s="0" t="n">
        <v>4</v>
      </c>
      <c r="B153" s="0" t="s">
        <v>34</v>
      </c>
      <c r="C153" s="0" t="s">
        <v>6529</v>
      </c>
      <c r="D153" s="0" t="s">
        <v>6425</v>
      </c>
      <c r="E153" s="0" t="s">
        <v>6530</v>
      </c>
      <c r="F153" s="0" t="n">
        <v>214</v>
      </c>
      <c r="G153" s="0" t="s">
        <v>277</v>
      </c>
      <c r="H153" s="0" t="s">
        <v>293</v>
      </c>
      <c r="I153" s="0" t="s">
        <v>6531</v>
      </c>
    </row>
    <row r="154" customFormat="false" ht="15" hidden="false" customHeight="false" outlineLevel="0" collapsed="false">
      <c r="A154" s="0" t="n">
        <v>3</v>
      </c>
      <c r="B154" s="0" t="s">
        <v>32</v>
      </c>
      <c r="C154" s="0" t="s">
        <v>6532</v>
      </c>
      <c r="D154" s="0" t="s">
        <v>6416</v>
      </c>
      <c r="E154" s="0" t="s">
        <v>6533</v>
      </c>
      <c r="F154" s="0" t="n">
        <v>3053</v>
      </c>
      <c r="G154" s="0" t="s">
        <v>277</v>
      </c>
      <c r="H154" s="0" t="s">
        <v>293</v>
      </c>
      <c r="I154" s="0" t="s">
        <v>6534</v>
      </c>
    </row>
    <row r="155" customFormat="false" ht="15" hidden="false" customHeight="false" outlineLevel="0" collapsed="false">
      <c r="A155" s="0" t="n">
        <v>3</v>
      </c>
      <c r="B155" s="0" t="s">
        <v>32</v>
      </c>
      <c r="C155" s="0" t="s">
        <v>6535</v>
      </c>
      <c r="D155" s="0" t="s">
        <v>6416</v>
      </c>
      <c r="E155" s="0" t="s">
        <v>6536</v>
      </c>
      <c r="F155" s="0" t="n">
        <v>5534</v>
      </c>
      <c r="G155" s="0" t="s">
        <v>277</v>
      </c>
      <c r="H155" s="0" t="s">
        <v>293</v>
      </c>
      <c r="I155" s="0" t="s">
        <v>6537</v>
      </c>
    </row>
    <row r="156" customFormat="false" ht="15" hidden="false" customHeight="false" outlineLevel="0" collapsed="false">
      <c r="A156" s="0" t="n">
        <v>4</v>
      </c>
      <c r="B156" s="0" t="s">
        <v>34</v>
      </c>
      <c r="C156" s="0" t="s">
        <v>6538</v>
      </c>
      <c r="D156" s="0" t="s">
        <v>6416</v>
      </c>
      <c r="E156" s="0" t="s">
        <v>6539</v>
      </c>
      <c r="F156" s="0" t="n">
        <v>553</v>
      </c>
      <c r="G156" s="0" t="s">
        <v>277</v>
      </c>
      <c r="H156" s="0" t="s">
        <v>293</v>
      </c>
      <c r="I156" s="0" t="s">
        <v>6540</v>
      </c>
    </row>
    <row r="157" customFormat="false" ht="15" hidden="false" customHeight="false" outlineLevel="0" collapsed="false">
      <c r="A157" s="0" t="n">
        <v>3</v>
      </c>
      <c r="B157" s="0" t="s">
        <v>32</v>
      </c>
      <c r="C157" s="0" t="s">
        <v>6541</v>
      </c>
      <c r="D157" s="0" t="s">
        <v>6416</v>
      </c>
      <c r="E157" s="0" t="s">
        <v>6542</v>
      </c>
      <c r="F157" s="0" t="n">
        <v>521</v>
      </c>
      <c r="G157" s="0" t="s">
        <v>277</v>
      </c>
      <c r="H157" s="0" t="s">
        <v>293</v>
      </c>
      <c r="I157" s="0" t="s">
        <v>6543</v>
      </c>
    </row>
    <row r="158" customFormat="false" ht="15" hidden="false" customHeight="false" outlineLevel="0" collapsed="false">
      <c r="A158" s="0" t="n">
        <v>4</v>
      </c>
      <c r="B158" s="0" t="s">
        <v>34</v>
      </c>
      <c r="C158" s="0" t="s">
        <v>6544</v>
      </c>
      <c r="D158" s="0" t="s">
        <v>6416</v>
      </c>
      <c r="E158" s="0" t="s">
        <v>6545</v>
      </c>
      <c r="F158" s="0" t="n">
        <v>1614</v>
      </c>
      <c r="G158" s="0" t="s">
        <v>277</v>
      </c>
      <c r="H158" s="0" t="s">
        <v>293</v>
      </c>
      <c r="I158" s="0" t="s">
        <v>6546</v>
      </c>
    </row>
    <row r="159" customFormat="false" ht="15" hidden="false" customHeight="false" outlineLevel="0" collapsed="false">
      <c r="A159" s="0" t="n">
        <v>3</v>
      </c>
      <c r="B159" s="0" t="s">
        <v>32</v>
      </c>
      <c r="C159" s="0" t="s">
        <v>6547</v>
      </c>
      <c r="D159" s="0" t="s">
        <v>6416</v>
      </c>
      <c r="E159" s="0" t="s">
        <v>6548</v>
      </c>
      <c r="F159" s="0" t="n">
        <v>2527</v>
      </c>
      <c r="G159" s="0" t="s">
        <v>277</v>
      </c>
      <c r="H159" s="0" t="s">
        <v>293</v>
      </c>
      <c r="I159" s="0" t="s">
        <v>6549</v>
      </c>
    </row>
    <row r="160" customFormat="false" ht="15" hidden="false" customHeight="false" outlineLevel="0" collapsed="false">
      <c r="A160" s="0" t="n">
        <v>4</v>
      </c>
      <c r="B160" s="0" t="s">
        <v>34</v>
      </c>
      <c r="C160" s="0" t="s">
        <v>6550</v>
      </c>
      <c r="D160" s="0" t="s">
        <v>35</v>
      </c>
      <c r="E160" s="0" t="s">
        <v>6551</v>
      </c>
      <c r="F160" s="0" t="n">
        <v>2616</v>
      </c>
      <c r="G160" s="0" t="s">
        <v>277</v>
      </c>
      <c r="H160" s="0" t="s">
        <v>293</v>
      </c>
      <c r="I160" s="0" t="s">
        <v>6552</v>
      </c>
    </row>
    <row r="161" customFormat="false" ht="15" hidden="false" customHeight="false" outlineLevel="0" collapsed="false">
      <c r="A161" s="0" t="n">
        <v>3</v>
      </c>
      <c r="B161" s="0" t="s">
        <v>32</v>
      </c>
      <c r="C161" s="0" t="s">
        <v>6553</v>
      </c>
      <c r="D161" s="0" t="s">
        <v>6416</v>
      </c>
      <c r="E161" s="0" t="s">
        <v>6554</v>
      </c>
      <c r="F161" s="0" t="n">
        <v>5202</v>
      </c>
      <c r="G161" s="0" t="s">
        <v>277</v>
      </c>
      <c r="H161" s="0" t="s">
        <v>293</v>
      </c>
      <c r="I161" s="0" t="s">
        <v>6555</v>
      </c>
    </row>
    <row r="162" customFormat="false" ht="15" hidden="false" customHeight="false" outlineLevel="0" collapsed="false">
      <c r="A162" s="0" t="n">
        <v>3</v>
      </c>
      <c r="B162" s="0" t="s">
        <v>32</v>
      </c>
      <c r="C162" s="0" t="s">
        <v>6556</v>
      </c>
      <c r="D162" s="0" t="s">
        <v>6425</v>
      </c>
      <c r="E162" s="0" t="s">
        <v>6557</v>
      </c>
      <c r="F162" s="0" t="n">
        <v>1082</v>
      </c>
      <c r="G162" s="0" t="s">
        <v>277</v>
      </c>
      <c r="H162" s="0" t="s">
        <v>293</v>
      </c>
      <c r="I162" s="0" t="s">
        <v>6558</v>
      </c>
    </row>
    <row r="163" customFormat="false" ht="15" hidden="false" customHeight="false" outlineLevel="0" collapsed="false">
      <c r="A163" s="0" t="n">
        <v>4</v>
      </c>
      <c r="B163" s="0" t="s">
        <v>34</v>
      </c>
      <c r="C163" s="0" t="s">
        <v>6559</v>
      </c>
      <c r="D163" s="0" t="s">
        <v>6560</v>
      </c>
      <c r="E163" s="0" t="s">
        <v>6561</v>
      </c>
      <c r="F163" s="0" t="n">
        <v>2621</v>
      </c>
      <c r="G163" s="0" t="s">
        <v>277</v>
      </c>
      <c r="H163" s="0" t="s">
        <v>293</v>
      </c>
      <c r="I163" s="0" t="s">
        <v>6562</v>
      </c>
    </row>
    <row r="164" customFormat="false" ht="15" hidden="false" customHeight="false" outlineLevel="0" collapsed="false">
      <c r="A164" s="0" t="n">
        <v>3</v>
      </c>
      <c r="B164" s="0" t="s">
        <v>32</v>
      </c>
      <c r="C164" s="0" t="s">
        <v>6563</v>
      </c>
      <c r="D164" s="0" t="s">
        <v>6416</v>
      </c>
      <c r="E164" s="0" t="s">
        <v>6564</v>
      </c>
      <c r="F164" s="0" t="n">
        <v>2301</v>
      </c>
      <c r="G164" s="0" t="s">
        <v>277</v>
      </c>
      <c r="H164" s="0" t="s">
        <v>293</v>
      </c>
      <c r="I164" s="0" t="s">
        <v>6565</v>
      </c>
    </row>
    <row r="165" customFormat="false" ht="15" hidden="false" customHeight="false" outlineLevel="0" collapsed="false">
      <c r="A165" s="0" t="n">
        <v>4</v>
      </c>
      <c r="B165" s="0" t="s">
        <v>34</v>
      </c>
      <c r="C165" s="0" t="s">
        <v>6566</v>
      </c>
      <c r="D165" s="0" t="s">
        <v>6416</v>
      </c>
      <c r="E165" s="0" t="s">
        <v>6567</v>
      </c>
      <c r="F165" s="0" t="n">
        <v>2366</v>
      </c>
      <c r="G165" s="0" t="s">
        <v>277</v>
      </c>
      <c r="H165" s="0" t="s">
        <v>293</v>
      </c>
      <c r="I165" s="0" t="s">
        <v>6568</v>
      </c>
    </row>
    <row r="166" customFormat="false" ht="15" hidden="false" customHeight="false" outlineLevel="0" collapsed="false">
      <c r="A166" s="0" t="n">
        <v>3</v>
      </c>
      <c r="B166" s="0" t="s">
        <v>32</v>
      </c>
      <c r="C166" s="0" t="s">
        <v>6569</v>
      </c>
      <c r="D166" s="0" t="s">
        <v>6425</v>
      </c>
      <c r="E166" s="0" t="s">
        <v>6570</v>
      </c>
      <c r="F166" s="0" t="n">
        <v>1315</v>
      </c>
      <c r="G166" s="0" t="s">
        <v>277</v>
      </c>
      <c r="H166" s="0" t="s">
        <v>293</v>
      </c>
      <c r="I166" s="0" t="s">
        <v>6571</v>
      </c>
    </row>
    <row r="167" customFormat="false" ht="15" hidden="false" customHeight="false" outlineLevel="0" collapsed="false">
      <c r="A167" s="0" t="n">
        <v>4</v>
      </c>
      <c r="B167" s="0" t="s">
        <v>34</v>
      </c>
      <c r="C167" s="0" t="s">
        <v>6572</v>
      </c>
      <c r="D167" s="0" t="s">
        <v>6416</v>
      </c>
      <c r="E167" s="0" t="s">
        <v>6573</v>
      </c>
      <c r="F167" s="0" t="n">
        <v>488</v>
      </c>
      <c r="G167" s="0" t="s">
        <v>277</v>
      </c>
      <c r="H167" s="0" t="s">
        <v>293</v>
      </c>
      <c r="I167" s="0" t="s">
        <v>6574</v>
      </c>
    </row>
    <row r="168" customFormat="false" ht="15" hidden="false" customHeight="false" outlineLevel="0" collapsed="false">
      <c r="A168" s="0" t="n">
        <v>3</v>
      </c>
      <c r="B168" s="0" t="s">
        <v>32</v>
      </c>
      <c r="C168" s="0" t="s">
        <v>6575</v>
      </c>
      <c r="D168" s="0" t="s">
        <v>6560</v>
      </c>
      <c r="E168" s="0" t="s">
        <v>6576</v>
      </c>
      <c r="F168" s="0" t="n">
        <v>2480</v>
      </c>
      <c r="G168" s="0" t="s">
        <v>277</v>
      </c>
      <c r="H168" s="0" t="s">
        <v>293</v>
      </c>
      <c r="I168" s="0" t="s">
        <v>6577</v>
      </c>
    </row>
    <row r="169" customFormat="false" ht="15" hidden="false" customHeight="false" outlineLevel="0" collapsed="false">
      <c r="A169" s="0" t="n">
        <v>4</v>
      </c>
      <c r="B169" s="0" t="s">
        <v>34</v>
      </c>
      <c r="C169" s="0" t="s">
        <v>6578</v>
      </c>
      <c r="D169" s="0" t="s">
        <v>6416</v>
      </c>
      <c r="E169" s="0" t="s">
        <v>6579</v>
      </c>
      <c r="F169" s="0" t="n">
        <v>2754</v>
      </c>
      <c r="G169" s="0" t="s">
        <v>277</v>
      </c>
      <c r="H169" s="0" t="s">
        <v>293</v>
      </c>
      <c r="I169" s="0" t="s">
        <v>6580</v>
      </c>
    </row>
    <row r="170" customFormat="false" ht="15" hidden="false" customHeight="false" outlineLevel="0" collapsed="false">
      <c r="A170" s="0" t="n">
        <v>3</v>
      </c>
      <c r="B170" s="0" t="s">
        <v>32</v>
      </c>
      <c r="C170" s="0" t="s">
        <v>6581</v>
      </c>
      <c r="D170" s="0" t="s">
        <v>6560</v>
      </c>
      <c r="E170" s="0" t="s">
        <v>6582</v>
      </c>
      <c r="F170" s="0" t="n">
        <v>1228</v>
      </c>
      <c r="G170" s="0" t="s">
        <v>277</v>
      </c>
      <c r="H170" s="0" t="s">
        <v>293</v>
      </c>
      <c r="I170" s="0" t="s">
        <v>6583</v>
      </c>
    </row>
    <row r="171" customFormat="false" ht="15" hidden="false" customHeight="false" outlineLevel="0" collapsed="false">
      <c r="A171" s="0" t="n">
        <v>3</v>
      </c>
      <c r="B171" s="0" t="s">
        <v>32</v>
      </c>
      <c r="C171" s="0" t="s">
        <v>6584</v>
      </c>
      <c r="D171" s="0" t="s">
        <v>6425</v>
      </c>
      <c r="E171" s="0" t="s">
        <v>6585</v>
      </c>
      <c r="F171" s="0" t="n">
        <v>1203</v>
      </c>
      <c r="G171" s="0" t="s">
        <v>277</v>
      </c>
      <c r="H171" s="0" t="s">
        <v>293</v>
      </c>
      <c r="I171" s="0" t="s">
        <v>6586</v>
      </c>
    </row>
    <row r="172" customFormat="false" ht="15" hidden="false" customHeight="false" outlineLevel="0" collapsed="false">
      <c r="A172" s="0" t="n">
        <v>4</v>
      </c>
      <c r="B172" s="0" t="s">
        <v>34</v>
      </c>
      <c r="C172" s="0" t="s">
        <v>6587</v>
      </c>
      <c r="D172" s="0" t="s">
        <v>6416</v>
      </c>
      <c r="E172" s="0" t="s">
        <v>6588</v>
      </c>
      <c r="F172" s="0" t="n">
        <v>1983</v>
      </c>
      <c r="G172" s="0" t="s">
        <v>277</v>
      </c>
      <c r="H172" s="0" t="s">
        <v>293</v>
      </c>
      <c r="I172" s="0" t="s">
        <v>6589</v>
      </c>
    </row>
    <row r="173" customFormat="false" ht="15" hidden="false" customHeight="false" outlineLevel="0" collapsed="false">
      <c r="A173" s="0" t="n">
        <v>4</v>
      </c>
      <c r="B173" s="0" t="s">
        <v>34</v>
      </c>
      <c r="C173" s="0" t="s">
        <v>6590</v>
      </c>
      <c r="D173" s="0" t="s">
        <v>6416</v>
      </c>
      <c r="E173" s="0" t="s">
        <v>6591</v>
      </c>
      <c r="F173" s="0" t="n">
        <v>645</v>
      </c>
      <c r="G173" s="0" t="s">
        <v>277</v>
      </c>
      <c r="H173" s="0" t="s">
        <v>293</v>
      </c>
      <c r="I173" s="0" t="s">
        <v>6592</v>
      </c>
    </row>
    <row r="174" customFormat="false" ht="15" hidden="false" customHeight="false" outlineLevel="0" collapsed="false">
      <c r="A174" s="0" t="n">
        <v>3</v>
      </c>
      <c r="B174" s="0" t="s">
        <v>32</v>
      </c>
      <c r="C174" s="0" t="s">
        <v>6593</v>
      </c>
      <c r="D174" s="0" t="s">
        <v>91</v>
      </c>
      <c r="E174" s="0" t="s">
        <v>6594</v>
      </c>
      <c r="F174" s="0" t="n">
        <v>3350</v>
      </c>
      <c r="G174" s="0" t="s">
        <v>277</v>
      </c>
      <c r="H174" s="0" t="s">
        <v>293</v>
      </c>
      <c r="I174" s="0" t="s">
        <v>6595</v>
      </c>
    </row>
    <row r="175" customFormat="false" ht="15" hidden="false" customHeight="false" outlineLevel="0" collapsed="false">
      <c r="A175" s="0" t="n">
        <v>4</v>
      </c>
      <c r="B175" s="0" t="s">
        <v>34</v>
      </c>
      <c r="C175" s="0" t="s">
        <v>6596</v>
      </c>
      <c r="D175" s="0" t="s">
        <v>6416</v>
      </c>
      <c r="E175" s="0" t="s">
        <v>6597</v>
      </c>
      <c r="F175" s="0" t="n">
        <v>700</v>
      </c>
      <c r="G175" s="0" t="s">
        <v>277</v>
      </c>
      <c r="H175" s="0" t="s">
        <v>293</v>
      </c>
      <c r="I175" s="0" t="s">
        <v>6598</v>
      </c>
    </row>
    <row r="176" customFormat="false" ht="15" hidden="false" customHeight="false" outlineLevel="0" collapsed="false">
      <c r="A176" s="0" t="n">
        <v>3</v>
      </c>
      <c r="B176" s="0" t="s">
        <v>32</v>
      </c>
      <c r="C176" s="0" t="s">
        <v>6599</v>
      </c>
      <c r="D176" s="0" t="s">
        <v>6416</v>
      </c>
      <c r="E176" s="0" t="s">
        <v>6600</v>
      </c>
      <c r="F176" s="0" t="n">
        <v>5021</v>
      </c>
      <c r="G176" s="0" t="s">
        <v>277</v>
      </c>
      <c r="H176" s="0" t="s">
        <v>293</v>
      </c>
      <c r="I176" s="0" t="s">
        <v>6601</v>
      </c>
    </row>
    <row r="177" customFormat="false" ht="15" hidden="false" customHeight="false" outlineLevel="0" collapsed="false">
      <c r="A177" s="0" t="n">
        <v>4</v>
      </c>
      <c r="B177" s="0" t="s">
        <v>34</v>
      </c>
      <c r="C177" s="0" t="s">
        <v>6602</v>
      </c>
      <c r="D177" s="0" t="s">
        <v>91</v>
      </c>
      <c r="E177" s="0" t="s">
        <v>6603</v>
      </c>
      <c r="F177" s="0" t="n">
        <v>3928</v>
      </c>
      <c r="G177" s="0" t="s">
        <v>277</v>
      </c>
      <c r="H177" s="0" t="s">
        <v>293</v>
      </c>
      <c r="I177" s="0" t="s">
        <v>6604</v>
      </c>
    </row>
    <row r="178" customFormat="false" ht="15" hidden="false" customHeight="false" outlineLevel="0" collapsed="false">
      <c r="A178" s="0" t="n">
        <v>3</v>
      </c>
      <c r="B178" s="0" t="s">
        <v>32</v>
      </c>
      <c r="C178" s="0" t="s">
        <v>6605</v>
      </c>
      <c r="D178" s="0" t="s">
        <v>6416</v>
      </c>
      <c r="E178" s="0" t="s">
        <v>6606</v>
      </c>
      <c r="F178" s="0" t="n">
        <v>2833</v>
      </c>
      <c r="G178" s="0" t="s">
        <v>277</v>
      </c>
      <c r="H178" s="0" t="s">
        <v>293</v>
      </c>
      <c r="I178" s="0" t="s">
        <v>6607</v>
      </c>
    </row>
    <row r="179" customFormat="false" ht="15" hidden="false" customHeight="false" outlineLevel="0" collapsed="false">
      <c r="A179" s="0" t="n">
        <v>9</v>
      </c>
      <c r="B179" s="0" t="s">
        <v>42</v>
      </c>
      <c r="C179" s="0" t="s">
        <v>6608</v>
      </c>
      <c r="D179" s="0" t="s">
        <v>6416</v>
      </c>
      <c r="E179" s="0" t="s">
        <v>6609</v>
      </c>
      <c r="F179" s="0" t="n">
        <v>9144</v>
      </c>
      <c r="G179" s="0" t="s">
        <v>277</v>
      </c>
      <c r="H179" s="0" t="s">
        <v>293</v>
      </c>
      <c r="I179" s="0" t="s">
        <v>6610</v>
      </c>
    </row>
    <row r="180" customFormat="false" ht="15" hidden="false" customHeight="false" outlineLevel="0" collapsed="false">
      <c r="A180" s="0" t="n">
        <v>3</v>
      </c>
      <c r="B180" s="0" t="s">
        <v>32</v>
      </c>
      <c r="C180" s="0" t="s">
        <v>6611</v>
      </c>
      <c r="D180" s="0" t="s">
        <v>6416</v>
      </c>
      <c r="E180" s="0" t="s">
        <v>6612</v>
      </c>
      <c r="F180" s="0" t="n">
        <v>2652</v>
      </c>
      <c r="G180" s="0" t="s">
        <v>277</v>
      </c>
      <c r="H180" s="0" t="s">
        <v>293</v>
      </c>
      <c r="I180" s="0" t="s">
        <v>6613</v>
      </c>
    </row>
    <row r="181" customFormat="false" ht="15" hidden="false" customHeight="false" outlineLevel="0" collapsed="false">
      <c r="A181" s="0" t="n">
        <v>9</v>
      </c>
      <c r="B181" s="0" t="s">
        <v>42</v>
      </c>
      <c r="C181" s="0" t="s">
        <v>6614</v>
      </c>
      <c r="D181" s="0" t="s">
        <v>6416</v>
      </c>
      <c r="E181" s="0" t="s">
        <v>6615</v>
      </c>
      <c r="F181" s="0" t="n">
        <v>7600</v>
      </c>
      <c r="G181" s="0" t="s">
        <v>277</v>
      </c>
      <c r="H181" s="0" t="s">
        <v>293</v>
      </c>
      <c r="I181" s="0" t="s">
        <v>6616</v>
      </c>
    </row>
    <row r="182" customFormat="false" ht="15" hidden="false" customHeight="false" outlineLevel="0" collapsed="false">
      <c r="A182" s="0" t="n">
        <v>4</v>
      </c>
      <c r="B182" s="0" t="s">
        <v>34</v>
      </c>
      <c r="C182" s="0" t="s">
        <v>6617</v>
      </c>
      <c r="D182" s="0" t="s">
        <v>91</v>
      </c>
      <c r="E182" s="0" t="s">
        <v>6618</v>
      </c>
      <c r="F182" s="0" t="n">
        <v>1880</v>
      </c>
      <c r="G182" s="0" t="s">
        <v>277</v>
      </c>
      <c r="H182" s="0" t="s">
        <v>293</v>
      </c>
      <c r="I182" s="0" t="s">
        <v>6619</v>
      </c>
    </row>
    <row r="183" customFormat="false" ht="15" hidden="false" customHeight="false" outlineLevel="0" collapsed="false">
      <c r="A183" s="0" t="n">
        <v>3</v>
      </c>
      <c r="B183" s="0" t="s">
        <v>32</v>
      </c>
      <c r="C183" s="0" t="s">
        <v>6620</v>
      </c>
      <c r="D183" s="0" t="s">
        <v>6425</v>
      </c>
      <c r="E183" s="0" t="s">
        <v>6621</v>
      </c>
      <c r="F183" s="0" t="n">
        <v>1250</v>
      </c>
      <c r="G183" s="0" t="s">
        <v>277</v>
      </c>
      <c r="H183" s="0" t="s">
        <v>293</v>
      </c>
      <c r="I183" s="0" t="s">
        <v>6622</v>
      </c>
    </row>
    <row r="184" customFormat="false" ht="15" hidden="false" customHeight="false" outlineLevel="0" collapsed="false">
      <c r="A184" s="0" t="n">
        <v>9</v>
      </c>
      <c r="B184" s="0" t="s">
        <v>42</v>
      </c>
      <c r="C184" s="0" t="s">
        <v>6623</v>
      </c>
      <c r="D184" s="0" t="s">
        <v>6416</v>
      </c>
      <c r="E184" s="0" t="s">
        <v>6624</v>
      </c>
      <c r="F184" s="0" t="n">
        <v>2501</v>
      </c>
      <c r="G184" s="0" t="s">
        <v>277</v>
      </c>
      <c r="H184" s="0" t="s">
        <v>293</v>
      </c>
      <c r="I184" s="0" t="s">
        <v>6625</v>
      </c>
    </row>
    <row r="185" customFormat="false" ht="15" hidden="false" customHeight="false" outlineLevel="0" collapsed="false">
      <c r="A185" s="0" t="n">
        <v>4</v>
      </c>
      <c r="B185" s="0" t="s">
        <v>34</v>
      </c>
      <c r="C185" s="0" t="s">
        <v>6626</v>
      </c>
      <c r="D185" s="0" t="s">
        <v>6416</v>
      </c>
      <c r="E185" s="0" t="s">
        <v>6627</v>
      </c>
      <c r="F185" s="0" t="n">
        <v>550</v>
      </c>
      <c r="G185" s="0" t="s">
        <v>277</v>
      </c>
      <c r="H185" s="0" t="s">
        <v>293</v>
      </c>
      <c r="I185" s="0" t="s">
        <v>6628</v>
      </c>
    </row>
    <row r="186" customFormat="false" ht="15" hidden="false" customHeight="false" outlineLevel="0" collapsed="false">
      <c r="A186" s="0" t="n">
        <v>3</v>
      </c>
      <c r="B186" s="0" t="s">
        <v>32</v>
      </c>
      <c r="C186" s="0" t="s">
        <v>6629</v>
      </c>
      <c r="D186" s="0" t="s">
        <v>6416</v>
      </c>
      <c r="E186" s="0" t="s">
        <v>6630</v>
      </c>
      <c r="F186" s="0" t="n">
        <v>4066</v>
      </c>
      <c r="G186" s="0" t="s">
        <v>277</v>
      </c>
      <c r="H186" s="0" t="s">
        <v>293</v>
      </c>
      <c r="I186" s="0" t="s">
        <v>6631</v>
      </c>
    </row>
    <row r="187" customFormat="false" ht="15" hidden="false" customHeight="false" outlineLevel="0" collapsed="false">
      <c r="A187" s="0" t="n">
        <v>4</v>
      </c>
      <c r="B187" s="0" t="s">
        <v>34</v>
      </c>
      <c r="C187" s="0" t="s">
        <v>6632</v>
      </c>
      <c r="D187" s="0" t="s">
        <v>6416</v>
      </c>
      <c r="E187" s="0" t="s">
        <v>6633</v>
      </c>
      <c r="F187" s="0" t="n">
        <v>239</v>
      </c>
      <c r="G187" s="0" t="s">
        <v>277</v>
      </c>
      <c r="H187" s="0" t="s">
        <v>293</v>
      </c>
      <c r="I187" s="0" t="s">
        <v>6634</v>
      </c>
    </row>
    <row r="188" customFormat="false" ht="15" hidden="false" customHeight="false" outlineLevel="0" collapsed="false">
      <c r="A188" s="0" t="n">
        <v>3</v>
      </c>
      <c r="B188" s="0" t="s">
        <v>32</v>
      </c>
      <c r="C188" s="0" t="s">
        <v>6635</v>
      </c>
      <c r="D188" s="0" t="s">
        <v>6416</v>
      </c>
      <c r="E188" s="0" t="s">
        <v>6636</v>
      </c>
      <c r="F188" s="0" t="n">
        <v>3054</v>
      </c>
      <c r="G188" s="0" t="s">
        <v>277</v>
      </c>
      <c r="H188" s="0" t="s">
        <v>293</v>
      </c>
      <c r="I188" s="0" t="s">
        <v>6637</v>
      </c>
    </row>
    <row r="189" customFormat="false" ht="15" hidden="false" customHeight="false" outlineLevel="0" collapsed="false">
      <c r="A189" s="0" t="n">
        <v>9</v>
      </c>
      <c r="B189" s="0" t="s">
        <v>42</v>
      </c>
      <c r="C189" s="0" t="s">
        <v>6638</v>
      </c>
      <c r="D189" s="0" t="s">
        <v>6425</v>
      </c>
      <c r="E189" s="0" t="s">
        <v>6639</v>
      </c>
      <c r="F189" s="0" t="n">
        <v>5842</v>
      </c>
      <c r="G189" s="0" t="s">
        <v>277</v>
      </c>
      <c r="H189" s="0" t="s">
        <v>293</v>
      </c>
      <c r="I189" s="0" t="s">
        <v>6640</v>
      </c>
    </row>
    <row r="190" customFormat="false" ht="15" hidden="false" customHeight="false" outlineLevel="0" collapsed="false">
      <c r="A190" s="0" t="n">
        <v>4</v>
      </c>
      <c r="B190" s="0" t="s">
        <v>34</v>
      </c>
      <c r="C190" s="0" t="s">
        <v>6641</v>
      </c>
      <c r="D190" s="0" t="s">
        <v>6416</v>
      </c>
      <c r="E190" s="0" t="s">
        <v>6642</v>
      </c>
      <c r="F190" s="0" t="n">
        <v>2950</v>
      </c>
      <c r="G190" s="0" t="s">
        <v>277</v>
      </c>
      <c r="H190" s="0" t="s">
        <v>293</v>
      </c>
      <c r="I190" s="0" t="s">
        <v>6643</v>
      </c>
    </row>
    <row r="191" customFormat="false" ht="15" hidden="false" customHeight="false" outlineLevel="0" collapsed="false">
      <c r="A191" s="0" t="n">
        <v>3</v>
      </c>
      <c r="B191" s="0" t="s">
        <v>32</v>
      </c>
      <c r="C191" s="0" t="s">
        <v>6644</v>
      </c>
      <c r="D191" s="0" t="s">
        <v>6416</v>
      </c>
      <c r="E191" s="0" t="s">
        <v>6645</v>
      </c>
      <c r="F191" s="0" t="n">
        <v>2821</v>
      </c>
      <c r="G191" s="0" t="s">
        <v>277</v>
      </c>
      <c r="H191" s="0" t="s">
        <v>293</v>
      </c>
      <c r="I191" s="0" t="s">
        <v>6646</v>
      </c>
    </row>
    <row r="192" customFormat="false" ht="15" hidden="false" customHeight="false" outlineLevel="0" collapsed="false">
      <c r="A192" s="0" t="n">
        <v>9</v>
      </c>
      <c r="B192" s="0" t="s">
        <v>42</v>
      </c>
      <c r="C192" s="0" t="s">
        <v>6647</v>
      </c>
      <c r="D192" s="0" t="s">
        <v>6416</v>
      </c>
      <c r="E192" s="0" t="s">
        <v>6648</v>
      </c>
      <c r="F192" s="0" t="n">
        <v>1374</v>
      </c>
      <c r="G192" s="0" t="s">
        <v>277</v>
      </c>
      <c r="H192" s="0" t="s">
        <v>293</v>
      </c>
      <c r="I192" s="0" t="s">
        <v>6649</v>
      </c>
    </row>
    <row r="193" customFormat="false" ht="15" hidden="false" customHeight="false" outlineLevel="0" collapsed="false">
      <c r="A193" s="0" t="n">
        <v>4</v>
      </c>
      <c r="B193" s="0" t="s">
        <v>34</v>
      </c>
      <c r="C193" s="0" t="s">
        <v>6650</v>
      </c>
      <c r="D193" s="0" t="s">
        <v>6416</v>
      </c>
      <c r="E193" s="0" t="s">
        <v>6651</v>
      </c>
      <c r="F193" s="0" t="n">
        <v>664</v>
      </c>
      <c r="G193" s="0" t="s">
        <v>277</v>
      </c>
      <c r="H193" s="0" t="s">
        <v>293</v>
      </c>
      <c r="I193" s="0" t="s">
        <v>6652</v>
      </c>
    </row>
    <row r="194" customFormat="false" ht="15" hidden="false" customHeight="false" outlineLevel="0" collapsed="false">
      <c r="A194" s="0" t="n">
        <v>10</v>
      </c>
      <c r="B194" s="0" t="s">
        <v>43</v>
      </c>
      <c r="C194" s="0" t="s">
        <v>6653</v>
      </c>
      <c r="D194" s="0" t="s">
        <v>500</v>
      </c>
      <c r="E194" s="0" t="s">
        <v>6654</v>
      </c>
      <c r="F194" s="0" t="n">
        <v>3639</v>
      </c>
      <c r="G194" s="0" t="s">
        <v>277</v>
      </c>
      <c r="H194" s="0" t="s">
        <v>293</v>
      </c>
      <c r="I194" s="0" t="s">
        <v>6655</v>
      </c>
    </row>
    <row r="195" customFormat="false" ht="15" hidden="false" customHeight="false" outlineLevel="0" collapsed="false">
      <c r="A195" s="0" t="n">
        <v>3</v>
      </c>
      <c r="B195" s="0" t="s">
        <v>32</v>
      </c>
      <c r="C195" s="0" t="s">
        <v>6656</v>
      </c>
      <c r="D195" s="0" t="s">
        <v>6416</v>
      </c>
      <c r="E195" s="0" t="s">
        <v>6657</v>
      </c>
      <c r="F195" s="0" t="n">
        <v>2492</v>
      </c>
      <c r="G195" s="0" t="s">
        <v>277</v>
      </c>
      <c r="H195" s="0" t="s">
        <v>293</v>
      </c>
      <c r="I195" s="0" t="s">
        <v>6658</v>
      </c>
    </row>
    <row r="196" customFormat="false" ht="15" hidden="false" customHeight="false" outlineLevel="0" collapsed="false">
      <c r="A196" s="0" t="n">
        <v>4</v>
      </c>
      <c r="B196" s="0" t="s">
        <v>34</v>
      </c>
      <c r="C196" s="0" t="s">
        <v>6659</v>
      </c>
      <c r="D196" s="0" t="s">
        <v>6416</v>
      </c>
      <c r="E196" s="0" t="s">
        <v>6660</v>
      </c>
      <c r="F196" s="0" t="n">
        <v>713</v>
      </c>
      <c r="G196" s="0" t="s">
        <v>277</v>
      </c>
      <c r="H196" s="0" t="s">
        <v>293</v>
      </c>
      <c r="I196" s="0" t="s">
        <v>6661</v>
      </c>
    </row>
    <row r="197" customFormat="false" ht="15" hidden="false" customHeight="false" outlineLevel="0" collapsed="false">
      <c r="A197" s="0" t="n">
        <v>9</v>
      </c>
      <c r="B197" s="0" t="s">
        <v>42</v>
      </c>
      <c r="C197" s="0" t="s">
        <v>6662</v>
      </c>
      <c r="D197" s="0" t="s">
        <v>91</v>
      </c>
      <c r="E197" s="0" t="s">
        <v>6663</v>
      </c>
      <c r="F197" s="0" t="n">
        <v>1426</v>
      </c>
      <c r="G197" s="0" t="s">
        <v>277</v>
      </c>
      <c r="H197" s="0" t="s">
        <v>293</v>
      </c>
      <c r="I197" s="0" t="s">
        <v>6664</v>
      </c>
    </row>
    <row r="198" customFormat="false" ht="15" hidden="false" customHeight="false" outlineLevel="0" collapsed="false">
      <c r="A198" s="0" t="n">
        <v>3</v>
      </c>
      <c r="B198" s="0" t="s">
        <v>32</v>
      </c>
      <c r="C198" s="0" t="s">
        <v>6665</v>
      </c>
      <c r="D198" s="0" t="s">
        <v>6416</v>
      </c>
      <c r="E198" s="0" t="s">
        <v>6666</v>
      </c>
      <c r="F198" s="0" t="n">
        <v>8935</v>
      </c>
      <c r="G198" s="0" t="s">
        <v>277</v>
      </c>
      <c r="H198" s="0" t="s">
        <v>293</v>
      </c>
      <c r="I198" s="0" t="s">
        <v>6667</v>
      </c>
    </row>
    <row r="199" customFormat="false" ht="15" hidden="false" customHeight="false" outlineLevel="0" collapsed="false">
      <c r="A199" s="0" t="n">
        <v>4</v>
      </c>
      <c r="B199" s="0" t="s">
        <v>34</v>
      </c>
      <c r="C199" s="0" t="s">
        <v>6668</v>
      </c>
      <c r="D199" s="0" t="s">
        <v>6416</v>
      </c>
      <c r="E199" s="0" t="s">
        <v>6669</v>
      </c>
      <c r="F199" s="0" t="n">
        <v>614</v>
      </c>
      <c r="G199" s="0" t="s">
        <v>277</v>
      </c>
      <c r="H199" s="0" t="s">
        <v>293</v>
      </c>
      <c r="I199" s="0" t="s">
        <v>6670</v>
      </c>
    </row>
    <row r="200" customFormat="false" ht="15" hidden="false" customHeight="false" outlineLevel="0" collapsed="false">
      <c r="A200" s="0" t="n">
        <v>4</v>
      </c>
      <c r="B200" s="0" t="s">
        <v>34</v>
      </c>
      <c r="C200" s="0" t="s">
        <v>6671</v>
      </c>
      <c r="D200" s="0" t="s">
        <v>6416</v>
      </c>
      <c r="E200" s="0" t="s">
        <v>6672</v>
      </c>
      <c r="F200" s="0" t="n">
        <v>1830</v>
      </c>
      <c r="G200" s="0" t="s">
        <v>277</v>
      </c>
      <c r="H200" s="0" t="s">
        <v>293</v>
      </c>
      <c r="I200" s="0" t="s">
        <v>6673</v>
      </c>
    </row>
    <row r="201" customFormat="false" ht="15" hidden="false" customHeight="false" outlineLevel="0" collapsed="false">
      <c r="A201" s="0" t="n">
        <v>10</v>
      </c>
      <c r="B201" s="0" t="s">
        <v>43</v>
      </c>
      <c r="C201" s="0" t="s">
        <v>6674</v>
      </c>
      <c r="D201" s="0" t="s">
        <v>6425</v>
      </c>
      <c r="E201" s="0" t="s">
        <v>6675</v>
      </c>
      <c r="F201" s="0" t="n">
        <v>875</v>
      </c>
      <c r="G201" s="0" t="s">
        <v>277</v>
      </c>
      <c r="H201" s="0" t="s">
        <v>293</v>
      </c>
      <c r="I201" s="0" t="s">
        <v>6676</v>
      </c>
    </row>
    <row r="202" customFormat="false" ht="15" hidden="false" customHeight="false" outlineLevel="0" collapsed="false">
      <c r="A202" s="0" t="n">
        <v>3</v>
      </c>
      <c r="B202" s="0" t="s">
        <v>32</v>
      </c>
      <c r="C202" s="0" t="s">
        <v>6677</v>
      </c>
      <c r="D202" s="0" t="s">
        <v>6416</v>
      </c>
      <c r="E202" s="0" t="s">
        <v>6678</v>
      </c>
      <c r="F202" s="0" t="n">
        <v>2831</v>
      </c>
      <c r="G202" s="0" t="s">
        <v>277</v>
      </c>
      <c r="H202" s="0" t="s">
        <v>293</v>
      </c>
      <c r="I202" s="0" t="s">
        <v>6679</v>
      </c>
    </row>
    <row r="203" customFormat="false" ht="15" hidden="false" customHeight="false" outlineLevel="0" collapsed="false">
      <c r="A203" s="0" t="n">
        <v>4</v>
      </c>
      <c r="B203" s="0" t="s">
        <v>34</v>
      </c>
      <c r="C203" s="0" t="s">
        <v>6680</v>
      </c>
      <c r="D203" s="0" t="s">
        <v>6416</v>
      </c>
      <c r="E203" s="0" t="s">
        <v>6681</v>
      </c>
      <c r="F203" s="0" t="n">
        <v>5629</v>
      </c>
      <c r="G203" s="0" t="s">
        <v>277</v>
      </c>
      <c r="H203" s="0" t="s">
        <v>293</v>
      </c>
      <c r="I203" s="0" t="s">
        <v>6682</v>
      </c>
    </row>
    <row r="204" customFormat="false" ht="15" hidden="false" customHeight="false" outlineLevel="0" collapsed="false">
      <c r="A204" s="0" t="n">
        <v>9</v>
      </c>
      <c r="B204" s="0" t="s">
        <v>42</v>
      </c>
      <c r="C204" s="0" t="s">
        <v>6683</v>
      </c>
      <c r="D204" s="0" t="s">
        <v>6416</v>
      </c>
      <c r="E204" s="0" t="s">
        <v>6684</v>
      </c>
      <c r="F204" s="0" t="n">
        <v>13073</v>
      </c>
      <c r="G204" s="0" t="s">
        <v>277</v>
      </c>
      <c r="H204" s="0" t="s">
        <v>293</v>
      </c>
      <c r="I204" s="0" t="s">
        <v>6685</v>
      </c>
    </row>
    <row r="205" customFormat="false" ht="15" hidden="false" customHeight="false" outlineLevel="0" collapsed="false">
      <c r="A205" s="0" t="n">
        <v>3</v>
      </c>
      <c r="B205" s="0" t="s">
        <v>32</v>
      </c>
      <c r="C205" s="0" t="s">
        <v>6686</v>
      </c>
      <c r="D205" s="0" t="s">
        <v>6416</v>
      </c>
      <c r="E205" s="0" t="s">
        <v>6687</v>
      </c>
      <c r="F205" s="0" t="n">
        <v>2622</v>
      </c>
      <c r="G205" s="0" t="s">
        <v>277</v>
      </c>
      <c r="H205" s="0" t="s">
        <v>293</v>
      </c>
      <c r="I205" s="0" t="s">
        <v>6688</v>
      </c>
    </row>
    <row r="206" customFormat="false" ht="15" hidden="false" customHeight="false" outlineLevel="0" collapsed="false">
      <c r="A206" s="0" t="n">
        <v>4</v>
      </c>
      <c r="B206" s="0" t="s">
        <v>34</v>
      </c>
      <c r="C206" s="0" t="s">
        <v>6689</v>
      </c>
      <c r="D206" s="0" t="s">
        <v>6416</v>
      </c>
      <c r="E206" s="0" t="s">
        <v>6690</v>
      </c>
      <c r="F206" s="0" t="n">
        <v>3509</v>
      </c>
      <c r="G206" s="0" t="s">
        <v>277</v>
      </c>
      <c r="H206" s="0" t="s">
        <v>293</v>
      </c>
      <c r="I206" s="0" t="s">
        <v>6691</v>
      </c>
    </row>
    <row r="207" customFormat="false" ht="15" hidden="false" customHeight="false" outlineLevel="0" collapsed="false">
      <c r="A207" s="0" t="n">
        <v>10</v>
      </c>
      <c r="B207" s="0" t="s">
        <v>43</v>
      </c>
      <c r="C207" s="0" t="s">
        <v>6692</v>
      </c>
      <c r="D207" s="0" t="s">
        <v>335</v>
      </c>
      <c r="E207" s="0" t="s">
        <v>6693</v>
      </c>
      <c r="F207" s="0" t="n">
        <v>698</v>
      </c>
      <c r="G207" s="0" t="s">
        <v>277</v>
      </c>
      <c r="H207" s="0" t="s">
        <v>293</v>
      </c>
      <c r="I207" s="0" t="s">
        <v>6694</v>
      </c>
    </row>
    <row r="208" customFormat="false" ht="15" hidden="false" customHeight="false" outlineLevel="0" collapsed="false">
      <c r="A208" s="0" t="n">
        <v>3</v>
      </c>
      <c r="B208" s="0" t="s">
        <v>32</v>
      </c>
      <c r="C208" s="0" t="s">
        <v>6695</v>
      </c>
      <c r="D208" s="0" t="s">
        <v>6416</v>
      </c>
      <c r="E208" s="0" t="s">
        <v>6696</v>
      </c>
      <c r="F208" s="0" t="n">
        <v>2634</v>
      </c>
      <c r="G208" s="0" t="s">
        <v>277</v>
      </c>
      <c r="H208" s="0" t="s">
        <v>293</v>
      </c>
      <c r="I208" s="0" t="s">
        <v>6697</v>
      </c>
    </row>
    <row r="209" customFormat="false" ht="15" hidden="false" customHeight="false" outlineLevel="0" collapsed="false">
      <c r="A209" s="0" t="n">
        <v>4</v>
      </c>
      <c r="B209" s="0" t="s">
        <v>34</v>
      </c>
      <c r="C209" s="0" t="s">
        <v>6698</v>
      </c>
      <c r="D209" s="0" t="s">
        <v>6425</v>
      </c>
      <c r="E209" s="0" t="s">
        <v>6699</v>
      </c>
      <c r="F209" s="0" t="n">
        <v>3726</v>
      </c>
      <c r="G209" s="0" t="s">
        <v>277</v>
      </c>
      <c r="H209" s="0" t="s">
        <v>293</v>
      </c>
      <c r="I209" s="0" t="s">
        <v>6700</v>
      </c>
    </row>
    <row r="210" customFormat="false" ht="15" hidden="false" customHeight="false" outlineLevel="0" collapsed="false">
      <c r="A210" s="0" t="n">
        <v>9</v>
      </c>
      <c r="B210" s="0" t="s">
        <v>42</v>
      </c>
      <c r="C210" s="0" t="s">
        <v>6701</v>
      </c>
      <c r="D210" s="0" t="s">
        <v>6416</v>
      </c>
      <c r="E210" s="0" t="s">
        <v>6702</v>
      </c>
      <c r="F210" s="0" t="n">
        <v>6241</v>
      </c>
      <c r="G210" s="0" t="s">
        <v>277</v>
      </c>
      <c r="H210" s="0" t="s">
        <v>293</v>
      </c>
      <c r="I210" s="0" t="s">
        <v>6703</v>
      </c>
    </row>
    <row r="211" customFormat="false" ht="15" hidden="false" customHeight="false" outlineLevel="0" collapsed="false">
      <c r="A211" s="0" t="n">
        <v>3</v>
      </c>
      <c r="B211" s="0" t="s">
        <v>32</v>
      </c>
      <c r="C211" s="0" t="s">
        <v>6704</v>
      </c>
      <c r="D211" s="0" t="s">
        <v>6416</v>
      </c>
      <c r="E211" s="0" t="s">
        <v>6705</v>
      </c>
      <c r="F211" s="0" t="n">
        <v>3438</v>
      </c>
      <c r="G211" s="0" t="s">
        <v>277</v>
      </c>
      <c r="H211" s="0" t="s">
        <v>293</v>
      </c>
      <c r="I211" s="0" t="s">
        <v>6706</v>
      </c>
    </row>
    <row r="212" customFormat="false" ht="15" hidden="false" customHeight="false" outlineLevel="0" collapsed="false">
      <c r="A212" s="0" t="n">
        <v>4</v>
      </c>
      <c r="B212" s="0" t="s">
        <v>34</v>
      </c>
      <c r="C212" s="0" t="s">
        <v>6707</v>
      </c>
      <c r="D212" s="0" t="s">
        <v>6416</v>
      </c>
      <c r="E212" s="0" t="s">
        <v>6708</v>
      </c>
      <c r="F212" s="0" t="n">
        <v>1137</v>
      </c>
      <c r="G212" s="0" t="s">
        <v>277</v>
      </c>
      <c r="H212" s="0" t="s">
        <v>293</v>
      </c>
      <c r="I212" s="0" t="s">
        <v>6709</v>
      </c>
    </row>
    <row r="213" customFormat="false" ht="15" hidden="false" customHeight="false" outlineLevel="0" collapsed="false">
      <c r="A213" s="0" t="n">
        <v>3</v>
      </c>
      <c r="B213" s="0" t="s">
        <v>32</v>
      </c>
      <c r="C213" s="0" t="s">
        <v>6710</v>
      </c>
      <c r="D213" s="0" t="s">
        <v>6416</v>
      </c>
      <c r="E213" s="0" t="s">
        <v>6711</v>
      </c>
      <c r="F213" s="0" t="n">
        <v>1502</v>
      </c>
      <c r="G213" s="0" t="s">
        <v>277</v>
      </c>
      <c r="H213" s="0" t="s">
        <v>293</v>
      </c>
      <c r="I213" s="0" t="s">
        <v>6712</v>
      </c>
    </row>
    <row r="214" customFormat="false" ht="15" hidden="false" customHeight="false" outlineLevel="0" collapsed="false">
      <c r="A214" s="0" t="n">
        <v>10</v>
      </c>
      <c r="B214" s="0" t="s">
        <v>43</v>
      </c>
      <c r="C214" s="0" t="s">
        <v>6713</v>
      </c>
      <c r="D214" s="0" t="s">
        <v>6425</v>
      </c>
      <c r="E214" s="0" t="s">
        <v>6714</v>
      </c>
      <c r="F214" s="0" t="n">
        <v>635</v>
      </c>
      <c r="G214" s="0" t="s">
        <v>277</v>
      </c>
      <c r="H214" s="0" t="s">
        <v>293</v>
      </c>
      <c r="I214" s="0" t="s">
        <v>6715</v>
      </c>
    </row>
    <row r="215" customFormat="false" ht="15" hidden="false" customHeight="false" outlineLevel="0" collapsed="false">
      <c r="A215" s="0" t="n">
        <v>9</v>
      </c>
      <c r="B215" s="0" t="s">
        <v>42</v>
      </c>
      <c r="C215" s="0" t="s">
        <v>6716</v>
      </c>
      <c r="D215" s="0" t="s">
        <v>6416</v>
      </c>
      <c r="E215" s="0" t="s">
        <v>6717</v>
      </c>
      <c r="F215" s="0" t="n">
        <v>3376</v>
      </c>
      <c r="G215" s="0" t="s">
        <v>277</v>
      </c>
      <c r="H215" s="0" t="s">
        <v>293</v>
      </c>
      <c r="I215" s="0" t="s">
        <v>6718</v>
      </c>
    </row>
    <row r="216" customFormat="false" ht="15" hidden="false" customHeight="false" outlineLevel="0" collapsed="false">
      <c r="A216" s="0" t="n">
        <v>4</v>
      </c>
      <c r="B216" s="0" t="s">
        <v>34</v>
      </c>
      <c r="C216" s="0" t="s">
        <v>6719</v>
      </c>
      <c r="D216" s="0" t="s">
        <v>6416</v>
      </c>
      <c r="E216" s="0" t="s">
        <v>6720</v>
      </c>
      <c r="F216" s="0" t="n">
        <v>698</v>
      </c>
      <c r="G216" s="0" t="s">
        <v>277</v>
      </c>
      <c r="H216" s="0" t="s">
        <v>293</v>
      </c>
      <c r="I216" s="0" t="s">
        <v>6721</v>
      </c>
    </row>
    <row r="217" customFormat="false" ht="15" hidden="false" customHeight="false" outlineLevel="0" collapsed="false">
      <c r="A217" s="0" t="n">
        <v>3</v>
      </c>
      <c r="B217" s="0" t="s">
        <v>32</v>
      </c>
      <c r="C217" s="0" t="s">
        <v>6722</v>
      </c>
      <c r="D217" s="0" t="s">
        <v>35</v>
      </c>
      <c r="E217" s="0" t="s">
        <v>6723</v>
      </c>
      <c r="F217" s="0" t="n">
        <v>1328</v>
      </c>
      <c r="G217" s="0" t="s">
        <v>277</v>
      </c>
      <c r="H217" s="0" t="s">
        <v>293</v>
      </c>
      <c r="I217" s="0" t="s">
        <v>6724</v>
      </c>
    </row>
    <row r="218" customFormat="false" ht="15" hidden="false" customHeight="false" outlineLevel="0" collapsed="false">
      <c r="A218" s="0" t="n">
        <v>9</v>
      </c>
      <c r="B218" s="0" t="s">
        <v>42</v>
      </c>
      <c r="C218" s="0" t="s">
        <v>6725</v>
      </c>
      <c r="D218" s="0" t="s">
        <v>6416</v>
      </c>
      <c r="E218" s="0" t="s">
        <v>6726</v>
      </c>
      <c r="F218" s="0" t="n">
        <v>1370</v>
      </c>
      <c r="G218" s="0" t="s">
        <v>277</v>
      </c>
      <c r="H218" s="0" t="s">
        <v>293</v>
      </c>
      <c r="I218" s="0" t="s">
        <v>6727</v>
      </c>
    </row>
    <row r="219" customFormat="false" ht="15" hidden="false" customHeight="false" outlineLevel="0" collapsed="false">
      <c r="A219" s="0" t="n">
        <v>4</v>
      </c>
      <c r="B219" s="0" t="s">
        <v>34</v>
      </c>
      <c r="C219" s="0" t="s">
        <v>6728</v>
      </c>
      <c r="D219" s="0" t="s">
        <v>91</v>
      </c>
      <c r="E219" s="0" t="s">
        <v>6729</v>
      </c>
      <c r="F219" s="0" t="n">
        <v>2593</v>
      </c>
      <c r="G219" s="0" t="s">
        <v>277</v>
      </c>
      <c r="H219" s="0" t="s">
        <v>293</v>
      </c>
      <c r="I219" s="0" t="s">
        <v>6730</v>
      </c>
    </row>
    <row r="220" customFormat="false" ht="15" hidden="false" customHeight="false" outlineLevel="0" collapsed="false">
      <c r="A220" s="0" t="n">
        <v>3</v>
      </c>
      <c r="B220" s="0" t="s">
        <v>32</v>
      </c>
      <c r="C220" s="0" t="s">
        <v>6731</v>
      </c>
      <c r="D220" s="0" t="s">
        <v>6416</v>
      </c>
      <c r="E220" s="0" t="s">
        <v>6732</v>
      </c>
      <c r="F220" s="0" t="n">
        <v>1634</v>
      </c>
      <c r="G220" s="0" t="s">
        <v>277</v>
      </c>
      <c r="H220" s="0" t="s">
        <v>293</v>
      </c>
      <c r="I220" s="0" t="s">
        <v>6733</v>
      </c>
    </row>
    <row r="221" customFormat="false" ht="15" hidden="false" customHeight="false" outlineLevel="0" collapsed="false">
      <c r="A221" s="0" t="n">
        <v>10</v>
      </c>
      <c r="B221" s="0" t="s">
        <v>43</v>
      </c>
      <c r="C221" s="0" t="s">
        <v>6734</v>
      </c>
      <c r="D221" s="0" t="s">
        <v>335</v>
      </c>
      <c r="E221" s="0" t="s">
        <v>6735</v>
      </c>
      <c r="F221" s="0" t="n">
        <v>4010</v>
      </c>
      <c r="G221" s="0" t="s">
        <v>277</v>
      </c>
      <c r="H221" s="0" t="s">
        <v>293</v>
      </c>
      <c r="I221" s="0" t="s">
        <v>6736</v>
      </c>
    </row>
    <row r="222" customFormat="false" ht="15" hidden="false" customHeight="false" outlineLevel="0" collapsed="false">
      <c r="A222" s="0" t="n">
        <v>4</v>
      </c>
      <c r="B222" s="0" t="s">
        <v>34</v>
      </c>
      <c r="C222" s="0" t="s">
        <v>6737</v>
      </c>
      <c r="D222" s="0" t="s">
        <v>6416</v>
      </c>
      <c r="E222" s="0" t="s">
        <v>6738</v>
      </c>
      <c r="F222" s="0" t="n">
        <v>1325</v>
      </c>
      <c r="G222" s="0" t="s">
        <v>277</v>
      </c>
      <c r="H222" s="0" t="s">
        <v>293</v>
      </c>
      <c r="I222" s="0" t="s">
        <v>6739</v>
      </c>
    </row>
    <row r="223" customFormat="false" ht="15" hidden="false" customHeight="false" outlineLevel="0" collapsed="false">
      <c r="A223" s="0" t="n">
        <v>9</v>
      </c>
      <c r="B223" s="0" t="s">
        <v>42</v>
      </c>
      <c r="C223" s="0" t="s">
        <v>6740</v>
      </c>
      <c r="D223" s="0" t="s">
        <v>6416</v>
      </c>
      <c r="E223" s="0" t="s">
        <v>6741</v>
      </c>
      <c r="F223" s="0" t="n">
        <v>1771</v>
      </c>
      <c r="G223" s="0" t="s">
        <v>277</v>
      </c>
      <c r="H223" s="0" t="s">
        <v>293</v>
      </c>
      <c r="I223" s="0" t="s">
        <v>6742</v>
      </c>
    </row>
    <row r="224" customFormat="false" ht="15" hidden="false" customHeight="false" outlineLevel="0" collapsed="false">
      <c r="A224" s="0" t="n">
        <v>3</v>
      </c>
      <c r="B224" s="0" t="s">
        <v>32</v>
      </c>
      <c r="C224" s="0" t="s">
        <v>6743</v>
      </c>
      <c r="D224" s="0" t="s">
        <v>6425</v>
      </c>
      <c r="E224" s="0" t="s">
        <v>6744</v>
      </c>
      <c r="F224" s="0" t="n">
        <v>1136</v>
      </c>
      <c r="G224" s="0" t="s">
        <v>277</v>
      </c>
      <c r="H224" s="0" t="s">
        <v>293</v>
      </c>
      <c r="I224" s="0" t="s">
        <v>6745</v>
      </c>
    </row>
    <row r="225" customFormat="false" ht="15" hidden="false" customHeight="false" outlineLevel="0" collapsed="false">
      <c r="A225" s="0" t="n">
        <v>4</v>
      </c>
      <c r="B225" s="0" t="s">
        <v>34</v>
      </c>
      <c r="C225" s="0" t="s">
        <v>6746</v>
      </c>
      <c r="D225" s="0" t="s">
        <v>6416</v>
      </c>
      <c r="E225" s="0" t="s">
        <v>6747</v>
      </c>
      <c r="F225" s="0" t="n">
        <v>1556</v>
      </c>
      <c r="G225" s="0" t="s">
        <v>277</v>
      </c>
      <c r="H225" s="0" t="s">
        <v>293</v>
      </c>
      <c r="I225" s="0" t="s">
        <v>6748</v>
      </c>
    </row>
    <row r="226" customFormat="false" ht="15" hidden="false" customHeight="false" outlineLevel="0" collapsed="false">
      <c r="A226" s="0" t="n">
        <v>9</v>
      </c>
      <c r="B226" s="0" t="s">
        <v>42</v>
      </c>
      <c r="C226" s="0" t="s">
        <v>6749</v>
      </c>
      <c r="D226" s="0" t="s">
        <v>6416</v>
      </c>
      <c r="E226" s="0" t="s">
        <v>6750</v>
      </c>
      <c r="F226" s="0" t="n">
        <v>1396</v>
      </c>
      <c r="G226" s="0" t="s">
        <v>277</v>
      </c>
      <c r="H226" s="0" t="s">
        <v>293</v>
      </c>
      <c r="I226" s="0" t="s">
        <v>6751</v>
      </c>
    </row>
    <row r="227" customFormat="false" ht="15" hidden="false" customHeight="false" outlineLevel="0" collapsed="false">
      <c r="A227" s="0" t="n">
        <v>4</v>
      </c>
      <c r="B227" s="0" t="s">
        <v>34</v>
      </c>
      <c r="C227" s="0" t="s">
        <v>6752</v>
      </c>
      <c r="D227" s="0" t="s">
        <v>6416</v>
      </c>
      <c r="E227" s="0" t="s">
        <v>6753</v>
      </c>
      <c r="F227" s="0" t="n">
        <v>1208</v>
      </c>
      <c r="G227" s="0" t="s">
        <v>277</v>
      </c>
      <c r="H227" s="0" t="s">
        <v>293</v>
      </c>
      <c r="I227" s="0" t="s">
        <v>6754</v>
      </c>
    </row>
    <row r="228" customFormat="false" ht="15" hidden="false" customHeight="false" outlineLevel="0" collapsed="false">
      <c r="A228" s="0" t="n">
        <v>10</v>
      </c>
      <c r="B228" s="0" t="s">
        <v>43</v>
      </c>
      <c r="C228" s="0" t="s">
        <v>6755</v>
      </c>
      <c r="D228" s="0" t="s">
        <v>6416</v>
      </c>
      <c r="E228" s="0" t="s">
        <v>6756</v>
      </c>
      <c r="F228" s="0" t="n">
        <v>1868</v>
      </c>
      <c r="G228" s="0" t="s">
        <v>277</v>
      </c>
      <c r="H228" s="0" t="s">
        <v>293</v>
      </c>
      <c r="I228" s="0" t="s">
        <v>6757</v>
      </c>
    </row>
    <row r="229" customFormat="false" ht="15" hidden="false" customHeight="false" outlineLevel="0" collapsed="false">
      <c r="A229" s="0" t="n">
        <v>9</v>
      </c>
      <c r="B229" s="0" t="s">
        <v>42</v>
      </c>
      <c r="C229" s="0" t="s">
        <v>6758</v>
      </c>
      <c r="D229" s="0" t="s">
        <v>6416</v>
      </c>
      <c r="E229" s="0" t="s">
        <v>6759</v>
      </c>
      <c r="F229" s="0" t="n">
        <v>3824</v>
      </c>
      <c r="G229" s="0" t="s">
        <v>277</v>
      </c>
      <c r="H229" s="0" t="s">
        <v>293</v>
      </c>
      <c r="I229" s="0" t="s">
        <v>6760</v>
      </c>
    </row>
    <row r="230" customFormat="false" ht="15" hidden="false" customHeight="false" outlineLevel="0" collapsed="false">
      <c r="A230" s="0" t="n">
        <v>4</v>
      </c>
      <c r="B230" s="0" t="s">
        <v>34</v>
      </c>
      <c r="C230" s="0" t="s">
        <v>6761</v>
      </c>
      <c r="D230" s="0" t="s">
        <v>6416</v>
      </c>
      <c r="E230" s="0" t="s">
        <v>6762</v>
      </c>
      <c r="F230" s="0" t="n">
        <v>1559</v>
      </c>
      <c r="G230" s="0" t="s">
        <v>277</v>
      </c>
      <c r="H230" s="0" t="s">
        <v>293</v>
      </c>
      <c r="I230" s="0" t="s">
        <v>6763</v>
      </c>
    </row>
    <row r="231" customFormat="false" ht="15" hidden="false" customHeight="false" outlineLevel="0" collapsed="false">
      <c r="A231" s="0" t="n">
        <v>3</v>
      </c>
      <c r="B231" s="0" t="s">
        <v>32</v>
      </c>
      <c r="C231" s="0" t="s">
        <v>6764</v>
      </c>
      <c r="D231" s="0" t="s">
        <v>6416</v>
      </c>
      <c r="E231" s="0" t="s">
        <v>6765</v>
      </c>
      <c r="F231" s="0" t="n">
        <v>2223</v>
      </c>
      <c r="G231" s="0" t="s">
        <v>277</v>
      </c>
      <c r="H231" s="0" t="s">
        <v>293</v>
      </c>
      <c r="I231" s="0" t="s">
        <v>6766</v>
      </c>
    </row>
    <row r="232" customFormat="false" ht="15" hidden="false" customHeight="false" outlineLevel="0" collapsed="false">
      <c r="A232" s="0" t="n">
        <v>4</v>
      </c>
      <c r="B232" s="0" t="s">
        <v>34</v>
      </c>
      <c r="C232" s="0" t="s">
        <v>6767</v>
      </c>
      <c r="D232" s="0" t="s">
        <v>6416</v>
      </c>
      <c r="E232" s="0" t="s">
        <v>6768</v>
      </c>
      <c r="F232" s="0" t="n">
        <v>5042</v>
      </c>
      <c r="G232" s="0" t="s">
        <v>277</v>
      </c>
      <c r="H232" s="0" t="s">
        <v>293</v>
      </c>
      <c r="I232" s="0" t="s">
        <v>6769</v>
      </c>
    </row>
    <row r="233" customFormat="false" ht="15" hidden="false" customHeight="false" outlineLevel="0" collapsed="false">
      <c r="A233" s="0" t="n">
        <v>10</v>
      </c>
      <c r="B233" s="0" t="s">
        <v>43</v>
      </c>
      <c r="C233" s="0" t="s">
        <v>6770</v>
      </c>
      <c r="D233" s="0" t="s">
        <v>6425</v>
      </c>
      <c r="E233" s="0" t="s">
        <v>6771</v>
      </c>
      <c r="F233" s="0" t="n">
        <v>608</v>
      </c>
      <c r="G233" s="0" t="s">
        <v>277</v>
      </c>
      <c r="H233" s="0" t="s">
        <v>293</v>
      </c>
      <c r="I233" s="0" t="s">
        <v>6772</v>
      </c>
    </row>
    <row r="234" customFormat="false" ht="15" hidden="false" customHeight="false" outlineLevel="0" collapsed="false">
      <c r="A234" s="0" t="n">
        <v>4</v>
      </c>
      <c r="B234" s="0" t="s">
        <v>34</v>
      </c>
      <c r="C234" s="0" t="s">
        <v>6773</v>
      </c>
      <c r="D234" s="0" t="s">
        <v>6416</v>
      </c>
      <c r="E234" s="0" t="s">
        <v>6774</v>
      </c>
      <c r="F234" s="0" t="n">
        <v>942</v>
      </c>
      <c r="G234" s="0" t="s">
        <v>277</v>
      </c>
      <c r="H234" s="0" t="s">
        <v>293</v>
      </c>
      <c r="I234" s="0" t="s">
        <v>6775</v>
      </c>
    </row>
    <row r="235" customFormat="false" ht="15" hidden="false" customHeight="false" outlineLevel="0" collapsed="false">
      <c r="A235" s="0" t="n">
        <v>10</v>
      </c>
      <c r="B235" s="0" t="s">
        <v>43</v>
      </c>
      <c r="C235" s="0" t="s">
        <v>6776</v>
      </c>
      <c r="D235" s="0" t="s">
        <v>6416</v>
      </c>
      <c r="E235" s="0" t="s">
        <v>6777</v>
      </c>
      <c r="F235" s="0" t="n">
        <v>7389</v>
      </c>
      <c r="G235" s="0" t="s">
        <v>277</v>
      </c>
      <c r="H235" s="0" t="s">
        <v>293</v>
      </c>
      <c r="I235" s="0" t="s">
        <v>6778</v>
      </c>
    </row>
    <row r="236" customFormat="false" ht="15" hidden="false" customHeight="false" outlineLevel="0" collapsed="false">
      <c r="A236" s="0" t="n">
        <v>9</v>
      </c>
      <c r="B236" s="0" t="s">
        <v>42</v>
      </c>
      <c r="C236" s="0" t="s">
        <v>6779</v>
      </c>
      <c r="D236" s="0" t="s">
        <v>6416</v>
      </c>
      <c r="E236" s="0" t="s">
        <v>6780</v>
      </c>
      <c r="F236" s="0" t="n">
        <v>3930</v>
      </c>
      <c r="G236" s="0" t="s">
        <v>277</v>
      </c>
      <c r="H236" s="0" t="s">
        <v>293</v>
      </c>
      <c r="I236" s="0" t="s">
        <v>6781</v>
      </c>
    </row>
    <row r="237" customFormat="false" ht="15" hidden="false" customHeight="false" outlineLevel="0" collapsed="false">
      <c r="A237" s="0" t="n">
        <v>4</v>
      </c>
      <c r="B237" s="0" t="s">
        <v>34</v>
      </c>
      <c r="C237" s="0" t="s">
        <v>6782</v>
      </c>
      <c r="D237" s="0" t="s">
        <v>6416</v>
      </c>
      <c r="E237" s="0" t="s">
        <v>6783</v>
      </c>
      <c r="F237" s="0" t="n">
        <v>2104</v>
      </c>
      <c r="G237" s="0" t="s">
        <v>277</v>
      </c>
      <c r="H237" s="0" t="s">
        <v>293</v>
      </c>
      <c r="I237" s="0" t="s">
        <v>6784</v>
      </c>
    </row>
    <row r="238" customFormat="false" ht="15" hidden="false" customHeight="false" outlineLevel="0" collapsed="false">
      <c r="A238" s="0" t="n">
        <v>10</v>
      </c>
      <c r="B238" s="0" t="s">
        <v>43</v>
      </c>
      <c r="C238" s="0" t="s">
        <v>6785</v>
      </c>
      <c r="D238" s="0" t="s">
        <v>6786</v>
      </c>
      <c r="E238" s="0" t="s">
        <v>6787</v>
      </c>
      <c r="F238" s="0" t="n">
        <v>1645</v>
      </c>
      <c r="G238" s="0" t="s">
        <v>277</v>
      </c>
      <c r="H238" s="0" t="s">
        <v>293</v>
      </c>
      <c r="I238" s="0" t="s">
        <v>6788</v>
      </c>
    </row>
    <row r="239" customFormat="false" ht="15" hidden="false" customHeight="false" outlineLevel="0" collapsed="false">
      <c r="A239" s="0" t="n">
        <v>4</v>
      </c>
      <c r="B239" s="0" t="s">
        <v>34</v>
      </c>
      <c r="C239" s="0" t="s">
        <v>6789</v>
      </c>
      <c r="D239" s="0" t="s">
        <v>6425</v>
      </c>
      <c r="E239" s="0" t="s">
        <v>6790</v>
      </c>
      <c r="F239" s="0" t="n">
        <v>893</v>
      </c>
      <c r="G239" s="0" t="s">
        <v>277</v>
      </c>
      <c r="H239" s="0" t="s">
        <v>293</v>
      </c>
      <c r="I239" s="0" t="s">
        <v>6791</v>
      </c>
    </row>
    <row r="240" customFormat="false" ht="15" hidden="false" customHeight="false" outlineLevel="0" collapsed="false">
      <c r="A240" s="0" t="n">
        <v>9</v>
      </c>
      <c r="B240" s="0" t="s">
        <v>42</v>
      </c>
      <c r="C240" s="0" t="s">
        <v>6792</v>
      </c>
      <c r="D240" s="0" t="s">
        <v>6416</v>
      </c>
      <c r="E240" s="0" t="s">
        <v>6793</v>
      </c>
      <c r="F240" s="0" t="n">
        <v>13244</v>
      </c>
      <c r="G240" s="0" t="s">
        <v>277</v>
      </c>
      <c r="H240" s="0" t="s">
        <v>293</v>
      </c>
      <c r="I240" s="0" t="s">
        <v>6794</v>
      </c>
    </row>
    <row r="241" customFormat="false" ht="15" hidden="false" customHeight="false" outlineLevel="0" collapsed="false">
      <c r="A241" s="0" t="n">
        <v>4</v>
      </c>
      <c r="B241" s="0" t="s">
        <v>34</v>
      </c>
      <c r="C241" s="0" t="s">
        <v>6795</v>
      </c>
      <c r="D241" s="0" t="s">
        <v>6416</v>
      </c>
      <c r="E241" s="0" t="s">
        <v>6796</v>
      </c>
      <c r="F241" s="0" t="n">
        <v>1035</v>
      </c>
      <c r="G241" s="0" t="s">
        <v>277</v>
      </c>
      <c r="H241" s="0" t="s">
        <v>293</v>
      </c>
      <c r="I241" s="0" t="s">
        <v>6797</v>
      </c>
    </row>
    <row r="242" customFormat="false" ht="15" hidden="false" customHeight="false" outlineLevel="0" collapsed="false">
      <c r="A242" s="0" t="n">
        <v>4</v>
      </c>
      <c r="B242" s="0" t="s">
        <v>34</v>
      </c>
      <c r="C242" s="0" t="s">
        <v>6798</v>
      </c>
      <c r="D242" s="0" t="s">
        <v>6560</v>
      </c>
      <c r="E242" s="0" t="s">
        <v>6799</v>
      </c>
      <c r="F242" s="0" t="n">
        <v>1274</v>
      </c>
      <c r="G242" s="0" t="s">
        <v>277</v>
      </c>
      <c r="H242" s="0" t="s">
        <v>293</v>
      </c>
      <c r="I242" s="0" t="s">
        <v>6800</v>
      </c>
    </row>
    <row r="243" customFormat="false" ht="15" hidden="false" customHeight="false" outlineLevel="0" collapsed="false">
      <c r="A243" s="0" t="n">
        <v>9</v>
      </c>
      <c r="B243" s="0" t="s">
        <v>42</v>
      </c>
      <c r="C243" s="0" t="s">
        <v>6801</v>
      </c>
      <c r="D243" s="0" t="s">
        <v>6416</v>
      </c>
      <c r="E243" s="0" t="s">
        <v>6802</v>
      </c>
      <c r="F243" s="0" t="n">
        <v>4899</v>
      </c>
      <c r="G243" s="0" t="s">
        <v>277</v>
      </c>
      <c r="H243" s="0" t="s">
        <v>293</v>
      </c>
      <c r="I243" s="0" t="s">
        <v>6803</v>
      </c>
    </row>
    <row r="244" customFormat="false" ht="15" hidden="false" customHeight="false" outlineLevel="0" collapsed="false">
      <c r="A244" s="0" t="n">
        <v>10</v>
      </c>
      <c r="B244" s="0" t="s">
        <v>43</v>
      </c>
      <c r="C244" s="0" t="s">
        <v>6804</v>
      </c>
      <c r="D244" s="0" t="s">
        <v>91</v>
      </c>
      <c r="E244" s="0" t="s">
        <v>6805</v>
      </c>
      <c r="F244" s="0" t="n">
        <v>4050</v>
      </c>
      <c r="G244" s="0" t="s">
        <v>277</v>
      </c>
      <c r="H244" s="0" t="s">
        <v>293</v>
      </c>
      <c r="I244" s="0" t="s">
        <v>6806</v>
      </c>
    </row>
    <row r="245" customFormat="false" ht="15" hidden="false" customHeight="false" outlineLevel="0" collapsed="false">
      <c r="A245" s="0" t="n">
        <v>4</v>
      </c>
      <c r="B245" s="0" t="s">
        <v>34</v>
      </c>
      <c r="C245" s="0" t="s">
        <v>6807</v>
      </c>
      <c r="D245" s="0" t="s">
        <v>6416</v>
      </c>
      <c r="E245" s="0" t="s">
        <v>6808</v>
      </c>
      <c r="F245" s="0" t="n">
        <v>6918</v>
      </c>
      <c r="G245" s="0" t="s">
        <v>277</v>
      </c>
      <c r="H245" s="0" t="s">
        <v>293</v>
      </c>
      <c r="I245" s="0" t="s">
        <v>6809</v>
      </c>
    </row>
    <row r="246" customFormat="false" ht="15" hidden="false" customHeight="false" outlineLevel="0" collapsed="false">
      <c r="A246" s="0" t="n">
        <v>9</v>
      </c>
      <c r="B246" s="0" t="s">
        <v>42</v>
      </c>
      <c r="C246" s="0" t="s">
        <v>6810</v>
      </c>
      <c r="D246" s="0" t="s">
        <v>35</v>
      </c>
      <c r="E246" s="0" t="s">
        <v>6811</v>
      </c>
      <c r="F246" s="0" t="n">
        <v>1874</v>
      </c>
      <c r="G246" s="0" t="s">
        <v>277</v>
      </c>
      <c r="H246" s="0" t="s">
        <v>293</v>
      </c>
      <c r="I246" s="0" t="s">
        <v>6812</v>
      </c>
    </row>
    <row r="247" customFormat="false" ht="15" hidden="false" customHeight="false" outlineLevel="0" collapsed="false">
      <c r="A247" s="0" t="n">
        <v>4</v>
      </c>
      <c r="B247" s="0" t="s">
        <v>34</v>
      </c>
      <c r="C247" s="0" t="s">
        <v>6813</v>
      </c>
      <c r="D247" s="0" t="s">
        <v>6416</v>
      </c>
      <c r="E247" s="0" t="s">
        <v>6814</v>
      </c>
      <c r="F247" s="0" t="n">
        <v>1702</v>
      </c>
      <c r="G247" s="0" t="s">
        <v>277</v>
      </c>
      <c r="H247" s="0" t="s">
        <v>293</v>
      </c>
      <c r="I247" s="0" t="s">
        <v>6815</v>
      </c>
    </row>
    <row r="248" customFormat="false" ht="15" hidden="false" customHeight="false" outlineLevel="0" collapsed="false">
      <c r="A248" s="0" t="n">
        <v>10</v>
      </c>
      <c r="B248" s="0" t="s">
        <v>43</v>
      </c>
      <c r="C248" s="0" t="s">
        <v>6816</v>
      </c>
      <c r="D248" s="0" t="s">
        <v>6425</v>
      </c>
      <c r="E248" s="0" t="s">
        <v>6817</v>
      </c>
      <c r="F248" s="0" t="n">
        <v>373</v>
      </c>
      <c r="G248" s="0" t="s">
        <v>277</v>
      </c>
      <c r="H248" s="0" t="s">
        <v>293</v>
      </c>
      <c r="I248" s="0" t="s">
        <v>6818</v>
      </c>
    </row>
    <row r="249" customFormat="false" ht="15" hidden="false" customHeight="false" outlineLevel="0" collapsed="false">
      <c r="A249" s="0" t="n">
        <v>9</v>
      </c>
      <c r="B249" s="0" t="s">
        <v>42</v>
      </c>
      <c r="C249" s="0" t="s">
        <v>6819</v>
      </c>
      <c r="D249" s="0" t="s">
        <v>6416</v>
      </c>
      <c r="E249" s="0" t="s">
        <v>6820</v>
      </c>
      <c r="F249" s="0" t="n">
        <v>3387</v>
      </c>
      <c r="G249" s="0" t="s">
        <v>277</v>
      </c>
      <c r="H249" s="0" t="s">
        <v>293</v>
      </c>
      <c r="I249" s="0" t="s">
        <v>6821</v>
      </c>
    </row>
    <row r="250" customFormat="false" ht="15" hidden="false" customHeight="false" outlineLevel="0" collapsed="false">
      <c r="A250" s="0" t="n">
        <v>3</v>
      </c>
      <c r="B250" s="0" t="s">
        <v>32</v>
      </c>
      <c r="C250" s="0" t="s">
        <v>6822</v>
      </c>
      <c r="D250" s="0" t="s">
        <v>6823</v>
      </c>
      <c r="F250" s="0" t="n">
        <v>181493</v>
      </c>
      <c r="G250" s="0" t="s">
        <v>277</v>
      </c>
      <c r="H250" s="0" t="s">
        <v>293</v>
      </c>
      <c r="I250" s="0" t="s">
        <v>6824</v>
      </c>
    </row>
    <row r="251" customFormat="false" ht="15" hidden="false" customHeight="false" outlineLevel="0" collapsed="false">
      <c r="A251" s="0" t="n">
        <v>4</v>
      </c>
      <c r="B251" s="0" t="s">
        <v>34</v>
      </c>
      <c r="C251" s="0" t="s">
        <v>6825</v>
      </c>
      <c r="D251" s="0" t="s">
        <v>6416</v>
      </c>
      <c r="E251" s="0" t="s">
        <v>6826</v>
      </c>
      <c r="F251" s="0" t="n">
        <v>1461</v>
      </c>
      <c r="G251" s="0" t="s">
        <v>277</v>
      </c>
      <c r="H251" s="0" t="s">
        <v>293</v>
      </c>
      <c r="I251" s="0" t="s">
        <v>6827</v>
      </c>
    </row>
    <row r="252" customFormat="false" ht="15" hidden="false" customHeight="false" outlineLevel="0" collapsed="false">
      <c r="A252" s="0" t="n">
        <v>10</v>
      </c>
      <c r="B252" s="0" t="s">
        <v>43</v>
      </c>
      <c r="C252" s="0" t="s">
        <v>6828</v>
      </c>
      <c r="D252" s="0" t="s">
        <v>6425</v>
      </c>
      <c r="E252" s="0" t="s">
        <v>6829</v>
      </c>
      <c r="F252" s="0" t="n">
        <v>490</v>
      </c>
      <c r="G252" s="0" t="s">
        <v>277</v>
      </c>
      <c r="H252" s="0" t="s">
        <v>293</v>
      </c>
      <c r="I252" s="0" t="s">
        <v>6830</v>
      </c>
    </row>
    <row r="253" customFormat="false" ht="15" hidden="false" customHeight="false" outlineLevel="0" collapsed="false">
      <c r="A253" s="0" t="n">
        <v>4</v>
      </c>
      <c r="B253" s="0" t="s">
        <v>34</v>
      </c>
      <c r="C253" s="0" t="s">
        <v>6831</v>
      </c>
      <c r="D253" s="0" t="s">
        <v>6416</v>
      </c>
      <c r="E253" s="0" t="s">
        <v>6832</v>
      </c>
      <c r="F253" s="0" t="n">
        <v>394</v>
      </c>
      <c r="G253" s="0" t="s">
        <v>277</v>
      </c>
      <c r="H253" s="0" t="s">
        <v>293</v>
      </c>
      <c r="I253" s="0" t="s">
        <v>6833</v>
      </c>
    </row>
    <row r="254" customFormat="false" ht="15" hidden="false" customHeight="false" outlineLevel="0" collapsed="false">
      <c r="A254" s="0" t="n">
        <v>9</v>
      </c>
      <c r="B254" s="0" t="s">
        <v>42</v>
      </c>
      <c r="C254" s="0" t="s">
        <v>6834</v>
      </c>
      <c r="D254" s="0" t="s">
        <v>6416</v>
      </c>
      <c r="E254" s="0" t="s">
        <v>6835</v>
      </c>
      <c r="F254" s="0" t="n">
        <v>2843</v>
      </c>
      <c r="G254" s="0" t="s">
        <v>277</v>
      </c>
      <c r="H254" s="0" t="s">
        <v>293</v>
      </c>
      <c r="I254" s="0" t="s">
        <v>6836</v>
      </c>
    </row>
    <row r="255" customFormat="false" ht="15" hidden="false" customHeight="false" outlineLevel="0" collapsed="false">
      <c r="A255" s="0" t="n">
        <v>10</v>
      </c>
      <c r="B255" s="0" t="s">
        <v>43</v>
      </c>
      <c r="C255" s="0" t="s">
        <v>6837</v>
      </c>
      <c r="D255" s="0" t="s">
        <v>335</v>
      </c>
      <c r="E255" s="0" t="s">
        <v>6838</v>
      </c>
      <c r="F255" s="0" t="n">
        <v>1133</v>
      </c>
      <c r="G255" s="0" t="s">
        <v>277</v>
      </c>
      <c r="H255" s="0" t="s">
        <v>293</v>
      </c>
      <c r="I255" s="0" t="s">
        <v>6839</v>
      </c>
    </row>
    <row r="256" customFormat="false" ht="15" hidden="false" customHeight="false" outlineLevel="0" collapsed="false">
      <c r="A256" s="0" t="n">
        <v>4</v>
      </c>
      <c r="B256" s="0" t="s">
        <v>34</v>
      </c>
      <c r="C256" s="0" t="s">
        <v>6840</v>
      </c>
      <c r="D256" s="0" t="s">
        <v>6416</v>
      </c>
      <c r="E256" s="0" t="s">
        <v>6841</v>
      </c>
      <c r="F256" s="0" t="n">
        <v>2851</v>
      </c>
      <c r="G256" s="0" t="s">
        <v>277</v>
      </c>
      <c r="H256" s="0" t="s">
        <v>293</v>
      </c>
      <c r="I256" s="0" t="s">
        <v>6842</v>
      </c>
    </row>
    <row r="257" customFormat="false" ht="15" hidden="false" customHeight="false" outlineLevel="0" collapsed="false">
      <c r="A257" s="0" t="n">
        <v>10</v>
      </c>
      <c r="B257" s="0" t="s">
        <v>43</v>
      </c>
      <c r="C257" s="0" t="s">
        <v>6843</v>
      </c>
      <c r="D257" s="0" t="s">
        <v>500</v>
      </c>
      <c r="E257" s="0" t="s">
        <v>6844</v>
      </c>
      <c r="F257" s="0" t="n">
        <v>22935</v>
      </c>
      <c r="G257" s="0" t="s">
        <v>277</v>
      </c>
      <c r="H257" s="0" t="s">
        <v>293</v>
      </c>
      <c r="I257" s="0" t="s">
        <v>6845</v>
      </c>
    </row>
    <row r="258" customFormat="false" ht="15" hidden="false" customHeight="false" outlineLevel="0" collapsed="false">
      <c r="A258" s="0" t="n">
        <v>4</v>
      </c>
      <c r="B258" s="0" t="s">
        <v>34</v>
      </c>
      <c r="C258" s="0" t="s">
        <v>6846</v>
      </c>
      <c r="D258" s="0" t="s">
        <v>6416</v>
      </c>
      <c r="E258" s="0" t="s">
        <v>6847</v>
      </c>
      <c r="F258" s="0" t="n">
        <v>877</v>
      </c>
      <c r="G258" s="0" t="s">
        <v>277</v>
      </c>
      <c r="H258" s="0" t="s">
        <v>293</v>
      </c>
      <c r="I258" s="0" t="s">
        <v>6848</v>
      </c>
    </row>
    <row r="259" customFormat="false" ht="15" hidden="false" customHeight="false" outlineLevel="0" collapsed="false">
      <c r="A259" s="0" t="n">
        <v>9</v>
      </c>
      <c r="B259" s="0" t="s">
        <v>42</v>
      </c>
      <c r="C259" s="0" t="s">
        <v>6849</v>
      </c>
      <c r="D259" s="0" t="s">
        <v>6416</v>
      </c>
      <c r="E259" s="0" t="s">
        <v>6850</v>
      </c>
      <c r="F259" s="0" t="n">
        <v>1797</v>
      </c>
      <c r="G259" s="0" t="s">
        <v>277</v>
      </c>
      <c r="H259" s="0" t="s">
        <v>293</v>
      </c>
      <c r="I259" s="0" t="s">
        <v>6851</v>
      </c>
    </row>
    <row r="260" customFormat="false" ht="15" hidden="false" customHeight="false" outlineLevel="0" collapsed="false">
      <c r="A260" s="0" t="n">
        <v>10</v>
      </c>
      <c r="B260" s="0" t="s">
        <v>43</v>
      </c>
      <c r="C260" s="0" t="s">
        <v>6852</v>
      </c>
      <c r="D260" s="0" t="s">
        <v>335</v>
      </c>
      <c r="E260" s="0" t="s">
        <v>6853</v>
      </c>
      <c r="F260" s="0" t="n">
        <v>776</v>
      </c>
      <c r="G260" s="0" t="s">
        <v>277</v>
      </c>
      <c r="H260" s="0" t="s">
        <v>293</v>
      </c>
      <c r="I260" s="0" t="s">
        <v>6854</v>
      </c>
    </row>
    <row r="261" customFormat="false" ht="15" hidden="false" customHeight="false" outlineLevel="0" collapsed="false">
      <c r="A261" s="0" t="n">
        <v>9</v>
      </c>
      <c r="B261" s="0" t="s">
        <v>42</v>
      </c>
      <c r="C261" s="0" t="s">
        <v>6855</v>
      </c>
      <c r="D261" s="0" t="s">
        <v>6416</v>
      </c>
      <c r="E261" s="0" t="s">
        <v>6856</v>
      </c>
      <c r="F261" s="0" t="n">
        <v>1310</v>
      </c>
      <c r="G261" s="0" t="s">
        <v>277</v>
      </c>
      <c r="H261" s="0" t="s">
        <v>293</v>
      </c>
      <c r="I261" s="0" t="s">
        <v>6857</v>
      </c>
    </row>
    <row r="262" customFormat="false" ht="15" hidden="false" customHeight="false" outlineLevel="0" collapsed="false">
      <c r="A262" s="0" t="n">
        <v>4</v>
      </c>
      <c r="B262" s="0" t="s">
        <v>34</v>
      </c>
      <c r="C262" s="0" t="s">
        <v>6858</v>
      </c>
      <c r="D262" s="0" t="s">
        <v>6416</v>
      </c>
      <c r="E262" s="0" t="s">
        <v>6859</v>
      </c>
      <c r="F262" s="0" t="n">
        <v>3307</v>
      </c>
      <c r="G262" s="0" t="s">
        <v>277</v>
      </c>
      <c r="H262" s="0" t="s">
        <v>293</v>
      </c>
      <c r="I262" s="0" t="s">
        <v>6860</v>
      </c>
    </row>
    <row r="263" customFormat="false" ht="15" hidden="false" customHeight="false" outlineLevel="0" collapsed="false">
      <c r="A263" s="0" t="n">
        <v>10</v>
      </c>
      <c r="B263" s="0" t="s">
        <v>43</v>
      </c>
      <c r="C263" s="0" t="s">
        <v>6861</v>
      </c>
      <c r="D263" s="0" t="s">
        <v>500</v>
      </c>
      <c r="E263" s="0" t="s">
        <v>6862</v>
      </c>
      <c r="F263" s="0" t="n">
        <v>3810</v>
      </c>
      <c r="G263" s="0" t="s">
        <v>277</v>
      </c>
      <c r="H263" s="0" t="s">
        <v>293</v>
      </c>
      <c r="I263" s="0" t="s">
        <v>6863</v>
      </c>
    </row>
    <row r="264" customFormat="false" ht="15" hidden="false" customHeight="false" outlineLevel="0" collapsed="false">
      <c r="A264" s="0" t="n">
        <v>4</v>
      </c>
      <c r="B264" s="0" t="s">
        <v>34</v>
      </c>
      <c r="C264" s="0" t="s">
        <v>6864</v>
      </c>
      <c r="D264" s="0" t="s">
        <v>6416</v>
      </c>
      <c r="E264" s="0" t="s">
        <v>6865</v>
      </c>
      <c r="F264" s="0" t="n">
        <v>776</v>
      </c>
      <c r="G264" s="0" t="s">
        <v>277</v>
      </c>
      <c r="H264" s="0" t="s">
        <v>293</v>
      </c>
      <c r="I264" s="0" t="s">
        <v>6866</v>
      </c>
    </row>
    <row r="265" customFormat="false" ht="15" hidden="false" customHeight="false" outlineLevel="0" collapsed="false">
      <c r="A265" s="0" t="n">
        <v>9</v>
      </c>
      <c r="B265" s="0" t="s">
        <v>42</v>
      </c>
      <c r="C265" s="0" t="s">
        <v>6867</v>
      </c>
      <c r="D265" s="0" t="s">
        <v>6416</v>
      </c>
      <c r="E265" s="0" t="s">
        <v>6868</v>
      </c>
      <c r="F265" s="0" t="n">
        <v>1312</v>
      </c>
      <c r="G265" s="0" t="s">
        <v>277</v>
      </c>
      <c r="H265" s="0" t="s">
        <v>293</v>
      </c>
      <c r="I265" s="0" t="s">
        <v>6869</v>
      </c>
    </row>
    <row r="266" customFormat="false" ht="15" hidden="false" customHeight="false" outlineLevel="0" collapsed="false">
      <c r="A266" s="0" t="n">
        <v>10</v>
      </c>
      <c r="B266" s="0" t="s">
        <v>43</v>
      </c>
      <c r="C266" s="0" t="s">
        <v>6870</v>
      </c>
      <c r="D266" s="0" t="s">
        <v>500</v>
      </c>
      <c r="E266" s="0" t="s">
        <v>6871</v>
      </c>
      <c r="F266" s="0" t="n">
        <v>2671</v>
      </c>
      <c r="G266" s="0" t="s">
        <v>277</v>
      </c>
      <c r="H266" s="0" t="s">
        <v>293</v>
      </c>
      <c r="I266" s="0" t="s">
        <v>6872</v>
      </c>
    </row>
    <row r="267" customFormat="false" ht="15" hidden="false" customHeight="false" outlineLevel="0" collapsed="false">
      <c r="A267" s="0" t="n">
        <v>9</v>
      </c>
      <c r="B267" s="0" t="s">
        <v>42</v>
      </c>
      <c r="C267" s="0" t="s">
        <v>6873</v>
      </c>
      <c r="D267" s="0" t="s">
        <v>6416</v>
      </c>
      <c r="E267" s="0" t="s">
        <v>6874</v>
      </c>
      <c r="F267" s="0" t="n">
        <v>2463</v>
      </c>
      <c r="G267" s="0" t="s">
        <v>277</v>
      </c>
      <c r="H267" s="0" t="s">
        <v>293</v>
      </c>
      <c r="I267" s="0" t="s">
        <v>6875</v>
      </c>
    </row>
    <row r="268" customFormat="false" ht="15" hidden="false" customHeight="false" outlineLevel="0" collapsed="false">
      <c r="A268" s="0" t="n">
        <v>10</v>
      </c>
      <c r="B268" s="0" t="s">
        <v>43</v>
      </c>
      <c r="C268" s="0" t="s">
        <v>6876</v>
      </c>
      <c r="D268" s="0" t="s">
        <v>6823</v>
      </c>
      <c r="E268" s="0" t="s">
        <v>6877</v>
      </c>
      <c r="F268" s="0" t="n">
        <v>655</v>
      </c>
      <c r="G268" s="0" t="s">
        <v>277</v>
      </c>
      <c r="H268" s="0" t="s">
        <v>293</v>
      </c>
      <c r="I268" s="0" t="s">
        <v>6878</v>
      </c>
    </row>
    <row r="269" customFormat="false" ht="15" hidden="false" customHeight="false" outlineLevel="0" collapsed="false">
      <c r="A269" s="0" t="n">
        <v>9</v>
      </c>
      <c r="B269" s="0" t="s">
        <v>42</v>
      </c>
      <c r="C269" s="0" t="s">
        <v>6879</v>
      </c>
      <c r="D269" s="0" t="s">
        <v>6425</v>
      </c>
      <c r="E269" s="0" t="s">
        <v>6880</v>
      </c>
      <c r="F269" s="0" t="n">
        <v>2638</v>
      </c>
      <c r="G269" s="0" t="s">
        <v>277</v>
      </c>
      <c r="H269" s="0" t="s">
        <v>293</v>
      </c>
      <c r="I269" s="0" t="s">
        <v>6881</v>
      </c>
    </row>
    <row r="270" customFormat="false" ht="15" hidden="false" customHeight="false" outlineLevel="0" collapsed="false">
      <c r="A270" s="0" t="n">
        <v>10</v>
      </c>
      <c r="B270" s="0" t="s">
        <v>43</v>
      </c>
      <c r="C270" s="0" t="s">
        <v>6882</v>
      </c>
      <c r="D270" s="0" t="s">
        <v>6560</v>
      </c>
      <c r="E270" s="0" t="s">
        <v>6883</v>
      </c>
      <c r="F270" s="0" t="n">
        <v>8277</v>
      </c>
      <c r="G270" s="0" t="s">
        <v>277</v>
      </c>
      <c r="H270" s="0" t="s">
        <v>293</v>
      </c>
      <c r="I270" s="0" t="s">
        <v>6884</v>
      </c>
    </row>
    <row r="271" customFormat="false" ht="15" hidden="false" customHeight="false" outlineLevel="0" collapsed="false">
      <c r="A271" s="0" t="n">
        <v>9</v>
      </c>
      <c r="B271" s="0" t="s">
        <v>42</v>
      </c>
      <c r="C271" s="0" t="s">
        <v>6885</v>
      </c>
      <c r="D271" s="0" t="s">
        <v>6560</v>
      </c>
      <c r="E271" s="0" t="s">
        <v>6886</v>
      </c>
      <c r="F271" s="0" t="n">
        <v>6417</v>
      </c>
      <c r="G271" s="0" t="s">
        <v>277</v>
      </c>
      <c r="H271" s="0" t="s">
        <v>293</v>
      </c>
      <c r="I271" s="0" t="s">
        <v>6887</v>
      </c>
    </row>
    <row r="272" customFormat="false" ht="15" hidden="false" customHeight="false" outlineLevel="0" collapsed="false">
      <c r="A272" s="0" t="n">
        <v>9</v>
      </c>
      <c r="B272" s="0" t="s">
        <v>42</v>
      </c>
      <c r="C272" s="0" t="s">
        <v>6888</v>
      </c>
      <c r="D272" s="0" t="s">
        <v>6416</v>
      </c>
      <c r="E272" s="0" t="s">
        <v>6889</v>
      </c>
      <c r="F272" s="0" t="n">
        <v>1647</v>
      </c>
      <c r="G272" s="0" t="s">
        <v>277</v>
      </c>
      <c r="H272" s="0" t="s">
        <v>293</v>
      </c>
      <c r="I272" s="0" t="s">
        <v>6890</v>
      </c>
    </row>
    <row r="273" customFormat="false" ht="15" hidden="false" customHeight="false" outlineLevel="0" collapsed="false">
      <c r="A273" s="0" t="n">
        <v>10</v>
      </c>
      <c r="B273" s="0" t="s">
        <v>43</v>
      </c>
      <c r="C273" s="0" t="s">
        <v>6891</v>
      </c>
      <c r="D273" s="0" t="s">
        <v>6823</v>
      </c>
      <c r="E273" s="0" t="s">
        <v>6892</v>
      </c>
      <c r="F273" s="0" t="n">
        <v>253</v>
      </c>
      <c r="G273" s="0" t="s">
        <v>277</v>
      </c>
      <c r="H273" s="0" t="s">
        <v>293</v>
      </c>
      <c r="I273" s="0" t="s">
        <v>6893</v>
      </c>
    </row>
    <row r="274" customFormat="false" ht="15" hidden="false" customHeight="false" outlineLevel="0" collapsed="false">
      <c r="A274" s="0" t="n">
        <v>9</v>
      </c>
      <c r="B274" s="0" t="s">
        <v>42</v>
      </c>
      <c r="C274" s="0" t="s">
        <v>6894</v>
      </c>
      <c r="D274" s="0" t="s">
        <v>6416</v>
      </c>
      <c r="E274" s="0" t="s">
        <v>6895</v>
      </c>
      <c r="F274" s="0" t="n">
        <v>12545</v>
      </c>
      <c r="G274" s="0" t="s">
        <v>277</v>
      </c>
      <c r="H274" s="0" t="s">
        <v>293</v>
      </c>
      <c r="I274" s="0" t="s">
        <v>6896</v>
      </c>
    </row>
    <row r="275" customFormat="false" ht="15" hidden="false" customHeight="false" outlineLevel="0" collapsed="false">
      <c r="A275" s="0" t="n">
        <v>10</v>
      </c>
      <c r="B275" s="0" t="s">
        <v>43</v>
      </c>
      <c r="C275" s="0" t="s">
        <v>6897</v>
      </c>
      <c r="D275" s="0" t="s">
        <v>500</v>
      </c>
      <c r="E275" s="0" t="s">
        <v>6898</v>
      </c>
      <c r="F275" s="0" t="n">
        <v>16927</v>
      </c>
      <c r="G275" s="0" t="s">
        <v>277</v>
      </c>
      <c r="H275" s="0" t="s">
        <v>293</v>
      </c>
      <c r="I275" s="0" t="s">
        <v>6899</v>
      </c>
    </row>
    <row r="276" customFormat="false" ht="15" hidden="false" customHeight="false" outlineLevel="0" collapsed="false">
      <c r="A276" s="0" t="n">
        <v>9</v>
      </c>
      <c r="B276" s="0" t="s">
        <v>42</v>
      </c>
      <c r="C276" s="0" t="s">
        <v>6900</v>
      </c>
      <c r="D276" s="0" t="s">
        <v>6416</v>
      </c>
      <c r="E276" s="0" t="s">
        <v>6901</v>
      </c>
      <c r="F276" s="0" t="n">
        <v>10570</v>
      </c>
      <c r="G276" s="0" t="s">
        <v>277</v>
      </c>
      <c r="H276" s="0" t="s">
        <v>293</v>
      </c>
      <c r="I276" s="0" t="s">
        <v>6902</v>
      </c>
    </row>
    <row r="277" customFormat="false" ht="15" hidden="false" customHeight="false" outlineLevel="0" collapsed="false">
      <c r="A277" s="0" t="n">
        <v>10</v>
      </c>
      <c r="B277" s="0" t="s">
        <v>43</v>
      </c>
      <c r="C277" s="0" t="s">
        <v>6903</v>
      </c>
      <c r="D277" s="0" t="s">
        <v>335</v>
      </c>
      <c r="E277" s="0" t="s">
        <v>6904</v>
      </c>
      <c r="F277" s="0" t="n">
        <v>747</v>
      </c>
      <c r="G277" s="0" t="s">
        <v>277</v>
      </c>
      <c r="H277" s="0" t="s">
        <v>293</v>
      </c>
      <c r="I277" s="0" t="s">
        <v>6905</v>
      </c>
    </row>
    <row r="278" customFormat="false" ht="15" hidden="false" customHeight="false" outlineLevel="0" collapsed="false">
      <c r="A278" s="0" t="n">
        <v>9</v>
      </c>
      <c r="B278" s="0" t="s">
        <v>42</v>
      </c>
      <c r="C278" s="0" t="s">
        <v>6906</v>
      </c>
      <c r="D278" s="0" t="s">
        <v>6416</v>
      </c>
      <c r="E278" s="0" t="s">
        <v>6907</v>
      </c>
      <c r="F278" s="0" t="n">
        <v>4781</v>
      </c>
      <c r="G278" s="0" t="s">
        <v>277</v>
      </c>
      <c r="H278" s="0" t="s">
        <v>293</v>
      </c>
      <c r="I278" s="0" t="s">
        <v>6908</v>
      </c>
    </row>
    <row r="279" customFormat="false" ht="15" hidden="false" customHeight="false" outlineLevel="0" collapsed="false">
      <c r="A279" s="0" t="n">
        <v>10</v>
      </c>
      <c r="B279" s="0" t="s">
        <v>43</v>
      </c>
      <c r="C279" s="0" t="s">
        <v>6909</v>
      </c>
      <c r="D279" s="0" t="s">
        <v>500</v>
      </c>
      <c r="E279" s="0" t="s">
        <v>6654</v>
      </c>
      <c r="F279" s="0" t="n">
        <v>3639</v>
      </c>
      <c r="G279" s="0" t="s">
        <v>277</v>
      </c>
      <c r="H279" s="0" t="s">
        <v>293</v>
      </c>
      <c r="I279" s="0" t="s">
        <v>6655</v>
      </c>
    </row>
    <row r="280" customFormat="false" ht="15" hidden="false" customHeight="false" outlineLevel="0" collapsed="false">
      <c r="A280" s="0" t="n">
        <v>9</v>
      </c>
      <c r="B280" s="0" t="s">
        <v>42</v>
      </c>
      <c r="C280" s="0" t="s">
        <v>6910</v>
      </c>
      <c r="D280" s="0" t="s">
        <v>6416</v>
      </c>
      <c r="E280" s="0" t="s">
        <v>6609</v>
      </c>
      <c r="F280" s="0" t="n">
        <v>9144</v>
      </c>
      <c r="G280" s="0" t="s">
        <v>277</v>
      </c>
      <c r="H280" s="0" t="s">
        <v>293</v>
      </c>
      <c r="I280" s="0" t="s">
        <v>6610</v>
      </c>
    </row>
    <row r="281" customFormat="false" ht="15" hidden="false" customHeight="false" outlineLevel="0" collapsed="false">
      <c r="A281" s="0" t="n">
        <v>9</v>
      </c>
      <c r="B281" s="0" t="s">
        <v>42</v>
      </c>
      <c r="C281" s="0" t="s">
        <v>6911</v>
      </c>
      <c r="D281" s="0" t="s">
        <v>6416</v>
      </c>
      <c r="E281" s="0" t="s">
        <v>6912</v>
      </c>
      <c r="F281" s="0" t="n">
        <v>218</v>
      </c>
      <c r="G281" s="0" t="s">
        <v>277</v>
      </c>
      <c r="H281" s="0" t="s">
        <v>293</v>
      </c>
      <c r="I281" s="0" t="s">
        <v>6913</v>
      </c>
    </row>
    <row r="282" customFormat="false" ht="15" hidden="false" customHeight="false" outlineLevel="0" collapsed="false">
      <c r="A282" s="0" t="n">
        <v>11</v>
      </c>
      <c r="B282" s="0" t="s">
        <v>44</v>
      </c>
      <c r="C282" s="0" t="s">
        <v>6914</v>
      </c>
      <c r="D282" s="0" t="s">
        <v>6560</v>
      </c>
      <c r="E282" s="0" t="s">
        <v>6915</v>
      </c>
      <c r="F282" s="0" t="n">
        <v>4423</v>
      </c>
      <c r="G282" s="0" t="s">
        <v>277</v>
      </c>
      <c r="H282" s="0" t="s">
        <v>293</v>
      </c>
      <c r="I282" s="0" t="s">
        <v>6916</v>
      </c>
    </row>
    <row r="283" customFormat="false" ht="15" hidden="false" customHeight="false" outlineLevel="0" collapsed="false">
      <c r="A283" s="0" t="n">
        <v>9</v>
      </c>
      <c r="B283" s="0" t="s">
        <v>42</v>
      </c>
      <c r="C283" s="0" t="s">
        <v>6917</v>
      </c>
      <c r="D283" s="0" t="s">
        <v>6416</v>
      </c>
      <c r="E283" s="0" t="s">
        <v>6918</v>
      </c>
      <c r="F283" s="0" t="n">
        <v>1670</v>
      </c>
      <c r="G283" s="0" t="s">
        <v>277</v>
      </c>
      <c r="H283" s="0" t="s">
        <v>293</v>
      </c>
      <c r="I283" s="0" t="s">
        <v>6919</v>
      </c>
    </row>
    <row r="284" customFormat="false" ht="15" hidden="false" customHeight="false" outlineLevel="0" collapsed="false">
      <c r="A284" s="0" t="n">
        <v>12</v>
      </c>
      <c r="B284" s="0" t="s">
        <v>45</v>
      </c>
      <c r="C284" s="0" t="s">
        <v>6920</v>
      </c>
      <c r="D284" s="0" t="s">
        <v>6560</v>
      </c>
      <c r="E284" s="0" t="s">
        <v>6921</v>
      </c>
      <c r="F284" s="0" t="n">
        <v>4132</v>
      </c>
      <c r="G284" s="0" t="s">
        <v>277</v>
      </c>
      <c r="H284" s="0" t="s">
        <v>293</v>
      </c>
      <c r="I284" s="0" t="s">
        <v>6922</v>
      </c>
    </row>
    <row r="285" customFormat="false" ht="15" hidden="false" customHeight="false" outlineLevel="0" collapsed="false">
      <c r="A285" s="0" t="n">
        <v>11</v>
      </c>
      <c r="B285" s="0" t="s">
        <v>44</v>
      </c>
      <c r="C285" s="0" t="s">
        <v>6923</v>
      </c>
      <c r="D285" s="0" t="s">
        <v>6560</v>
      </c>
      <c r="E285" s="0" t="s">
        <v>6915</v>
      </c>
      <c r="F285" s="0" t="n">
        <v>1887</v>
      </c>
      <c r="G285" s="0" t="s">
        <v>277</v>
      </c>
      <c r="H285" s="0" t="s">
        <v>293</v>
      </c>
      <c r="I285" s="0" t="s">
        <v>6924</v>
      </c>
    </row>
    <row r="286" customFormat="false" ht="15" hidden="false" customHeight="false" outlineLevel="0" collapsed="false">
      <c r="A286" s="0" t="n">
        <v>11</v>
      </c>
      <c r="B286" s="0" t="s">
        <v>44</v>
      </c>
      <c r="C286" s="0" t="s">
        <v>6925</v>
      </c>
      <c r="D286" s="0" t="s">
        <v>91</v>
      </c>
      <c r="E286" s="0" t="s">
        <v>6915</v>
      </c>
      <c r="F286" s="0" t="n">
        <v>2970</v>
      </c>
      <c r="G286" s="0" t="s">
        <v>277</v>
      </c>
      <c r="H286" s="0" t="s">
        <v>293</v>
      </c>
      <c r="I286" s="0" t="s">
        <v>6926</v>
      </c>
    </row>
    <row r="287" customFormat="false" ht="15" hidden="false" customHeight="false" outlineLevel="0" collapsed="false">
      <c r="A287" s="0" t="n">
        <v>9</v>
      </c>
      <c r="B287" s="0" t="s">
        <v>42</v>
      </c>
      <c r="C287" s="0" t="s">
        <v>6927</v>
      </c>
      <c r="D287" s="0" t="s">
        <v>6416</v>
      </c>
      <c r="E287" s="0" t="s">
        <v>6856</v>
      </c>
      <c r="F287" s="0" t="n">
        <v>1310</v>
      </c>
      <c r="G287" s="0" t="s">
        <v>277</v>
      </c>
      <c r="H287" s="0" t="s">
        <v>293</v>
      </c>
      <c r="I287" s="0" t="s">
        <v>6928</v>
      </c>
    </row>
    <row r="288" customFormat="false" ht="15" hidden="false" customHeight="false" outlineLevel="0" collapsed="false">
      <c r="A288" s="0" t="n">
        <v>12</v>
      </c>
      <c r="B288" s="0" t="s">
        <v>45</v>
      </c>
      <c r="C288" s="0" t="s">
        <v>6929</v>
      </c>
      <c r="D288" s="0" t="s">
        <v>6560</v>
      </c>
      <c r="E288" s="0" t="s">
        <v>6930</v>
      </c>
      <c r="F288" s="0" t="n">
        <v>548</v>
      </c>
      <c r="G288" s="0" t="s">
        <v>277</v>
      </c>
      <c r="H288" s="0" t="s">
        <v>293</v>
      </c>
      <c r="I288" s="0" t="s">
        <v>6931</v>
      </c>
    </row>
    <row r="289" customFormat="false" ht="15" hidden="false" customHeight="false" outlineLevel="0" collapsed="false">
      <c r="A289" s="0" t="n">
        <v>11</v>
      </c>
      <c r="B289" s="0" t="s">
        <v>44</v>
      </c>
      <c r="C289" s="0" t="s">
        <v>6932</v>
      </c>
      <c r="D289" s="0" t="s">
        <v>6560</v>
      </c>
      <c r="E289" s="0" t="s">
        <v>6915</v>
      </c>
      <c r="F289" s="0" t="n">
        <v>984</v>
      </c>
      <c r="G289" s="0" t="s">
        <v>277</v>
      </c>
      <c r="H289" s="0" t="s">
        <v>293</v>
      </c>
      <c r="I289" s="0" t="s">
        <v>6933</v>
      </c>
    </row>
    <row r="290" customFormat="false" ht="15" hidden="false" customHeight="false" outlineLevel="0" collapsed="false">
      <c r="A290" s="0" t="n">
        <v>12</v>
      </c>
      <c r="B290" s="0" t="s">
        <v>45</v>
      </c>
      <c r="C290" s="0" t="s">
        <v>6934</v>
      </c>
      <c r="D290" s="0" t="s">
        <v>6560</v>
      </c>
      <c r="E290" s="0" t="s">
        <v>6935</v>
      </c>
      <c r="F290" s="0" t="n">
        <v>640</v>
      </c>
      <c r="G290" s="0" t="s">
        <v>277</v>
      </c>
      <c r="H290" s="0" t="s">
        <v>293</v>
      </c>
      <c r="I290" s="0" t="s">
        <v>6936</v>
      </c>
    </row>
    <row r="291" customFormat="false" ht="15" hidden="false" customHeight="false" outlineLevel="0" collapsed="false">
      <c r="A291" s="0" t="n">
        <v>11</v>
      </c>
      <c r="B291" s="0" t="s">
        <v>44</v>
      </c>
      <c r="C291" s="0" t="s">
        <v>6937</v>
      </c>
      <c r="D291" s="0" t="s">
        <v>6560</v>
      </c>
      <c r="E291" s="0" t="s">
        <v>6915</v>
      </c>
      <c r="F291" s="0" t="n">
        <v>621</v>
      </c>
      <c r="G291" s="0" t="s">
        <v>277</v>
      </c>
      <c r="H291" s="0" t="s">
        <v>293</v>
      </c>
      <c r="I291" s="0" t="s">
        <v>6938</v>
      </c>
    </row>
    <row r="292" customFormat="false" ht="15" hidden="false" customHeight="false" outlineLevel="0" collapsed="false">
      <c r="A292" s="0" t="n">
        <v>12</v>
      </c>
      <c r="B292" s="0" t="s">
        <v>45</v>
      </c>
      <c r="C292" s="0" t="s">
        <v>6939</v>
      </c>
      <c r="D292" s="0" t="s">
        <v>6560</v>
      </c>
      <c r="E292" s="0" t="s">
        <v>6940</v>
      </c>
      <c r="F292" s="0" t="n">
        <v>23041</v>
      </c>
      <c r="G292" s="0" t="s">
        <v>277</v>
      </c>
      <c r="H292" s="0" t="s">
        <v>293</v>
      </c>
      <c r="I292" s="0" t="s">
        <v>6941</v>
      </c>
    </row>
    <row r="293" customFormat="false" ht="15" hidden="false" customHeight="false" outlineLevel="0" collapsed="false">
      <c r="A293" s="0" t="n">
        <v>11</v>
      </c>
      <c r="B293" s="0" t="s">
        <v>44</v>
      </c>
      <c r="C293" s="0" t="s">
        <v>6942</v>
      </c>
      <c r="D293" s="0" t="s">
        <v>6560</v>
      </c>
      <c r="E293" s="0" t="s">
        <v>6915</v>
      </c>
      <c r="F293" s="0" t="n">
        <v>22973</v>
      </c>
      <c r="G293" s="0" t="s">
        <v>277</v>
      </c>
      <c r="H293" s="0" t="s">
        <v>293</v>
      </c>
      <c r="I293" s="0" t="s">
        <v>6943</v>
      </c>
    </row>
    <row r="294" customFormat="false" ht="15" hidden="false" customHeight="false" outlineLevel="0" collapsed="false">
      <c r="A294" s="0" t="n">
        <v>11</v>
      </c>
      <c r="B294" s="0" t="s">
        <v>44</v>
      </c>
      <c r="C294" s="0" t="s">
        <v>6944</v>
      </c>
      <c r="D294" s="0" t="s">
        <v>6425</v>
      </c>
      <c r="E294" s="0" t="s">
        <v>6915</v>
      </c>
      <c r="F294" s="0" t="n">
        <v>580</v>
      </c>
      <c r="G294" s="0" t="s">
        <v>277</v>
      </c>
      <c r="H294" s="0" t="s">
        <v>293</v>
      </c>
      <c r="I294" s="0" t="s">
        <v>6945</v>
      </c>
    </row>
    <row r="295" customFormat="false" ht="15" hidden="false" customHeight="false" outlineLevel="0" collapsed="false">
      <c r="A295" s="0" t="n">
        <v>12</v>
      </c>
      <c r="B295" s="0" t="s">
        <v>45</v>
      </c>
      <c r="C295" s="0" t="s">
        <v>6946</v>
      </c>
      <c r="D295" s="0" t="s">
        <v>6560</v>
      </c>
      <c r="E295" s="0" t="s">
        <v>6947</v>
      </c>
      <c r="F295" s="0" t="n">
        <v>466</v>
      </c>
      <c r="G295" s="0" t="s">
        <v>277</v>
      </c>
      <c r="H295" s="0" t="s">
        <v>293</v>
      </c>
      <c r="I295" s="0" t="s">
        <v>6948</v>
      </c>
    </row>
    <row r="296" customFormat="false" ht="15" hidden="false" customHeight="false" outlineLevel="0" collapsed="false">
      <c r="A296" s="0" t="n">
        <v>11</v>
      </c>
      <c r="B296" s="0" t="s">
        <v>44</v>
      </c>
      <c r="C296" s="0" t="s">
        <v>6949</v>
      </c>
      <c r="D296" s="0" t="s">
        <v>6560</v>
      </c>
      <c r="E296" s="0" t="s">
        <v>6915</v>
      </c>
      <c r="F296" s="0" t="n">
        <v>3860</v>
      </c>
      <c r="G296" s="0" t="s">
        <v>277</v>
      </c>
      <c r="H296" s="0" t="s">
        <v>293</v>
      </c>
      <c r="I296" s="0" t="s">
        <v>6950</v>
      </c>
    </row>
    <row r="297" customFormat="false" ht="15" hidden="false" customHeight="false" outlineLevel="0" collapsed="false">
      <c r="A297" s="0" t="n">
        <v>12</v>
      </c>
      <c r="B297" s="0" t="s">
        <v>45</v>
      </c>
      <c r="C297" s="0" t="s">
        <v>6951</v>
      </c>
      <c r="D297" s="0" t="s">
        <v>6560</v>
      </c>
      <c r="E297" s="0" t="s">
        <v>6952</v>
      </c>
      <c r="F297" s="0" t="n">
        <v>1166</v>
      </c>
      <c r="G297" s="0" t="s">
        <v>277</v>
      </c>
      <c r="H297" s="0" t="s">
        <v>293</v>
      </c>
      <c r="I297" s="0" t="s">
        <v>6953</v>
      </c>
    </row>
    <row r="298" customFormat="false" ht="15" hidden="false" customHeight="false" outlineLevel="0" collapsed="false">
      <c r="A298" s="0" t="n">
        <v>11</v>
      </c>
      <c r="B298" s="0" t="s">
        <v>44</v>
      </c>
      <c r="C298" s="0" t="s">
        <v>6954</v>
      </c>
      <c r="D298" s="0" t="s">
        <v>6560</v>
      </c>
      <c r="E298" s="0" t="s">
        <v>6915</v>
      </c>
      <c r="F298" s="0" t="n">
        <v>570</v>
      </c>
      <c r="G298" s="0" t="s">
        <v>277</v>
      </c>
      <c r="H298" s="0" t="s">
        <v>293</v>
      </c>
      <c r="I298" s="0" t="s">
        <v>6955</v>
      </c>
    </row>
    <row r="299" customFormat="false" ht="15" hidden="false" customHeight="false" outlineLevel="0" collapsed="false">
      <c r="A299" s="0" t="n">
        <v>12</v>
      </c>
      <c r="B299" s="0" t="s">
        <v>45</v>
      </c>
      <c r="C299" s="0" t="s">
        <v>6956</v>
      </c>
      <c r="D299" s="0" t="s">
        <v>6425</v>
      </c>
      <c r="E299" s="0" t="s">
        <v>6957</v>
      </c>
      <c r="F299" s="0" t="n">
        <v>481</v>
      </c>
      <c r="G299" s="0" t="s">
        <v>277</v>
      </c>
      <c r="H299" s="0" t="s">
        <v>293</v>
      </c>
      <c r="I299" s="0" t="s">
        <v>6958</v>
      </c>
    </row>
    <row r="300" customFormat="false" ht="15" hidden="false" customHeight="false" outlineLevel="0" collapsed="false">
      <c r="A300" s="0" t="n">
        <v>11</v>
      </c>
      <c r="B300" s="0" t="s">
        <v>44</v>
      </c>
      <c r="C300" s="0" t="s">
        <v>6959</v>
      </c>
      <c r="D300" s="0" t="s">
        <v>6425</v>
      </c>
      <c r="E300" s="0" t="s">
        <v>6915</v>
      </c>
      <c r="F300" s="0" t="n">
        <v>1103</v>
      </c>
      <c r="G300" s="0" t="s">
        <v>277</v>
      </c>
      <c r="H300" s="0" t="s">
        <v>293</v>
      </c>
      <c r="I300" s="0" t="s">
        <v>6960</v>
      </c>
    </row>
    <row r="301" customFormat="false" ht="15" hidden="false" customHeight="false" outlineLevel="0" collapsed="false">
      <c r="A301" s="0" t="n">
        <v>12</v>
      </c>
      <c r="B301" s="0" t="s">
        <v>45</v>
      </c>
      <c r="C301" s="0" t="s">
        <v>6961</v>
      </c>
      <c r="D301" s="0" t="s">
        <v>6560</v>
      </c>
      <c r="E301" s="0" t="s">
        <v>6962</v>
      </c>
      <c r="F301" s="0" t="n">
        <v>445</v>
      </c>
      <c r="G301" s="0" t="s">
        <v>277</v>
      </c>
      <c r="H301" s="0" t="s">
        <v>293</v>
      </c>
      <c r="I301" s="0" t="s">
        <v>6963</v>
      </c>
    </row>
    <row r="302" customFormat="false" ht="15" hidden="false" customHeight="false" outlineLevel="0" collapsed="false">
      <c r="A302" s="0" t="n">
        <v>11</v>
      </c>
      <c r="B302" s="0" t="s">
        <v>44</v>
      </c>
      <c r="C302" s="0" t="s">
        <v>6964</v>
      </c>
      <c r="D302" s="0" t="s">
        <v>6560</v>
      </c>
      <c r="E302" s="0" t="s">
        <v>6915</v>
      </c>
      <c r="F302" s="0" t="n">
        <v>519</v>
      </c>
      <c r="G302" s="0" t="s">
        <v>277</v>
      </c>
      <c r="H302" s="0" t="s">
        <v>293</v>
      </c>
      <c r="I302" s="0" t="s">
        <v>6965</v>
      </c>
    </row>
    <row r="303" customFormat="false" ht="15" hidden="false" customHeight="false" outlineLevel="0" collapsed="false">
      <c r="A303" s="0" t="n">
        <v>12</v>
      </c>
      <c r="B303" s="0" t="s">
        <v>45</v>
      </c>
      <c r="C303" s="0" t="s">
        <v>6966</v>
      </c>
      <c r="D303" s="0" t="s">
        <v>6560</v>
      </c>
      <c r="E303" s="0" t="s">
        <v>6967</v>
      </c>
      <c r="F303" s="0" t="n">
        <v>16956</v>
      </c>
      <c r="G303" s="0" t="s">
        <v>277</v>
      </c>
      <c r="H303" s="0" t="s">
        <v>293</v>
      </c>
      <c r="I303" s="0" t="s">
        <v>6968</v>
      </c>
    </row>
    <row r="304" customFormat="false" ht="15" hidden="false" customHeight="false" outlineLevel="0" collapsed="false">
      <c r="A304" s="0" t="n">
        <v>11</v>
      </c>
      <c r="B304" s="0" t="s">
        <v>44</v>
      </c>
      <c r="C304" s="0" t="s">
        <v>6969</v>
      </c>
      <c r="D304" s="0" t="s">
        <v>6560</v>
      </c>
      <c r="E304" s="0" t="s">
        <v>6915</v>
      </c>
      <c r="F304" s="0" t="n">
        <v>220</v>
      </c>
      <c r="G304" s="0" t="s">
        <v>277</v>
      </c>
      <c r="H304" s="0" t="s">
        <v>293</v>
      </c>
      <c r="I304" s="0" t="s">
        <v>6970</v>
      </c>
    </row>
    <row r="305" customFormat="false" ht="15" hidden="false" customHeight="false" outlineLevel="0" collapsed="false">
      <c r="A305" s="0" t="n">
        <v>12</v>
      </c>
      <c r="B305" s="0" t="s">
        <v>45</v>
      </c>
      <c r="C305" s="0" t="s">
        <v>6971</v>
      </c>
      <c r="D305" s="0" t="s">
        <v>91</v>
      </c>
      <c r="E305" s="0" t="s">
        <v>6972</v>
      </c>
      <c r="F305" s="0" t="n">
        <v>3083</v>
      </c>
      <c r="G305" s="0" t="s">
        <v>277</v>
      </c>
      <c r="H305" s="0" t="s">
        <v>293</v>
      </c>
      <c r="I305" s="0" t="s">
        <v>6973</v>
      </c>
    </row>
    <row r="306" customFormat="false" ht="15" hidden="false" customHeight="false" outlineLevel="0" collapsed="false">
      <c r="A306" s="0" t="n">
        <v>11</v>
      </c>
      <c r="B306" s="0" t="s">
        <v>44</v>
      </c>
      <c r="C306" s="0" t="s">
        <v>6974</v>
      </c>
      <c r="D306" s="0" t="s">
        <v>6560</v>
      </c>
      <c r="E306" s="0" t="s">
        <v>6915</v>
      </c>
      <c r="F306" s="0" t="n">
        <v>1896</v>
      </c>
      <c r="G306" s="0" t="s">
        <v>277</v>
      </c>
      <c r="H306" s="0" t="s">
        <v>293</v>
      </c>
      <c r="I306" s="0" t="s">
        <v>6975</v>
      </c>
    </row>
    <row r="307" customFormat="false" ht="15" hidden="false" customHeight="false" outlineLevel="0" collapsed="false">
      <c r="A307" s="0" t="n">
        <v>12</v>
      </c>
      <c r="B307" s="0" t="s">
        <v>45</v>
      </c>
      <c r="C307" s="0" t="s">
        <v>6976</v>
      </c>
      <c r="D307" s="0" t="s">
        <v>6560</v>
      </c>
      <c r="E307" s="0" t="s">
        <v>6977</v>
      </c>
      <c r="F307" s="0" t="n">
        <v>3081</v>
      </c>
      <c r="G307" s="0" t="s">
        <v>277</v>
      </c>
      <c r="H307" s="0" t="s">
        <v>293</v>
      </c>
      <c r="I307" s="0" t="s">
        <v>6978</v>
      </c>
    </row>
    <row r="308" customFormat="false" ht="15" hidden="false" customHeight="false" outlineLevel="0" collapsed="false">
      <c r="A308" s="0" t="n">
        <v>11</v>
      </c>
      <c r="B308" s="0" t="s">
        <v>44</v>
      </c>
      <c r="C308" s="0" t="s">
        <v>6979</v>
      </c>
      <c r="D308" s="0" t="s">
        <v>6560</v>
      </c>
      <c r="E308" s="0" t="s">
        <v>6915</v>
      </c>
      <c r="F308" s="0" t="n">
        <v>572</v>
      </c>
      <c r="G308" s="0" t="s">
        <v>277</v>
      </c>
      <c r="H308" s="0" t="s">
        <v>293</v>
      </c>
      <c r="I308" s="0" t="s">
        <v>6980</v>
      </c>
    </row>
    <row r="309" customFormat="false" ht="15" hidden="false" customHeight="false" outlineLevel="0" collapsed="false">
      <c r="A309" s="0" t="n">
        <v>12</v>
      </c>
      <c r="B309" s="0" t="s">
        <v>45</v>
      </c>
      <c r="C309" s="0" t="s">
        <v>6981</v>
      </c>
      <c r="D309" s="0" t="s">
        <v>6560</v>
      </c>
      <c r="E309" s="0" t="s">
        <v>6982</v>
      </c>
      <c r="F309" s="0" t="n">
        <v>239</v>
      </c>
      <c r="G309" s="0" t="s">
        <v>277</v>
      </c>
      <c r="H309" s="0" t="s">
        <v>293</v>
      </c>
      <c r="I309" s="0" t="s">
        <v>6983</v>
      </c>
    </row>
    <row r="310" customFormat="false" ht="15" hidden="false" customHeight="false" outlineLevel="0" collapsed="false">
      <c r="A310" s="0" t="n">
        <v>11</v>
      </c>
      <c r="B310" s="0" t="s">
        <v>44</v>
      </c>
      <c r="C310" s="0" t="s">
        <v>6984</v>
      </c>
      <c r="D310" s="0" t="s">
        <v>6560</v>
      </c>
      <c r="E310" s="0" t="s">
        <v>6915</v>
      </c>
      <c r="F310" s="0" t="n">
        <v>1025</v>
      </c>
      <c r="G310" s="0" t="s">
        <v>277</v>
      </c>
      <c r="H310" s="0" t="s">
        <v>293</v>
      </c>
      <c r="I310" s="0" t="s">
        <v>6985</v>
      </c>
    </row>
    <row r="311" customFormat="false" ht="15" hidden="false" customHeight="false" outlineLevel="0" collapsed="false">
      <c r="A311" s="0" t="n">
        <v>11</v>
      </c>
      <c r="B311" s="0" t="s">
        <v>44</v>
      </c>
      <c r="C311" s="0" t="s">
        <v>6986</v>
      </c>
      <c r="D311" s="0" t="s">
        <v>6560</v>
      </c>
      <c r="E311" s="0" t="s">
        <v>6915</v>
      </c>
      <c r="F311" s="0" t="n">
        <v>4342</v>
      </c>
      <c r="G311" s="0" t="s">
        <v>277</v>
      </c>
      <c r="H311" s="0" t="s">
        <v>293</v>
      </c>
      <c r="I311" s="0" t="s">
        <v>6987</v>
      </c>
    </row>
    <row r="312" customFormat="false" ht="15" hidden="false" customHeight="false" outlineLevel="0" collapsed="false">
      <c r="A312" s="0" t="n">
        <v>12</v>
      </c>
      <c r="B312" s="0" t="s">
        <v>45</v>
      </c>
      <c r="C312" s="0" t="s">
        <v>6988</v>
      </c>
      <c r="D312" s="0" t="s">
        <v>6560</v>
      </c>
      <c r="E312" s="0" t="s">
        <v>6989</v>
      </c>
      <c r="F312" s="0" t="n">
        <v>2384</v>
      </c>
      <c r="G312" s="0" t="s">
        <v>277</v>
      </c>
      <c r="H312" s="0" t="s">
        <v>293</v>
      </c>
      <c r="I312" s="0" t="s">
        <v>6990</v>
      </c>
    </row>
    <row r="313" customFormat="false" ht="15" hidden="false" customHeight="false" outlineLevel="0" collapsed="false">
      <c r="A313" s="0" t="n">
        <v>12</v>
      </c>
      <c r="B313" s="0" t="s">
        <v>45</v>
      </c>
      <c r="C313" s="0" t="s">
        <v>6991</v>
      </c>
      <c r="D313" s="0" t="s">
        <v>6425</v>
      </c>
      <c r="E313" s="0" t="s">
        <v>6992</v>
      </c>
      <c r="F313" s="0" t="n">
        <v>272</v>
      </c>
      <c r="G313" s="0" t="s">
        <v>277</v>
      </c>
      <c r="H313" s="0" t="s">
        <v>293</v>
      </c>
      <c r="I313" s="0" t="s">
        <v>6993</v>
      </c>
    </row>
    <row r="314" customFormat="false" ht="15" hidden="false" customHeight="false" outlineLevel="0" collapsed="false">
      <c r="A314" s="0" t="n">
        <v>11</v>
      </c>
      <c r="B314" s="0" t="s">
        <v>44</v>
      </c>
      <c r="C314" s="0" t="s">
        <v>6994</v>
      </c>
      <c r="D314" s="0" t="s">
        <v>6425</v>
      </c>
      <c r="E314" s="0" t="s">
        <v>6915</v>
      </c>
      <c r="F314" s="0" t="n">
        <v>856</v>
      </c>
      <c r="G314" s="0" t="s">
        <v>277</v>
      </c>
      <c r="H314" s="0" t="s">
        <v>293</v>
      </c>
      <c r="I314" s="0" t="s">
        <v>6995</v>
      </c>
    </row>
    <row r="315" customFormat="false" ht="15" hidden="false" customHeight="false" outlineLevel="0" collapsed="false">
      <c r="A315" s="0" t="n">
        <v>12</v>
      </c>
      <c r="B315" s="0" t="s">
        <v>45</v>
      </c>
      <c r="C315" s="0" t="s">
        <v>6996</v>
      </c>
      <c r="D315" s="0" t="s">
        <v>6560</v>
      </c>
      <c r="E315" s="0" t="s">
        <v>6997</v>
      </c>
      <c r="F315" s="0" t="n">
        <v>6374</v>
      </c>
      <c r="G315" s="0" t="s">
        <v>277</v>
      </c>
      <c r="H315" s="0" t="s">
        <v>293</v>
      </c>
      <c r="I315" s="0" t="s">
        <v>6998</v>
      </c>
    </row>
    <row r="316" customFormat="false" ht="15" hidden="false" customHeight="false" outlineLevel="0" collapsed="false">
      <c r="A316" s="0" t="n">
        <v>11</v>
      </c>
      <c r="B316" s="0" t="s">
        <v>44</v>
      </c>
      <c r="C316" s="0" t="s">
        <v>6999</v>
      </c>
      <c r="D316" s="0" t="s">
        <v>6560</v>
      </c>
      <c r="E316" s="0" t="s">
        <v>6915</v>
      </c>
      <c r="F316" s="0" t="n">
        <v>1976</v>
      </c>
      <c r="G316" s="0" t="s">
        <v>277</v>
      </c>
      <c r="H316" s="0" t="s">
        <v>293</v>
      </c>
      <c r="I316" s="0" t="s">
        <v>7000</v>
      </c>
    </row>
    <row r="317" customFormat="false" ht="15" hidden="false" customHeight="false" outlineLevel="0" collapsed="false">
      <c r="A317" s="0" t="n">
        <v>11</v>
      </c>
      <c r="B317" s="0" t="s">
        <v>44</v>
      </c>
      <c r="C317" s="0" t="s">
        <v>7001</v>
      </c>
      <c r="D317" s="0" t="s">
        <v>6560</v>
      </c>
      <c r="E317" s="0" t="s">
        <v>6915</v>
      </c>
      <c r="F317" s="0" t="n">
        <v>239</v>
      </c>
      <c r="G317" s="0" t="s">
        <v>277</v>
      </c>
      <c r="H317" s="0" t="s">
        <v>293</v>
      </c>
      <c r="I317" s="0" t="s">
        <v>7002</v>
      </c>
    </row>
    <row r="318" customFormat="false" ht="15" hidden="false" customHeight="false" outlineLevel="0" collapsed="false">
      <c r="A318" s="0" t="n">
        <v>12</v>
      </c>
      <c r="B318" s="0" t="s">
        <v>45</v>
      </c>
      <c r="C318" s="0" t="s">
        <v>7003</v>
      </c>
      <c r="D318" s="0" t="s">
        <v>6560</v>
      </c>
      <c r="E318" s="0" t="s">
        <v>7004</v>
      </c>
      <c r="F318" s="0" t="n">
        <v>2099</v>
      </c>
      <c r="G318" s="0" t="s">
        <v>277</v>
      </c>
      <c r="H318" s="0" t="s">
        <v>293</v>
      </c>
      <c r="I318" s="0" t="s">
        <v>7005</v>
      </c>
    </row>
    <row r="319" customFormat="false" ht="15" hidden="false" customHeight="false" outlineLevel="0" collapsed="false">
      <c r="A319" s="0" t="n">
        <v>12</v>
      </c>
      <c r="B319" s="0" t="s">
        <v>45</v>
      </c>
      <c r="C319" s="0" t="s">
        <v>7006</v>
      </c>
      <c r="D319" s="0" t="s">
        <v>6560</v>
      </c>
      <c r="E319" s="0" t="s">
        <v>7007</v>
      </c>
      <c r="F319" s="0" t="n">
        <v>1740</v>
      </c>
      <c r="G319" s="0" t="s">
        <v>277</v>
      </c>
      <c r="H319" s="0" t="s">
        <v>293</v>
      </c>
      <c r="I319" s="0" t="s">
        <v>7008</v>
      </c>
    </row>
    <row r="320" customFormat="false" ht="15" hidden="false" customHeight="false" outlineLevel="0" collapsed="false">
      <c r="A320" s="0" t="n">
        <v>12</v>
      </c>
      <c r="B320" s="0" t="s">
        <v>45</v>
      </c>
      <c r="C320" s="0" t="s">
        <v>7009</v>
      </c>
      <c r="D320" s="0" t="s">
        <v>6560</v>
      </c>
      <c r="E320" s="0" t="s">
        <v>7010</v>
      </c>
      <c r="F320" s="0" t="n">
        <v>930</v>
      </c>
      <c r="G320" s="0" t="s">
        <v>277</v>
      </c>
      <c r="H320" s="0" t="s">
        <v>293</v>
      </c>
      <c r="I320" s="0" t="s">
        <v>7011</v>
      </c>
    </row>
    <row r="321" customFormat="false" ht="15" hidden="false" customHeight="false" outlineLevel="0" collapsed="false">
      <c r="A321" s="0" t="n">
        <v>11</v>
      </c>
      <c r="B321" s="0" t="s">
        <v>44</v>
      </c>
      <c r="C321" s="0" t="s">
        <v>7012</v>
      </c>
      <c r="D321" s="0" t="s">
        <v>6560</v>
      </c>
      <c r="E321" s="0" t="s">
        <v>6915</v>
      </c>
      <c r="F321" s="0" t="n">
        <v>7869</v>
      </c>
      <c r="G321" s="0" t="s">
        <v>277</v>
      </c>
      <c r="H321" s="0" t="s">
        <v>293</v>
      </c>
      <c r="I321" s="0" t="s">
        <v>7013</v>
      </c>
    </row>
    <row r="322" customFormat="false" ht="15" hidden="false" customHeight="false" outlineLevel="0" collapsed="false">
      <c r="A322" s="0" t="n">
        <v>12</v>
      </c>
      <c r="B322" s="0" t="s">
        <v>45</v>
      </c>
      <c r="C322" s="0" t="s">
        <v>7014</v>
      </c>
      <c r="D322" s="0" t="s">
        <v>6560</v>
      </c>
      <c r="E322" s="0" t="s">
        <v>7015</v>
      </c>
      <c r="F322" s="0" t="n">
        <v>796</v>
      </c>
      <c r="G322" s="0" t="s">
        <v>277</v>
      </c>
      <c r="H322" s="0" t="s">
        <v>293</v>
      </c>
      <c r="I322" s="0" t="s">
        <v>7016</v>
      </c>
    </row>
    <row r="323" customFormat="false" ht="15" hidden="false" customHeight="false" outlineLevel="0" collapsed="false">
      <c r="A323" s="0" t="n">
        <v>11</v>
      </c>
      <c r="B323" s="0" t="s">
        <v>44</v>
      </c>
      <c r="C323" s="0" t="s">
        <v>7017</v>
      </c>
      <c r="D323" s="0" t="s">
        <v>6560</v>
      </c>
      <c r="E323" s="0" t="s">
        <v>6915</v>
      </c>
      <c r="F323" s="0" t="n">
        <v>16854</v>
      </c>
      <c r="G323" s="0" t="s">
        <v>277</v>
      </c>
      <c r="H323" s="0" t="s">
        <v>293</v>
      </c>
      <c r="I323" s="0" t="s">
        <v>7018</v>
      </c>
    </row>
    <row r="324" customFormat="false" ht="15" hidden="false" customHeight="false" outlineLevel="0" collapsed="false">
      <c r="A324" s="0" t="n">
        <v>12</v>
      </c>
      <c r="B324" s="0" t="s">
        <v>45</v>
      </c>
      <c r="C324" s="0" t="s">
        <v>7019</v>
      </c>
      <c r="D324" s="0" t="s">
        <v>6560</v>
      </c>
      <c r="E324" s="0" t="s">
        <v>7020</v>
      </c>
      <c r="F324" s="0" t="n">
        <v>4277</v>
      </c>
      <c r="G324" s="0" t="s">
        <v>277</v>
      </c>
      <c r="H324" s="0" t="s">
        <v>293</v>
      </c>
      <c r="I324" s="0" t="s">
        <v>7021</v>
      </c>
    </row>
    <row r="325" customFormat="false" ht="15" hidden="false" customHeight="false" outlineLevel="0" collapsed="false">
      <c r="A325" s="0" t="n">
        <v>11</v>
      </c>
      <c r="B325" s="0" t="s">
        <v>44</v>
      </c>
      <c r="C325" s="0" t="s">
        <v>7022</v>
      </c>
      <c r="D325" s="0" t="s">
        <v>6560</v>
      </c>
      <c r="E325" s="0" t="s">
        <v>6915</v>
      </c>
      <c r="F325" s="0" t="n">
        <v>1259</v>
      </c>
      <c r="G325" s="0" t="s">
        <v>277</v>
      </c>
      <c r="H325" s="0" t="s">
        <v>293</v>
      </c>
      <c r="I325" s="0" t="s">
        <v>7023</v>
      </c>
    </row>
    <row r="326" customFormat="false" ht="15" hidden="false" customHeight="false" outlineLevel="0" collapsed="false">
      <c r="A326" s="0" t="n">
        <v>12</v>
      </c>
      <c r="B326" s="0" t="s">
        <v>45</v>
      </c>
      <c r="C326" s="0" t="s">
        <v>7024</v>
      </c>
      <c r="D326" s="0" t="s">
        <v>6425</v>
      </c>
      <c r="E326" s="0" t="s">
        <v>7025</v>
      </c>
      <c r="F326" s="0" t="n">
        <v>531</v>
      </c>
      <c r="G326" s="0" t="s">
        <v>277</v>
      </c>
      <c r="H326" s="0" t="s">
        <v>293</v>
      </c>
      <c r="I326" s="0" t="s">
        <v>7026</v>
      </c>
    </row>
    <row r="327" customFormat="false" ht="15" hidden="false" customHeight="false" outlineLevel="0" collapsed="false">
      <c r="A327" s="0" t="n">
        <v>11</v>
      </c>
      <c r="B327" s="0" t="s">
        <v>44</v>
      </c>
      <c r="C327" s="0" t="s">
        <v>7027</v>
      </c>
      <c r="D327" s="0" t="s">
        <v>91</v>
      </c>
      <c r="E327" s="0" t="s">
        <v>6915</v>
      </c>
      <c r="F327" s="0" t="n">
        <v>2970</v>
      </c>
      <c r="G327" s="0" t="s">
        <v>277</v>
      </c>
      <c r="H327" s="0" t="s">
        <v>293</v>
      </c>
      <c r="I327" s="0" t="s">
        <v>6926</v>
      </c>
    </row>
    <row r="328" customFormat="false" ht="15" hidden="false" customHeight="false" outlineLevel="0" collapsed="false">
      <c r="A328" s="0" t="n">
        <v>12</v>
      </c>
      <c r="B328" s="0" t="s">
        <v>45</v>
      </c>
      <c r="C328" s="0" t="s">
        <v>7028</v>
      </c>
      <c r="D328" s="0" t="s">
        <v>91</v>
      </c>
      <c r="E328" s="0" t="s">
        <v>6972</v>
      </c>
      <c r="F328" s="0" t="n">
        <v>3083</v>
      </c>
      <c r="G328" s="0" t="s">
        <v>277</v>
      </c>
      <c r="H328" s="0" t="s">
        <v>293</v>
      </c>
      <c r="I328" s="0" t="s">
        <v>6973</v>
      </c>
    </row>
    <row r="329" customFormat="false" ht="15" hidden="false" customHeight="false" outlineLevel="0" collapsed="false">
      <c r="A329" s="0" t="n">
        <v>11</v>
      </c>
      <c r="B329" s="0" t="s">
        <v>44</v>
      </c>
      <c r="C329" s="0" t="s">
        <v>7029</v>
      </c>
      <c r="D329" s="0" t="s">
        <v>6560</v>
      </c>
      <c r="E329" s="0" t="s">
        <v>6915</v>
      </c>
      <c r="F329" s="0" t="n">
        <v>4423</v>
      </c>
      <c r="G329" s="0" t="s">
        <v>277</v>
      </c>
      <c r="H329" s="0" t="s">
        <v>293</v>
      </c>
      <c r="I329" s="0" t="s">
        <v>6916</v>
      </c>
    </row>
    <row r="330" customFormat="false" ht="15" hidden="false" customHeight="false" outlineLevel="0" collapsed="false">
      <c r="A330" s="0" t="n">
        <v>12</v>
      </c>
      <c r="B330" s="0" t="s">
        <v>45</v>
      </c>
      <c r="C330" s="0" t="s">
        <v>7030</v>
      </c>
      <c r="D330" s="0" t="s">
        <v>6560</v>
      </c>
      <c r="E330" s="0" t="s">
        <v>6967</v>
      </c>
      <c r="F330" s="0" t="n">
        <v>16956</v>
      </c>
      <c r="G330" s="0" t="s">
        <v>277</v>
      </c>
      <c r="H330" s="0" t="s">
        <v>293</v>
      </c>
      <c r="I330" s="0" t="s">
        <v>6968</v>
      </c>
    </row>
    <row r="331" customFormat="false" ht="15" hidden="false" customHeight="false" outlineLevel="0" collapsed="false">
      <c r="A331" s="0" t="n">
        <v>12</v>
      </c>
      <c r="B331" s="0" t="s">
        <v>45</v>
      </c>
      <c r="C331" s="0" t="s">
        <v>7031</v>
      </c>
      <c r="D331" s="0" t="s">
        <v>6560</v>
      </c>
      <c r="E331" s="0" t="s">
        <v>6921</v>
      </c>
      <c r="F331" s="0" t="n">
        <v>4132</v>
      </c>
      <c r="G331" s="0" t="s">
        <v>277</v>
      </c>
      <c r="H331" s="0" t="s">
        <v>293</v>
      </c>
      <c r="I331" s="0" t="s">
        <v>6922</v>
      </c>
    </row>
    <row r="332" customFormat="false" ht="15" hidden="false" customHeight="false" outlineLevel="0" collapsed="false">
      <c r="A332" s="0" t="n">
        <v>11</v>
      </c>
      <c r="B332" s="0" t="s">
        <v>44</v>
      </c>
      <c r="C332" s="0" t="s">
        <v>7032</v>
      </c>
      <c r="D332" s="0" t="s">
        <v>6560</v>
      </c>
      <c r="E332" s="0" t="s">
        <v>6915</v>
      </c>
      <c r="F332" s="0" t="n">
        <v>16854</v>
      </c>
      <c r="G332" s="0" t="s">
        <v>277</v>
      </c>
      <c r="H332" s="0" t="s">
        <v>293</v>
      </c>
      <c r="I332" s="0" t="s">
        <v>7018</v>
      </c>
    </row>
    <row r="333" customFormat="false" ht="15" hidden="false" customHeight="false" outlineLevel="0" collapsed="false">
      <c r="A333" s="0" t="n">
        <v>17</v>
      </c>
      <c r="B333" s="0" t="s">
        <v>52</v>
      </c>
      <c r="C333" s="0" t="s">
        <v>7033</v>
      </c>
      <c r="D333" s="0" t="s">
        <v>6416</v>
      </c>
      <c r="E333" s="0" t="s">
        <v>7034</v>
      </c>
      <c r="F333" s="0" t="n">
        <v>2883</v>
      </c>
      <c r="G333" s="0" t="s">
        <v>277</v>
      </c>
      <c r="H333" s="0" t="s">
        <v>293</v>
      </c>
      <c r="I333" s="0" t="s">
        <v>7035</v>
      </c>
    </row>
    <row r="334" customFormat="false" ht="15" hidden="false" customHeight="false" outlineLevel="0" collapsed="false">
      <c r="A334" s="0" t="n">
        <v>12</v>
      </c>
      <c r="B334" s="0" t="s">
        <v>45</v>
      </c>
      <c r="C334" s="0" t="s">
        <v>7036</v>
      </c>
      <c r="D334" s="0" t="s">
        <v>6560</v>
      </c>
      <c r="E334" s="0" t="s">
        <v>7007</v>
      </c>
      <c r="F334" s="0" t="n">
        <v>1740</v>
      </c>
      <c r="G334" s="0" t="s">
        <v>277</v>
      </c>
      <c r="H334" s="0" t="s">
        <v>293</v>
      </c>
      <c r="I334" s="0" t="s">
        <v>7008</v>
      </c>
    </row>
    <row r="335" customFormat="false" ht="15" hidden="false" customHeight="false" outlineLevel="0" collapsed="false">
      <c r="A335" s="0" t="n">
        <v>12</v>
      </c>
      <c r="B335" s="0" t="s">
        <v>45</v>
      </c>
      <c r="C335" s="0" t="s">
        <v>7037</v>
      </c>
      <c r="D335" s="0" t="s">
        <v>6560</v>
      </c>
      <c r="E335" s="0" t="s">
        <v>6997</v>
      </c>
      <c r="F335" s="0" t="n">
        <v>6374</v>
      </c>
      <c r="G335" s="0" t="s">
        <v>277</v>
      </c>
      <c r="H335" s="0" t="s">
        <v>293</v>
      </c>
      <c r="I335" s="0" t="s">
        <v>6998</v>
      </c>
    </row>
    <row r="336" customFormat="false" ht="15" hidden="false" customHeight="false" outlineLevel="0" collapsed="false">
      <c r="A336" s="0" t="n">
        <v>12</v>
      </c>
      <c r="B336" s="0" t="s">
        <v>45</v>
      </c>
      <c r="C336" s="0" t="s">
        <v>7038</v>
      </c>
      <c r="D336" s="0" t="s">
        <v>6560</v>
      </c>
      <c r="E336" s="0" t="s">
        <v>6989</v>
      </c>
      <c r="F336" s="0" t="n">
        <v>2384</v>
      </c>
      <c r="G336" s="0" t="s">
        <v>277</v>
      </c>
      <c r="H336" s="0" t="s">
        <v>293</v>
      </c>
      <c r="I336" s="0" t="s">
        <v>6990</v>
      </c>
    </row>
    <row r="337" customFormat="false" ht="15" hidden="false" customHeight="false" outlineLevel="0" collapsed="false">
      <c r="A337" s="0" t="n">
        <v>12</v>
      </c>
      <c r="B337" s="0" t="s">
        <v>45</v>
      </c>
      <c r="C337" s="0" t="s">
        <v>7039</v>
      </c>
      <c r="D337" s="0" t="s">
        <v>6560</v>
      </c>
      <c r="E337" s="0" t="s">
        <v>7010</v>
      </c>
      <c r="F337" s="0" t="n">
        <v>930</v>
      </c>
      <c r="G337" s="0" t="s">
        <v>277</v>
      </c>
      <c r="H337" s="0" t="s">
        <v>293</v>
      </c>
      <c r="I337" s="0" t="s">
        <v>7011</v>
      </c>
    </row>
    <row r="338" customFormat="false" ht="15" hidden="false" customHeight="false" outlineLevel="0" collapsed="false">
      <c r="A338" s="0" t="n">
        <v>12</v>
      </c>
      <c r="B338" s="0" t="s">
        <v>45</v>
      </c>
      <c r="C338" s="0" t="s">
        <v>7040</v>
      </c>
      <c r="D338" s="0" t="s">
        <v>91</v>
      </c>
      <c r="E338" s="0" t="s">
        <v>6972</v>
      </c>
      <c r="F338" s="0" t="n">
        <v>3083</v>
      </c>
      <c r="G338" s="0" t="s">
        <v>277</v>
      </c>
      <c r="H338" s="0" t="s">
        <v>293</v>
      </c>
      <c r="I338" s="0" t="s">
        <v>6973</v>
      </c>
    </row>
    <row r="339" customFormat="false" ht="15" hidden="false" customHeight="false" outlineLevel="0" collapsed="false">
      <c r="A339" s="0" t="n">
        <v>12</v>
      </c>
      <c r="B339" s="0" t="s">
        <v>45</v>
      </c>
      <c r="C339" s="0" t="s">
        <v>7041</v>
      </c>
      <c r="D339" s="0" t="s">
        <v>6560</v>
      </c>
      <c r="E339" s="0" t="s">
        <v>6940</v>
      </c>
      <c r="F339" s="0" t="n">
        <v>23041</v>
      </c>
      <c r="G339" s="0" t="s">
        <v>277</v>
      </c>
      <c r="H339" s="0" t="s">
        <v>293</v>
      </c>
      <c r="I339" s="0" t="s">
        <v>6941</v>
      </c>
    </row>
    <row r="340" customFormat="false" ht="15" hidden="false" customHeight="false" outlineLevel="0" collapsed="false">
      <c r="A340" s="0" t="n">
        <v>12</v>
      </c>
      <c r="B340" s="0" t="s">
        <v>45</v>
      </c>
      <c r="C340" s="0" t="s">
        <v>7042</v>
      </c>
      <c r="D340" s="0" t="s">
        <v>6560</v>
      </c>
      <c r="E340" s="0" t="s">
        <v>6935</v>
      </c>
      <c r="F340" s="0" t="n">
        <v>640</v>
      </c>
      <c r="G340" s="0" t="s">
        <v>277</v>
      </c>
      <c r="H340" s="0" t="s">
        <v>293</v>
      </c>
      <c r="I340" s="0" t="s">
        <v>6936</v>
      </c>
    </row>
    <row r="341" customFormat="false" ht="15" hidden="false" customHeight="false" outlineLevel="0" collapsed="false">
      <c r="A341" s="0" t="n">
        <v>12</v>
      </c>
      <c r="B341" s="0" t="s">
        <v>45</v>
      </c>
      <c r="C341" s="0" t="s">
        <v>7043</v>
      </c>
      <c r="D341" s="0" t="s">
        <v>6560</v>
      </c>
      <c r="E341" s="0" t="s">
        <v>6977</v>
      </c>
      <c r="F341" s="0" t="n">
        <v>3081</v>
      </c>
      <c r="G341" s="0" t="s">
        <v>277</v>
      </c>
      <c r="H341" s="0" t="s">
        <v>293</v>
      </c>
      <c r="I341" s="0" t="s">
        <v>6978</v>
      </c>
    </row>
    <row r="342" customFormat="false" ht="15" hidden="false" customHeight="false" outlineLevel="0" collapsed="false">
      <c r="A342" s="0" t="n">
        <v>12</v>
      </c>
      <c r="B342" s="0" t="s">
        <v>45</v>
      </c>
      <c r="C342" s="0" t="s">
        <v>7044</v>
      </c>
      <c r="D342" s="0" t="s">
        <v>6560</v>
      </c>
      <c r="E342" s="0" t="s">
        <v>6921</v>
      </c>
      <c r="F342" s="0" t="n">
        <v>4132</v>
      </c>
      <c r="G342" s="0" t="s">
        <v>277</v>
      </c>
      <c r="H342" s="0" t="s">
        <v>293</v>
      </c>
      <c r="I342" s="0" t="s">
        <v>6922</v>
      </c>
    </row>
    <row r="343" customFormat="false" ht="15" hidden="false" customHeight="false" outlineLevel="0" collapsed="false">
      <c r="A343" s="0" t="n">
        <v>12</v>
      </c>
      <c r="B343" s="0" t="s">
        <v>45</v>
      </c>
      <c r="C343" s="0" t="s">
        <v>7045</v>
      </c>
      <c r="D343" s="0" t="s">
        <v>6560</v>
      </c>
      <c r="E343" s="0" t="s">
        <v>6962</v>
      </c>
      <c r="F343" s="0" t="n">
        <v>445</v>
      </c>
      <c r="G343" s="0" t="s">
        <v>277</v>
      </c>
      <c r="H343" s="0" t="s">
        <v>293</v>
      </c>
      <c r="I343" s="0" t="s">
        <v>6963</v>
      </c>
    </row>
    <row r="344" customFormat="false" ht="15" hidden="false" customHeight="false" outlineLevel="0" collapsed="false">
      <c r="A344" s="0" t="n">
        <v>11</v>
      </c>
      <c r="B344" s="0" t="s">
        <v>44</v>
      </c>
      <c r="C344" s="0" t="s">
        <v>7046</v>
      </c>
      <c r="D344" s="0" t="s">
        <v>6560</v>
      </c>
      <c r="E344" s="0" t="s">
        <v>6915</v>
      </c>
      <c r="F344" s="0" t="n">
        <v>4423</v>
      </c>
      <c r="G344" s="0" t="s">
        <v>277</v>
      </c>
      <c r="H344" s="0" t="s">
        <v>293</v>
      </c>
      <c r="I344" s="0" t="s">
        <v>6916</v>
      </c>
    </row>
    <row r="345" customFormat="false" ht="15" hidden="false" customHeight="false" outlineLevel="0" collapsed="false">
      <c r="A345" s="0" t="n">
        <v>11</v>
      </c>
      <c r="B345" s="0" t="s">
        <v>44</v>
      </c>
      <c r="C345" s="0" t="s">
        <v>7047</v>
      </c>
      <c r="D345" s="0" t="s">
        <v>6560</v>
      </c>
      <c r="E345" s="0" t="s">
        <v>6915</v>
      </c>
      <c r="F345" s="0" t="n">
        <v>1259</v>
      </c>
      <c r="G345" s="0" t="s">
        <v>277</v>
      </c>
      <c r="H345" s="0" t="s">
        <v>293</v>
      </c>
      <c r="I345" s="0" t="s">
        <v>7023</v>
      </c>
    </row>
    <row r="346" customFormat="false" ht="15" hidden="false" customHeight="false" outlineLevel="0" collapsed="false">
      <c r="A346" s="0" t="n">
        <v>11</v>
      </c>
      <c r="B346" s="0" t="s">
        <v>44</v>
      </c>
      <c r="C346" s="0" t="s">
        <v>7048</v>
      </c>
      <c r="D346" s="0" t="s">
        <v>6560</v>
      </c>
      <c r="E346" s="0" t="s">
        <v>6915</v>
      </c>
      <c r="F346" s="0" t="n">
        <v>22973</v>
      </c>
      <c r="G346" s="0" t="s">
        <v>277</v>
      </c>
      <c r="H346" s="0" t="s">
        <v>293</v>
      </c>
      <c r="I346" s="0" t="s">
        <v>6943</v>
      </c>
    </row>
    <row r="347" customFormat="false" ht="15" hidden="false" customHeight="false" outlineLevel="0" collapsed="false">
      <c r="A347" s="0" t="n">
        <v>11</v>
      </c>
      <c r="B347" s="0" t="s">
        <v>44</v>
      </c>
      <c r="C347" s="0" t="s">
        <v>7049</v>
      </c>
      <c r="D347" s="0" t="s">
        <v>6560</v>
      </c>
      <c r="E347" s="0" t="s">
        <v>6915</v>
      </c>
      <c r="F347" s="0" t="n">
        <v>570</v>
      </c>
      <c r="G347" s="0" t="s">
        <v>277</v>
      </c>
      <c r="H347" s="0" t="s">
        <v>293</v>
      </c>
      <c r="I347" s="0" t="s">
        <v>6955</v>
      </c>
    </row>
    <row r="348" customFormat="false" ht="15" hidden="false" customHeight="false" outlineLevel="0" collapsed="false">
      <c r="A348" s="0" t="n">
        <v>11</v>
      </c>
      <c r="B348" s="0" t="s">
        <v>44</v>
      </c>
      <c r="C348" s="0" t="s">
        <v>7050</v>
      </c>
      <c r="D348" s="0" t="s">
        <v>6560</v>
      </c>
      <c r="E348" s="0" t="s">
        <v>6915</v>
      </c>
      <c r="F348" s="0" t="n">
        <v>1976</v>
      </c>
      <c r="G348" s="0" t="s">
        <v>277</v>
      </c>
      <c r="H348" s="0" t="s">
        <v>293</v>
      </c>
      <c r="I348" s="0" t="s">
        <v>7000</v>
      </c>
    </row>
    <row r="349" customFormat="false" ht="15" hidden="false" customHeight="false" outlineLevel="0" collapsed="false">
      <c r="A349" s="0" t="n">
        <v>11</v>
      </c>
      <c r="B349" s="0" t="s">
        <v>44</v>
      </c>
      <c r="C349" s="0" t="s">
        <v>7051</v>
      </c>
      <c r="D349" s="0" t="s">
        <v>91</v>
      </c>
      <c r="E349" s="0" t="s">
        <v>6915</v>
      </c>
      <c r="F349" s="0" t="n">
        <v>2970</v>
      </c>
      <c r="G349" s="0" t="s">
        <v>277</v>
      </c>
      <c r="H349" s="0" t="s">
        <v>293</v>
      </c>
      <c r="I349" s="0" t="s">
        <v>6926</v>
      </c>
    </row>
    <row r="350" customFormat="false" ht="15" hidden="false" customHeight="false" outlineLevel="0" collapsed="false">
      <c r="A350" s="0" t="n">
        <v>11</v>
      </c>
      <c r="B350" s="0" t="s">
        <v>44</v>
      </c>
      <c r="C350" s="0" t="s">
        <v>7052</v>
      </c>
      <c r="D350" s="0" t="s">
        <v>6560</v>
      </c>
      <c r="E350" s="0" t="s">
        <v>6915</v>
      </c>
      <c r="F350" s="0" t="n">
        <v>4423</v>
      </c>
      <c r="G350" s="0" t="s">
        <v>277</v>
      </c>
      <c r="H350" s="0" t="s">
        <v>293</v>
      </c>
      <c r="I350" s="0" t="s">
        <v>6916</v>
      </c>
    </row>
    <row r="351" customFormat="false" ht="15" hidden="false" customHeight="false" outlineLevel="0" collapsed="false">
      <c r="A351" s="0" t="n">
        <v>11</v>
      </c>
      <c r="B351" s="0" t="s">
        <v>44</v>
      </c>
      <c r="C351" s="0" t="s">
        <v>7053</v>
      </c>
      <c r="D351" s="0" t="s">
        <v>6560</v>
      </c>
      <c r="E351" s="0" t="s">
        <v>6915</v>
      </c>
      <c r="F351" s="0" t="n">
        <v>519</v>
      </c>
      <c r="G351" s="0" t="s">
        <v>277</v>
      </c>
      <c r="H351" s="0" t="s">
        <v>293</v>
      </c>
      <c r="I351" s="0" t="s">
        <v>6965</v>
      </c>
    </row>
    <row r="352" customFormat="false" ht="15" hidden="false" customHeight="false" outlineLevel="0" collapsed="false">
      <c r="A352" s="0" t="n">
        <v>11</v>
      </c>
      <c r="B352" s="0" t="s">
        <v>44</v>
      </c>
      <c r="C352" s="0" t="s">
        <v>7054</v>
      </c>
      <c r="D352" s="0" t="s">
        <v>6560</v>
      </c>
      <c r="E352" s="0" t="s">
        <v>6915</v>
      </c>
      <c r="F352" s="0" t="n">
        <v>3860</v>
      </c>
      <c r="G352" s="0" t="s">
        <v>277</v>
      </c>
      <c r="H352" s="0" t="s">
        <v>293</v>
      </c>
      <c r="I352" s="0" t="s">
        <v>6950</v>
      </c>
    </row>
    <row r="353" customFormat="false" ht="15" hidden="false" customHeight="false" outlineLevel="0" collapsed="false">
      <c r="A353" s="0" t="n">
        <v>11</v>
      </c>
      <c r="B353" s="0" t="s">
        <v>44</v>
      </c>
      <c r="C353" s="0" t="s">
        <v>7055</v>
      </c>
      <c r="D353" s="0" t="s">
        <v>6560</v>
      </c>
      <c r="E353" s="0" t="s">
        <v>6915</v>
      </c>
      <c r="F353" s="0" t="n">
        <v>1896</v>
      </c>
      <c r="G353" s="0" t="s">
        <v>277</v>
      </c>
      <c r="H353" s="0" t="s">
        <v>293</v>
      </c>
      <c r="I353" s="0" t="s">
        <v>6975</v>
      </c>
    </row>
    <row r="354" customFormat="false" ht="15" hidden="false" customHeight="false" outlineLevel="0" collapsed="false">
      <c r="A354" s="0" t="n">
        <v>11</v>
      </c>
      <c r="B354" s="0" t="s">
        <v>44</v>
      </c>
      <c r="C354" s="0" t="s">
        <v>7056</v>
      </c>
      <c r="D354" s="0" t="s">
        <v>6560</v>
      </c>
      <c r="E354" s="0" t="s">
        <v>6915</v>
      </c>
      <c r="F354" s="0" t="n">
        <v>7869</v>
      </c>
      <c r="G354" s="0" t="s">
        <v>277</v>
      </c>
      <c r="H354" s="0" t="s">
        <v>293</v>
      </c>
      <c r="I354" s="0" t="s">
        <v>7013</v>
      </c>
    </row>
    <row r="355" customFormat="false" ht="15" hidden="false" customHeight="false" outlineLevel="0" collapsed="false">
      <c r="A355" s="0" t="n">
        <v>11</v>
      </c>
      <c r="B355" s="0" t="s">
        <v>44</v>
      </c>
      <c r="C355" s="0" t="s">
        <v>7057</v>
      </c>
      <c r="D355" s="0" t="s">
        <v>6560</v>
      </c>
      <c r="E355" s="0" t="s">
        <v>6915</v>
      </c>
      <c r="F355" s="0" t="n">
        <v>220</v>
      </c>
      <c r="G355" s="0" t="s">
        <v>277</v>
      </c>
      <c r="H355" s="0" t="s">
        <v>293</v>
      </c>
      <c r="I355" s="0" t="s">
        <v>6970</v>
      </c>
    </row>
    <row r="356" customFormat="false" ht="15" hidden="false" customHeight="false" outlineLevel="0" collapsed="false">
      <c r="A356" s="0" t="n">
        <v>13</v>
      </c>
      <c r="B356" s="0" t="s">
        <v>47</v>
      </c>
      <c r="C356" s="0" t="s">
        <v>7058</v>
      </c>
      <c r="D356" s="0" t="s">
        <v>35</v>
      </c>
      <c r="E356" s="0" t="s">
        <v>7059</v>
      </c>
      <c r="F356" s="0" t="n">
        <v>2059</v>
      </c>
      <c r="G356" s="0" t="s">
        <v>277</v>
      </c>
      <c r="H356" s="0" t="s">
        <v>293</v>
      </c>
      <c r="I356" s="0" t="s">
        <v>7060</v>
      </c>
    </row>
    <row r="357" customFormat="false" ht="15" hidden="false" customHeight="false" outlineLevel="0" collapsed="false">
      <c r="A357" s="0" t="n">
        <v>13</v>
      </c>
      <c r="B357" s="0" t="s">
        <v>47</v>
      </c>
      <c r="C357" s="0" t="s">
        <v>7061</v>
      </c>
      <c r="D357" s="0" t="s">
        <v>35</v>
      </c>
      <c r="E357" s="0" t="s">
        <v>7062</v>
      </c>
      <c r="F357" s="0" t="n">
        <v>926</v>
      </c>
      <c r="G357" s="0" t="s">
        <v>277</v>
      </c>
      <c r="H357" s="0" t="s">
        <v>293</v>
      </c>
      <c r="I357" s="0" t="s">
        <v>7063</v>
      </c>
    </row>
    <row r="358" customFormat="false" ht="15" hidden="false" customHeight="false" outlineLevel="0" collapsed="false">
      <c r="A358" s="0" t="n">
        <v>13</v>
      </c>
      <c r="B358" s="0" t="s">
        <v>47</v>
      </c>
      <c r="C358" s="0" t="s">
        <v>7064</v>
      </c>
      <c r="D358" s="0" t="s">
        <v>35</v>
      </c>
      <c r="E358" s="0" t="s">
        <v>7065</v>
      </c>
      <c r="F358" s="0" t="n">
        <v>2759</v>
      </c>
      <c r="G358" s="0" t="s">
        <v>277</v>
      </c>
      <c r="H358" s="0" t="s">
        <v>293</v>
      </c>
      <c r="I358" s="0" t="s">
        <v>7066</v>
      </c>
    </row>
    <row r="359" customFormat="false" ht="15" hidden="false" customHeight="false" outlineLevel="0" collapsed="false">
      <c r="A359" s="0" t="n">
        <v>19</v>
      </c>
      <c r="B359" s="0" t="s">
        <v>55</v>
      </c>
      <c r="C359" s="0" t="s">
        <v>7067</v>
      </c>
      <c r="D359" s="0" t="s">
        <v>6416</v>
      </c>
      <c r="E359" s="0" t="s">
        <v>7068</v>
      </c>
      <c r="F359" s="0" t="n">
        <v>1081</v>
      </c>
      <c r="G359" s="0" t="s">
        <v>277</v>
      </c>
      <c r="H359" s="0" t="s">
        <v>293</v>
      </c>
      <c r="I359" s="0" t="s">
        <v>7069</v>
      </c>
    </row>
    <row r="360" customFormat="false" ht="15" hidden="false" customHeight="false" outlineLevel="0" collapsed="false">
      <c r="A360" s="0" t="n">
        <v>13</v>
      </c>
      <c r="B360" s="0" t="s">
        <v>47</v>
      </c>
      <c r="C360" s="0" t="s">
        <v>7070</v>
      </c>
      <c r="D360" s="0" t="s">
        <v>35</v>
      </c>
      <c r="E360" s="0" t="s">
        <v>7071</v>
      </c>
      <c r="F360" s="0" t="n">
        <v>917</v>
      </c>
      <c r="G360" s="0" t="s">
        <v>277</v>
      </c>
      <c r="H360" s="0" t="s">
        <v>293</v>
      </c>
      <c r="I360" s="0" t="s">
        <v>7063</v>
      </c>
    </row>
    <row r="361" customFormat="false" ht="15" hidden="false" customHeight="false" outlineLevel="0" collapsed="false">
      <c r="A361" s="0" t="n">
        <v>13</v>
      </c>
      <c r="B361" s="0" t="s">
        <v>47</v>
      </c>
      <c r="C361" s="0" t="s">
        <v>7072</v>
      </c>
      <c r="D361" s="0" t="s">
        <v>35</v>
      </c>
      <c r="E361" s="0" t="s">
        <v>7073</v>
      </c>
      <c r="F361" s="0" t="n">
        <v>975</v>
      </c>
      <c r="G361" s="0" t="s">
        <v>277</v>
      </c>
      <c r="H361" s="0" t="s">
        <v>293</v>
      </c>
      <c r="I361" s="0" t="s">
        <v>7074</v>
      </c>
    </row>
    <row r="362" customFormat="false" ht="15" hidden="false" customHeight="false" outlineLevel="0" collapsed="false">
      <c r="A362" s="0" t="n">
        <v>13</v>
      </c>
      <c r="B362" s="0" t="s">
        <v>47</v>
      </c>
      <c r="C362" s="0" t="s">
        <v>7075</v>
      </c>
      <c r="D362" s="0" t="s">
        <v>35</v>
      </c>
      <c r="E362" s="0" t="s">
        <v>7076</v>
      </c>
      <c r="F362" s="0" t="n">
        <v>2596</v>
      </c>
      <c r="G362" s="0" t="s">
        <v>277</v>
      </c>
      <c r="H362" s="0" t="s">
        <v>293</v>
      </c>
      <c r="I362" s="0" t="s">
        <v>7077</v>
      </c>
    </row>
    <row r="363" customFormat="false" ht="15" hidden="false" customHeight="false" outlineLevel="0" collapsed="false">
      <c r="A363" s="0" t="n">
        <v>13</v>
      </c>
      <c r="B363" s="0" t="s">
        <v>47</v>
      </c>
      <c r="C363" s="0" t="s">
        <v>7078</v>
      </c>
      <c r="D363" s="0" t="s">
        <v>35</v>
      </c>
      <c r="E363" s="0" t="s">
        <v>7079</v>
      </c>
      <c r="F363" s="0" t="n">
        <v>953</v>
      </c>
      <c r="G363" s="0" t="s">
        <v>277</v>
      </c>
      <c r="H363" s="0" t="s">
        <v>293</v>
      </c>
      <c r="I363" s="0" t="s">
        <v>7080</v>
      </c>
    </row>
    <row r="364" customFormat="false" ht="15" hidden="false" customHeight="false" outlineLevel="0" collapsed="false">
      <c r="A364" s="0" t="n">
        <v>13</v>
      </c>
      <c r="B364" s="0" t="s">
        <v>47</v>
      </c>
      <c r="C364" s="0" t="s">
        <v>7081</v>
      </c>
      <c r="D364" s="0" t="s">
        <v>35</v>
      </c>
      <c r="E364" s="0" t="s">
        <v>7082</v>
      </c>
      <c r="F364" s="0" t="n">
        <v>10353</v>
      </c>
      <c r="G364" s="0" t="s">
        <v>277</v>
      </c>
      <c r="H364" s="0" t="s">
        <v>293</v>
      </c>
      <c r="I364" s="0" t="s">
        <v>7083</v>
      </c>
    </row>
    <row r="365" customFormat="false" ht="15" hidden="false" customHeight="false" outlineLevel="0" collapsed="false">
      <c r="A365" s="0" t="n">
        <v>13</v>
      </c>
      <c r="B365" s="0" t="s">
        <v>47</v>
      </c>
      <c r="C365" s="0" t="s">
        <v>7084</v>
      </c>
      <c r="D365" s="0" t="s">
        <v>35</v>
      </c>
      <c r="E365" s="0" t="s">
        <v>7085</v>
      </c>
      <c r="F365" s="0" t="n">
        <v>8059</v>
      </c>
      <c r="G365" s="0" t="s">
        <v>277</v>
      </c>
      <c r="H365" s="0" t="s">
        <v>293</v>
      </c>
      <c r="I365" s="0" t="s">
        <v>7086</v>
      </c>
    </row>
    <row r="366" customFormat="false" ht="15" hidden="false" customHeight="false" outlineLevel="0" collapsed="false">
      <c r="A366" s="0" t="n">
        <v>13</v>
      </c>
      <c r="B366" s="0" t="s">
        <v>47</v>
      </c>
      <c r="C366" s="0" t="s">
        <v>7087</v>
      </c>
      <c r="D366" s="0" t="s">
        <v>35</v>
      </c>
      <c r="E366" s="0" t="s">
        <v>7088</v>
      </c>
      <c r="F366" s="0" t="n">
        <v>1493</v>
      </c>
      <c r="G366" s="0" t="s">
        <v>277</v>
      </c>
      <c r="H366" s="0" t="s">
        <v>293</v>
      </c>
      <c r="I366" s="0" t="s">
        <v>7089</v>
      </c>
    </row>
    <row r="367" customFormat="false" ht="15" hidden="false" customHeight="false" outlineLevel="0" collapsed="false">
      <c r="A367" s="0" t="n">
        <v>13</v>
      </c>
      <c r="B367" s="0" t="s">
        <v>47</v>
      </c>
      <c r="C367" s="0" t="s">
        <v>7090</v>
      </c>
      <c r="D367" s="0" t="s">
        <v>35</v>
      </c>
      <c r="E367" s="0" t="s">
        <v>7091</v>
      </c>
      <c r="F367" s="0" t="n">
        <v>1256</v>
      </c>
      <c r="G367" s="0" t="s">
        <v>277</v>
      </c>
      <c r="H367" s="0" t="s">
        <v>293</v>
      </c>
      <c r="I367" s="0" t="s">
        <v>7092</v>
      </c>
    </row>
    <row r="368" customFormat="false" ht="15" hidden="false" customHeight="false" outlineLevel="0" collapsed="false">
      <c r="A368" s="0" t="n">
        <v>13</v>
      </c>
      <c r="B368" s="0" t="s">
        <v>47</v>
      </c>
      <c r="C368" s="0" t="s">
        <v>7093</v>
      </c>
      <c r="D368" s="0" t="s">
        <v>35</v>
      </c>
      <c r="E368" s="0" t="s">
        <v>7094</v>
      </c>
      <c r="F368" s="0" t="n">
        <v>3422</v>
      </c>
      <c r="G368" s="0" t="s">
        <v>277</v>
      </c>
      <c r="H368" s="0" t="s">
        <v>293</v>
      </c>
      <c r="I368" s="0" t="s">
        <v>7095</v>
      </c>
    </row>
    <row r="369" customFormat="false" ht="15" hidden="false" customHeight="false" outlineLevel="0" collapsed="false">
      <c r="A369" s="0" t="n">
        <v>13</v>
      </c>
      <c r="B369" s="0" t="s">
        <v>47</v>
      </c>
      <c r="C369" s="0" t="s">
        <v>7096</v>
      </c>
      <c r="D369" s="0" t="s">
        <v>35</v>
      </c>
      <c r="E369" s="0" t="s">
        <v>7097</v>
      </c>
      <c r="F369" s="0" t="n">
        <v>3749</v>
      </c>
      <c r="G369" s="0" t="s">
        <v>277</v>
      </c>
      <c r="H369" s="0" t="s">
        <v>293</v>
      </c>
      <c r="I369" s="0" t="s">
        <v>7098</v>
      </c>
    </row>
    <row r="370" customFormat="false" ht="15" hidden="false" customHeight="false" outlineLevel="0" collapsed="false">
      <c r="A370" s="0" t="n">
        <v>13</v>
      </c>
      <c r="B370" s="0" t="s">
        <v>47</v>
      </c>
      <c r="C370" s="0" t="s">
        <v>7099</v>
      </c>
      <c r="D370" s="0" t="s">
        <v>35</v>
      </c>
      <c r="E370" s="0" t="s">
        <v>7100</v>
      </c>
      <c r="F370" s="0" t="n">
        <v>932</v>
      </c>
      <c r="G370" s="0" t="s">
        <v>277</v>
      </c>
      <c r="H370" s="0" t="s">
        <v>293</v>
      </c>
      <c r="I370" s="0" t="s">
        <v>7101</v>
      </c>
    </row>
    <row r="371" customFormat="false" ht="15" hidden="false" customHeight="false" outlineLevel="0" collapsed="false">
      <c r="A371" s="0" t="n">
        <v>20</v>
      </c>
      <c r="B371" s="0" t="s">
        <v>57</v>
      </c>
      <c r="C371" s="0" t="s">
        <v>7102</v>
      </c>
      <c r="D371" s="0" t="s">
        <v>6416</v>
      </c>
      <c r="E371" s="0" t="s">
        <v>7103</v>
      </c>
      <c r="F371" s="0" t="n">
        <v>1093</v>
      </c>
      <c r="G371" s="0" t="s">
        <v>277</v>
      </c>
      <c r="H371" s="0" t="s">
        <v>293</v>
      </c>
      <c r="I371" s="0" t="s">
        <v>7104</v>
      </c>
    </row>
    <row r="372" customFormat="false" ht="15" hidden="false" customHeight="false" outlineLevel="0" collapsed="false">
      <c r="A372" s="0" t="n">
        <v>20</v>
      </c>
      <c r="B372" s="0" t="s">
        <v>57</v>
      </c>
      <c r="C372" s="0" t="s">
        <v>7105</v>
      </c>
      <c r="D372" s="0" t="s">
        <v>6425</v>
      </c>
      <c r="E372" s="0" t="s">
        <v>7106</v>
      </c>
      <c r="F372" s="0" t="n">
        <v>337</v>
      </c>
      <c r="G372" s="0" t="s">
        <v>277</v>
      </c>
      <c r="H372" s="0" t="s">
        <v>293</v>
      </c>
      <c r="I372" s="0" t="s">
        <v>7107</v>
      </c>
    </row>
    <row r="373" customFormat="false" ht="15" hidden="false" customHeight="false" outlineLevel="0" collapsed="false">
      <c r="A373" s="0" t="n">
        <v>13</v>
      </c>
      <c r="B373" s="0" t="s">
        <v>47</v>
      </c>
      <c r="C373" s="0" t="s">
        <v>7108</v>
      </c>
      <c r="D373" s="0" t="s">
        <v>35</v>
      </c>
      <c r="E373" s="0" t="s">
        <v>7109</v>
      </c>
      <c r="F373" s="0" t="n">
        <v>2007</v>
      </c>
      <c r="G373" s="0" t="s">
        <v>277</v>
      </c>
      <c r="H373" s="0" t="s">
        <v>293</v>
      </c>
      <c r="I373" s="0" t="s">
        <v>7110</v>
      </c>
    </row>
    <row r="374" customFormat="false" ht="15" hidden="false" customHeight="false" outlineLevel="0" collapsed="false">
      <c r="A374" s="0" t="n">
        <v>20</v>
      </c>
      <c r="B374" s="0" t="s">
        <v>57</v>
      </c>
      <c r="C374" s="0" t="s">
        <v>7111</v>
      </c>
      <c r="D374" s="0" t="s">
        <v>6416</v>
      </c>
      <c r="E374" s="0" t="s">
        <v>7112</v>
      </c>
      <c r="F374" s="0" t="n">
        <v>2096</v>
      </c>
      <c r="G374" s="0" t="s">
        <v>277</v>
      </c>
      <c r="H374" s="0" t="s">
        <v>293</v>
      </c>
      <c r="I374" s="0" t="s">
        <v>7113</v>
      </c>
    </row>
    <row r="375" customFormat="false" ht="15" hidden="false" customHeight="false" outlineLevel="0" collapsed="false">
      <c r="A375" s="0" t="n">
        <v>13</v>
      </c>
      <c r="B375" s="0" t="s">
        <v>47</v>
      </c>
      <c r="C375" s="0" t="s">
        <v>7114</v>
      </c>
      <c r="D375" s="0" t="s">
        <v>35</v>
      </c>
      <c r="E375" s="0" t="s">
        <v>7115</v>
      </c>
      <c r="F375" s="0" t="n">
        <v>3017</v>
      </c>
      <c r="G375" s="0" t="s">
        <v>277</v>
      </c>
      <c r="H375" s="0" t="s">
        <v>293</v>
      </c>
      <c r="I375" s="0" t="s">
        <v>7116</v>
      </c>
    </row>
    <row r="376" customFormat="false" ht="15" hidden="false" customHeight="false" outlineLevel="0" collapsed="false">
      <c r="A376" s="0" t="n">
        <v>20</v>
      </c>
      <c r="B376" s="0" t="s">
        <v>57</v>
      </c>
      <c r="C376" s="0" t="s">
        <v>7117</v>
      </c>
      <c r="D376" s="0" t="s">
        <v>6560</v>
      </c>
      <c r="E376" s="0" t="s">
        <v>7118</v>
      </c>
      <c r="F376" s="0" t="n">
        <v>1258</v>
      </c>
      <c r="G376" s="0" t="s">
        <v>277</v>
      </c>
      <c r="H376" s="0" t="s">
        <v>293</v>
      </c>
      <c r="I376" s="0" t="s">
        <v>7119</v>
      </c>
    </row>
    <row r="377" customFormat="false" ht="15" hidden="false" customHeight="false" outlineLevel="0" collapsed="false">
      <c r="A377" s="0" t="n">
        <v>20</v>
      </c>
      <c r="B377" s="0" t="s">
        <v>57</v>
      </c>
      <c r="C377" s="0" t="s">
        <v>7120</v>
      </c>
      <c r="D377" s="0" t="s">
        <v>6416</v>
      </c>
      <c r="E377" s="0" t="s">
        <v>7121</v>
      </c>
      <c r="F377" s="0" t="n">
        <v>2432</v>
      </c>
      <c r="G377" s="0" t="s">
        <v>277</v>
      </c>
      <c r="H377" s="0" t="s">
        <v>293</v>
      </c>
      <c r="I377" s="0" t="s">
        <v>7122</v>
      </c>
    </row>
    <row r="378" customFormat="false" ht="15" hidden="false" customHeight="false" outlineLevel="0" collapsed="false">
      <c r="A378" s="0" t="n">
        <v>13</v>
      </c>
      <c r="B378" s="0" t="s">
        <v>47</v>
      </c>
      <c r="C378" s="0" t="s">
        <v>7123</v>
      </c>
      <c r="D378" s="0" t="s">
        <v>35</v>
      </c>
      <c r="E378" s="0" t="s">
        <v>7124</v>
      </c>
      <c r="F378" s="0" t="n">
        <v>1332</v>
      </c>
      <c r="G378" s="0" t="s">
        <v>277</v>
      </c>
      <c r="H378" s="0" t="s">
        <v>293</v>
      </c>
      <c r="I378" s="0" t="s">
        <v>7125</v>
      </c>
    </row>
    <row r="379" customFormat="false" ht="15" hidden="false" customHeight="false" outlineLevel="0" collapsed="false">
      <c r="A379" s="0" t="n">
        <v>13</v>
      </c>
      <c r="B379" s="0" t="s">
        <v>47</v>
      </c>
      <c r="C379" s="0" t="s">
        <v>7126</v>
      </c>
      <c r="D379" s="0" t="s">
        <v>35</v>
      </c>
      <c r="E379" s="0" t="s">
        <v>7127</v>
      </c>
      <c r="F379" s="0" t="n">
        <v>629</v>
      </c>
      <c r="G379" s="0" t="s">
        <v>277</v>
      </c>
      <c r="H379" s="0" t="s">
        <v>293</v>
      </c>
      <c r="I379" s="0" t="s">
        <v>7128</v>
      </c>
    </row>
    <row r="380" customFormat="false" ht="15" hidden="false" customHeight="false" outlineLevel="0" collapsed="false">
      <c r="A380" s="0" t="n">
        <v>20</v>
      </c>
      <c r="B380" s="0" t="s">
        <v>57</v>
      </c>
      <c r="C380" s="0" t="s">
        <v>7129</v>
      </c>
      <c r="D380" s="0" t="s">
        <v>6416</v>
      </c>
      <c r="E380" s="0" t="s">
        <v>7130</v>
      </c>
      <c r="F380" s="0" t="n">
        <v>946</v>
      </c>
      <c r="G380" s="0" t="s">
        <v>277</v>
      </c>
      <c r="H380" s="0" t="s">
        <v>293</v>
      </c>
      <c r="I380" s="0" t="s">
        <v>7131</v>
      </c>
    </row>
    <row r="381" customFormat="false" ht="15" hidden="false" customHeight="false" outlineLevel="0" collapsed="false">
      <c r="A381" s="0" t="n">
        <v>20</v>
      </c>
      <c r="B381" s="0" t="s">
        <v>57</v>
      </c>
      <c r="C381" s="0" t="s">
        <v>7132</v>
      </c>
      <c r="D381" s="0" t="s">
        <v>6416</v>
      </c>
      <c r="E381" s="0" t="s">
        <v>7133</v>
      </c>
      <c r="F381" s="0" t="n">
        <v>726</v>
      </c>
      <c r="G381" s="0" t="s">
        <v>277</v>
      </c>
      <c r="H381" s="0" t="s">
        <v>293</v>
      </c>
      <c r="I381" s="0" t="s">
        <v>7134</v>
      </c>
    </row>
    <row r="382" customFormat="false" ht="15" hidden="false" customHeight="false" outlineLevel="0" collapsed="false">
      <c r="A382" s="0" t="n">
        <v>13</v>
      </c>
      <c r="B382" s="0" t="s">
        <v>47</v>
      </c>
      <c r="C382" s="0" t="s">
        <v>7135</v>
      </c>
      <c r="D382" s="0" t="s">
        <v>35</v>
      </c>
      <c r="E382" s="0" t="s">
        <v>7136</v>
      </c>
      <c r="F382" s="0" t="n">
        <v>1282</v>
      </c>
      <c r="G382" s="0" t="s">
        <v>277</v>
      </c>
      <c r="H382" s="0" t="s">
        <v>293</v>
      </c>
      <c r="I382" s="0" t="s">
        <v>7137</v>
      </c>
    </row>
    <row r="383" customFormat="false" ht="15" hidden="false" customHeight="false" outlineLevel="0" collapsed="false">
      <c r="A383" s="0" t="n">
        <v>13</v>
      </c>
      <c r="B383" s="0" t="s">
        <v>47</v>
      </c>
      <c r="C383" s="0" t="s">
        <v>7138</v>
      </c>
      <c r="D383" s="0" t="s">
        <v>35</v>
      </c>
      <c r="E383" s="0" t="s">
        <v>7139</v>
      </c>
      <c r="F383" s="0" t="n">
        <v>3826</v>
      </c>
      <c r="G383" s="0" t="s">
        <v>277</v>
      </c>
      <c r="H383" s="0" t="s">
        <v>293</v>
      </c>
      <c r="I383" s="0" t="s">
        <v>7140</v>
      </c>
    </row>
    <row r="384" customFormat="false" ht="15" hidden="false" customHeight="false" outlineLevel="0" collapsed="false">
      <c r="A384" s="0" t="n">
        <v>20</v>
      </c>
      <c r="B384" s="0" t="s">
        <v>57</v>
      </c>
      <c r="C384" s="0" t="s">
        <v>7141</v>
      </c>
      <c r="D384" s="0" t="s">
        <v>6425</v>
      </c>
      <c r="E384" s="0" t="s">
        <v>7142</v>
      </c>
      <c r="F384" s="0" t="n">
        <v>396</v>
      </c>
      <c r="G384" s="0" t="s">
        <v>277</v>
      </c>
      <c r="H384" s="0" t="s">
        <v>293</v>
      </c>
      <c r="I384" s="0" t="s">
        <v>7143</v>
      </c>
    </row>
    <row r="385" customFormat="false" ht="15" hidden="false" customHeight="false" outlineLevel="0" collapsed="false">
      <c r="A385" s="0" t="n">
        <v>13</v>
      </c>
      <c r="B385" s="0" t="s">
        <v>47</v>
      </c>
      <c r="C385" s="0" t="s">
        <v>7144</v>
      </c>
      <c r="D385" s="0" t="s">
        <v>91</v>
      </c>
      <c r="E385" s="0" t="s">
        <v>7145</v>
      </c>
      <c r="F385" s="0" t="n">
        <v>1600</v>
      </c>
      <c r="G385" s="0" t="s">
        <v>277</v>
      </c>
      <c r="H385" s="0" t="s">
        <v>293</v>
      </c>
      <c r="I385" s="0" t="s">
        <v>7146</v>
      </c>
    </row>
    <row r="386" customFormat="false" ht="15" hidden="false" customHeight="false" outlineLevel="0" collapsed="false">
      <c r="A386" s="0" t="n">
        <v>13</v>
      </c>
      <c r="B386" s="0" t="s">
        <v>47</v>
      </c>
      <c r="C386" s="0" t="s">
        <v>7147</v>
      </c>
      <c r="D386" s="0" t="s">
        <v>35</v>
      </c>
      <c r="E386" s="0" t="s">
        <v>7148</v>
      </c>
      <c r="F386" s="0" t="n">
        <v>5291</v>
      </c>
      <c r="G386" s="0" t="s">
        <v>277</v>
      </c>
      <c r="H386" s="0" t="s">
        <v>293</v>
      </c>
      <c r="I386" s="0" t="s">
        <v>7149</v>
      </c>
    </row>
    <row r="387" customFormat="false" ht="15" hidden="false" customHeight="false" outlineLevel="0" collapsed="false">
      <c r="A387" s="0" t="n">
        <v>20</v>
      </c>
      <c r="B387" s="0" t="s">
        <v>57</v>
      </c>
      <c r="C387" s="0" t="s">
        <v>7150</v>
      </c>
      <c r="D387" s="0" t="s">
        <v>6416</v>
      </c>
      <c r="E387" s="0" t="s">
        <v>7151</v>
      </c>
      <c r="F387" s="0" t="n">
        <v>462</v>
      </c>
      <c r="G387" s="0" t="s">
        <v>277</v>
      </c>
      <c r="H387" s="0" t="s">
        <v>293</v>
      </c>
      <c r="I387" s="0" t="s">
        <v>7152</v>
      </c>
    </row>
    <row r="388" customFormat="false" ht="15" hidden="false" customHeight="false" outlineLevel="0" collapsed="false">
      <c r="A388" s="0" t="n">
        <v>13</v>
      </c>
      <c r="B388" s="0" t="s">
        <v>47</v>
      </c>
      <c r="C388" s="0" t="s">
        <v>7153</v>
      </c>
      <c r="D388" s="0" t="s">
        <v>35</v>
      </c>
      <c r="E388" s="0" t="s">
        <v>7154</v>
      </c>
      <c r="F388" s="0" t="n">
        <v>1309</v>
      </c>
      <c r="G388" s="0" t="s">
        <v>277</v>
      </c>
      <c r="H388" s="0" t="s">
        <v>293</v>
      </c>
      <c r="I388" s="0" t="s">
        <v>7155</v>
      </c>
    </row>
    <row r="389" customFormat="false" ht="15" hidden="false" customHeight="false" outlineLevel="0" collapsed="false">
      <c r="A389" s="0" t="n">
        <v>20</v>
      </c>
      <c r="B389" s="0" t="s">
        <v>57</v>
      </c>
      <c r="C389" s="0" t="s">
        <v>7156</v>
      </c>
      <c r="D389" s="0" t="s">
        <v>6416</v>
      </c>
      <c r="E389" s="0" t="s">
        <v>7157</v>
      </c>
      <c r="F389" s="0" t="n">
        <v>1797</v>
      </c>
      <c r="G389" s="0" t="s">
        <v>277</v>
      </c>
      <c r="H389" s="0" t="s">
        <v>293</v>
      </c>
      <c r="I389" s="0" t="s">
        <v>7158</v>
      </c>
    </row>
    <row r="390" customFormat="false" ht="15" hidden="false" customHeight="false" outlineLevel="0" collapsed="false">
      <c r="A390" s="0" t="n">
        <v>13</v>
      </c>
      <c r="B390" s="0" t="s">
        <v>47</v>
      </c>
      <c r="C390" s="0" t="s">
        <v>7159</v>
      </c>
      <c r="D390" s="0" t="s">
        <v>35</v>
      </c>
      <c r="E390" s="0" t="s">
        <v>7160</v>
      </c>
      <c r="F390" s="0" t="n">
        <v>905</v>
      </c>
      <c r="G390" s="0" t="s">
        <v>277</v>
      </c>
      <c r="H390" s="0" t="s">
        <v>293</v>
      </c>
      <c r="I390" s="0" t="s">
        <v>7161</v>
      </c>
    </row>
    <row r="391" customFormat="false" ht="15" hidden="false" customHeight="false" outlineLevel="0" collapsed="false">
      <c r="A391" s="0" t="n">
        <v>13</v>
      </c>
      <c r="B391" s="0" t="s">
        <v>47</v>
      </c>
      <c r="C391" s="0" t="s">
        <v>7162</v>
      </c>
      <c r="D391" s="0" t="s">
        <v>35</v>
      </c>
      <c r="E391" s="0" t="s">
        <v>7163</v>
      </c>
      <c r="F391" s="0" t="n">
        <v>3703</v>
      </c>
      <c r="G391" s="0" t="s">
        <v>277</v>
      </c>
      <c r="H391" s="0" t="s">
        <v>293</v>
      </c>
      <c r="I391" s="0" t="s">
        <v>7164</v>
      </c>
    </row>
    <row r="392" customFormat="false" ht="15" hidden="false" customHeight="false" outlineLevel="0" collapsed="false">
      <c r="A392" s="0" t="n">
        <v>13</v>
      </c>
      <c r="B392" s="0" t="s">
        <v>47</v>
      </c>
      <c r="C392" s="0" t="s">
        <v>7165</v>
      </c>
      <c r="D392" s="0" t="s">
        <v>35</v>
      </c>
      <c r="E392" s="0" t="s">
        <v>7166</v>
      </c>
      <c r="F392" s="0" t="n">
        <v>3332</v>
      </c>
      <c r="G392" s="0" t="s">
        <v>277</v>
      </c>
      <c r="H392" s="0" t="s">
        <v>293</v>
      </c>
      <c r="I392" s="0" t="s">
        <v>7167</v>
      </c>
    </row>
    <row r="393" customFormat="false" ht="15" hidden="false" customHeight="false" outlineLevel="0" collapsed="false">
      <c r="A393" s="0" t="n">
        <v>13</v>
      </c>
      <c r="B393" s="0" t="s">
        <v>47</v>
      </c>
      <c r="C393" s="0" t="s">
        <v>7168</v>
      </c>
      <c r="D393" s="0" t="s">
        <v>35</v>
      </c>
      <c r="E393" s="0" t="s">
        <v>7169</v>
      </c>
      <c r="F393" s="0" t="n">
        <v>785</v>
      </c>
      <c r="G393" s="0" t="s">
        <v>277</v>
      </c>
      <c r="H393" s="0" t="s">
        <v>293</v>
      </c>
      <c r="I393" s="0" t="s">
        <v>7170</v>
      </c>
    </row>
    <row r="394" customFormat="false" ht="15" hidden="false" customHeight="false" outlineLevel="0" collapsed="false">
      <c r="A394" s="0" t="n">
        <v>13</v>
      </c>
      <c r="B394" s="0" t="s">
        <v>47</v>
      </c>
      <c r="C394" s="0" t="s">
        <v>7171</v>
      </c>
      <c r="D394" s="0" t="s">
        <v>35</v>
      </c>
      <c r="E394" s="0" t="s">
        <v>7172</v>
      </c>
      <c r="F394" s="0" t="n">
        <v>3247</v>
      </c>
      <c r="G394" s="0" t="s">
        <v>277</v>
      </c>
      <c r="H394" s="0" t="s">
        <v>293</v>
      </c>
      <c r="I394" s="0" t="s">
        <v>7173</v>
      </c>
    </row>
    <row r="395" customFormat="false" ht="15" hidden="false" customHeight="false" outlineLevel="0" collapsed="false">
      <c r="A395" s="0" t="n">
        <v>13</v>
      </c>
      <c r="B395" s="0" t="s">
        <v>47</v>
      </c>
      <c r="C395" s="0" t="s">
        <v>7174</v>
      </c>
      <c r="D395" s="0" t="s">
        <v>91</v>
      </c>
      <c r="E395" s="0" t="s">
        <v>7175</v>
      </c>
      <c r="F395" s="0" t="n">
        <v>1873</v>
      </c>
      <c r="G395" s="0" t="s">
        <v>277</v>
      </c>
      <c r="H395" s="0" t="s">
        <v>293</v>
      </c>
      <c r="I395" s="0" t="s">
        <v>7176</v>
      </c>
    </row>
    <row r="396" customFormat="false" ht="15" hidden="false" customHeight="false" outlineLevel="0" collapsed="false">
      <c r="A396" s="0" t="n">
        <v>19</v>
      </c>
      <c r="B396" s="0" t="s">
        <v>55</v>
      </c>
      <c r="C396" s="0" t="s">
        <v>7177</v>
      </c>
      <c r="D396" s="0" t="s">
        <v>6416</v>
      </c>
      <c r="E396" s="0" t="s">
        <v>7178</v>
      </c>
      <c r="F396" s="0" t="n">
        <v>678</v>
      </c>
      <c r="G396" s="0" t="s">
        <v>277</v>
      </c>
      <c r="H396" s="0" t="s">
        <v>293</v>
      </c>
      <c r="I396" s="0" t="s">
        <v>7179</v>
      </c>
    </row>
    <row r="397" customFormat="false" ht="15" hidden="false" customHeight="false" outlineLevel="0" collapsed="false">
      <c r="A397" s="0" t="n">
        <v>19</v>
      </c>
      <c r="B397" s="0" t="s">
        <v>55</v>
      </c>
      <c r="C397" s="0" t="s">
        <v>7180</v>
      </c>
      <c r="D397" s="0" t="s">
        <v>6425</v>
      </c>
      <c r="E397" s="0" t="s">
        <v>7181</v>
      </c>
      <c r="F397" s="0" t="n">
        <v>505</v>
      </c>
      <c r="G397" s="0" t="s">
        <v>277</v>
      </c>
      <c r="H397" s="0" t="s">
        <v>293</v>
      </c>
      <c r="I397" s="0" t="s">
        <v>7182</v>
      </c>
    </row>
    <row r="398" customFormat="false" ht="15" hidden="false" customHeight="false" outlineLevel="0" collapsed="false">
      <c r="A398" s="0" t="n">
        <v>19</v>
      </c>
      <c r="B398" s="0" t="s">
        <v>55</v>
      </c>
      <c r="C398" s="0" t="s">
        <v>7183</v>
      </c>
      <c r="D398" s="0" t="s">
        <v>6416</v>
      </c>
      <c r="E398" s="0" t="s">
        <v>7184</v>
      </c>
      <c r="F398" s="0" t="n">
        <v>1240</v>
      </c>
      <c r="G398" s="0" t="s">
        <v>277</v>
      </c>
      <c r="H398" s="0" t="s">
        <v>293</v>
      </c>
      <c r="I398" s="0" t="s">
        <v>7185</v>
      </c>
    </row>
    <row r="399" customFormat="false" ht="15" hidden="false" customHeight="false" outlineLevel="0" collapsed="false">
      <c r="A399" s="0" t="n">
        <v>19</v>
      </c>
      <c r="B399" s="0" t="s">
        <v>55</v>
      </c>
      <c r="C399" s="0" t="s">
        <v>7186</v>
      </c>
      <c r="D399" s="0" t="s">
        <v>6416</v>
      </c>
      <c r="E399" s="0" t="s">
        <v>7187</v>
      </c>
      <c r="F399" s="0" t="n">
        <v>2755</v>
      </c>
      <c r="G399" s="0" t="s">
        <v>277</v>
      </c>
      <c r="H399" s="0" t="s">
        <v>293</v>
      </c>
      <c r="I399" s="0" t="s">
        <v>7188</v>
      </c>
    </row>
    <row r="400" customFormat="false" ht="15" hidden="false" customHeight="false" outlineLevel="0" collapsed="false">
      <c r="A400" s="0" t="n">
        <v>19</v>
      </c>
      <c r="B400" s="0" t="s">
        <v>55</v>
      </c>
      <c r="C400" s="0" t="s">
        <v>7189</v>
      </c>
      <c r="D400" s="0" t="s">
        <v>6416</v>
      </c>
      <c r="E400" s="0" t="s">
        <v>7190</v>
      </c>
      <c r="F400" s="0" t="n">
        <v>595</v>
      </c>
      <c r="G400" s="0" t="s">
        <v>277</v>
      </c>
      <c r="H400" s="0" t="s">
        <v>293</v>
      </c>
      <c r="I400" s="0" t="s">
        <v>7191</v>
      </c>
    </row>
    <row r="401" customFormat="false" ht="15" hidden="false" customHeight="false" outlineLevel="0" collapsed="false">
      <c r="A401" s="0" t="n">
        <v>19</v>
      </c>
      <c r="B401" s="0" t="s">
        <v>55</v>
      </c>
      <c r="C401" s="0" t="s">
        <v>7192</v>
      </c>
      <c r="D401" s="0" t="s">
        <v>35</v>
      </c>
      <c r="E401" s="0" t="s">
        <v>7193</v>
      </c>
      <c r="F401" s="0" t="n">
        <v>660</v>
      </c>
      <c r="G401" s="0" t="s">
        <v>277</v>
      </c>
      <c r="H401" s="0" t="s">
        <v>293</v>
      </c>
      <c r="I401" s="0" t="s">
        <v>7194</v>
      </c>
    </row>
    <row r="402" customFormat="false" ht="15" hidden="false" customHeight="false" outlineLevel="0" collapsed="false">
      <c r="A402" s="0" t="n">
        <v>19</v>
      </c>
      <c r="B402" s="0" t="s">
        <v>55</v>
      </c>
      <c r="C402" s="0" t="s">
        <v>7195</v>
      </c>
      <c r="D402" s="0" t="s">
        <v>6416</v>
      </c>
      <c r="E402" s="0" t="s">
        <v>7121</v>
      </c>
      <c r="F402" s="0" t="n">
        <v>2437</v>
      </c>
      <c r="G402" s="0" t="s">
        <v>277</v>
      </c>
      <c r="H402" s="0" t="s">
        <v>293</v>
      </c>
      <c r="I402" s="0" t="s">
        <v>7196</v>
      </c>
    </row>
    <row r="403" customFormat="false" ht="15" hidden="false" customHeight="false" outlineLevel="0" collapsed="false">
      <c r="A403" s="0" t="n">
        <v>19</v>
      </c>
      <c r="B403" s="0" t="s">
        <v>55</v>
      </c>
      <c r="C403" s="0" t="s">
        <v>7197</v>
      </c>
      <c r="D403" s="0" t="s">
        <v>6425</v>
      </c>
      <c r="E403" s="0" t="s">
        <v>7198</v>
      </c>
      <c r="F403" s="0" t="n">
        <v>719</v>
      </c>
      <c r="G403" s="0" t="s">
        <v>277</v>
      </c>
      <c r="H403" s="0" t="s">
        <v>293</v>
      </c>
      <c r="I403" s="0" t="s">
        <v>7199</v>
      </c>
    </row>
    <row r="404" customFormat="false" ht="15" hidden="false" customHeight="false" outlineLevel="0" collapsed="false">
      <c r="A404" s="0" t="n">
        <v>19</v>
      </c>
      <c r="B404" s="0" t="s">
        <v>55</v>
      </c>
      <c r="C404" s="0" t="s">
        <v>7200</v>
      </c>
      <c r="D404" s="0" t="s">
        <v>6416</v>
      </c>
      <c r="E404" s="0" t="s">
        <v>7201</v>
      </c>
      <c r="F404" s="0" t="n">
        <v>2075</v>
      </c>
      <c r="G404" s="0" t="s">
        <v>277</v>
      </c>
      <c r="H404" s="0" t="s">
        <v>293</v>
      </c>
      <c r="I404" s="0" t="s">
        <v>7202</v>
      </c>
    </row>
    <row r="405" customFormat="false" ht="15" hidden="false" customHeight="false" outlineLevel="0" collapsed="false">
      <c r="A405" s="0" t="n">
        <v>20</v>
      </c>
      <c r="B405" s="0" t="s">
        <v>57</v>
      </c>
      <c r="C405" s="0" t="s">
        <v>7203</v>
      </c>
      <c r="D405" s="0" t="s">
        <v>6416</v>
      </c>
      <c r="E405" s="0" t="s">
        <v>7204</v>
      </c>
      <c r="F405" s="0" t="n">
        <v>356</v>
      </c>
      <c r="G405" s="0" t="s">
        <v>277</v>
      </c>
      <c r="H405" s="0" t="s">
        <v>293</v>
      </c>
      <c r="I405" s="0" t="s">
        <v>7205</v>
      </c>
    </row>
    <row r="406" customFormat="false" ht="15" hidden="false" customHeight="false" outlineLevel="0" collapsed="false">
      <c r="A406" s="0" t="n">
        <v>20</v>
      </c>
      <c r="B406" s="0" t="s">
        <v>57</v>
      </c>
      <c r="C406" s="0" t="s">
        <v>7206</v>
      </c>
      <c r="D406" s="0" t="s">
        <v>6416</v>
      </c>
      <c r="E406" s="0" t="s">
        <v>7207</v>
      </c>
      <c r="F406" s="0" t="n">
        <v>701</v>
      </c>
      <c r="G406" s="0" t="s">
        <v>277</v>
      </c>
      <c r="H406" s="0" t="s">
        <v>293</v>
      </c>
      <c r="I406" s="0" t="s">
        <v>7208</v>
      </c>
    </row>
    <row r="407" customFormat="false" ht="15" hidden="false" customHeight="false" outlineLevel="0" collapsed="false">
      <c r="A407" s="0" t="n">
        <v>20</v>
      </c>
      <c r="B407" s="0" t="s">
        <v>57</v>
      </c>
      <c r="C407" s="0" t="s">
        <v>7209</v>
      </c>
      <c r="D407" s="0" t="s">
        <v>6560</v>
      </c>
      <c r="E407" s="0" t="s">
        <v>7210</v>
      </c>
      <c r="F407" s="0" t="n">
        <v>897</v>
      </c>
      <c r="G407" s="0" t="s">
        <v>277</v>
      </c>
      <c r="H407" s="0" t="s">
        <v>293</v>
      </c>
      <c r="I407" s="0" t="s">
        <v>7211</v>
      </c>
    </row>
    <row r="408" customFormat="false" ht="15" hidden="false" customHeight="false" outlineLevel="0" collapsed="false">
      <c r="A408" s="0" t="n">
        <v>20</v>
      </c>
      <c r="B408" s="0" t="s">
        <v>57</v>
      </c>
      <c r="C408" s="0" t="s">
        <v>7212</v>
      </c>
      <c r="D408" s="0" t="s">
        <v>6425</v>
      </c>
      <c r="E408" s="0" t="s">
        <v>7213</v>
      </c>
      <c r="F408" s="0" t="n">
        <v>1930</v>
      </c>
      <c r="G408" s="0" t="s">
        <v>277</v>
      </c>
      <c r="H408" s="0" t="s">
        <v>293</v>
      </c>
      <c r="I408" s="0" t="s">
        <v>7214</v>
      </c>
    </row>
    <row r="409" customFormat="false" ht="15" hidden="false" customHeight="false" outlineLevel="0" collapsed="false">
      <c r="A409" s="0" t="n">
        <v>13</v>
      </c>
      <c r="B409" s="0" t="s">
        <v>47</v>
      </c>
      <c r="C409" s="0" t="s">
        <v>7215</v>
      </c>
      <c r="D409" s="0" t="s">
        <v>35</v>
      </c>
      <c r="E409" s="0" t="s">
        <v>7216</v>
      </c>
      <c r="F409" s="0" t="n">
        <v>920</v>
      </c>
      <c r="G409" s="0" t="s">
        <v>277</v>
      </c>
      <c r="H409" s="0" t="s">
        <v>293</v>
      </c>
      <c r="I409" s="0" t="s">
        <v>7217</v>
      </c>
    </row>
    <row r="410" customFormat="false" ht="15" hidden="false" customHeight="false" outlineLevel="0" collapsed="false">
      <c r="A410" s="0" t="n">
        <v>20</v>
      </c>
      <c r="B410" s="0" t="s">
        <v>57</v>
      </c>
      <c r="C410" s="0" t="s">
        <v>7218</v>
      </c>
      <c r="D410" s="0" t="s">
        <v>6416</v>
      </c>
      <c r="E410" s="0" t="s">
        <v>7219</v>
      </c>
      <c r="F410" s="0" t="n">
        <v>699</v>
      </c>
      <c r="G410" s="0" t="s">
        <v>277</v>
      </c>
      <c r="H410" s="0" t="s">
        <v>293</v>
      </c>
      <c r="I410" s="0" t="s">
        <v>7220</v>
      </c>
    </row>
    <row r="411" customFormat="false" ht="15" hidden="false" customHeight="false" outlineLevel="0" collapsed="false">
      <c r="A411" s="0" t="n">
        <v>20</v>
      </c>
      <c r="B411" s="0" t="s">
        <v>57</v>
      </c>
      <c r="C411" s="0" t="s">
        <v>7221</v>
      </c>
      <c r="D411" s="0" t="s">
        <v>6416</v>
      </c>
      <c r="E411" s="0" t="s">
        <v>7222</v>
      </c>
      <c r="F411" s="0" t="n">
        <v>1918</v>
      </c>
      <c r="G411" s="0" t="s">
        <v>277</v>
      </c>
      <c r="H411" s="0" t="s">
        <v>293</v>
      </c>
      <c r="I411" s="0" t="s">
        <v>7223</v>
      </c>
    </row>
    <row r="412" customFormat="false" ht="15" hidden="false" customHeight="false" outlineLevel="0" collapsed="false">
      <c r="A412" s="0" t="n">
        <v>20</v>
      </c>
      <c r="B412" s="0" t="s">
        <v>57</v>
      </c>
      <c r="C412" s="0" t="s">
        <v>7224</v>
      </c>
      <c r="D412" s="0" t="s">
        <v>6416</v>
      </c>
      <c r="E412" s="0" t="s">
        <v>7225</v>
      </c>
      <c r="F412" s="0" t="n">
        <v>628</v>
      </c>
      <c r="G412" s="0" t="s">
        <v>277</v>
      </c>
      <c r="H412" s="0" t="s">
        <v>293</v>
      </c>
      <c r="I412" s="0" t="s">
        <v>7134</v>
      </c>
    </row>
    <row r="413" customFormat="false" ht="15" hidden="false" customHeight="false" outlineLevel="0" collapsed="false">
      <c r="A413" s="0" t="n">
        <v>19</v>
      </c>
      <c r="B413" s="0" t="s">
        <v>55</v>
      </c>
      <c r="C413" s="0" t="s">
        <v>7226</v>
      </c>
      <c r="D413" s="0" t="s">
        <v>35</v>
      </c>
      <c r="E413" s="0" t="s">
        <v>7227</v>
      </c>
      <c r="F413" s="0" t="n">
        <v>742</v>
      </c>
      <c r="G413" s="0" t="s">
        <v>277</v>
      </c>
      <c r="H413" s="0" t="s">
        <v>293</v>
      </c>
      <c r="I413" s="0" t="s">
        <v>7228</v>
      </c>
    </row>
    <row r="414" customFormat="false" ht="15" hidden="false" customHeight="false" outlineLevel="0" collapsed="false">
      <c r="A414" s="0" t="n">
        <v>19</v>
      </c>
      <c r="B414" s="0" t="s">
        <v>55</v>
      </c>
      <c r="C414" s="0" t="s">
        <v>7229</v>
      </c>
      <c r="D414" s="0" t="s">
        <v>6416</v>
      </c>
      <c r="E414" s="0" t="s">
        <v>7230</v>
      </c>
      <c r="F414" s="0" t="n">
        <v>434</v>
      </c>
      <c r="G414" s="0" t="s">
        <v>277</v>
      </c>
      <c r="H414" s="0" t="s">
        <v>293</v>
      </c>
      <c r="I414" s="0" t="s">
        <v>7231</v>
      </c>
    </row>
    <row r="415" customFormat="false" ht="15" hidden="false" customHeight="false" outlineLevel="0" collapsed="false">
      <c r="A415" s="0" t="n">
        <v>19</v>
      </c>
      <c r="B415" s="0" t="s">
        <v>55</v>
      </c>
      <c r="C415" s="0" t="s">
        <v>7232</v>
      </c>
      <c r="D415" s="0" t="s">
        <v>6416</v>
      </c>
      <c r="E415" s="0" t="s">
        <v>7233</v>
      </c>
      <c r="F415" s="0" t="n">
        <v>355</v>
      </c>
      <c r="G415" s="0" t="s">
        <v>277</v>
      </c>
      <c r="H415" s="0" t="s">
        <v>293</v>
      </c>
      <c r="I415" s="0" t="s">
        <v>7234</v>
      </c>
    </row>
    <row r="416" customFormat="false" ht="15" hidden="false" customHeight="false" outlineLevel="0" collapsed="false">
      <c r="A416" s="0" t="n">
        <v>19</v>
      </c>
      <c r="B416" s="0" t="s">
        <v>55</v>
      </c>
      <c r="C416" s="0" t="s">
        <v>7235</v>
      </c>
      <c r="D416" s="0" t="s">
        <v>6416</v>
      </c>
      <c r="E416" s="0" t="s">
        <v>7236</v>
      </c>
      <c r="F416" s="0" t="n">
        <v>699</v>
      </c>
      <c r="G416" s="0" t="s">
        <v>277</v>
      </c>
      <c r="H416" s="0" t="s">
        <v>293</v>
      </c>
      <c r="I416" s="0" t="s">
        <v>7237</v>
      </c>
    </row>
    <row r="417" customFormat="false" ht="15" hidden="false" customHeight="false" outlineLevel="0" collapsed="false">
      <c r="A417" s="0" t="n">
        <v>19</v>
      </c>
      <c r="B417" s="0" t="s">
        <v>55</v>
      </c>
      <c r="C417" s="0" t="s">
        <v>7238</v>
      </c>
      <c r="D417" s="0" t="s">
        <v>6416</v>
      </c>
      <c r="E417" s="0" t="s">
        <v>7112</v>
      </c>
      <c r="F417" s="0" t="n">
        <v>2000</v>
      </c>
      <c r="G417" s="0" t="s">
        <v>277</v>
      </c>
      <c r="H417" s="0" t="s">
        <v>293</v>
      </c>
      <c r="I417" s="0" t="s">
        <v>7239</v>
      </c>
    </row>
    <row r="418" customFormat="false" ht="15" hidden="false" customHeight="false" outlineLevel="0" collapsed="false">
      <c r="A418" s="0" t="n">
        <v>19</v>
      </c>
      <c r="B418" s="0" t="s">
        <v>55</v>
      </c>
      <c r="C418" s="0" t="s">
        <v>7240</v>
      </c>
      <c r="D418" s="0" t="s">
        <v>6560</v>
      </c>
      <c r="E418" s="0" t="s">
        <v>7241</v>
      </c>
      <c r="F418" s="0" t="n">
        <v>1815</v>
      </c>
      <c r="G418" s="0" t="s">
        <v>277</v>
      </c>
      <c r="H418" s="0" t="s">
        <v>293</v>
      </c>
      <c r="I418" s="0" t="s">
        <v>7242</v>
      </c>
    </row>
    <row r="419" customFormat="false" ht="15" hidden="false" customHeight="false" outlineLevel="0" collapsed="false">
      <c r="A419" s="0" t="n">
        <v>20</v>
      </c>
      <c r="B419" s="0" t="s">
        <v>57</v>
      </c>
      <c r="C419" s="0" t="s">
        <v>7243</v>
      </c>
      <c r="D419" s="0" t="s">
        <v>6425</v>
      </c>
      <c r="E419" s="0" t="s">
        <v>7244</v>
      </c>
      <c r="F419" s="0" t="n">
        <v>999</v>
      </c>
      <c r="G419" s="0" t="s">
        <v>277</v>
      </c>
      <c r="H419" s="0" t="s">
        <v>293</v>
      </c>
      <c r="I419" s="0" t="s">
        <v>7245</v>
      </c>
    </row>
    <row r="420" customFormat="false" ht="15" hidden="false" customHeight="false" outlineLevel="0" collapsed="false">
      <c r="A420" s="0" t="n">
        <v>19</v>
      </c>
      <c r="B420" s="0" t="s">
        <v>55</v>
      </c>
      <c r="C420" s="0" t="s">
        <v>7246</v>
      </c>
      <c r="D420" s="0" t="s">
        <v>6425</v>
      </c>
      <c r="E420" s="0" t="s">
        <v>7247</v>
      </c>
      <c r="F420" s="0" t="n">
        <v>2012</v>
      </c>
      <c r="G420" s="0" t="s">
        <v>277</v>
      </c>
      <c r="H420" s="0" t="s">
        <v>293</v>
      </c>
      <c r="I420" s="0" t="s">
        <v>7248</v>
      </c>
    </row>
    <row r="421" customFormat="false" ht="15" hidden="false" customHeight="false" outlineLevel="0" collapsed="false">
      <c r="A421" s="0" t="n">
        <v>20</v>
      </c>
      <c r="B421" s="0" t="s">
        <v>57</v>
      </c>
      <c r="C421" s="0" t="s">
        <v>7249</v>
      </c>
      <c r="D421" s="0" t="s">
        <v>91</v>
      </c>
      <c r="F421" s="0" t="n">
        <v>1719</v>
      </c>
      <c r="G421" s="0" t="s">
        <v>277</v>
      </c>
      <c r="H421" s="0" t="s">
        <v>293</v>
      </c>
      <c r="I421" s="0" t="s">
        <v>7250</v>
      </c>
    </row>
    <row r="422" customFormat="false" ht="15" hidden="false" customHeight="false" outlineLevel="0" collapsed="false">
      <c r="A422" s="0" t="n">
        <v>19</v>
      </c>
      <c r="B422" s="0" t="s">
        <v>55</v>
      </c>
      <c r="C422" s="0" t="s">
        <v>7251</v>
      </c>
      <c r="D422" s="0" t="s">
        <v>35</v>
      </c>
      <c r="E422" s="0" t="s">
        <v>7252</v>
      </c>
      <c r="F422" s="0" t="n">
        <v>698</v>
      </c>
      <c r="G422" s="0" t="s">
        <v>277</v>
      </c>
      <c r="H422" s="0" t="s">
        <v>293</v>
      </c>
      <c r="I422" s="0" t="s">
        <v>7253</v>
      </c>
    </row>
    <row r="423" customFormat="false" ht="15" hidden="false" customHeight="false" outlineLevel="0" collapsed="false">
      <c r="A423" s="0" t="n">
        <v>20</v>
      </c>
      <c r="B423" s="0" t="s">
        <v>57</v>
      </c>
      <c r="C423" s="0" t="s">
        <v>7254</v>
      </c>
      <c r="D423" s="0" t="s">
        <v>6416</v>
      </c>
      <c r="E423" s="0" t="s">
        <v>7255</v>
      </c>
      <c r="F423" s="0" t="n">
        <v>806</v>
      </c>
      <c r="G423" s="0" t="s">
        <v>277</v>
      </c>
      <c r="H423" s="0" t="s">
        <v>293</v>
      </c>
      <c r="I423" s="0" t="s">
        <v>7256</v>
      </c>
    </row>
    <row r="424" customFormat="false" ht="15" hidden="false" customHeight="false" outlineLevel="0" collapsed="false">
      <c r="A424" s="0" t="n">
        <v>19</v>
      </c>
      <c r="B424" s="0" t="s">
        <v>55</v>
      </c>
      <c r="C424" s="0" t="s">
        <v>7257</v>
      </c>
      <c r="D424" s="0" t="s">
        <v>6425</v>
      </c>
      <c r="E424" s="0" t="s">
        <v>7258</v>
      </c>
      <c r="F424" s="0" t="n">
        <v>984</v>
      </c>
      <c r="G424" s="0" t="s">
        <v>277</v>
      </c>
      <c r="H424" s="0" t="s">
        <v>293</v>
      </c>
      <c r="I424" s="0" t="s">
        <v>7259</v>
      </c>
    </row>
    <row r="425" customFormat="false" ht="15" hidden="false" customHeight="false" outlineLevel="0" collapsed="false">
      <c r="A425" s="0" t="n">
        <v>20</v>
      </c>
      <c r="B425" s="0" t="s">
        <v>57</v>
      </c>
      <c r="C425" s="0" t="s">
        <v>7260</v>
      </c>
      <c r="D425" s="0" t="s">
        <v>6416</v>
      </c>
      <c r="E425" s="0" t="s">
        <v>7261</v>
      </c>
      <c r="F425" s="0" t="n">
        <v>574</v>
      </c>
      <c r="G425" s="0" t="s">
        <v>277</v>
      </c>
      <c r="H425" s="0" t="s">
        <v>293</v>
      </c>
      <c r="I425" s="0" t="s">
        <v>7262</v>
      </c>
    </row>
    <row r="426" customFormat="false" ht="15" hidden="false" customHeight="false" outlineLevel="0" collapsed="false">
      <c r="A426" s="0" t="n">
        <v>20</v>
      </c>
      <c r="B426" s="0" t="s">
        <v>57</v>
      </c>
      <c r="C426" s="0" t="s">
        <v>7263</v>
      </c>
      <c r="D426" s="0" t="s">
        <v>35</v>
      </c>
      <c r="E426" s="0" t="s">
        <v>7264</v>
      </c>
      <c r="F426" s="0" t="n">
        <v>422</v>
      </c>
      <c r="G426" s="0" t="s">
        <v>277</v>
      </c>
      <c r="H426" s="0" t="s">
        <v>293</v>
      </c>
      <c r="I426" s="0" t="s">
        <v>7265</v>
      </c>
    </row>
    <row r="427" customFormat="false" ht="15" hidden="false" customHeight="false" outlineLevel="0" collapsed="false">
      <c r="A427" s="0" t="n">
        <v>19</v>
      </c>
      <c r="B427" s="0" t="s">
        <v>55</v>
      </c>
      <c r="C427" s="0" t="s">
        <v>7266</v>
      </c>
      <c r="D427" s="0" t="s">
        <v>6560</v>
      </c>
      <c r="E427" s="0" t="s">
        <v>7267</v>
      </c>
      <c r="F427" s="0" t="n">
        <v>1010</v>
      </c>
      <c r="G427" s="0" t="s">
        <v>277</v>
      </c>
      <c r="H427" s="0" t="s">
        <v>293</v>
      </c>
      <c r="I427" s="0" t="s">
        <v>7268</v>
      </c>
    </row>
    <row r="428" customFormat="false" ht="15" hidden="false" customHeight="false" outlineLevel="0" collapsed="false">
      <c r="A428" s="0" t="n">
        <v>20</v>
      </c>
      <c r="B428" s="0" t="s">
        <v>57</v>
      </c>
      <c r="C428" s="0" t="s">
        <v>7269</v>
      </c>
      <c r="D428" s="0" t="s">
        <v>6416</v>
      </c>
      <c r="E428" s="0" t="s">
        <v>7270</v>
      </c>
      <c r="F428" s="0" t="n">
        <v>682</v>
      </c>
      <c r="G428" s="0" t="s">
        <v>277</v>
      </c>
      <c r="H428" s="0" t="s">
        <v>293</v>
      </c>
      <c r="I428" s="0" t="s">
        <v>7271</v>
      </c>
    </row>
    <row r="429" customFormat="false" ht="15" hidden="false" customHeight="false" outlineLevel="0" collapsed="false">
      <c r="A429" s="0" t="n">
        <v>19</v>
      </c>
      <c r="B429" s="0" t="s">
        <v>55</v>
      </c>
      <c r="C429" s="0" t="s">
        <v>7272</v>
      </c>
      <c r="D429" s="0" t="s">
        <v>6416</v>
      </c>
      <c r="E429" s="0" t="s">
        <v>7273</v>
      </c>
      <c r="F429" s="0" t="n">
        <v>726</v>
      </c>
      <c r="G429" s="0" t="s">
        <v>277</v>
      </c>
      <c r="H429" s="0" t="s">
        <v>293</v>
      </c>
      <c r="I429" s="0" t="s">
        <v>7274</v>
      </c>
    </row>
    <row r="430" customFormat="false" ht="15" hidden="false" customHeight="false" outlineLevel="0" collapsed="false">
      <c r="A430" s="0" t="n">
        <v>20</v>
      </c>
      <c r="B430" s="0" t="s">
        <v>57</v>
      </c>
      <c r="C430" s="0" t="s">
        <v>7275</v>
      </c>
      <c r="D430" s="0" t="s">
        <v>6425</v>
      </c>
      <c r="E430" s="0" t="s">
        <v>7276</v>
      </c>
      <c r="F430" s="0" t="n">
        <v>425</v>
      </c>
      <c r="G430" s="0" t="s">
        <v>277</v>
      </c>
      <c r="H430" s="0" t="s">
        <v>293</v>
      </c>
      <c r="I430" s="0" t="s">
        <v>7277</v>
      </c>
    </row>
    <row r="431" customFormat="false" ht="15" hidden="false" customHeight="false" outlineLevel="0" collapsed="false">
      <c r="A431" s="0" t="n">
        <v>13</v>
      </c>
      <c r="B431" s="0" t="s">
        <v>47</v>
      </c>
      <c r="C431" s="0" t="s">
        <v>7278</v>
      </c>
      <c r="D431" s="0" t="s">
        <v>35</v>
      </c>
      <c r="E431" s="0" t="s">
        <v>7279</v>
      </c>
      <c r="F431" s="0" t="n">
        <v>964</v>
      </c>
      <c r="G431" s="0" t="s">
        <v>277</v>
      </c>
      <c r="H431" s="0" t="s">
        <v>293</v>
      </c>
      <c r="I431" s="0" t="s">
        <v>7280</v>
      </c>
    </row>
    <row r="432" customFormat="false" ht="15" hidden="false" customHeight="false" outlineLevel="0" collapsed="false">
      <c r="A432" s="0" t="n">
        <v>19</v>
      </c>
      <c r="B432" s="0" t="s">
        <v>55</v>
      </c>
      <c r="C432" s="0" t="s">
        <v>7281</v>
      </c>
      <c r="D432" s="0" t="s">
        <v>6416</v>
      </c>
      <c r="E432" s="0" t="s">
        <v>7282</v>
      </c>
      <c r="F432" s="0" t="n">
        <v>447</v>
      </c>
      <c r="G432" s="0" t="s">
        <v>277</v>
      </c>
      <c r="H432" s="0" t="s">
        <v>293</v>
      </c>
      <c r="I432" s="0" t="s">
        <v>7283</v>
      </c>
    </row>
    <row r="433" customFormat="false" ht="15" hidden="false" customHeight="false" outlineLevel="0" collapsed="false">
      <c r="A433" s="0" t="n">
        <v>20</v>
      </c>
      <c r="B433" s="0" t="s">
        <v>57</v>
      </c>
      <c r="C433" s="0" t="s">
        <v>7284</v>
      </c>
      <c r="D433" s="0" t="s">
        <v>6416</v>
      </c>
      <c r="E433" s="0" t="s">
        <v>7285</v>
      </c>
      <c r="F433" s="0" t="n">
        <v>1634</v>
      </c>
      <c r="G433" s="0" t="s">
        <v>277</v>
      </c>
      <c r="H433" s="0" t="s">
        <v>293</v>
      </c>
      <c r="I433" s="0" t="s">
        <v>7286</v>
      </c>
    </row>
    <row r="434" customFormat="false" ht="15" hidden="false" customHeight="false" outlineLevel="0" collapsed="false">
      <c r="A434" s="0" t="n">
        <v>19</v>
      </c>
      <c r="B434" s="0" t="s">
        <v>55</v>
      </c>
      <c r="C434" s="0" t="s">
        <v>7287</v>
      </c>
      <c r="D434" s="0" t="s">
        <v>6416</v>
      </c>
      <c r="E434" s="0" t="s">
        <v>7288</v>
      </c>
      <c r="F434" s="0" t="n">
        <v>646</v>
      </c>
      <c r="G434" s="0" t="s">
        <v>277</v>
      </c>
      <c r="H434" s="0" t="s">
        <v>293</v>
      </c>
      <c r="I434" s="0" t="s">
        <v>7289</v>
      </c>
    </row>
    <row r="435" customFormat="false" ht="15" hidden="false" customHeight="false" outlineLevel="0" collapsed="false">
      <c r="A435" s="0" t="n">
        <v>20</v>
      </c>
      <c r="B435" s="0" t="s">
        <v>57</v>
      </c>
      <c r="C435" s="0" t="s">
        <v>7290</v>
      </c>
      <c r="D435" s="0" t="s">
        <v>6416</v>
      </c>
      <c r="E435" s="0" t="s">
        <v>7291</v>
      </c>
      <c r="F435" s="0" t="n">
        <v>1572</v>
      </c>
      <c r="G435" s="0" t="s">
        <v>277</v>
      </c>
      <c r="H435" s="0" t="s">
        <v>293</v>
      </c>
      <c r="I435" s="0" t="s">
        <v>7292</v>
      </c>
    </row>
    <row r="436" customFormat="false" ht="15" hidden="false" customHeight="false" outlineLevel="0" collapsed="false">
      <c r="A436" s="0" t="n">
        <v>19</v>
      </c>
      <c r="B436" s="0" t="s">
        <v>55</v>
      </c>
      <c r="C436" s="0" t="s">
        <v>7293</v>
      </c>
      <c r="D436" s="0" t="s">
        <v>6416</v>
      </c>
      <c r="E436" s="0" t="s">
        <v>7294</v>
      </c>
      <c r="F436" s="0" t="n">
        <v>1126</v>
      </c>
      <c r="G436" s="0" t="s">
        <v>277</v>
      </c>
      <c r="H436" s="0" t="s">
        <v>293</v>
      </c>
      <c r="I436" s="0" t="s">
        <v>7295</v>
      </c>
    </row>
    <row r="437" customFormat="false" ht="15" hidden="false" customHeight="false" outlineLevel="0" collapsed="false">
      <c r="A437" s="0" t="n">
        <v>20</v>
      </c>
      <c r="B437" s="0" t="s">
        <v>57</v>
      </c>
      <c r="C437" s="0" t="s">
        <v>7296</v>
      </c>
      <c r="D437" s="0" t="s">
        <v>6416</v>
      </c>
      <c r="E437" s="0" t="s">
        <v>7297</v>
      </c>
      <c r="F437" s="0" t="n">
        <v>570</v>
      </c>
      <c r="G437" s="0" t="s">
        <v>277</v>
      </c>
      <c r="H437" s="0" t="s">
        <v>293</v>
      </c>
      <c r="I437" s="0" t="s">
        <v>7298</v>
      </c>
    </row>
    <row r="438" customFormat="false" ht="15" hidden="false" customHeight="false" outlineLevel="0" collapsed="false">
      <c r="A438" s="0" t="n">
        <v>19</v>
      </c>
      <c r="B438" s="0" t="s">
        <v>55</v>
      </c>
      <c r="C438" s="0" t="s">
        <v>7299</v>
      </c>
      <c r="D438" s="0" t="s">
        <v>6416</v>
      </c>
      <c r="E438" s="0" t="s">
        <v>7157</v>
      </c>
      <c r="F438" s="0" t="n">
        <v>1794</v>
      </c>
      <c r="G438" s="0" t="s">
        <v>277</v>
      </c>
      <c r="H438" s="0" t="s">
        <v>293</v>
      </c>
      <c r="I438" s="0" t="s">
        <v>7300</v>
      </c>
    </row>
    <row r="439" customFormat="false" ht="15" hidden="false" customHeight="false" outlineLevel="0" collapsed="false">
      <c r="A439" s="0" t="n">
        <v>20</v>
      </c>
      <c r="B439" s="0" t="s">
        <v>57</v>
      </c>
      <c r="C439" s="0" t="s">
        <v>7301</v>
      </c>
      <c r="D439" s="0" t="s">
        <v>6425</v>
      </c>
      <c r="E439" s="0" t="s">
        <v>7302</v>
      </c>
      <c r="F439" s="0" t="n">
        <v>514</v>
      </c>
      <c r="G439" s="0" t="s">
        <v>277</v>
      </c>
      <c r="H439" s="0" t="s">
        <v>293</v>
      </c>
      <c r="I439" s="0" t="s">
        <v>7303</v>
      </c>
    </row>
    <row r="440" customFormat="false" ht="15" hidden="false" customHeight="false" outlineLevel="0" collapsed="false">
      <c r="A440" s="0" t="n">
        <v>19</v>
      </c>
      <c r="B440" s="0" t="s">
        <v>55</v>
      </c>
      <c r="C440" s="0" t="s">
        <v>7304</v>
      </c>
      <c r="D440" s="0" t="s">
        <v>6416</v>
      </c>
      <c r="E440" s="0" t="s">
        <v>7305</v>
      </c>
      <c r="F440" s="0" t="n">
        <v>1237</v>
      </c>
      <c r="G440" s="0" t="s">
        <v>277</v>
      </c>
      <c r="H440" s="0" t="s">
        <v>293</v>
      </c>
      <c r="I440" s="0" t="s">
        <v>7306</v>
      </c>
    </row>
    <row r="441" customFormat="false" ht="15" hidden="false" customHeight="false" outlineLevel="0" collapsed="false">
      <c r="A441" s="0" t="n">
        <v>20</v>
      </c>
      <c r="B441" s="0" t="s">
        <v>57</v>
      </c>
      <c r="C441" s="0" t="s">
        <v>7307</v>
      </c>
      <c r="D441" s="0" t="s">
        <v>6425</v>
      </c>
      <c r="E441" s="0" t="s">
        <v>7308</v>
      </c>
      <c r="F441" s="0" t="n">
        <v>445</v>
      </c>
      <c r="G441" s="0" t="s">
        <v>277</v>
      </c>
      <c r="H441" s="0" t="s">
        <v>293</v>
      </c>
      <c r="I441" s="0" t="s">
        <v>7309</v>
      </c>
    </row>
    <row r="442" customFormat="false" ht="15" hidden="false" customHeight="false" outlineLevel="0" collapsed="false">
      <c r="A442" s="0" t="n">
        <v>19</v>
      </c>
      <c r="B442" s="0" t="s">
        <v>55</v>
      </c>
      <c r="C442" s="0" t="s">
        <v>7310</v>
      </c>
      <c r="D442" s="0" t="s">
        <v>6416</v>
      </c>
      <c r="E442" s="0" t="s">
        <v>7311</v>
      </c>
      <c r="F442" s="0" t="n">
        <v>456</v>
      </c>
      <c r="G442" s="0" t="s">
        <v>277</v>
      </c>
      <c r="H442" s="0" t="s">
        <v>293</v>
      </c>
      <c r="I442" s="0" t="s">
        <v>7312</v>
      </c>
    </row>
    <row r="443" customFormat="false" ht="15" hidden="false" customHeight="false" outlineLevel="0" collapsed="false">
      <c r="A443" s="0" t="n">
        <v>20</v>
      </c>
      <c r="B443" s="0" t="s">
        <v>57</v>
      </c>
      <c r="C443" s="0" t="s">
        <v>7313</v>
      </c>
      <c r="D443" s="0" t="s">
        <v>6416</v>
      </c>
      <c r="E443" s="0" t="s">
        <v>7314</v>
      </c>
      <c r="F443" s="0" t="n">
        <v>1150</v>
      </c>
      <c r="G443" s="0" t="s">
        <v>277</v>
      </c>
      <c r="H443" s="0" t="s">
        <v>293</v>
      </c>
      <c r="I443" s="0" t="s">
        <v>7315</v>
      </c>
    </row>
    <row r="444" customFormat="false" ht="15" hidden="false" customHeight="false" outlineLevel="0" collapsed="false">
      <c r="A444" s="0" t="n">
        <v>19</v>
      </c>
      <c r="B444" s="0" t="s">
        <v>55</v>
      </c>
      <c r="C444" s="0" t="s">
        <v>7316</v>
      </c>
      <c r="D444" s="0" t="s">
        <v>6416</v>
      </c>
      <c r="E444" s="0" t="s">
        <v>7317</v>
      </c>
      <c r="F444" s="0" t="n">
        <v>1301</v>
      </c>
      <c r="G444" s="0" t="s">
        <v>277</v>
      </c>
      <c r="H444" s="0" t="s">
        <v>293</v>
      </c>
      <c r="I444" s="0" t="s">
        <v>7318</v>
      </c>
    </row>
    <row r="445" customFormat="false" ht="15" hidden="false" customHeight="false" outlineLevel="0" collapsed="false">
      <c r="A445" s="0" t="n">
        <v>20</v>
      </c>
      <c r="B445" s="0" t="s">
        <v>57</v>
      </c>
      <c r="C445" s="0" t="s">
        <v>7319</v>
      </c>
      <c r="D445" s="0" t="s">
        <v>6416</v>
      </c>
      <c r="E445" s="0" t="s">
        <v>7320</v>
      </c>
      <c r="F445" s="0" t="n">
        <v>1243</v>
      </c>
      <c r="G445" s="0" t="s">
        <v>277</v>
      </c>
      <c r="H445" s="0" t="s">
        <v>293</v>
      </c>
      <c r="I445" s="0" t="s">
        <v>7321</v>
      </c>
    </row>
    <row r="446" customFormat="false" ht="15" hidden="false" customHeight="false" outlineLevel="0" collapsed="false">
      <c r="A446" s="0" t="n">
        <v>19</v>
      </c>
      <c r="B446" s="0" t="s">
        <v>55</v>
      </c>
      <c r="C446" s="0" t="s">
        <v>7322</v>
      </c>
      <c r="D446" s="0" t="s">
        <v>6416</v>
      </c>
      <c r="E446" s="0" t="s">
        <v>7323</v>
      </c>
      <c r="F446" s="0" t="n">
        <v>760</v>
      </c>
      <c r="G446" s="0" t="s">
        <v>277</v>
      </c>
      <c r="H446" s="0" t="s">
        <v>293</v>
      </c>
      <c r="I446" s="0" t="s">
        <v>7324</v>
      </c>
    </row>
    <row r="447" customFormat="false" ht="15" hidden="false" customHeight="false" outlineLevel="0" collapsed="false">
      <c r="A447" s="0" t="n">
        <v>20</v>
      </c>
      <c r="B447" s="0" t="s">
        <v>57</v>
      </c>
      <c r="C447" s="0" t="s">
        <v>7325</v>
      </c>
      <c r="D447" s="0" t="s">
        <v>6416</v>
      </c>
      <c r="E447" s="0" t="s">
        <v>7326</v>
      </c>
      <c r="F447" s="0" t="n">
        <v>420</v>
      </c>
      <c r="G447" s="0" t="s">
        <v>277</v>
      </c>
      <c r="H447" s="0" t="s">
        <v>293</v>
      </c>
      <c r="I447" s="0" t="s">
        <v>7327</v>
      </c>
    </row>
    <row r="448" customFormat="false" ht="15" hidden="false" customHeight="false" outlineLevel="0" collapsed="false">
      <c r="A448" s="0" t="n">
        <v>13</v>
      </c>
      <c r="B448" s="0" t="s">
        <v>47</v>
      </c>
      <c r="C448" s="0" t="s">
        <v>7328</v>
      </c>
      <c r="D448" s="0" t="s">
        <v>35</v>
      </c>
      <c r="E448" s="0" t="s">
        <v>7329</v>
      </c>
      <c r="F448" s="0" t="n">
        <v>2026</v>
      </c>
      <c r="G448" s="0" t="s">
        <v>277</v>
      </c>
      <c r="H448" s="0" t="s">
        <v>293</v>
      </c>
      <c r="I448" s="0" t="s">
        <v>7330</v>
      </c>
    </row>
    <row r="449" customFormat="false" ht="15" hidden="false" customHeight="false" outlineLevel="0" collapsed="false">
      <c r="A449" s="0" t="n">
        <v>19</v>
      </c>
      <c r="B449" s="0" t="s">
        <v>55</v>
      </c>
      <c r="C449" s="0" t="s">
        <v>7331</v>
      </c>
      <c r="D449" s="0" t="s">
        <v>6416</v>
      </c>
      <c r="E449" s="0" t="s">
        <v>7332</v>
      </c>
      <c r="F449" s="0" t="n">
        <v>2035</v>
      </c>
      <c r="G449" s="0" t="s">
        <v>277</v>
      </c>
      <c r="H449" s="0" t="s">
        <v>293</v>
      </c>
      <c r="I449" s="0" t="s">
        <v>7333</v>
      </c>
    </row>
    <row r="450" customFormat="false" ht="15" hidden="false" customHeight="false" outlineLevel="0" collapsed="false">
      <c r="A450" s="0" t="n">
        <v>20</v>
      </c>
      <c r="B450" s="0" t="s">
        <v>57</v>
      </c>
      <c r="C450" s="0" t="s">
        <v>7334</v>
      </c>
      <c r="D450" s="0" t="s">
        <v>6416</v>
      </c>
      <c r="E450" s="0" t="s">
        <v>7335</v>
      </c>
      <c r="F450" s="0" t="n">
        <v>1277</v>
      </c>
      <c r="G450" s="0" t="s">
        <v>277</v>
      </c>
      <c r="H450" s="0" t="s">
        <v>293</v>
      </c>
      <c r="I450" s="0" t="s">
        <v>7336</v>
      </c>
    </row>
    <row r="451" customFormat="false" ht="15" hidden="false" customHeight="false" outlineLevel="0" collapsed="false">
      <c r="A451" s="0" t="n">
        <v>19</v>
      </c>
      <c r="B451" s="0" t="s">
        <v>55</v>
      </c>
      <c r="C451" s="0" t="s">
        <v>7337</v>
      </c>
      <c r="D451" s="0" t="s">
        <v>6416</v>
      </c>
      <c r="E451" s="0" t="s">
        <v>7338</v>
      </c>
      <c r="F451" s="0" t="n">
        <v>420</v>
      </c>
      <c r="G451" s="0" t="s">
        <v>277</v>
      </c>
      <c r="H451" s="0" t="s">
        <v>293</v>
      </c>
      <c r="I451" s="0" t="s">
        <v>7339</v>
      </c>
    </row>
    <row r="452" customFormat="false" ht="15" hidden="false" customHeight="false" outlineLevel="0" collapsed="false">
      <c r="A452" s="0" t="n">
        <v>20</v>
      </c>
      <c r="B452" s="0" t="s">
        <v>57</v>
      </c>
      <c r="C452" s="0" t="s">
        <v>7340</v>
      </c>
      <c r="D452" s="0" t="s">
        <v>6416</v>
      </c>
      <c r="E452" s="0" t="s">
        <v>7341</v>
      </c>
      <c r="F452" s="0" t="n">
        <v>451</v>
      </c>
      <c r="G452" s="0" t="s">
        <v>277</v>
      </c>
      <c r="H452" s="0" t="s">
        <v>293</v>
      </c>
      <c r="I452" s="0" t="s">
        <v>7342</v>
      </c>
    </row>
    <row r="453" customFormat="false" ht="15" hidden="false" customHeight="false" outlineLevel="0" collapsed="false">
      <c r="A453" s="0" t="n">
        <v>19</v>
      </c>
      <c r="B453" s="0" t="s">
        <v>55</v>
      </c>
      <c r="C453" s="0" t="s">
        <v>7343</v>
      </c>
      <c r="D453" s="0" t="s">
        <v>91</v>
      </c>
      <c r="F453" s="0" t="n">
        <v>1687</v>
      </c>
      <c r="G453" s="0" t="s">
        <v>277</v>
      </c>
      <c r="H453" s="0" t="s">
        <v>293</v>
      </c>
      <c r="I453" s="0" t="s">
        <v>7344</v>
      </c>
    </row>
    <row r="454" customFormat="false" ht="15" hidden="false" customHeight="false" outlineLevel="0" collapsed="false">
      <c r="A454" s="0" t="n">
        <v>13</v>
      </c>
      <c r="B454" s="0" t="s">
        <v>47</v>
      </c>
      <c r="C454" s="0" t="s">
        <v>7345</v>
      </c>
      <c r="D454" s="0" t="s">
        <v>35</v>
      </c>
      <c r="E454" s="0" t="s">
        <v>7346</v>
      </c>
      <c r="F454" s="0" t="n">
        <v>813</v>
      </c>
      <c r="G454" s="0" t="s">
        <v>277</v>
      </c>
      <c r="H454" s="0" t="s">
        <v>293</v>
      </c>
      <c r="I454" s="0" t="s">
        <v>7347</v>
      </c>
    </row>
    <row r="455" customFormat="false" ht="15" hidden="false" customHeight="false" outlineLevel="0" collapsed="false">
      <c r="A455" s="0" t="n">
        <v>13</v>
      </c>
      <c r="B455" s="0" t="s">
        <v>47</v>
      </c>
      <c r="C455" s="0" t="s">
        <v>7348</v>
      </c>
      <c r="D455" s="0" t="s">
        <v>91</v>
      </c>
      <c r="E455" s="0" t="s">
        <v>7349</v>
      </c>
      <c r="F455" s="0" t="n">
        <v>1605</v>
      </c>
      <c r="G455" s="0" t="s">
        <v>277</v>
      </c>
      <c r="H455" s="0" t="s">
        <v>293</v>
      </c>
      <c r="I455" s="0" t="s">
        <v>7350</v>
      </c>
    </row>
    <row r="456" customFormat="false" ht="15" hidden="false" customHeight="false" outlineLevel="0" collapsed="false">
      <c r="A456" s="0" t="n">
        <v>19</v>
      </c>
      <c r="B456" s="0" t="s">
        <v>55</v>
      </c>
      <c r="C456" s="0" t="s">
        <v>7351</v>
      </c>
      <c r="D456" s="0" t="s">
        <v>6416</v>
      </c>
      <c r="E456" s="0" t="s">
        <v>7352</v>
      </c>
      <c r="F456" s="0" t="n">
        <v>349</v>
      </c>
      <c r="G456" s="0" t="s">
        <v>277</v>
      </c>
      <c r="H456" s="0" t="s">
        <v>293</v>
      </c>
      <c r="I456" s="0" t="s">
        <v>7353</v>
      </c>
    </row>
    <row r="457" customFormat="false" ht="15" hidden="false" customHeight="false" outlineLevel="0" collapsed="false">
      <c r="A457" s="0" t="n">
        <v>20</v>
      </c>
      <c r="B457" s="0" t="s">
        <v>57</v>
      </c>
      <c r="C457" s="0" t="s">
        <v>7354</v>
      </c>
      <c r="D457" s="0" t="s">
        <v>91</v>
      </c>
      <c r="E457" s="0" t="s">
        <v>7355</v>
      </c>
      <c r="F457" s="0" t="n">
        <v>533</v>
      </c>
      <c r="G457" s="0" t="s">
        <v>277</v>
      </c>
      <c r="H457" s="0" t="s">
        <v>293</v>
      </c>
      <c r="I457" s="0" t="s">
        <v>7356</v>
      </c>
    </row>
    <row r="458" customFormat="false" ht="15" hidden="false" customHeight="false" outlineLevel="0" collapsed="false">
      <c r="A458" s="0" t="n">
        <v>19</v>
      </c>
      <c r="B458" s="0" t="s">
        <v>55</v>
      </c>
      <c r="C458" s="0" t="s">
        <v>7357</v>
      </c>
      <c r="D458" s="0" t="s">
        <v>6416</v>
      </c>
      <c r="E458" s="0" t="s">
        <v>7358</v>
      </c>
      <c r="F458" s="0" t="n">
        <v>1129</v>
      </c>
      <c r="G458" s="0" t="s">
        <v>277</v>
      </c>
      <c r="H458" s="0" t="s">
        <v>293</v>
      </c>
      <c r="I458" s="0" t="s">
        <v>7359</v>
      </c>
    </row>
    <row r="459" customFormat="false" ht="15" hidden="false" customHeight="false" outlineLevel="0" collapsed="false">
      <c r="A459" s="0" t="n">
        <v>13</v>
      </c>
      <c r="B459" s="0" t="s">
        <v>47</v>
      </c>
      <c r="C459" s="0" t="s">
        <v>7360</v>
      </c>
      <c r="D459" s="0" t="s">
        <v>35</v>
      </c>
      <c r="E459" s="0" t="s">
        <v>7361</v>
      </c>
      <c r="F459" s="0" t="n">
        <v>9626</v>
      </c>
      <c r="G459" s="0" t="s">
        <v>277</v>
      </c>
      <c r="H459" s="0" t="s">
        <v>293</v>
      </c>
      <c r="I459" s="0" t="s">
        <v>7362</v>
      </c>
    </row>
    <row r="460" customFormat="false" ht="15" hidden="false" customHeight="false" outlineLevel="0" collapsed="false">
      <c r="A460" s="0" t="n">
        <v>20</v>
      </c>
      <c r="B460" s="0" t="s">
        <v>57</v>
      </c>
      <c r="C460" s="0" t="s">
        <v>7363</v>
      </c>
      <c r="D460" s="0" t="s">
        <v>35</v>
      </c>
      <c r="E460" s="0" t="s">
        <v>7364</v>
      </c>
      <c r="F460" s="0" t="n">
        <v>439</v>
      </c>
      <c r="G460" s="0" t="s">
        <v>277</v>
      </c>
      <c r="H460" s="0" t="s">
        <v>293</v>
      </c>
      <c r="I460" s="0" t="s">
        <v>7365</v>
      </c>
    </row>
    <row r="461" customFormat="false" ht="15" hidden="false" customHeight="false" outlineLevel="0" collapsed="false">
      <c r="A461" s="0" t="n">
        <v>19</v>
      </c>
      <c r="B461" s="0" t="s">
        <v>55</v>
      </c>
      <c r="C461" s="0" t="s">
        <v>7366</v>
      </c>
      <c r="D461" s="0" t="s">
        <v>6416</v>
      </c>
      <c r="E461" s="0" t="s">
        <v>7367</v>
      </c>
      <c r="F461" s="0" t="n">
        <v>430</v>
      </c>
      <c r="G461" s="0" t="s">
        <v>277</v>
      </c>
      <c r="H461" s="0" t="s">
        <v>293</v>
      </c>
      <c r="I461" s="0" t="s">
        <v>7368</v>
      </c>
    </row>
    <row r="462" customFormat="false" ht="15" hidden="false" customHeight="false" outlineLevel="0" collapsed="false">
      <c r="A462" s="0" t="n">
        <v>13</v>
      </c>
      <c r="B462" s="0" t="s">
        <v>47</v>
      </c>
      <c r="C462" s="0" t="s">
        <v>7369</v>
      </c>
      <c r="D462" s="0" t="s">
        <v>35</v>
      </c>
      <c r="E462" s="0" t="s">
        <v>7370</v>
      </c>
      <c r="F462" s="0" t="n">
        <v>1160</v>
      </c>
      <c r="G462" s="0" t="s">
        <v>277</v>
      </c>
      <c r="H462" s="0" t="s">
        <v>293</v>
      </c>
      <c r="I462" s="0" t="s">
        <v>7371</v>
      </c>
    </row>
    <row r="463" customFormat="false" ht="15" hidden="false" customHeight="false" outlineLevel="0" collapsed="false">
      <c r="A463" s="0" t="n">
        <v>20</v>
      </c>
      <c r="B463" s="0" t="s">
        <v>57</v>
      </c>
      <c r="C463" s="0" t="s">
        <v>7372</v>
      </c>
      <c r="D463" s="0" t="s">
        <v>6416</v>
      </c>
      <c r="E463" s="0" t="s">
        <v>7373</v>
      </c>
      <c r="F463" s="0" t="n">
        <v>698</v>
      </c>
      <c r="G463" s="0" t="s">
        <v>277</v>
      </c>
      <c r="H463" s="0" t="s">
        <v>293</v>
      </c>
      <c r="I463" s="0" t="s">
        <v>7208</v>
      </c>
    </row>
    <row r="464" customFormat="false" ht="15" hidden="false" customHeight="false" outlineLevel="0" collapsed="false">
      <c r="A464" s="0" t="n">
        <v>19</v>
      </c>
      <c r="B464" s="0" t="s">
        <v>55</v>
      </c>
      <c r="C464" s="0" t="s">
        <v>7374</v>
      </c>
      <c r="D464" s="0" t="s">
        <v>6416</v>
      </c>
      <c r="E464" s="0" t="s">
        <v>7375</v>
      </c>
      <c r="F464" s="0" t="n">
        <v>775</v>
      </c>
      <c r="G464" s="0" t="s">
        <v>277</v>
      </c>
      <c r="H464" s="0" t="s">
        <v>293</v>
      </c>
      <c r="I464" s="0" t="s">
        <v>7376</v>
      </c>
    </row>
    <row r="465" customFormat="false" ht="15" hidden="false" customHeight="false" outlineLevel="0" collapsed="false">
      <c r="A465" s="0" t="n">
        <v>20</v>
      </c>
      <c r="B465" s="0" t="s">
        <v>57</v>
      </c>
      <c r="C465" s="0" t="s">
        <v>7377</v>
      </c>
      <c r="D465" s="0" t="s">
        <v>6416</v>
      </c>
      <c r="E465" s="0" t="s">
        <v>7378</v>
      </c>
      <c r="F465" s="0" t="n">
        <v>1124</v>
      </c>
      <c r="G465" s="0" t="s">
        <v>277</v>
      </c>
      <c r="H465" s="0" t="s">
        <v>293</v>
      </c>
      <c r="I465" s="0" t="s">
        <v>7379</v>
      </c>
    </row>
    <row r="466" customFormat="false" ht="15" hidden="false" customHeight="false" outlineLevel="0" collapsed="false">
      <c r="A466" s="0" t="n">
        <v>19</v>
      </c>
      <c r="B466" s="0" t="s">
        <v>55</v>
      </c>
      <c r="C466" s="0" t="s">
        <v>7380</v>
      </c>
      <c r="D466" s="0" t="s">
        <v>6416</v>
      </c>
      <c r="E466" s="0" t="s">
        <v>7381</v>
      </c>
      <c r="F466" s="0" t="n">
        <v>562</v>
      </c>
      <c r="G466" s="0" t="s">
        <v>277</v>
      </c>
      <c r="H466" s="0" t="s">
        <v>293</v>
      </c>
      <c r="I466" s="0" t="s">
        <v>7382</v>
      </c>
    </row>
    <row r="467" customFormat="false" ht="15" hidden="false" customHeight="false" outlineLevel="0" collapsed="false">
      <c r="A467" s="0" t="n">
        <v>13</v>
      </c>
      <c r="B467" s="0" t="s">
        <v>47</v>
      </c>
      <c r="C467" s="0" t="s">
        <v>7383</v>
      </c>
      <c r="D467" s="0" t="s">
        <v>35</v>
      </c>
      <c r="E467" s="0" t="s">
        <v>7384</v>
      </c>
      <c r="F467" s="0" t="n">
        <v>6424</v>
      </c>
      <c r="G467" s="0" t="s">
        <v>277</v>
      </c>
      <c r="H467" s="0" t="s">
        <v>293</v>
      </c>
      <c r="I467" s="0" t="s">
        <v>7385</v>
      </c>
    </row>
    <row r="468" customFormat="false" ht="15" hidden="false" customHeight="false" outlineLevel="0" collapsed="false">
      <c r="A468" s="0" t="n">
        <v>13</v>
      </c>
      <c r="B468" s="0" t="s">
        <v>47</v>
      </c>
      <c r="C468" s="0" t="s">
        <v>7386</v>
      </c>
      <c r="D468" s="0" t="s">
        <v>35</v>
      </c>
      <c r="E468" s="0" t="s">
        <v>7387</v>
      </c>
      <c r="F468" s="0" t="n">
        <v>1193</v>
      </c>
      <c r="G468" s="0" t="s">
        <v>277</v>
      </c>
      <c r="H468" s="0" t="s">
        <v>293</v>
      </c>
      <c r="I468" s="0" t="s">
        <v>7388</v>
      </c>
    </row>
    <row r="469" customFormat="false" ht="15" hidden="false" customHeight="false" outlineLevel="0" collapsed="false">
      <c r="A469" s="0" t="n">
        <v>20</v>
      </c>
      <c r="B469" s="0" t="s">
        <v>57</v>
      </c>
      <c r="C469" s="0" t="s">
        <v>7389</v>
      </c>
      <c r="D469" s="0" t="s">
        <v>6425</v>
      </c>
      <c r="E469" s="0" t="s">
        <v>7390</v>
      </c>
      <c r="F469" s="0" t="n">
        <v>1214</v>
      </c>
      <c r="G469" s="0" t="s">
        <v>277</v>
      </c>
      <c r="H469" s="0" t="s">
        <v>293</v>
      </c>
      <c r="I469" s="0" t="s">
        <v>7391</v>
      </c>
    </row>
    <row r="470" customFormat="false" ht="15" hidden="false" customHeight="false" outlineLevel="0" collapsed="false">
      <c r="A470" s="0" t="n">
        <v>19</v>
      </c>
      <c r="B470" s="0" t="s">
        <v>55</v>
      </c>
      <c r="C470" s="0" t="s">
        <v>7392</v>
      </c>
      <c r="D470" s="0" t="s">
        <v>6425</v>
      </c>
      <c r="E470" s="0" t="s">
        <v>7393</v>
      </c>
      <c r="F470" s="0" t="n">
        <v>370</v>
      </c>
      <c r="G470" s="0" t="s">
        <v>277</v>
      </c>
      <c r="H470" s="0" t="s">
        <v>293</v>
      </c>
      <c r="I470" s="0" t="s">
        <v>7394</v>
      </c>
    </row>
    <row r="471" customFormat="false" ht="15" hidden="false" customHeight="false" outlineLevel="0" collapsed="false">
      <c r="A471" s="0" t="n">
        <v>20</v>
      </c>
      <c r="B471" s="0" t="s">
        <v>57</v>
      </c>
      <c r="C471" s="0" t="s">
        <v>7395</v>
      </c>
      <c r="D471" s="0" t="s">
        <v>6416</v>
      </c>
      <c r="E471" s="0" t="s">
        <v>7396</v>
      </c>
      <c r="F471" s="0" t="n">
        <v>641</v>
      </c>
      <c r="G471" s="0" t="s">
        <v>277</v>
      </c>
      <c r="H471" s="0" t="s">
        <v>293</v>
      </c>
      <c r="I471" s="0" t="s">
        <v>7397</v>
      </c>
    </row>
    <row r="472" customFormat="false" ht="15" hidden="false" customHeight="false" outlineLevel="0" collapsed="false">
      <c r="A472" s="0" t="n">
        <v>13</v>
      </c>
      <c r="B472" s="0" t="s">
        <v>47</v>
      </c>
      <c r="C472" s="0" t="s">
        <v>7398</v>
      </c>
      <c r="D472" s="0" t="s">
        <v>91</v>
      </c>
      <c r="E472" s="0" t="s">
        <v>7399</v>
      </c>
      <c r="F472" s="0" t="n">
        <v>1603</v>
      </c>
      <c r="G472" s="0" t="s">
        <v>277</v>
      </c>
      <c r="H472" s="0" t="s">
        <v>293</v>
      </c>
      <c r="I472" s="0" t="s">
        <v>7400</v>
      </c>
    </row>
    <row r="473" customFormat="false" ht="15" hidden="false" customHeight="false" outlineLevel="0" collapsed="false">
      <c r="A473" s="0" t="n">
        <v>19</v>
      </c>
      <c r="B473" s="0" t="s">
        <v>55</v>
      </c>
      <c r="C473" s="0" t="s">
        <v>7401</v>
      </c>
      <c r="D473" s="0" t="s">
        <v>6416</v>
      </c>
      <c r="E473" s="0" t="s">
        <v>7402</v>
      </c>
      <c r="F473" s="0" t="n">
        <v>1410</v>
      </c>
      <c r="G473" s="0" t="s">
        <v>277</v>
      </c>
      <c r="H473" s="0" t="s">
        <v>293</v>
      </c>
      <c r="I473" s="0" t="s">
        <v>7403</v>
      </c>
    </row>
    <row r="474" customFormat="false" ht="15" hidden="false" customHeight="false" outlineLevel="0" collapsed="false">
      <c r="A474" s="0" t="n">
        <v>20</v>
      </c>
      <c r="B474" s="0" t="s">
        <v>57</v>
      </c>
      <c r="C474" s="0" t="s">
        <v>7404</v>
      </c>
      <c r="D474" s="0" t="s">
        <v>6416</v>
      </c>
      <c r="E474" s="0" t="s">
        <v>7405</v>
      </c>
      <c r="F474" s="0" t="n">
        <v>619</v>
      </c>
      <c r="G474" s="0" t="s">
        <v>277</v>
      </c>
      <c r="H474" s="0" t="s">
        <v>293</v>
      </c>
      <c r="I474" s="0" t="s">
        <v>7406</v>
      </c>
    </row>
    <row r="475" customFormat="false" ht="15" hidden="false" customHeight="false" outlineLevel="0" collapsed="false">
      <c r="A475" s="0" t="n">
        <v>19</v>
      </c>
      <c r="B475" s="0" t="s">
        <v>55</v>
      </c>
      <c r="C475" s="0" t="s">
        <v>7407</v>
      </c>
      <c r="D475" s="0" t="s">
        <v>35</v>
      </c>
      <c r="E475" s="0" t="s">
        <v>7408</v>
      </c>
      <c r="F475" s="0" t="n">
        <v>600</v>
      </c>
      <c r="G475" s="0" t="s">
        <v>277</v>
      </c>
      <c r="H475" s="0" t="s">
        <v>293</v>
      </c>
      <c r="I475" s="0" t="s">
        <v>7409</v>
      </c>
    </row>
    <row r="476" customFormat="false" ht="15" hidden="false" customHeight="false" outlineLevel="0" collapsed="false">
      <c r="A476" s="0" t="n">
        <v>13</v>
      </c>
      <c r="B476" s="0" t="s">
        <v>47</v>
      </c>
      <c r="C476" s="0" t="s">
        <v>7410</v>
      </c>
      <c r="D476" s="0" t="s">
        <v>35</v>
      </c>
      <c r="E476" s="0" t="s">
        <v>7411</v>
      </c>
      <c r="F476" s="0" t="n">
        <v>787</v>
      </c>
      <c r="G476" s="0" t="s">
        <v>277</v>
      </c>
      <c r="H476" s="0" t="s">
        <v>293</v>
      </c>
      <c r="I476" s="0" t="s">
        <v>7412</v>
      </c>
    </row>
    <row r="477" customFormat="false" ht="15" hidden="false" customHeight="false" outlineLevel="0" collapsed="false">
      <c r="A477" s="0" t="n">
        <v>20</v>
      </c>
      <c r="B477" s="0" t="s">
        <v>57</v>
      </c>
      <c r="C477" s="0" t="s">
        <v>7413</v>
      </c>
      <c r="D477" s="0" t="s">
        <v>6425</v>
      </c>
      <c r="E477" s="0" t="s">
        <v>7414</v>
      </c>
      <c r="F477" s="0" t="n">
        <v>444</v>
      </c>
      <c r="G477" s="0" t="s">
        <v>277</v>
      </c>
      <c r="H477" s="0" t="s">
        <v>293</v>
      </c>
      <c r="I477" s="0" t="s">
        <v>7415</v>
      </c>
    </row>
    <row r="478" customFormat="false" ht="15" hidden="false" customHeight="false" outlineLevel="0" collapsed="false">
      <c r="A478" s="0" t="n">
        <v>13</v>
      </c>
      <c r="B478" s="0" t="s">
        <v>47</v>
      </c>
      <c r="C478" s="0" t="s">
        <v>7416</v>
      </c>
      <c r="D478" s="0" t="s">
        <v>35</v>
      </c>
      <c r="E478" s="0" t="s">
        <v>7417</v>
      </c>
      <c r="F478" s="0" t="n">
        <v>1884</v>
      </c>
      <c r="G478" s="0" t="s">
        <v>277</v>
      </c>
      <c r="H478" s="0" t="s">
        <v>293</v>
      </c>
      <c r="I478" s="0" t="s">
        <v>7418</v>
      </c>
    </row>
    <row r="479" customFormat="false" ht="15" hidden="false" customHeight="false" outlineLevel="0" collapsed="false">
      <c r="A479" s="0" t="n">
        <v>19</v>
      </c>
      <c r="B479" s="0" t="s">
        <v>55</v>
      </c>
      <c r="C479" s="0" t="s">
        <v>7419</v>
      </c>
      <c r="D479" s="0" t="s">
        <v>91</v>
      </c>
      <c r="E479" s="0" t="s">
        <v>7420</v>
      </c>
      <c r="F479" s="0" t="n">
        <v>683</v>
      </c>
      <c r="G479" s="0" t="s">
        <v>277</v>
      </c>
      <c r="H479" s="0" t="s">
        <v>293</v>
      </c>
      <c r="I479" s="0" t="s">
        <v>7421</v>
      </c>
    </row>
    <row r="480" customFormat="false" ht="15" hidden="false" customHeight="false" outlineLevel="0" collapsed="false">
      <c r="A480" s="0" t="n">
        <v>20</v>
      </c>
      <c r="B480" s="0" t="s">
        <v>57</v>
      </c>
      <c r="C480" s="0" t="s">
        <v>7422</v>
      </c>
      <c r="D480" s="0" t="s">
        <v>6416</v>
      </c>
      <c r="E480" s="0" t="s">
        <v>7423</v>
      </c>
      <c r="F480" s="0" t="n">
        <v>352</v>
      </c>
      <c r="G480" s="0" t="s">
        <v>277</v>
      </c>
      <c r="H480" s="0" t="s">
        <v>293</v>
      </c>
      <c r="I480" s="0" t="s">
        <v>7424</v>
      </c>
    </row>
    <row r="481" customFormat="false" ht="15" hidden="false" customHeight="false" outlineLevel="0" collapsed="false">
      <c r="A481" s="0" t="n">
        <v>13</v>
      </c>
      <c r="B481" s="0" t="s">
        <v>47</v>
      </c>
      <c r="C481" s="0" t="s">
        <v>7425</v>
      </c>
      <c r="D481" s="0" t="s">
        <v>35</v>
      </c>
      <c r="E481" s="0" t="s">
        <v>7426</v>
      </c>
      <c r="F481" s="0" t="n">
        <v>1185</v>
      </c>
      <c r="G481" s="0" t="s">
        <v>277</v>
      </c>
      <c r="H481" s="0" t="s">
        <v>293</v>
      </c>
      <c r="I481" s="0" t="s">
        <v>7427</v>
      </c>
    </row>
    <row r="482" customFormat="false" ht="15" hidden="false" customHeight="false" outlineLevel="0" collapsed="false">
      <c r="A482" s="0" t="n">
        <v>19</v>
      </c>
      <c r="B482" s="0" t="s">
        <v>55</v>
      </c>
      <c r="C482" s="0" t="s">
        <v>7428</v>
      </c>
      <c r="D482" s="0" t="s">
        <v>6425</v>
      </c>
      <c r="E482" s="0" t="s">
        <v>7429</v>
      </c>
      <c r="F482" s="0" t="n">
        <v>702</v>
      </c>
      <c r="G482" s="0" t="s">
        <v>277</v>
      </c>
      <c r="H482" s="0" t="s">
        <v>293</v>
      </c>
      <c r="I482" s="0" t="s">
        <v>7430</v>
      </c>
    </row>
    <row r="483" customFormat="false" ht="15" hidden="false" customHeight="false" outlineLevel="0" collapsed="false">
      <c r="A483" s="0" t="n">
        <v>20</v>
      </c>
      <c r="B483" s="0" t="s">
        <v>57</v>
      </c>
      <c r="C483" s="0" t="s">
        <v>7431</v>
      </c>
      <c r="D483" s="0" t="s">
        <v>6416</v>
      </c>
      <c r="E483" s="0" t="s">
        <v>7432</v>
      </c>
      <c r="F483" s="0" t="n">
        <v>434</v>
      </c>
      <c r="G483" s="0" t="s">
        <v>277</v>
      </c>
      <c r="H483" s="0" t="s">
        <v>293</v>
      </c>
      <c r="I483" s="0" t="s">
        <v>7433</v>
      </c>
    </row>
    <row r="484" customFormat="false" ht="15" hidden="false" customHeight="false" outlineLevel="0" collapsed="false">
      <c r="A484" s="0" t="n">
        <v>19</v>
      </c>
      <c r="B484" s="0" t="s">
        <v>55</v>
      </c>
      <c r="C484" s="0" t="s">
        <v>7434</v>
      </c>
      <c r="D484" s="0" t="s">
        <v>6425</v>
      </c>
      <c r="E484" s="0" t="s">
        <v>7435</v>
      </c>
      <c r="F484" s="0" t="n">
        <v>979</v>
      </c>
      <c r="G484" s="0" t="s">
        <v>277</v>
      </c>
      <c r="H484" s="0" t="s">
        <v>293</v>
      </c>
      <c r="I484" s="0" t="s">
        <v>7436</v>
      </c>
    </row>
    <row r="485" customFormat="false" ht="15" hidden="false" customHeight="false" outlineLevel="0" collapsed="false">
      <c r="A485" s="0" t="n">
        <v>13</v>
      </c>
      <c r="B485" s="0" t="s">
        <v>47</v>
      </c>
      <c r="C485" s="0" t="s">
        <v>7437</v>
      </c>
      <c r="D485" s="0" t="s">
        <v>35</v>
      </c>
      <c r="E485" s="0" t="s">
        <v>7438</v>
      </c>
      <c r="F485" s="0" t="n">
        <v>1283</v>
      </c>
      <c r="G485" s="0" t="s">
        <v>277</v>
      </c>
      <c r="H485" s="0" t="s">
        <v>293</v>
      </c>
      <c r="I485" s="0" t="s">
        <v>7439</v>
      </c>
    </row>
    <row r="486" customFormat="false" ht="15" hidden="false" customHeight="false" outlineLevel="0" collapsed="false">
      <c r="A486" s="0" t="n">
        <v>20</v>
      </c>
      <c r="B486" s="0" t="s">
        <v>57</v>
      </c>
      <c r="C486" s="0" t="s">
        <v>7440</v>
      </c>
      <c r="D486" s="0" t="s">
        <v>6416</v>
      </c>
      <c r="E486" s="0" t="s">
        <v>7441</v>
      </c>
      <c r="F486" s="0" t="n">
        <v>1067</v>
      </c>
      <c r="G486" s="0" t="s">
        <v>277</v>
      </c>
      <c r="H486" s="0" t="s">
        <v>293</v>
      </c>
      <c r="I486" s="0" t="s">
        <v>7442</v>
      </c>
    </row>
    <row r="487" customFormat="false" ht="15" hidden="false" customHeight="false" outlineLevel="0" collapsed="false">
      <c r="A487" s="0" t="n">
        <v>13</v>
      </c>
      <c r="B487" s="0" t="s">
        <v>47</v>
      </c>
      <c r="C487" s="0" t="s">
        <v>7443</v>
      </c>
      <c r="D487" s="0" t="s">
        <v>35</v>
      </c>
      <c r="E487" s="0" t="s">
        <v>7444</v>
      </c>
      <c r="F487" s="0" t="n">
        <v>3416</v>
      </c>
      <c r="G487" s="0" t="s">
        <v>277</v>
      </c>
      <c r="H487" s="0" t="s">
        <v>293</v>
      </c>
      <c r="I487" s="0" t="s">
        <v>7445</v>
      </c>
    </row>
    <row r="488" customFormat="false" ht="15" hidden="false" customHeight="false" outlineLevel="0" collapsed="false">
      <c r="A488" s="0" t="n">
        <v>13</v>
      </c>
      <c r="B488" s="0" t="s">
        <v>47</v>
      </c>
      <c r="C488" s="0" t="s">
        <v>7446</v>
      </c>
      <c r="D488" s="0" t="s">
        <v>35</v>
      </c>
      <c r="E488" s="0" t="s">
        <v>7447</v>
      </c>
      <c r="F488" s="0" t="n">
        <v>10067</v>
      </c>
      <c r="G488" s="0" t="s">
        <v>277</v>
      </c>
      <c r="H488" s="0" t="s">
        <v>293</v>
      </c>
      <c r="I488" s="0" t="s">
        <v>7448</v>
      </c>
    </row>
    <row r="489" customFormat="false" ht="15" hidden="false" customHeight="false" outlineLevel="0" collapsed="false">
      <c r="A489" s="0" t="n">
        <v>19</v>
      </c>
      <c r="B489" s="0" t="s">
        <v>55</v>
      </c>
      <c r="C489" s="0" t="s">
        <v>7449</v>
      </c>
      <c r="D489" s="0" t="s">
        <v>6416</v>
      </c>
      <c r="E489" s="0" t="s">
        <v>7450</v>
      </c>
      <c r="F489" s="0" t="n">
        <v>839</v>
      </c>
      <c r="G489" s="0" t="s">
        <v>277</v>
      </c>
      <c r="H489" s="0" t="s">
        <v>293</v>
      </c>
      <c r="I489" s="0" t="s">
        <v>7451</v>
      </c>
    </row>
    <row r="490" customFormat="false" ht="15" hidden="false" customHeight="false" outlineLevel="0" collapsed="false">
      <c r="A490" s="0" t="n">
        <v>20</v>
      </c>
      <c r="B490" s="0" t="s">
        <v>57</v>
      </c>
      <c r="C490" s="0" t="s">
        <v>7452</v>
      </c>
      <c r="D490" s="0" t="s">
        <v>6425</v>
      </c>
      <c r="E490" s="0" t="s">
        <v>7453</v>
      </c>
      <c r="F490" s="0" t="n">
        <v>626</v>
      </c>
      <c r="G490" s="0" t="s">
        <v>277</v>
      </c>
      <c r="H490" s="0" t="s">
        <v>293</v>
      </c>
      <c r="I490" s="0" t="s">
        <v>7454</v>
      </c>
    </row>
    <row r="491" customFormat="false" ht="15" hidden="false" customHeight="false" outlineLevel="0" collapsed="false">
      <c r="A491" s="0" t="n">
        <v>19</v>
      </c>
      <c r="B491" s="0" t="s">
        <v>55</v>
      </c>
      <c r="C491" s="0" t="s">
        <v>7455</v>
      </c>
      <c r="D491" s="0" t="s">
        <v>6416</v>
      </c>
      <c r="E491" s="0" t="s">
        <v>7456</v>
      </c>
      <c r="F491" s="0" t="n">
        <v>1220</v>
      </c>
      <c r="G491" s="0" t="s">
        <v>277</v>
      </c>
      <c r="H491" s="0" t="s">
        <v>293</v>
      </c>
      <c r="I491" s="0" t="s">
        <v>7457</v>
      </c>
    </row>
    <row r="492" customFormat="false" ht="15" hidden="false" customHeight="false" outlineLevel="0" collapsed="false">
      <c r="A492" s="0" t="n">
        <v>20</v>
      </c>
      <c r="B492" s="0" t="s">
        <v>57</v>
      </c>
      <c r="C492" s="0" t="s">
        <v>7458</v>
      </c>
      <c r="D492" s="0" t="s">
        <v>6425</v>
      </c>
      <c r="E492" s="0" t="s">
        <v>7459</v>
      </c>
      <c r="F492" s="0" t="n">
        <v>1509</v>
      </c>
      <c r="G492" s="0" t="s">
        <v>277</v>
      </c>
      <c r="H492" s="0" t="s">
        <v>293</v>
      </c>
      <c r="I492" s="0" t="s">
        <v>7460</v>
      </c>
    </row>
    <row r="493" customFormat="false" ht="15" hidden="false" customHeight="false" outlineLevel="0" collapsed="false">
      <c r="A493" s="0" t="n">
        <v>13</v>
      </c>
      <c r="B493" s="0" t="s">
        <v>47</v>
      </c>
      <c r="C493" s="0" t="s">
        <v>7461</v>
      </c>
      <c r="D493" s="0" t="s">
        <v>35</v>
      </c>
      <c r="E493" s="0" t="s">
        <v>7462</v>
      </c>
      <c r="F493" s="0" t="n">
        <v>5963</v>
      </c>
      <c r="G493" s="0" t="s">
        <v>277</v>
      </c>
      <c r="H493" s="0" t="s">
        <v>293</v>
      </c>
      <c r="I493" s="0" t="s">
        <v>7463</v>
      </c>
    </row>
    <row r="494" customFormat="false" ht="15" hidden="false" customHeight="false" outlineLevel="0" collapsed="false">
      <c r="A494" s="0" t="n">
        <v>20</v>
      </c>
      <c r="B494" s="0" t="s">
        <v>57</v>
      </c>
      <c r="C494" s="0" t="s">
        <v>7464</v>
      </c>
      <c r="D494" s="0" t="s">
        <v>6416</v>
      </c>
      <c r="E494" s="0" t="s">
        <v>7465</v>
      </c>
      <c r="F494" s="0" t="n">
        <v>456</v>
      </c>
      <c r="G494" s="0" t="s">
        <v>277</v>
      </c>
      <c r="H494" s="0" t="s">
        <v>293</v>
      </c>
      <c r="I494" s="0" t="s">
        <v>7466</v>
      </c>
    </row>
    <row r="495" customFormat="false" ht="15" hidden="false" customHeight="false" outlineLevel="0" collapsed="false">
      <c r="A495" s="0" t="n">
        <v>13</v>
      </c>
      <c r="B495" s="0" t="s">
        <v>47</v>
      </c>
      <c r="C495" s="0" t="s">
        <v>7467</v>
      </c>
      <c r="D495" s="0" t="s">
        <v>35</v>
      </c>
      <c r="E495" s="0" t="s">
        <v>7468</v>
      </c>
      <c r="F495" s="0" t="n">
        <v>1148</v>
      </c>
      <c r="G495" s="0" t="s">
        <v>277</v>
      </c>
      <c r="H495" s="0" t="s">
        <v>293</v>
      </c>
      <c r="I495" s="0" t="s">
        <v>7469</v>
      </c>
    </row>
    <row r="496" customFormat="false" ht="15" hidden="false" customHeight="false" outlineLevel="0" collapsed="false">
      <c r="A496" s="0" t="n">
        <v>13</v>
      </c>
      <c r="B496" s="0" t="s">
        <v>47</v>
      </c>
      <c r="C496" s="0" t="s">
        <v>7470</v>
      </c>
      <c r="D496" s="0" t="s">
        <v>35</v>
      </c>
      <c r="E496" s="0" t="s">
        <v>7471</v>
      </c>
      <c r="F496" s="0" t="n">
        <v>4760</v>
      </c>
      <c r="G496" s="0" t="s">
        <v>277</v>
      </c>
      <c r="H496" s="0" t="s">
        <v>293</v>
      </c>
      <c r="I496" s="0" t="s">
        <v>7472</v>
      </c>
    </row>
    <row r="497" customFormat="false" ht="15" hidden="false" customHeight="false" outlineLevel="0" collapsed="false">
      <c r="A497" s="0" t="n">
        <v>20</v>
      </c>
      <c r="B497" s="0" t="s">
        <v>57</v>
      </c>
      <c r="C497" s="0" t="s">
        <v>7473</v>
      </c>
      <c r="D497" s="0" t="s">
        <v>6416</v>
      </c>
      <c r="E497" s="0" t="s">
        <v>7474</v>
      </c>
      <c r="F497" s="0" t="n">
        <v>1872</v>
      </c>
      <c r="G497" s="0" t="s">
        <v>277</v>
      </c>
      <c r="H497" s="0" t="s">
        <v>293</v>
      </c>
      <c r="I497" s="0" t="s">
        <v>7475</v>
      </c>
    </row>
    <row r="498" customFormat="false" ht="15" hidden="false" customHeight="false" outlineLevel="0" collapsed="false">
      <c r="A498" s="0" t="n">
        <v>13</v>
      </c>
      <c r="B498" s="0" t="s">
        <v>47</v>
      </c>
      <c r="C498" s="0" t="s">
        <v>7476</v>
      </c>
      <c r="D498" s="0" t="s">
        <v>35</v>
      </c>
      <c r="E498" s="0" t="s">
        <v>7477</v>
      </c>
      <c r="F498" s="0" t="n">
        <v>1605</v>
      </c>
      <c r="G498" s="0" t="s">
        <v>277</v>
      </c>
      <c r="H498" s="0" t="s">
        <v>293</v>
      </c>
      <c r="I498" s="0" t="s">
        <v>7478</v>
      </c>
    </row>
    <row r="499" customFormat="false" ht="15" hidden="false" customHeight="false" outlineLevel="0" collapsed="false">
      <c r="A499" s="0" t="n">
        <v>13</v>
      </c>
      <c r="B499" s="0" t="s">
        <v>47</v>
      </c>
      <c r="C499" s="0" t="s">
        <v>7479</v>
      </c>
      <c r="D499" s="0" t="s">
        <v>35</v>
      </c>
      <c r="E499" s="0" t="s">
        <v>7480</v>
      </c>
      <c r="F499" s="0" t="n">
        <v>943</v>
      </c>
      <c r="G499" s="0" t="s">
        <v>277</v>
      </c>
      <c r="H499" s="0" t="s">
        <v>293</v>
      </c>
      <c r="I499" s="0" t="s">
        <v>7101</v>
      </c>
    </row>
    <row r="500" customFormat="false" ht="15" hidden="false" customHeight="false" outlineLevel="0" collapsed="false">
      <c r="A500" s="0" t="n">
        <v>13</v>
      </c>
      <c r="B500" s="0" t="s">
        <v>47</v>
      </c>
      <c r="C500" s="0" t="s">
        <v>7481</v>
      </c>
      <c r="D500" s="0" t="s">
        <v>35</v>
      </c>
      <c r="E500" s="0" t="s">
        <v>7482</v>
      </c>
      <c r="F500" s="0" t="n">
        <v>3098</v>
      </c>
      <c r="G500" s="0" t="s">
        <v>277</v>
      </c>
      <c r="H500" s="0" t="s">
        <v>293</v>
      </c>
      <c r="I500" s="0" t="s">
        <v>7483</v>
      </c>
    </row>
    <row r="501" customFormat="false" ht="15" hidden="false" customHeight="false" outlineLevel="0" collapsed="false">
      <c r="A501" s="0" t="n">
        <v>13</v>
      </c>
      <c r="B501" s="0" t="s">
        <v>47</v>
      </c>
      <c r="C501" s="0" t="s">
        <v>7484</v>
      </c>
      <c r="D501" s="0" t="s">
        <v>35</v>
      </c>
      <c r="E501" s="0" t="s">
        <v>7485</v>
      </c>
      <c r="F501" s="0" t="n">
        <v>727</v>
      </c>
      <c r="G501" s="0" t="s">
        <v>277</v>
      </c>
      <c r="H501" s="0" t="s">
        <v>293</v>
      </c>
      <c r="I501" s="0" t="s">
        <v>7486</v>
      </c>
    </row>
    <row r="502" customFormat="false" ht="15" hidden="false" customHeight="false" outlineLevel="0" collapsed="false">
      <c r="A502" s="0" t="n">
        <v>13</v>
      </c>
      <c r="B502" s="0" t="s">
        <v>47</v>
      </c>
      <c r="C502" s="0" t="s">
        <v>7487</v>
      </c>
      <c r="D502" s="0" t="s">
        <v>35</v>
      </c>
      <c r="E502" s="0" t="s">
        <v>7488</v>
      </c>
      <c r="F502" s="0" t="n">
        <v>5453</v>
      </c>
      <c r="G502" s="0" t="s">
        <v>277</v>
      </c>
      <c r="H502" s="0" t="s">
        <v>293</v>
      </c>
      <c r="I502" s="0" t="s">
        <v>7489</v>
      </c>
    </row>
    <row r="503" customFormat="false" ht="15" hidden="false" customHeight="false" outlineLevel="0" collapsed="false">
      <c r="A503" s="0" t="n">
        <v>13</v>
      </c>
      <c r="B503" s="0" t="s">
        <v>47</v>
      </c>
      <c r="C503" s="0" t="s">
        <v>7490</v>
      </c>
      <c r="D503" s="0" t="s">
        <v>91</v>
      </c>
      <c r="E503" s="0" t="s">
        <v>7491</v>
      </c>
      <c r="F503" s="0" t="n">
        <v>1604</v>
      </c>
      <c r="G503" s="0" t="s">
        <v>277</v>
      </c>
      <c r="H503" s="0" t="s">
        <v>293</v>
      </c>
      <c r="I503" s="0" t="s">
        <v>7492</v>
      </c>
    </row>
    <row r="504" customFormat="false" ht="15" hidden="false" customHeight="false" outlineLevel="0" collapsed="false">
      <c r="A504" s="0" t="n">
        <v>13</v>
      </c>
      <c r="B504" s="0" t="s">
        <v>47</v>
      </c>
      <c r="C504" s="0" t="s">
        <v>7493</v>
      </c>
      <c r="D504" s="0" t="s">
        <v>35</v>
      </c>
      <c r="E504" s="0" t="s">
        <v>7494</v>
      </c>
      <c r="F504" s="0" t="n">
        <v>1519</v>
      </c>
      <c r="G504" s="0" t="s">
        <v>277</v>
      </c>
      <c r="H504" s="0" t="s">
        <v>293</v>
      </c>
      <c r="I504" s="0" t="s">
        <v>7495</v>
      </c>
    </row>
    <row r="505" customFormat="false" ht="15" hidden="false" customHeight="false" outlineLevel="0" collapsed="false">
      <c r="A505" s="0" t="n">
        <v>13</v>
      </c>
      <c r="B505" s="0" t="s">
        <v>47</v>
      </c>
      <c r="C505" s="0" t="s">
        <v>7496</v>
      </c>
      <c r="D505" s="0" t="s">
        <v>35</v>
      </c>
      <c r="E505" s="0" t="s">
        <v>7497</v>
      </c>
      <c r="F505" s="0" t="n">
        <v>1365</v>
      </c>
      <c r="G505" s="0" t="s">
        <v>277</v>
      </c>
      <c r="H505" s="0" t="s">
        <v>293</v>
      </c>
      <c r="I505" s="0" t="s">
        <v>7498</v>
      </c>
    </row>
    <row r="506" customFormat="false" ht="15" hidden="false" customHeight="false" outlineLevel="0" collapsed="false">
      <c r="A506" s="0" t="n">
        <v>13</v>
      </c>
      <c r="B506" s="0" t="s">
        <v>47</v>
      </c>
      <c r="C506" s="0" t="s">
        <v>7499</v>
      </c>
      <c r="D506" s="0" t="s">
        <v>35</v>
      </c>
      <c r="E506" s="0" t="s">
        <v>7500</v>
      </c>
      <c r="F506" s="0" t="n">
        <v>10505</v>
      </c>
      <c r="G506" s="0" t="s">
        <v>277</v>
      </c>
      <c r="H506" s="0" t="s">
        <v>293</v>
      </c>
      <c r="I506" s="0" t="s">
        <v>7501</v>
      </c>
    </row>
    <row r="507" customFormat="false" ht="15" hidden="false" customHeight="false" outlineLevel="0" collapsed="false">
      <c r="A507" s="0" t="n">
        <v>13</v>
      </c>
      <c r="B507" s="0" t="s">
        <v>47</v>
      </c>
      <c r="C507" s="0" t="s">
        <v>7502</v>
      </c>
      <c r="D507" s="0" t="s">
        <v>35</v>
      </c>
      <c r="E507" s="0" t="s">
        <v>7503</v>
      </c>
      <c r="F507" s="0" t="n">
        <v>4445</v>
      </c>
      <c r="G507" s="0" t="s">
        <v>277</v>
      </c>
      <c r="H507" s="0" t="s">
        <v>293</v>
      </c>
      <c r="I507" s="0" t="s">
        <v>7504</v>
      </c>
    </row>
    <row r="508" customFormat="false" ht="15" hidden="false" customHeight="false" outlineLevel="0" collapsed="false">
      <c r="A508" s="0" t="n">
        <v>13</v>
      </c>
      <c r="B508" s="0" t="s">
        <v>47</v>
      </c>
      <c r="C508" s="0" t="s">
        <v>7505</v>
      </c>
      <c r="D508" s="0" t="s">
        <v>35</v>
      </c>
      <c r="E508" s="0" t="s">
        <v>7506</v>
      </c>
      <c r="F508" s="0" t="n">
        <v>3223</v>
      </c>
      <c r="G508" s="0" t="s">
        <v>277</v>
      </c>
      <c r="H508" s="0" t="s">
        <v>293</v>
      </c>
      <c r="I508" s="0" t="s">
        <v>7507</v>
      </c>
    </row>
    <row r="509" customFormat="false" ht="15" hidden="false" customHeight="false" outlineLevel="0" collapsed="false">
      <c r="A509" s="0" t="n">
        <v>13</v>
      </c>
      <c r="B509" s="0" t="s">
        <v>47</v>
      </c>
      <c r="C509" s="0" t="s">
        <v>7508</v>
      </c>
      <c r="D509" s="0" t="s">
        <v>35</v>
      </c>
      <c r="E509" s="0" t="s">
        <v>7509</v>
      </c>
      <c r="F509" s="0" t="n">
        <v>7204</v>
      </c>
      <c r="G509" s="0" t="s">
        <v>277</v>
      </c>
      <c r="H509" s="0" t="s">
        <v>293</v>
      </c>
      <c r="I509" s="0" t="s">
        <v>7510</v>
      </c>
    </row>
    <row r="510" customFormat="false" ht="15" hidden="false" customHeight="false" outlineLevel="0" collapsed="false">
      <c r="A510" s="0" t="n">
        <v>13</v>
      </c>
      <c r="B510" s="0" t="s">
        <v>47</v>
      </c>
      <c r="C510" s="0" t="s">
        <v>7511</v>
      </c>
      <c r="D510" s="0" t="s">
        <v>35</v>
      </c>
      <c r="E510" s="0" t="s">
        <v>7512</v>
      </c>
      <c r="F510" s="0" t="n">
        <v>1904</v>
      </c>
      <c r="G510" s="0" t="s">
        <v>277</v>
      </c>
      <c r="H510" s="0" t="s">
        <v>293</v>
      </c>
      <c r="I510" s="0" t="s">
        <v>7513</v>
      </c>
    </row>
    <row r="511" customFormat="false" ht="15" hidden="false" customHeight="false" outlineLevel="0" collapsed="false">
      <c r="A511" s="0" t="n">
        <v>13</v>
      </c>
      <c r="B511" s="0" t="s">
        <v>47</v>
      </c>
      <c r="C511" s="0" t="s">
        <v>7514</v>
      </c>
      <c r="D511" s="0" t="s">
        <v>35</v>
      </c>
      <c r="E511" s="0" t="s">
        <v>7515</v>
      </c>
      <c r="F511" s="0" t="n">
        <v>1065</v>
      </c>
      <c r="G511" s="0" t="s">
        <v>277</v>
      </c>
      <c r="H511" s="0" t="s">
        <v>293</v>
      </c>
      <c r="I511" s="0" t="s">
        <v>7516</v>
      </c>
    </row>
    <row r="512" customFormat="false" ht="15" hidden="false" customHeight="false" outlineLevel="0" collapsed="false">
      <c r="A512" s="0" t="n">
        <v>13</v>
      </c>
      <c r="B512" s="0" t="s">
        <v>47</v>
      </c>
      <c r="C512" s="0" t="s">
        <v>7517</v>
      </c>
      <c r="D512" s="0" t="s">
        <v>35</v>
      </c>
      <c r="E512" s="0" t="s">
        <v>7518</v>
      </c>
      <c r="F512" s="0" t="n">
        <v>3624</v>
      </c>
      <c r="G512" s="0" t="s">
        <v>277</v>
      </c>
      <c r="H512" s="0" t="s">
        <v>293</v>
      </c>
      <c r="I512" s="0" t="s">
        <v>7519</v>
      </c>
    </row>
    <row r="513" customFormat="false" ht="15" hidden="false" customHeight="false" outlineLevel="0" collapsed="false">
      <c r="A513" s="0" t="n">
        <v>13</v>
      </c>
      <c r="B513" s="0" t="s">
        <v>47</v>
      </c>
      <c r="C513" s="0" t="s">
        <v>7520</v>
      </c>
      <c r="D513" s="0" t="s">
        <v>91</v>
      </c>
      <c r="E513" s="0" t="s">
        <v>7521</v>
      </c>
      <c r="F513" s="0" t="n">
        <v>1692</v>
      </c>
      <c r="G513" s="0" t="s">
        <v>277</v>
      </c>
      <c r="H513" s="0" t="s">
        <v>293</v>
      </c>
      <c r="I513" s="0" t="s">
        <v>7522</v>
      </c>
    </row>
    <row r="514" customFormat="false" ht="15" hidden="false" customHeight="false" outlineLevel="0" collapsed="false">
      <c r="A514" s="0" t="n">
        <v>13</v>
      </c>
      <c r="B514" s="0" t="s">
        <v>47</v>
      </c>
      <c r="C514" s="0" t="s">
        <v>7523</v>
      </c>
      <c r="D514" s="0" t="s">
        <v>35</v>
      </c>
      <c r="E514" s="0" t="s">
        <v>7524</v>
      </c>
      <c r="F514" s="0" t="n">
        <v>14862</v>
      </c>
      <c r="G514" s="0" t="s">
        <v>277</v>
      </c>
      <c r="H514" s="0" t="s">
        <v>293</v>
      </c>
      <c r="I514" s="0" t="s">
        <v>7525</v>
      </c>
    </row>
    <row r="515" customFormat="false" ht="15" hidden="false" customHeight="false" outlineLevel="0" collapsed="false">
      <c r="A515" s="0" t="n">
        <v>13</v>
      </c>
      <c r="B515" s="0" t="s">
        <v>47</v>
      </c>
      <c r="C515" s="0" t="s">
        <v>7526</v>
      </c>
      <c r="D515" s="0" t="s">
        <v>35</v>
      </c>
      <c r="E515" s="0" t="s">
        <v>7527</v>
      </c>
      <c r="F515" s="0" t="n">
        <v>3071</v>
      </c>
      <c r="G515" s="0" t="s">
        <v>277</v>
      </c>
      <c r="H515" s="0" t="s">
        <v>293</v>
      </c>
      <c r="I515" s="0" t="s">
        <v>7528</v>
      </c>
    </row>
    <row r="516" customFormat="false" ht="15" hidden="false" customHeight="false" outlineLevel="0" collapsed="false">
      <c r="A516" s="0" t="n">
        <v>13</v>
      </c>
      <c r="B516" s="0" t="s">
        <v>47</v>
      </c>
      <c r="C516" s="0" t="s">
        <v>7529</v>
      </c>
      <c r="D516" s="0" t="s">
        <v>91</v>
      </c>
      <c r="E516" s="0" t="s">
        <v>7530</v>
      </c>
      <c r="F516" s="0" t="n">
        <v>2030</v>
      </c>
      <c r="G516" s="0" t="s">
        <v>277</v>
      </c>
      <c r="H516" s="0" t="s">
        <v>293</v>
      </c>
      <c r="I516" s="0" t="s">
        <v>7531</v>
      </c>
    </row>
    <row r="517" customFormat="false" ht="15" hidden="false" customHeight="false" outlineLevel="0" collapsed="false">
      <c r="A517" s="0" t="n">
        <v>13</v>
      </c>
      <c r="B517" s="0" t="s">
        <v>47</v>
      </c>
      <c r="C517" s="0" t="s">
        <v>7532</v>
      </c>
      <c r="D517" s="0" t="s">
        <v>35</v>
      </c>
      <c r="E517" s="0" t="s">
        <v>7533</v>
      </c>
      <c r="F517" s="0" t="n">
        <v>961</v>
      </c>
      <c r="G517" s="0" t="s">
        <v>277</v>
      </c>
      <c r="H517" s="0" t="s">
        <v>293</v>
      </c>
      <c r="I517" s="0" t="s">
        <v>7534</v>
      </c>
    </row>
    <row r="518" customFormat="false" ht="15" hidden="false" customHeight="false" outlineLevel="0" collapsed="false">
      <c r="A518" s="0" t="n">
        <v>13</v>
      </c>
      <c r="B518" s="0" t="s">
        <v>47</v>
      </c>
      <c r="C518" s="0" t="s">
        <v>7535</v>
      </c>
      <c r="D518" s="0" t="s">
        <v>35</v>
      </c>
      <c r="E518" s="0" t="s">
        <v>7536</v>
      </c>
      <c r="F518" s="0" t="n">
        <v>948</v>
      </c>
      <c r="G518" s="0" t="s">
        <v>277</v>
      </c>
      <c r="H518" s="0" t="s">
        <v>293</v>
      </c>
      <c r="I518" s="0" t="s">
        <v>7537</v>
      </c>
    </row>
    <row r="519" customFormat="false" ht="15" hidden="false" customHeight="false" outlineLevel="0" collapsed="false">
      <c r="A519" s="0" t="n">
        <v>13</v>
      </c>
      <c r="B519" s="0" t="s">
        <v>47</v>
      </c>
      <c r="C519" s="0" t="s">
        <v>7538</v>
      </c>
      <c r="D519" s="0" t="s">
        <v>35</v>
      </c>
      <c r="E519" s="0" t="s">
        <v>7539</v>
      </c>
      <c r="F519" s="0" t="n">
        <v>923</v>
      </c>
      <c r="G519" s="0" t="s">
        <v>277</v>
      </c>
      <c r="H519" s="0" t="s">
        <v>293</v>
      </c>
      <c r="I519" s="0" t="s">
        <v>7101</v>
      </c>
    </row>
    <row r="520" customFormat="false" ht="15" hidden="false" customHeight="false" outlineLevel="0" collapsed="false">
      <c r="A520" s="0" t="n">
        <v>24</v>
      </c>
      <c r="B520" s="0" t="s">
        <v>62</v>
      </c>
      <c r="C520" s="0" t="s">
        <v>7540</v>
      </c>
      <c r="D520" s="0" t="s">
        <v>6416</v>
      </c>
      <c r="E520" s="0" t="s">
        <v>7541</v>
      </c>
      <c r="F520" s="0" t="n">
        <v>3942</v>
      </c>
      <c r="G520" s="0" t="s">
        <v>277</v>
      </c>
      <c r="H520" s="0" t="s">
        <v>293</v>
      </c>
      <c r="I520" s="0" t="s">
        <v>7542</v>
      </c>
    </row>
    <row r="521" customFormat="false" ht="15" hidden="false" customHeight="false" outlineLevel="0" collapsed="false">
      <c r="A521" s="0" t="n">
        <v>24</v>
      </c>
      <c r="B521" s="0" t="s">
        <v>62</v>
      </c>
      <c r="C521" s="0" t="s">
        <v>7543</v>
      </c>
      <c r="D521" s="0" t="s">
        <v>6416</v>
      </c>
      <c r="E521" s="0" t="s">
        <v>7544</v>
      </c>
      <c r="F521" s="0" t="n">
        <v>2330</v>
      </c>
      <c r="G521" s="0" t="s">
        <v>277</v>
      </c>
      <c r="H521" s="0" t="s">
        <v>293</v>
      </c>
      <c r="I521" s="0" t="s">
        <v>7545</v>
      </c>
    </row>
    <row r="522" customFormat="false" ht="15" hidden="false" customHeight="false" outlineLevel="0" collapsed="false">
      <c r="A522" s="0" t="n">
        <v>24</v>
      </c>
      <c r="B522" s="0" t="s">
        <v>62</v>
      </c>
      <c r="C522" s="0" t="s">
        <v>7546</v>
      </c>
      <c r="D522" s="0" t="s">
        <v>6416</v>
      </c>
      <c r="E522" s="0" t="s">
        <v>7547</v>
      </c>
      <c r="F522" s="0" t="n">
        <v>2777</v>
      </c>
      <c r="G522" s="0" t="s">
        <v>277</v>
      </c>
      <c r="H522" s="0" t="s">
        <v>293</v>
      </c>
      <c r="I522" s="0" t="s">
        <v>7548</v>
      </c>
    </row>
    <row r="523" customFormat="false" ht="15" hidden="false" customHeight="false" outlineLevel="0" collapsed="false">
      <c r="A523" s="0" t="n">
        <v>24</v>
      </c>
      <c r="B523" s="0" t="s">
        <v>62</v>
      </c>
      <c r="C523" s="0" t="s">
        <v>7549</v>
      </c>
      <c r="D523" s="0" t="s">
        <v>6416</v>
      </c>
      <c r="E523" s="0" t="s">
        <v>7550</v>
      </c>
      <c r="F523" s="0" t="n">
        <v>18595</v>
      </c>
      <c r="G523" s="0" t="s">
        <v>277</v>
      </c>
      <c r="H523" s="0" t="s">
        <v>293</v>
      </c>
      <c r="I523" s="0" t="s">
        <v>7551</v>
      </c>
    </row>
    <row r="524" customFormat="false" ht="15" hidden="false" customHeight="false" outlineLevel="0" collapsed="false">
      <c r="A524" s="0" t="n">
        <v>24</v>
      </c>
      <c r="B524" s="0" t="s">
        <v>62</v>
      </c>
      <c r="C524" s="0" t="s">
        <v>7552</v>
      </c>
      <c r="D524" s="0" t="s">
        <v>35</v>
      </c>
      <c r="E524" s="0" t="s">
        <v>7553</v>
      </c>
      <c r="F524" s="0" t="n">
        <v>984</v>
      </c>
      <c r="G524" s="0" t="s">
        <v>277</v>
      </c>
      <c r="H524" s="0" t="s">
        <v>293</v>
      </c>
      <c r="I524" s="0" t="s">
        <v>7554</v>
      </c>
    </row>
    <row r="525" customFormat="false" ht="15" hidden="false" customHeight="false" outlineLevel="0" collapsed="false">
      <c r="A525" s="0" t="n">
        <v>24</v>
      </c>
      <c r="B525" s="0" t="s">
        <v>62</v>
      </c>
      <c r="C525" s="0" t="s">
        <v>7555</v>
      </c>
      <c r="D525" s="0" t="s">
        <v>500</v>
      </c>
      <c r="E525" s="0" t="s">
        <v>7556</v>
      </c>
      <c r="F525" s="0" t="n">
        <v>4820</v>
      </c>
      <c r="G525" s="0" t="s">
        <v>277</v>
      </c>
      <c r="H525" s="0" t="s">
        <v>293</v>
      </c>
      <c r="I525" s="0" t="s">
        <v>7557</v>
      </c>
    </row>
    <row r="526" customFormat="false" ht="15" hidden="false" customHeight="false" outlineLevel="0" collapsed="false">
      <c r="A526" s="0" t="n">
        <v>24</v>
      </c>
      <c r="B526" s="0" t="s">
        <v>62</v>
      </c>
      <c r="C526" s="0" t="s">
        <v>7558</v>
      </c>
      <c r="D526" s="0" t="s">
        <v>6416</v>
      </c>
      <c r="E526" s="0" t="s">
        <v>7559</v>
      </c>
      <c r="F526" s="0" t="n">
        <v>3181</v>
      </c>
      <c r="G526" s="0" t="s">
        <v>277</v>
      </c>
      <c r="H526" s="0" t="s">
        <v>293</v>
      </c>
      <c r="I526" s="0" t="s">
        <v>7560</v>
      </c>
    </row>
    <row r="527" customFormat="false" ht="15" hidden="false" customHeight="false" outlineLevel="0" collapsed="false">
      <c r="A527" s="0" t="n">
        <v>24</v>
      </c>
      <c r="B527" s="0" t="s">
        <v>62</v>
      </c>
      <c r="C527" s="0" t="s">
        <v>7561</v>
      </c>
      <c r="D527" s="0" t="s">
        <v>6416</v>
      </c>
      <c r="E527" s="0" t="s">
        <v>7562</v>
      </c>
      <c r="F527" s="0" t="n">
        <v>2271</v>
      </c>
      <c r="G527" s="0" t="s">
        <v>277</v>
      </c>
      <c r="H527" s="0" t="s">
        <v>293</v>
      </c>
      <c r="I527" s="0" t="s">
        <v>7563</v>
      </c>
    </row>
    <row r="528" customFormat="false" ht="15" hidden="false" customHeight="false" outlineLevel="0" collapsed="false">
      <c r="A528" s="0" t="n">
        <v>24</v>
      </c>
      <c r="B528" s="0" t="s">
        <v>62</v>
      </c>
      <c r="C528" s="0" t="s">
        <v>7564</v>
      </c>
      <c r="D528" s="0" t="s">
        <v>6416</v>
      </c>
      <c r="E528" s="0" t="s">
        <v>7565</v>
      </c>
      <c r="F528" s="0" t="n">
        <v>2508</v>
      </c>
      <c r="G528" s="0" t="s">
        <v>277</v>
      </c>
      <c r="H528" s="0" t="s">
        <v>293</v>
      </c>
      <c r="I528" s="0" t="s">
        <v>7566</v>
      </c>
    </row>
    <row r="529" customFormat="false" ht="15" hidden="false" customHeight="false" outlineLevel="0" collapsed="false">
      <c r="A529" s="0" t="n">
        <v>24</v>
      </c>
      <c r="B529" s="0" t="s">
        <v>62</v>
      </c>
      <c r="C529" s="0" t="s">
        <v>7567</v>
      </c>
      <c r="D529" s="0" t="s">
        <v>6425</v>
      </c>
      <c r="E529" s="0" t="s">
        <v>7568</v>
      </c>
      <c r="F529" s="0" t="n">
        <v>761</v>
      </c>
      <c r="G529" s="0" t="s">
        <v>277</v>
      </c>
      <c r="H529" s="0" t="s">
        <v>293</v>
      </c>
      <c r="I529" s="0" t="s">
        <v>7569</v>
      </c>
    </row>
    <row r="530" customFormat="false" ht="15" hidden="false" customHeight="false" outlineLevel="0" collapsed="false">
      <c r="A530" s="0" t="n">
        <v>24</v>
      </c>
      <c r="B530" s="0" t="s">
        <v>62</v>
      </c>
      <c r="C530" s="0" t="s">
        <v>7570</v>
      </c>
      <c r="D530" s="0" t="s">
        <v>6416</v>
      </c>
      <c r="E530" s="0" t="s">
        <v>7571</v>
      </c>
      <c r="F530" s="0" t="n">
        <v>4722</v>
      </c>
      <c r="G530" s="0" t="s">
        <v>277</v>
      </c>
      <c r="H530" s="0" t="s">
        <v>293</v>
      </c>
      <c r="I530" s="0" t="s">
        <v>7572</v>
      </c>
    </row>
    <row r="531" customFormat="false" ht="15" hidden="false" customHeight="false" outlineLevel="0" collapsed="false">
      <c r="A531" s="0" t="n">
        <v>24</v>
      </c>
      <c r="B531" s="0" t="s">
        <v>62</v>
      </c>
      <c r="C531" s="0" t="s">
        <v>7573</v>
      </c>
      <c r="D531" s="0" t="s">
        <v>6416</v>
      </c>
      <c r="E531" s="0" t="s">
        <v>7574</v>
      </c>
      <c r="F531" s="0" t="n">
        <v>3116</v>
      </c>
      <c r="G531" s="0" t="s">
        <v>277</v>
      </c>
      <c r="H531" s="0" t="s">
        <v>293</v>
      </c>
      <c r="I531" s="0" t="s">
        <v>7575</v>
      </c>
    </row>
    <row r="532" customFormat="false" ht="15" hidden="false" customHeight="false" outlineLevel="0" collapsed="false">
      <c r="A532" s="0" t="n">
        <v>24</v>
      </c>
      <c r="B532" s="0" t="s">
        <v>62</v>
      </c>
      <c r="C532" s="0" t="s">
        <v>7576</v>
      </c>
      <c r="D532" s="0" t="s">
        <v>6416</v>
      </c>
      <c r="E532" s="0" t="s">
        <v>7577</v>
      </c>
      <c r="F532" s="0" t="n">
        <v>3705</v>
      </c>
      <c r="G532" s="0" t="s">
        <v>277</v>
      </c>
      <c r="H532" s="0" t="s">
        <v>293</v>
      </c>
      <c r="I532" s="0" t="s">
        <v>7578</v>
      </c>
    </row>
    <row r="533" customFormat="false" ht="15" hidden="false" customHeight="false" outlineLevel="0" collapsed="false">
      <c r="A533" s="0" t="n">
        <v>24</v>
      </c>
      <c r="B533" s="0" t="s">
        <v>62</v>
      </c>
      <c r="C533" s="0" t="s">
        <v>7579</v>
      </c>
      <c r="D533" s="0" t="s">
        <v>6416</v>
      </c>
      <c r="E533" s="0" t="s">
        <v>7580</v>
      </c>
      <c r="F533" s="0" t="n">
        <v>2068</v>
      </c>
      <c r="G533" s="0" t="s">
        <v>277</v>
      </c>
      <c r="H533" s="0" t="s">
        <v>293</v>
      </c>
      <c r="I533" s="0" t="s">
        <v>7581</v>
      </c>
    </row>
    <row r="534" customFormat="false" ht="15" hidden="false" customHeight="false" outlineLevel="0" collapsed="false">
      <c r="A534" s="0" t="n">
        <v>24</v>
      </c>
      <c r="B534" s="0" t="s">
        <v>62</v>
      </c>
      <c r="C534" s="0" t="s">
        <v>7582</v>
      </c>
      <c r="D534" s="0" t="s">
        <v>829</v>
      </c>
      <c r="E534" s="0" t="s">
        <v>7583</v>
      </c>
      <c r="F534" s="0" t="n">
        <v>241</v>
      </c>
      <c r="G534" s="0" t="s">
        <v>277</v>
      </c>
      <c r="H534" s="0" t="s">
        <v>293</v>
      </c>
      <c r="I534" s="0" t="s">
        <v>7584</v>
      </c>
    </row>
    <row r="535" customFormat="false" ht="15" hidden="false" customHeight="false" outlineLevel="0" collapsed="false">
      <c r="A535" s="0" t="n">
        <v>24</v>
      </c>
      <c r="B535" s="0" t="s">
        <v>62</v>
      </c>
      <c r="C535" s="0" t="s">
        <v>7585</v>
      </c>
      <c r="D535" s="0" t="s">
        <v>6425</v>
      </c>
      <c r="E535" s="0" t="s">
        <v>7586</v>
      </c>
      <c r="F535" s="0" t="n">
        <v>468</v>
      </c>
      <c r="G535" s="0" t="s">
        <v>277</v>
      </c>
      <c r="H535" s="0" t="s">
        <v>293</v>
      </c>
      <c r="I535" s="0" t="s">
        <v>7587</v>
      </c>
    </row>
    <row r="536" customFormat="false" ht="15" hidden="false" customHeight="false" outlineLevel="0" collapsed="false">
      <c r="A536" s="0" t="n">
        <v>24</v>
      </c>
      <c r="B536" s="0" t="s">
        <v>62</v>
      </c>
      <c r="C536" s="0" t="s">
        <v>7588</v>
      </c>
      <c r="D536" s="0" t="s">
        <v>6416</v>
      </c>
      <c r="E536" s="0" t="s">
        <v>7589</v>
      </c>
      <c r="F536" s="0" t="n">
        <v>2346</v>
      </c>
      <c r="G536" s="0" t="s">
        <v>277</v>
      </c>
      <c r="H536" s="0" t="s">
        <v>293</v>
      </c>
      <c r="I536" s="0" t="s">
        <v>7590</v>
      </c>
    </row>
    <row r="537" customFormat="false" ht="15" hidden="false" customHeight="false" outlineLevel="0" collapsed="false">
      <c r="A537" s="0" t="n">
        <v>24</v>
      </c>
      <c r="B537" s="0" t="s">
        <v>62</v>
      </c>
      <c r="C537" s="0" t="s">
        <v>7591</v>
      </c>
      <c r="D537" s="0" t="s">
        <v>6416</v>
      </c>
      <c r="E537" s="0" t="s">
        <v>7592</v>
      </c>
      <c r="F537" s="0" t="n">
        <v>1008</v>
      </c>
      <c r="G537" s="0" t="s">
        <v>277</v>
      </c>
      <c r="H537" s="0" t="s">
        <v>293</v>
      </c>
      <c r="I537" s="0" t="s">
        <v>7593</v>
      </c>
    </row>
    <row r="538" customFormat="false" ht="15" hidden="false" customHeight="false" outlineLevel="0" collapsed="false">
      <c r="A538" s="0" t="n">
        <v>24</v>
      </c>
      <c r="B538" s="0" t="s">
        <v>62</v>
      </c>
      <c r="C538" s="0" t="s">
        <v>7594</v>
      </c>
      <c r="D538" s="0" t="s">
        <v>6416</v>
      </c>
      <c r="E538" s="0" t="s">
        <v>7595</v>
      </c>
      <c r="F538" s="0" t="n">
        <v>2073</v>
      </c>
      <c r="G538" s="0" t="s">
        <v>277</v>
      </c>
      <c r="H538" s="0" t="s">
        <v>293</v>
      </c>
      <c r="I538" s="0" t="s">
        <v>7596</v>
      </c>
    </row>
    <row r="539" customFormat="false" ht="15" hidden="false" customHeight="false" outlineLevel="0" collapsed="false">
      <c r="A539" s="0" t="n">
        <v>24</v>
      </c>
      <c r="B539" s="0" t="s">
        <v>62</v>
      </c>
      <c r="C539" s="0" t="s">
        <v>7597</v>
      </c>
      <c r="D539" s="0" t="s">
        <v>6416</v>
      </c>
      <c r="E539" s="0" t="s">
        <v>7598</v>
      </c>
      <c r="F539" s="0" t="n">
        <v>1265</v>
      </c>
      <c r="G539" s="0" t="s">
        <v>277</v>
      </c>
      <c r="H539" s="0" t="s">
        <v>293</v>
      </c>
      <c r="I539" s="0" t="s">
        <v>7599</v>
      </c>
    </row>
    <row r="540" customFormat="false" ht="15" hidden="false" customHeight="false" outlineLevel="0" collapsed="false">
      <c r="A540" s="0" t="n">
        <v>24</v>
      </c>
      <c r="B540" s="0" t="s">
        <v>62</v>
      </c>
      <c r="C540" s="0" t="s">
        <v>7600</v>
      </c>
      <c r="D540" s="0" t="s">
        <v>500</v>
      </c>
      <c r="E540" s="0" t="s">
        <v>7601</v>
      </c>
      <c r="F540" s="0" t="n">
        <v>763</v>
      </c>
      <c r="G540" s="0" t="s">
        <v>277</v>
      </c>
      <c r="H540" s="0" t="s">
        <v>293</v>
      </c>
      <c r="I540" s="0" t="s">
        <v>7602</v>
      </c>
    </row>
    <row r="541" customFormat="false" ht="15" hidden="false" customHeight="false" outlineLevel="0" collapsed="false">
      <c r="A541" s="0" t="n">
        <v>24</v>
      </c>
      <c r="B541" s="0" t="s">
        <v>62</v>
      </c>
      <c r="C541" s="0" t="s">
        <v>7603</v>
      </c>
      <c r="D541" s="0" t="s">
        <v>6416</v>
      </c>
      <c r="E541" s="0" t="s">
        <v>7604</v>
      </c>
      <c r="F541" s="0" t="n">
        <v>1545</v>
      </c>
      <c r="G541" s="0" t="s">
        <v>277</v>
      </c>
      <c r="H541" s="0" t="s">
        <v>293</v>
      </c>
      <c r="I541" s="0" t="s">
        <v>7605</v>
      </c>
    </row>
    <row r="542" customFormat="false" ht="15" hidden="false" customHeight="false" outlineLevel="0" collapsed="false">
      <c r="A542" s="0" t="n">
        <v>24</v>
      </c>
      <c r="B542" s="0" t="s">
        <v>62</v>
      </c>
      <c r="C542" s="0" t="s">
        <v>7606</v>
      </c>
      <c r="D542" s="0" t="s">
        <v>6416</v>
      </c>
      <c r="E542" s="0" t="s">
        <v>7607</v>
      </c>
      <c r="F542" s="0" t="n">
        <v>4119</v>
      </c>
      <c r="G542" s="0" t="s">
        <v>277</v>
      </c>
      <c r="H542" s="0" t="s">
        <v>293</v>
      </c>
      <c r="I542" s="0" t="s">
        <v>7608</v>
      </c>
    </row>
    <row r="543" customFormat="false" ht="15" hidden="false" customHeight="false" outlineLevel="0" collapsed="false">
      <c r="A543" s="0" t="n">
        <v>24</v>
      </c>
      <c r="B543" s="0" t="s">
        <v>62</v>
      </c>
      <c r="C543" s="0" t="s">
        <v>7609</v>
      </c>
      <c r="D543" s="0" t="s">
        <v>6425</v>
      </c>
      <c r="E543" s="0" t="s">
        <v>7610</v>
      </c>
      <c r="F543" s="0" t="n">
        <v>1233</v>
      </c>
      <c r="G543" s="0" t="s">
        <v>277</v>
      </c>
      <c r="H543" s="0" t="s">
        <v>293</v>
      </c>
      <c r="I543" s="0" t="s">
        <v>7611</v>
      </c>
    </row>
    <row r="544" customFormat="false" ht="15" hidden="false" customHeight="false" outlineLevel="0" collapsed="false">
      <c r="A544" s="0" t="n">
        <v>24</v>
      </c>
      <c r="B544" s="0" t="s">
        <v>62</v>
      </c>
      <c r="C544" s="0" t="s">
        <v>7612</v>
      </c>
      <c r="D544" s="0" t="s">
        <v>6416</v>
      </c>
      <c r="E544" s="0" t="s">
        <v>7613</v>
      </c>
      <c r="F544" s="0" t="n">
        <v>3325</v>
      </c>
      <c r="G544" s="0" t="s">
        <v>277</v>
      </c>
      <c r="H544" s="0" t="s">
        <v>293</v>
      </c>
      <c r="I544" s="0" t="s">
        <v>7614</v>
      </c>
    </row>
    <row r="545" customFormat="false" ht="15" hidden="false" customHeight="false" outlineLevel="0" collapsed="false">
      <c r="A545" s="0" t="n">
        <v>24</v>
      </c>
      <c r="B545" s="0" t="s">
        <v>62</v>
      </c>
      <c r="C545" s="0" t="s">
        <v>7615</v>
      </c>
      <c r="D545" s="0" t="s">
        <v>91</v>
      </c>
      <c r="E545" s="0" t="s">
        <v>7616</v>
      </c>
      <c r="F545" s="0" t="n">
        <v>15564</v>
      </c>
      <c r="G545" s="0" t="s">
        <v>277</v>
      </c>
      <c r="H545" s="0" t="s">
        <v>293</v>
      </c>
      <c r="I545" s="0" t="s">
        <v>7617</v>
      </c>
    </row>
    <row r="546" customFormat="false" ht="15" hidden="false" customHeight="false" outlineLevel="0" collapsed="false">
      <c r="A546" s="0" t="n">
        <v>26</v>
      </c>
      <c r="B546" s="0" t="s">
        <v>65</v>
      </c>
      <c r="C546" s="0" t="s">
        <v>7618</v>
      </c>
      <c r="D546" s="0" t="s">
        <v>6560</v>
      </c>
      <c r="E546" s="0" t="s">
        <v>7619</v>
      </c>
      <c r="F546" s="0" t="n">
        <v>15752</v>
      </c>
      <c r="G546" s="0" t="s">
        <v>277</v>
      </c>
      <c r="H546" s="0" t="s">
        <v>293</v>
      </c>
      <c r="I546" s="0" t="s">
        <v>7620</v>
      </c>
    </row>
    <row r="547" customFormat="false" ht="15" hidden="false" customHeight="false" outlineLevel="0" collapsed="false">
      <c r="A547" s="0" t="n">
        <v>24</v>
      </c>
      <c r="B547" s="0" t="s">
        <v>62</v>
      </c>
      <c r="C547" s="0" t="s">
        <v>7621</v>
      </c>
      <c r="D547" s="0" t="s">
        <v>7622</v>
      </c>
      <c r="E547" s="0" t="s">
        <v>7623</v>
      </c>
      <c r="F547" s="0" t="n">
        <v>257</v>
      </c>
      <c r="G547" s="0" t="s">
        <v>277</v>
      </c>
      <c r="H547" s="0" t="s">
        <v>293</v>
      </c>
      <c r="I547" s="0" t="s">
        <v>7624</v>
      </c>
    </row>
    <row r="548" customFormat="false" ht="15" hidden="false" customHeight="false" outlineLevel="0" collapsed="false">
      <c r="A548" s="0" t="n">
        <v>26</v>
      </c>
      <c r="B548" s="0" t="s">
        <v>65</v>
      </c>
      <c r="C548" s="0" t="s">
        <v>7625</v>
      </c>
      <c r="D548" s="0" t="s">
        <v>7622</v>
      </c>
      <c r="E548" s="0" t="s">
        <v>7626</v>
      </c>
      <c r="F548" s="0" t="n">
        <v>2997</v>
      </c>
      <c r="G548" s="0" t="s">
        <v>277</v>
      </c>
      <c r="H548" s="0" t="s">
        <v>293</v>
      </c>
      <c r="I548" s="0" t="s">
        <v>7627</v>
      </c>
    </row>
    <row r="549" customFormat="false" ht="15" hidden="false" customHeight="false" outlineLevel="0" collapsed="false">
      <c r="A549" s="0" t="n">
        <v>24</v>
      </c>
      <c r="B549" s="0" t="s">
        <v>62</v>
      </c>
      <c r="C549" s="0" t="s">
        <v>7628</v>
      </c>
      <c r="D549" s="0" t="s">
        <v>500</v>
      </c>
      <c r="E549" s="0" t="s">
        <v>7629</v>
      </c>
      <c r="F549" s="0" t="n">
        <v>3860</v>
      </c>
      <c r="G549" s="0" t="s">
        <v>277</v>
      </c>
      <c r="H549" s="0" t="s">
        <v>293</v>
      </c>
      <c r="I549" s="0" t="s">
        <v>7630</v>
      </c>
    </row>
    <row r="550" customFormat="false" ht="15" hidden="false" customHeight="false" outlineLevel="0" collapsed="false">
      <c r="A550" s="0" t="n">
        <v>24</v>
      </c>
      <c r="B550" s="0" t="s">
        <v>62</v>
      </c>
      <c r="C550" s="0" t="s">
        <v>7631</v>
      </c>
      <c r="D550" s="0" t="s">
        <v>6425</v>
      </c>
      <c r="E550" s="0" t="s">
        <v>7632</v>
      </c>
      <c r="F550" s="0" t="n">
        <v>1160</v>
      </c>
      <c r="G550" s="0" t="s">
        <v>277</v>
      </c>
      <c r="H550" s="0" t="s">
        <v>293</v>
      </c>
      <c r="I550" s="0" t="s">
        <v>7633</v>
      </c>
    </row>
    <row r="551" customFormat="false" ht="15" hidden="false" customHeight="false" outlineLevel="0" collapsed="false">
      <c r="A551" s="0" t="n">
        <v>24</v>
      </c>
      <c r="B551" s="0" t="s">
        <v>62</v>
      </c>
      <c r="C551" s="0" t="s">
        <v>7634</v>
      </c>
      <c r="D551" s="0" t="s">
        <v>6416</v>
      </c>
      <c r="E551" s="0" t="s">
        <v>7635</v>
      </c>
      <c r="F551" s="0" t="n">
        <v>3610</v>
      </c>
      <c r="G551" s="0" t="s">
        <v>277</v>
      </c>
      <c r="H551" s="0" t="s">
        <v>293</v>
      </c>
      <c r="I551" s="0" t="s">
        <v>7636</v>
      </c>
    </row>
    <row r="552" customFormat="false" ht="15" hidden="false" customHeight="false" outlineLevel="0" collapsed="false">
      <c r="A552" s="0" t="n">
        <v>24</v>
      </c>
      <c r="B552" s="0" t="s">
        <v>62</v>
      </c>
      <c r="C552" s="0" t="s">
        <v>7637</v>
      </c>
      <c r="D552" s="0" t="s">
        <v>6416</v>
      </c>
      <c r="E552" s="0" t="s">
        <v>7638</v>
      </c>
      <c r="F552" s="0" t="n">
        <v>2177</v>
      </c>
      <c r="G552" s="0" t="s">
        <v>277</v>
      </c>
      <c r="H552" s="0" t="s">
        <v>293</v>
      </c>
      <c r="I552" s="0" t="s">
        <v>7639</v>
      </c>
    </row>
    <row r="553" customFormat="false" ht="15" hidden="false" customHeight="false" outlineLevel="0" collapsed="false">
      <c r="A553" s="0" t="n">
        <v>24</v>
      </c>
      <c r="B553" s="0" t="s">
        <v>62</v>
      </c>
      <c r="C553" s="0" t="s">
        <v>7640</v>
      </c>
      <c r="D553" s="0" t="s">
        <v>6416</v>
      </c>
      <c r="E553" s="0" t="s">
        <v>7641</v>
      </c>
      <c r="F553" s="0" t="n">
        <v>1561</v>
      </c>
      <c r="G553" s="0" t="s">
        <v>277</v>
      </c>
      <c r="H553" s="0" t="s">
        <v>293</v>
      </c>
      <c r="I553" s="0" t="s">
        <v>7642</v>
      </c>
    </row>
    <row r="554" customFormat="false" ht="15" hidden="false" customHeight="false" outlineLevel="0" collapsed="false">
      <c r="A554" s="0" t="n">
        <v>24</v>
      </c>
      <c r="B554" s="0" t="s">
        <v>62</v>
      </c>
      <c r="C554" s="0" t="s">
        <v>7643</v>
      </c>
      <c r="D554" s="0" t="s">
        <v>6416</v>
      </c>
      <c r="E554" s="0" t="s">
        <v>7644</v>
      </c>
      <c r="F554" s="0" t="n">
        <v>2080</v>
      </c>
      <c r="G554" s="0" t="s">
        <v>277</v>
      </c>
      <c r="H554" s="0" t="s">
        <v>293</v>
      </c>
      <c r="I554" s="0" t="s">
        <v>7645</v>
      </c>
    </row>
    <row r="555" customFormat="false" ht="15" hidden="false" customHeight="false" outlineLevel="0" collapsed="false">
      <c r="A555" s="0" t="n">
        <v>24</v>
      </c>
      <c r="B555" s="0" t="s">
        <v>62</v>
      </c>
      <c r="C555" s="0" t="s">
        <v>7646</v>
      </c>
      <c r="D555" s="0" t="s">
        <v>6076</v>
      </c>
      <c r="E555" s="0" t="s">
        <v>7647</v>
      </c>
      <c r="F555" s="0" t="n">
        <v>2813</v>
      </c>
      <c r="G555" s="0" t="s">
        <v>277</v>
      </c>
      <c r="H555" s="0" t="s">
        <v>293</v>
      </c>
      <c r="I555" s="0" t="s">
        <v>7648</v>
      </c>
    </row>
    <row r="556" customFormat="false" ht="15" hidden="false" customHeight="false" outlineLevel="0" collapsed="false">
      <c r="A556" s="0" t="n">
        <v>24</v>
      </c>
      <c r="B556" s="0" t="s">
        <v>62</v>
      </c>
      <c r="C556" s="0" t="s">
        <v>7649</v>
      </c>
      <c r="D556" s="0" t="s">
        <v>91</v>
      </c>
      <c r="E556" s="0" t="s">
        <v>7650</v>
      </c>
      <c r="F556" s="0" t="n">
        <v>3440</v>
      </c>
      <c r="G556" s="0" t="s">
        <v>277</v>
      </c>
      <c r="H556" s="0" t="s">
        <v>293</v>
      </c>
      <c r="I556" s="0" t="s">
        <v>7651</v>
      </c>
    </row>
    <row r="557" customFormat="false" ht="15" hidden="false" customHeight="false" outlineLevel="0" collapsed="false">
      <c r="A557" s="0" t="n">
        <v>24</v>
      </c>
      <c r="B557" s="0" t="s">
        <v>62</v>
      </c>
      <c r="C557" s="0" t="s">
        <v>7652</v>
      </c>
      <c r="D557" s="0" t="s">
        <v>6425</v>
      </c>
      <c r="E557" s="0" t="s">
        <v>7653</v>
      </c>
      <c r="F557" s="0" t="n">
        <v>2167</v>
      </c>
      <c r="G557" s="0" t="s">
        <v>277</v>
      </c>
      <c r="H557" s="0" t="s">
        <v>293</v>
      </c>
      <c r="I557" s="0" t="s">
        <v>7654</v>
      </c>
    </row>
    <row r="558" customFormat="false" ht="15" hidden="false" customHeight="false" outlineLevel="0" collapsed="false">
      <c r="A558" s="0" t="n">
        <v>24</v>
      </c>
      <c r="B558" s="0" t="s">
        <v>62</v>
      </c>
      <c r="C558" s="0" t="s">
        <v>7655</v>
      </c>
      <c r="D558" s="0" t="s">
        <v>91</v>
      </c>
      <c r="E558" s="0" t="s">
        <v>7656</v>
      </c>
      <c r="F558" s="0" t="n">
        <v>5025</v>
      </c>
      <c r="G558" s="0" t="s">
        <v>277</v>
      </c>
      <c r="H558" s="0" t="s">
        <v>293</v>
      </c>
      <c r="I558" s="0" t="s">
        <v>7657</v>
      </c>
    </row>
    <row r="559" customFormat="false" ht="15" hidden="false" customHeight="false" outlineLevel="0" collapsed="false">
      <c r="A559" s="0" t="n">
        <v>26</v>
      </c>
      <c r="B559" s="0" t="s">
        <v>65</v>
      </c>
      <c r="C559" s="0" t="s">
        <v>7658</v>
      </c>
      <c r="D559" s="0" t="s">
        <v>6823</v>
      </c>
      <c r="E559" s="0" t="s">
        <v>7659</v>
      </c>
      <c r="F559" s="0" t="n">
        <v>1253</v>
      </c>
      <c r="G559" s="0" t="s">
        <v>277</v>
      </c>
      <c r="H559" s="0" t="s">
        <v>293</v>
      </c>
      <c r="I559" s="0" t="s">
        <v>7660</v>
      </c>
    </row>
    <row r="560" customFormat="false" ht="15" hidden="false" customHeight="false" outlineLevel="0" collapsed="false">
      <c r="A560" s="0" t="n">
        <v>24</v>
      </c>
      <c r="B560" s="0" t="s">
        <v>62</v>
      </c>
      <c r="C560" s="0" t="s">
        <v>7661</v>
      </c>
      <c r="D560" s="0" t="s">
        <v>6416</v>
      </c>
      <c r="E560" s="0" t="s">
        <v>7662</v>
      </c>
      <c r="F560" s="0" t="n">
        <v>2675</v>
      </c>
      <c r="G560" s="0" t="s">
        <v>277</v>
      </c>
      <c r="H560" s="0" t="s">
        <v>293</v>
      </c>
      <c r="I560" s="0" t="s">
        <v>7663</v>
      </c>
    </row>
    <row r="561" customFormat="false" ht="15" hidden="false" customHeight="false" outlineLevel="0" collapsed="false">
      <c r="A561" s="0" t="n">
        <v>26</v>
      </c>
      <c r="B561" s="0" t="s">
        <v>65</v>
      </c>
      <c r="C561" s="0" t="s">
        <v>7664</v>
      </c>
      <c r="D561" s="0" t="s">
        <v>6560</v>
      </c>
      <c r="E561" s="0" t="s">
        <v>7665</v>
      </c>
      <c r="F561" s="0" t="n">
        <v>3733</v>
      </c>
      <c r="G561" s="0" t="s">
        <v>277</v>
      </c>
      <c r="H561" s="0" t="s">
        <v>293</v>
      </c>
      <c r="I561" s="0" t="s">
        <v>7666</v>
      </c>
    </row>
    <row r="562" customFormat="false" ht="15" hidden="false" customHeight="false" outlineLevel="0" collapsed="false">
      <c r="A562" s="0" t="n">
        <v>24</v>
      </c>
      <c r="B562" s="0" t="s">
        <v>62</v>
      </c>
      <c r="C562" s="0" t="s">
        <v>7667</v>
      </c>
      <c r="D562" s="0" t="s">
        <v>7622</v>
      </c>
      <c r="E562" s="0" t="s">
        <v>7668</v>
      </c>
      <c r="F562" s="0" t="n">
        <v>886</v>
      </c>
      <c r="G562" s="0" t="s">
        <v>277</v>
      </c>
      <c r="H562" s="0" t="s">
        <v>293</v>
      </c>
      <c r="I562" s="0" t="s">
        <v>7669</v>
      </c>
    </row>
    <row r="563" customFormat="false" ht="15" hidden="false" customHeight="false" outlineLevel="0" collapsed="false">
      <c r="A563" s="0" t="n">
        <v>24</v>
      </c>
      <c r="B563" s="0" t="s">
        <v>62</v>
      </c>
      <c r="C563" s="0" t="s">
        <v>7670</v>
      </c>
      <c r="D563" s="0" t="s">
        <v>6416</v>
      </c>
      <c r="E563" s="0" t="s">
        <v>7671</v>
      </c>
      <c r="F563" s="0" t="n">
        <v>1628</v>
      </c>
      <c r="G563" s="0" t="s">
        <v>277</v>
      </c>
      <c r="H563" s="0" t="s">
        <v>293</v>
      </c>
      <c r="I563" s="0" t="s">
        <v>7672</v>
      </c>
    </row>
    <row r="564" customFormat="false" ht="15" hidden="false" customHeight="false" outlineLevel="0" collapsed="false">
      <c r="A564" s="0" t="n">
        <v>26</v>
      </c>
      <c r="B564" s="0" t="s">
        <v>65</v>
      </c>
      <c r="C564" s="0" t="s">
        <v>7673</v>
      </c>
      <c r="D564" s="0" t="s">
        <v>6416</v>
      </c>
      <c r="E564" s="0" t="s">
        <v>7674</v>
      </c>
      <c r="F564" s="0" t="n">
        <v>953</v>
      </c>
      <c r="G564" s="0" t="s">
        <v>277</v>
      </c>
      <c r="H564" s="0" t="s">
        <v>293</v>
      </c>
      <c r="I564" s="0" t="s">
        <v>7675</v>
      </c>
    </row>
    <row r="565" customFormat="false" ht="15" hidden="false" customHeight="false" outlineLevel="0" collapsed="false">
      <c r="A565" s="0" t="n">
        <v>26</v>
      </c>
      <c r="B565" s="0" t="s">
        <v>65</v>
      </c>
      <c r="C565" s="0" t="s">
        <v>7676</v>
      </c>
      <c r="D565" s="0" t="s">
        <v>35</v>
      </c>
      <c r="E565" s="0" t="s">
        <v>7677</v>
      </c>
      <c r="F565" s="0" t="n">
        <v>1525</v>
      </c>
      <c r="G565" s="0" t="s">
        <v>277</v>
      </c>
      <c r="H565" s="0" t="s">
        <v>293</v>
      </c>
      <c r="I565" s="0" t="s">
        <v>7678</v>
      </c>
    </row>
    <row r="566" customFormat="false" ht="15" hidden="false" customHeight="false" outlineLevel="0" collapsed="false">
      <c r="A566" s="0" t="n">
        <v>24</v>
      </c>
      <c r="B566" s="0" t="s">
        <v>62</v>
      </c>
      <c r="C566" s="0" t="s">
        <v>7679</v>
      </c>
      <c r="D566" s="0" t="s">
        <v>6416</v>
      </c>
      <c r="E566" s="0" t="s">
        <v>7680</v>
      </c>
      <c r="F566" s="0" t="n">
        <v>2101</v>
      </c>
      <c r="G566" s="0" t="s">
        <v>277</v>
      </c>
      <c r="H566" s="0" t="s">
        <v>293</v>
      </c>
      <c r="I566" s="0" t="s">
        <v>7681</v>
      </c>
    </row>
    <row r="567" customFormat="false" ht="15" hidden="false" customHeight="false" outlineLevel="0" collapsed="false">
      <c r="A567" s="0" t="n">
        <v>26</v>
      </c>
      <c r="B567" s="0" t="s">
        <v>65</v>
      </c>
      <c r="C567" s="0" t="s">
        <v>7682</v>
      </c>
      <c r="D567" s="0" t="s">
        <v>6416</v>
      </c>
      <c r="E567" s="0" t="s">
        <v>7683</v>
      </c>
      <c r="F567" s="0" t="n">
        <v>3336</v>
      </c>
      <c r="G567" s="0" t="s">
        <v>277</v>
      </c>
      <c r="H567" s="0" t="s">
        <v>293</v>
      </c>
      <c r="I567" s="0" t="s">
        <v>7684</v>
      </c>
    </row>
    <row r="568" customFormat="false" ht="15" hidden="false" customHeight="false" outlineLevel="0" collapsed="false">
      <c r="A568" s="0" t="n">
        <v>24</v>
      </c>
      <c r="B568" s="0" t="s">
        <v>62</v>
      </c>
      <c r="C568" s="0" t="s">
        <v>7685</v>
      </c>
      <c r="D568" s="0" t="s">
        <v>91</v>
      </c>
      <c r="E568" s="0" t="s">
        <v>7686</v>
      </c>
      <c r="F568" s="0" t="n">
        <v>2083</v>
      </c>
      <c r="G568" s="0" t="s">
        <v>277</v>
      </c>
      <c r="H568" s="0" t="s">
        <v>293</v>
      </c>
      <c r="I568" s="0" t="s">
        <v>7687</v>
      </c>
    </row>
    <row r="569" customFormat="false" ht="15" hidden="false" customHeight="false" outlineLevel="0" collapsed="false">
      <c r="A569" s="0" t="n">
        <v>26</v>
      </c>
      <c r="B569" s="0" t="s">
        <v>65</v>
      </c>
      <c r="C569" s="0" t="s">
        <v>7688</v>
      </c>
      <c r="D569" s="0" t="s">
        <v>6425</v>
      </c>
      <c r="E569" s="0" t="s">
        <v>7689</v>
      </c>
      <c r="F569" s="0" t="n">
        <v>4759</v>
      </c>
      <c r="G569" s="0" t="s">
        <v>277</v>
      </c>
      <c r="H569" s="0" t="s">
        <v>293</v>
      </c>
      <c r="I569" s="0" t="s">
        <v>7690</v>
      </c>
    </row>
    <row r="570" customFormat="false" ht="15" hidden="false" customHeight="false" outlineLevel="0" collapsed="false">
      <c r="A570" s="0" t="n">
        <v>24</v>
      </c>
      <c r="B570" s="0" t="s">
        <v>62</v>
      </c>
      <c r="C570" s="0" t="s">
        <v>7691</v>
      </c>
      <c r="D570" s="0" t="s">
        <v>500</v>
      </c>
      <c r="E570" s="0" t="s">
        <v>7692</v>
      </c>
      <c r="F570" s="0" t="n">
        <v>2019</v>
      </c>
      <c r="G570" s="0" t="s">
        <v>277</v>
      </c>
      <c r="H570" s="0" t="s">
        <v>293</v>
      </c>
      <c r="I570" s="0" t="s">
        <v>7693</v>
      </c>
    </row>
    <row r="571" customFormat="false" ht="15" hidden="false" customHeight="false" outlineLevel="0" collapsed="false">
      <c r="A571" s="0" t="n">
        <v>26</v>
      </c>
      <c r="B571" s="0" t="s">
        <v>65</v>
      </c>
      <c r="C571" s="0" t="s">
        <v>7694</v>
      </c>
      <c r="D571" s="0" t="s">
        <v>91</v>
      </c>
      <c r="E571" s="0" t="s">
        <v>7695</v>
      </c>
      <c r="F571" s="0" t="n">
        <v>3758</v>
      </c>
      <c r="G571" s="0" t="s">
        <v>277</v>
      </c>
      <c r="H571" s="0" t="s">
        <v>293</v>
      </c>
      <c r="I571" s="0" t="s">
        <v>7696</v>
      </c>
    </row>
    <row r="572" customFormat="false" ht="15" hidden="false" customHeight="false" outlineLevel="0" collapsed="false">
      <c r="A572" s="0" t="n">
        <v>24</v>
      </c>
      <c r="B572" s="0" t="s">
        <v>62</v>
      </c>
      <c r="C572" s="0" t="s">
        <v>7697</v>
      </c>
      <c r="D572" s="0" t="s">
        <v>6416</v>
      </c>
      <c r="E572" s="0" t="s">
        <v>7698</v>
      </c>
      <c r="F572" s="0" t="n">
        <v>3416</v>
      </c>
      <c r="G572" s="0" t="s">
        <v>277</v>
      </c>
      <c r="H572" s="0" t="s">
        <v>293</v>
      </c>
      <c r="I572" s="0" t="s">
        <v>7699</v>
      </c>
    </row>
    <row r="573" customFormat="false" ht="15" hidden="false" customHeight="false" outlineLevel="0" collapsed="false">
      <c r="A573" s="0" t="n">
        <v>26</v>
      </c>
      <c r="B573" s="0" t="s">
        <v>65</v>
      </c>
      <c r="C573" s="0" t="s">
        <v>7700</v>
      </c>
      <c r="D573" s="0" t="s">
        <v>6416</v>
      </c>
      <c r="E573" s="0" t="s">
        <v>7701</v>
      </c>
      <c r="F573" s="0" t="n">
        <v>3287</v>
      </c>
      <c r="G573" s="0" t="s">
        <v>277</v>
      </c>
      <c r="H573" s="0" t="s">
        <v>293</v>
      </c>
      <c r="I573" s="0" t="s">
        <v>7702</v>
      </c>
    </row>
    <row r="574" customFormat="false" ht="15" hidden="false" customHeight="false" outlineLevel="0" collapsed="false">
      <c r="A574" s="0" t="n">
        <v>24</v>
      </c>
      <c r="B574" s="0" t="s">
        <v>62</v>
      </c>
      <c r="C574" s="0" t="s">
        <v>7703</v>
      </c>
      <c r="D574" s="0" t="s">
        <v>91</v>
      </c>
      <c r="E574" s="0" t="s">
        <v>7704</v>
      </c>
      <c r="F574" s="0" t="n">
        <v>4206</v>
      </c>
      <c r="G574" s="0" t="s">
        <v>277</v>
      </c>
      <c r="H574" s="0" t="s">
        <v>293</v>
      </c>
      <c r="I574" s="0" t="s">
        <v>7705</v>
      </c>
    </row>
    <row r="575" customFormat="false" ht="15" hidden="false" customHeight="false" outlineLevel="0" collapsed="false">
      <c r="A575" s="0" t="n">
        <v>24</v>
      </c>
      <c r="B575" s="0" t="s">
        <v>62</v>
      </c>
      <c r="C575" s="0" t="s">
        <v>7706</v>
      </c>
      <c r="D575" s="0" t="s">
        <v>6416</v>
      </c>
      <c r="E575" s="0" t="s">
        <v>7707</v>
      </c>
      <c r="F575" s="0" t="n">
        <v>5197</v>
      </c>
      <c r="G575" s="0" t="s">
        <v>277</v>
      </c>
      <c r="H575" s="0" t="s">
        <v>293</v>
      </c>
      <c r="I575" s="0" t="s">
        <v>7708</v>
      </c>
    </row>
    <row r="576" customFormat="false" ht="15" hidden="false" customHeight="false" outlineLevel="0" collapsed="false">
      <c r="A576" s="0" t="n">
        <v>24</v>
      </c>
      <c r="B576" s="0" t="s">
        <v>62</v>
      </c>
      <c r="C576" s="0" t="s">
        <v>7709</v>
      </c>
      <c r="D576" s="0" t="s">
        <v>500</v>
      </c>
      <c r="E576" s="0" t="s">
        <v>7710</v>
      </c>
      <c r="F576" s="0" t="n">
        <v>1697</v>
      </c>
      <c r="G576" s="0" t="s">
        <v>277</v>
      </c>
      <c r="H576" s="0" t="s">
        <v>293</v>
      </c>
      <c r="I576" s="0" t="s">
        <v>7711</v>
      </c>
    </row>
    <row r="577" customFormat="false" ht="15" hidden="false" customHeight="false" outlineLevel="0" collapsed="false">
      <c r="A577" s="0" t="n">
        <v>24</v>
      </c>
      <c r="B577" s="0" t="s">
        <v>62</v>
      </c>
      <c r="C577" s="0" t="s">
        <v>7712</v>
      </c>
      <c r="D577" s="0" t="s">
        <v>6416</v>
      </c>
      <c r="E577" s="0" t="s">
        <v>7713</v>
      </c>
      <c r="F577" s="0" t="n">
        <v>6994</v>
      </c>
      <c r="G577" s="0" t="s">
        <v>277</v>
      </c>
      <c r="H577" s="0" t="s">
        <v>293</v>
      </c>
      <c r="I577" s="0" t="s">
        <v>7714</v>
      </c>
    </row>
    <row r="578" customFormat="false" ht="15" hidden="false" customHeight="false" outlineLevel="0" collapsed="false">
      <c r="A578" s="0" t="n">
        <v>24</v>
      </c>
      <c r="B578" s="0" t="s">
        <v>62</v>
      </c>
      <c r="C578" s="0" t="s">
        <v>7715</v>
      </c>
      <c r="D578" s="0" t="s">
        <v>91</v>
      </c>
      <c r="E578" s="0" t="s">
        <v>7716</v>
      </c>
      <c r="F578" s="0" t="n">
        <v>658</v>
      </c>
      <c r="G578" s="0" t="s">
        <v>277</v>
      </c>
      <c r="H578" s="0" t="s">
        <v>293</v>
      </c>
      <c r="I578" s="0" t="s">
        <v>7717</v>
      </c>
    </row>
    <row r="579" customFormat="false" ht="15" hidden="false" customHeight="false" outlineLevel="0" collapsed="false">
      <c r="A579" s="0" t="n">
        <v>24</v>
      </c>
      <c r="B579" s="0" t="s">
        <v>62</v>
      </c>
      <c r="C579" s="0" t="s">
        <v>7718</v>
      </c>
      <c r="D579" s="0" t="s">
        <v>500</v>
      </c>
      <c r="E579" s="0" t="s">
        <v>7719</v>
      </c>
      <c r="F579" s="0" t="n">
        <v>7577</v>
      </c>
      <c r="G579" s="0" t="s">
        <v>277</v>
      </c>
      <c r="H579" s="0" t="s">
        <v>293</v>
      </c>
      <c r="I579" s="0" t="s">
        <v>7720</v>
      </c>
    </row>
    <row r="580" customFormat="false" ht="15" hidden="false" customHeight="false" outlineLevel="0" collapsed="false">
      <c r="A580" s="0" t="n">
        <v>24</v>
      </c>
      <c r="B580" s="0" t="s">
        <v>62</v>
      </c>
      <c r="C580" s="0" t="s">
        <v>7721</v>
      </c>
      <c r="D580" s="0" t="s">
        <v>91</v>
      </c>
      <c r="E580" s="0" t="s">
        <v>7722</v>
      </c>
      <c r="F580" s="0" t="n">
        <v>3061</v>
      </c>
      <c r="G580" s="0" t="s">
        <v>277</v>
      </c>
      <c r="H580" s="0" t="s">
        <v>293</v>
      </c>
      <c r="I580" s="0" t="s">
        <v>7723</v>
      </c>
    </row>
    <row r="581" customFormat="false" ht="15" hidden="false" customHeight="false" outlineLevel="0" collapsed="false">
      <c r="A581" s="0" t="n">
        <v>24</v>
      </c>
      <c r="B581" s="0" t="s">
        <v>62</v>
      </c>
      <c r="C581" s="0" t="s">
        <v>7724</v>
      </c>
      <c r="D581" s="0" t="s">
        <v>6416</v>
      </c>
      <c r="E581" s="0" t="s">
        <v>7725</v>
      </c>
      <c r="F581" s="0" t="n">
        <v>5077</v>
      </c>
      <c r="G581" s="0" t="s">
        <v>277</v>
      </c>
      <c r="H581" s="0" t="s">
        <v>293</v>
      </c>
      <c r="I581" s="0" t="s">
        <v>7726</v>
      </c>
    </row>
    <row r="582" customFormat="false" ht="15" hidden="false" customHeight="false" outlineLevel="0" collapsed="false">
      <c r="A582" s="0" t="n">
        <v>24</v>
      </c>
      <c r="B582" s="0" t="s">
        <v>62</v>
      </c>
      <c r="C582" s="0" t="s">
        <v>7727</v>
      </c>
      <c r="D582" s="0" t="s">
        <v>500</v>
      </c>
      <c r="E582" s="0" t="s">
        <v>7728</v>
      </c>
      <c r="F582" s="0" t="n">
        <v>2244</v>
      </c>
      <c r="G582" s="0" t="s">
        <v>277</v>
      </c>
      <c r="H582" s="0" t="s">
        <v>293</v>
      </c>
      <c r="I582" s="0" t="s">
        <v>7729</v>
      </c>
    </row>
    <row r="583" customFormat="false" ht="15" hidden="false" customHeight="false" outlineLevel="0" collapsed="false">
      <c r="A583" s="0" t="n">
        <v>26</v>
      </c>
      <c r="B583" s="0" t="s">
        <v>65</v>
      </c>
      <c r="C583" s="0" t="s">
        <v>7730</v>
      </c>
      <c r="D583" s="0" t="s">
        <v>6425</v>
      </c>
      <c r="E583" s="0" t="s">
        <v>7731</v>
      </c>
      <c r="F583" s="0" t="n">
        <v>821</v>
      </c>
      <c r="G583" s="0" t="s">
        <v>277</v>
      </c>
      <c r="H583" s="0" t="s">
        <v>293</v>
      </c>
      <c r="I583" s="0" t="s">
        <v>7732</v>
      </c>
    </row>
    <row r="584" customFormat="false" ht="15" hidden="false" customHeight="false" outlineLevel="0" collapsed="false">
      <c r="A584" s="0" t="n">
        <v>24</v>
      </c>
      <c r="B584" s="0" t="s">
        <v>62</v>
      </c>
      <c r="C584" s="0" t="s">
        <v>7733</v>
      </c>
      <c r="D584" s="0" t="s">
        <v>6416</v>
      </c>
      <c r="E584" s="0" t="s">
        <v>7734</v>
      </c>
      <c r="F584" s="0" t="n">
        <v>1324</v>
      </c>
      <c r="G584" s="0" t="s">
        <v>277</v>
      </c>
      <c r="H584" s="0" t="s">
        <v>293</v>
      </c>
      <c r="I584" s="0" t="s">
        <v>7735</v>
      </c>
    </row>
    <row r="585" customFormat="false" ht="15" hidden="false" customHeight="false" outlineLevel="0" collapsed="false">
      <c r="A585" s="0" t="n">
        <v>24</v>
      </c>
      <c r="B585" s="0" t="s">
        <v>62</v>
      </c>
      <c r="C585" s="0" t="s">
        <v>7736</v>
      </c>
      <c r="D585" s="0" t="s">
        <v>6786</v>
      </c>
      <c r="E585" s="0" t="s">
        <v>7737</v>
      </c>
      <c r="F585" s="0" t="n">
        <v>2622</v>
      </c>
      <c r="G585" s="0" t="s">
        <v>277</v>
      </c>
      <c r="H585" s="0" t="s">
        <v>293</v>
      </c>
      <c r="I585" s="0" t="s">
        <v>7738</v>
      </c>
    </row>
    <row r="586" customFormat="false" ht="15" hidden="false" customHeight="false" outlineLevel="0" collapsed="false">
      <c r="A586" s="0" t="n">
        <v>24</v>
      </c>
      <c r="B586" s="0" t="s">
        <v>62</v>
      </c>
      <c r="C586" s="0" t="s">
        <v>7739</v>
      </c>
      <c r="D586" s="0" t="s">
        <v>6416</v>
      </c>
      <c r="E586" s="0" t="s">
        <v>7740</v>
      </c>
      <c r="F586" s="0" t="n">
        <v>1171</v>
      </c>
      <c r="G586" s="0" t="s">
        <v>277</v>
      </c>
      <c r="H586" s="0" t="s">
        <v>293</v>
      </c>
      <c r="I586" s="0" t="s">
        <v>7741</v>
      </c>
    </row>
    <row r="587" customFormat="false" ht="15" hidden="false" customHeight="false" outlineLevel="0" collapsed="false">
      <c r="A587" s="0" t="n">
        <v>24</v>
      </c>
      <c r="B587" s="0" t="s">
        <v>62</v>
      </c>
      <c r="C587" s="0" t="s">
        <v>7742</v>
      </c>
      <c r="D587" s="0" t="s">
        <v>91</v>
      </c>
      <c r="E587" s="0" t="s">
        <v>7743</v>
      </c>
      <c r="F587" s="0" t="n">
        <v>2576</v>
      </c>
      <c r="G587" s="0" t="s">
        <v>277</v>
      </c>
      <c r="H587" s="0" t="s">
        <v>293</v>
      </c>
      <c r="I587" s="0" t="s">
        <v>7744</v>
      </c>
    </row>
    <row r="588" customFormat="false" ht="15" hidden="false" customHeight="false" outlineLevel="0" collapsed="false">
      <c r="A588" s="0" t="n">
        <v>24</v>
      </c>
      <c r="B588" s="0" t="s">
        <v>62</v>
      </c>
      <c r="C588" s="0" t="s">
        <v>7745</v>
      </c>
      <c r="D588" s="0" t="s">
        <v>6416</v>
      </c>
      <c r="E588" s="0" t="s">
        <v>7746</v>
      </c>
      <c r="F588" s="0" t="n">
        <v>5071</v>
      </c>
      <c r="G588" s="0" t="s">
        <v>277</v>
      </c>
      <c r="H588" s="0" t="s">
        <v>293</v>
      </c>
      <c r="I588" s="0" t="s">
        <v>7747</v>
      </c>
    </row>
    <row r="589" customFormat="false" ht="15" hidden="false" customHeight="false" outlineLevel="0" collapsed="false">
      <c r="A589" s="0" t="n">
        <v>24</v>
      </c>
      <c r="B589" s="0" t="s">
        <v>62</v>
      </c>
      <c r="C589" s="0" t="s">
        <v>7748</v>
      </c>
      <c r="D589" s="0" t="s">
        <v>6416</v>
      </c>
      <c r="E589" s="0" t="s">
        <v>7749</v>
      </c>
      <c r="F589" s="0" t="n">
        <v>2666</v>
      </c>
      <c r="G589" s="0" t="s">
        <v>277</v>
      </c>
      <c r="H589" s="0" t="s">
        <v>293</v>
      </c>
      <c r="I589" s="0" t="s">
        <v>7750</v>
      </c>
    </row>
    <row r="590" customFormat="false" ht="15" hidden="false" customHeight="false" outlineLevel="0" collapsed="false">
      <c r="A590" s="0" t="n">
        <v>24</v>
      </c>
      <c r="B590" s="0" t="s">
        <v>62</v>
      </c>
      <c r="C590" s="0" t="s">
        <v>7751</v>
      </c>
      <c r="D590" s="0" t="s">
        <v>6560</v>
      </c>
      <c r="E590" s="0" t="s">
        <v>7752</v>
      </c>
      <c r="F590" s="0" t="n">
        <v>2681</v>
      </c>
      <c r="G590" s="0" t="s">
        <v>277</v>
      </c>
      <c r="H590" s="0" t="s">
        <v>293</v>
      </c>
      <c r="I590" s="0" t="s">
        <v>7753</v>
      </c>
    </row>
    <row r="591" customFormat="false" ht="15" hidden="false" customHeight="false" outlineLevel="0" collapsed="false">
      <c r="A591" s="0" t="n">
        <v>24</v>
      </c>
      <c r="B591" s="0" t="s">
        <v>62</v>
      </c>
      <c r="C591" s="0" t="s">
        <v>7754</v>
      </c>
      <c r="D591" s="0" t="s">
        <v>6416</v>
      </c>
      <c r="E591" s="0" t="s">
        <v>7755</v>
      </c>
      <c r="F591" s="0" t="n">
        <v>5930</v>
      </c>
      <c r="G591" s="0" t="s">
        <v>277</v>
      </c>
      <c r="H591" s="0" t="s">
        <v>293</v>
      </c>
      <c r="I591" s="0" t="s">
        <v>7756</v>
      </c>
    </row>
    <row r="592" customFormat="false" ht="15" hidden="false" customHeight="false" outlineLevel="0" collapsed="false">
      <c r="A592" s="0" t="n">
        <v>24</v>
      </c>
      <c r="B592" s="0" t="s">
        <v>62</v>
      </c>
      <c r="C592" s="0" t="s">
        <v>7757</v>
      </c>
      <c r="D592" s="0" t="s">
        <v>500</v>
      </c>
      <c r="E592" s="0" t="s">
        <v>7758</v>
      </c>
      <c r="F592" s="0" t="n">
        <v>2001</v>
      </c>
      <c r="G592" s="0" t="s">
        <v>277</v>
      </c>
      <c r="H592" s="0" t="s">
        <v>293</v>
      </c>
      <c r="I592" s="0" t="s">
        <v>7759</v>
      </c>
    </row>
    <row r="593" customFormat="false" ht="15" hidden="false" customHeight="false" outlineLevel="0" collapsed="false">
      <c r="A593" s="0" t="n">
        <v>24</v>
      </c>
      <c r="B593" s="0" t="s">
        <v>62</v>
      </c>
      <c r="C593" s="0" t="s">
        <v>7760</v>
      </c>
      <c r="D593" s="0" t="s">
        <v>91</v>
      </c>
      <c r="E593" s="0" t="s">
        <v>7761</v>
      </c>
      <c r="F593" s="0" t="n">
        <v>2997</v>
      </c>
      <c r="G593" s="0" t="s">
        <v>277</v>
      </c>
      <c r="H593" s="0" t="s">
        <v>293</v>
      </c>
      <c r="I593" s="0" t="s">
        <v>7762</v>
      </c>
    </row>
    <row r="594" customFormat="false" ht="15" hidden="false" customHeight="false" outlineLevel="0" collapsed="false">
      <c r="A594" s="0" t="n">
        <v>26</v>
      </c>
      <c r="B594" s="0" t="s">
        <v>65</v>
      </c>
      <c r="C594" s="0" t="s">
        <v>7763</v>
      </c>
      <c r="D594" s="0" t="s">
        <v>6425</v>
      </c>
      <c r="E594" s="0" t="s">
        <v>7764</v>
      </c>
      <c r="F594" s="0" t="n">
        <v>765</v>
      </c>
      <c r="G594" s="0" t="s">
        <v>277</v>
      </c>
      <c r="H594" s="0" t="s">
        <v>293</v>
      </c>
      <c r="I594" s="0" t="s">
        <v>7765</v>
      </c>
    </row>
    <row r="595" customFormat="false" ht="15" hidden="false" customHeight="false" outlineLevel="0" collapsed="false">
      <c r="A595" s="0" t="n">
        <v>24</v>
      </c>
      <c r="B595" s="0" t="s">
        <v>62</v>
      </c>
      <c r="C595" s="0" t="s">
        <v>7766</v>
      </c>
      <c r="D595" s="0" t="s">
        <v>6416</v>
      </c>
      <c r="E595" s="0" t="s">
        <v>7767</v>
      </c>
      <c r="F595" s="0" t="n">
        <v>2124</v>
      </c>
      <c r="G595" s="0" t="s">
        <v>277</v>
      </c>
      <c r="H595" s="0" t="s">
        <v>293</v>
      </c>
      <c r="I595" s="0" t="s">
        <v>7768</v>
      </c>
    </row>
    <row r="596" customFormat="false" ht="15" hidden="false" customHeight="false" outlineLevel="0" collapsed="false">
      <c r="A596" s="0" t="n">
        <v>24</v>
      </c>
      <c r="B596" s="0" t="s">
        <v>62</v>
      </c>
      <c r="C596" s="0" t="s">
        <v>7769</v>
      </c>
      <c r="D596" s="0" t="s">
        <v>6416</v>
      </c>
      <c r="E596" s="0" t="s">
        <v>7770</v>
      </c>
      <c r="F596" s="0" t="n">
        <v>1780</v>
      </c>
      <c r="G596" s="0" t="s">
        <v>277</v>
      </c>
      <c r="H596" s="0" t="s">
        <v>293</v>
      </c>
      <c r="I596" s="0" t="s">
        <v>7771</v>
      </c>
    </row>
    <row r="597" customFormat="false" ht="15" hidden="false" customHeight="false" outlineLevel="0" collapsed="false">
      <c r="A597" s="0" t="n">
        <v>26</v>
      </c>
      <c r="B597" s="0" t="s">
        <v>65</v>
      </c>
      <c r="C597" s="0" t="s">
        <v>7772</v>
      </c>
      <c r="D597" s="0" t="s">
        <v>6560</v>
      </c>
      <c r="E597" s="0" t="s">
        <v>7773</v>
      </c>
      <c r="F597" s="0" t="n">
        <v>3399</v>
      </c>
      <c r="G597" s="0" t="s">
        <v>277</v>
      </c>
      <c r="H597" s="0" t="s">
        <v>293</v>
      </c>
      <c r="I597" s="0" t="s">
        <v>7774</v>
      </c>
    </row>
    <row r="598" customFormat="false" ht="15" hidden="false" customHeight="false" outlineLevel="0" collapsed="false">
      <c r="A598" s="0" t="n">
        <v>24</v>
      </c>
      <c r="B598" s="0" t="s">
        <v>62</v>
      </c>
      <c r="C598" s="0" t="s">
        <v>7775</v>
      </c>
      <c r="D598" s="0" t="s">
        <v>6416</v>
      </c>
      <c r="E598" s="0" t="s">
        <v>7776</v>
      </c>
      <c r="F598" s="0" t="n">
        <v>1944</v>
      </c>
      <c r="G598" s="0" t="s">
        <v>277</v>
      </c>
      <c r="H598" s="0" t="s">
        <v>293</v>
      </c>
      <c r="I598" s="0" t="s">
        <v>7777</v>
      </c>
    </row>
    <row r="599" customFormat="false" ht="15" hidden="false" customHeight="false" outlineLevel="0" collapsed="false">
      <c r="A599" s="0" t="n">
        <v>24</v>
      </c>
      <c r="B599" s="0" t="s">
        <v>62</v>
      </c>
      <c r="C599" s="0" t="s">
        <v>7778</v>
      </c>
      <c r="D599" s="0" t="s">
        <v>6416</v>
      </c>
      <c r="E599" s="0" t="s">
        <v>7779</v>
      </c>
      <c r="F599" s="0" t="n">
        <v>1849</v>
      </c>
      <c r="G599" s="0" t="s">
        <v>277</v>
      </c>
      <c r="H599" s="0" t="s">
        <v>293</v>
      </c>
      <c r="I599" s="0" t="s">
        <v>7780</v>
      </c>
    </row>
    <row r="600" customFormat="false" ht="15" hidden="false" customHeight="false" outlineLevel="0" collapsed="false">
      <c r="A600" s="0" t="n">
        <v>24</v>
      </c>
      <c r="B600" s="0" t="s">
        <v>62</v>
      </c>
      <c r="C600" s="0" t="s">
        <v>7781</v>
      </c>
      <c r="D600" s="0" t="s">
        <v>500</v>
      </c>
      <c r="E600" s="0" t="s">
        <v>7782</v>
      </c>
      <c r="F600" s="0" t="n">
        <v>2404</v>
      </c>
      <c r="G600" s="0" t="s">
        <v>277</v>
      </c>
      <c r="H600" s="0" t="s">
        <v>293</v>
      </c>
      <c r="I600" s="0" t="s">
        <v>7783</v>
      </c>
    </row>
    <row r="601" customFormat="false" ht="15" hidden="false" customHeight="false" outlineLevel="0" collapsed="false">
      <c r="A601" s="0" t="n">
        <v>26</v>
      </c>
      <c r="B601" s="0" t="s">
        <v>65</v>
      </c>
      <c r="C601" s="0" t="s">
        <v>7784</v>
      </c>
      <c r="D601" s="0" t="s">
        <v>35</v>
      </c>
      <c r="E601" s="0" t="s">
        <v>7785</v>
      </c>
      <c r="F601" s="0" t="n">
        <v>1541</v>
      </c>
      <c r="G601" s="0" t="s">
        <v>277</v>
      </c>
      <c r="H601" s="0" t="s">
        <v>293</v>
      </c>
      <c r="I601" s="0" t="s">
        <v>7786</v>
      </c>
    </row>
    <row r="602" customFormat="false" ht="15" hidden="false" customHeight="false" outlineLevel="0" collapsed="false">
      <c r="A602" s="0" t="n">
        <v>26</v>
      </c>
      <c r="B602" s="0" t="s">
        <v>65</v>
      </c>
      <c r="C602" s="0" t="s">
        <v>7787</v>
      </c>
      <c r="D602" s="0" t="s">
        <v>6560</v>
      </c>
      <c r="E602" s="0" t="s">
        <v>7788</v>
      </c>
      <c r="F602" s="0" t="n">
        <v>2317</v>
      </c>
      <c r="G602" s="0" t="s">
        <v>277</v>
      </c>
      <c r="H602" s="0" t="s">
        <v>293</v>
      </c>
      <c r="I602" s="0" t="s">
        <v>7789</v>
      </c>
    </row>
    <row r="603" customFormat="false" ht="15" hidden="false" customHeight="false" outlineLevel="0" collapsed="false">
      <c r="A603" s="0" t="n">
        <v>26</v>
      </c>
      <c r="B603" s="0" t="s">
        <v>65</v>
      </c>
      <c r="C603" s="0" t="s">
        <v>7790</v>
      </c>
      <c r="D603" s="0" t="s">
        <v>6425</v>
      </c>
      <c r="E603" s="0" t="s">
        <v>7791</v>
      </c>
      <c r="F603" s="0" t="n">
        <v>756</v>
      </c>
      <c r="G603" s="0" t="s">
        <v>277</v>
      </c>
      <c r="H603" s="0" t="s">
        <v>293</v>
      </c>
      <c r="I603" s="0" t="s">
        <v>7792</v>
      </c>
    </row>
    <row r="604" customFormat="false" ht="15" hidden="false" customHeight="false" outlineLevel="0" collapsed="false">
      <c r="A604" s="0" t="n">
        <v>26</v>
      </c>
      <c r="B604" s="0" t="s">
        <v>65</v>
      </c>
      <c r="C604" s="0" t="s">
        <v>7793</v>
      </c>
      <c r="D604" s="0" t="s">
        <v>335</v>
      </c>
      <c r="E604" s="0" t="s">
        <v>7794</v>
      </c>
      <c r="F604" s="0" t="n">
        <v>399</v>
      </c>
      <c r="G604" s="0" t="s">
        <v>277</v>
      </c>
      <c r="H604" s="0" t="s">
        <v>293</v>
      </c>
      <c r="I604" s="0" t="s">
        <v>7795</v>
      </c>
    </row>
    <row r="605" customFormat="false" ht="15" hidden="false" customHeight="false" outlineLevel="0" collapsed="false">
      <c r="A605" s="0" t="n">
        <v>26</v>
      </c>
      <c r="B605" s="0" t="s">
        <v>65</v>
      </c>
      <c r="C605" s="0" t="s">
        <v>7796</v>
      </c>
      <c r="D605" s="0" t="s">
        <v>6416</v>
      </c>
      <c r="E605" s="0" t="s">
        <v>7797</v>
      </c>
      <c r="F605" s="0" t="n">
        <v>3232</v>
      </c>
      <c r="G605" s="0" t="s">
        <v>277</v>
      </c>
      <c r="H605" s="0" t="s">
        <v>293</v>
      </c>
      <c r="I605" s="0" t="s">
        <v>7798</v>
      </c>
    </row>
    <row r="606" customFormat="false" ht="15" hidden="false" customHeight="false" outlineLevel="0" collapsed="false">
      <c r="A606" s="0" t="n">
        <v>26</v>
      </c>
      <c r="B606" s="0" t="s">
        <v>65</v>
      </c>
      <c r="C606" s="0" t="s">
        <v>7799</v>
      </c>
      <c r="D606" s="0" t="s">
        <v>6416</v>
      </c>
      <c r="E606" s="0" t="s">
        <v>7800</v>
      </c>
      <c r="F606" s="0" t="n">
        <v>3298</v>
      </c>
      <c r="G606" s="0" t="s">
        <v>277</v>
      </c>
      <c r="H606" s="0" t="s">
        <v>293</v>
      </c>
      <c r="I606" s="0" t="s">
        <v>7801</v>
      </c>
    </row>
    <row r="607" customFormat="false" ht="15" hidden="false" customHeight="false" outlineLevel="0" collapsed="false">
      <c r="A607" s="0" t="n">
        <v>26</v>
      </c>
      <c r="B607" s="0" t="s">
        <v>65</v>
      </c>
      <c r="C607" s="0" t="s">
        <v>7802</v>
      </c>
      <c r="D607" s="0" t="s">
        <v>6425</v>
      </c>
      <c r="E607" s="0" t="s">
        <v>7803</v>
      </c>
      <c r="F607" s="0" t="n">
        <v>857</v>
      </c>
      <c r="G607" s="0" t="s">
        <v>277</v>
      </c>
      <c r="H607" s="0" t="s">
        <v>293</v>
      </c>
      <c r="I607" s="0" t="s">
        <v>7804</v>
      </c>
    </row>
    <row r="608" customFormat="false" ht="15" hidden="false" customHeight="false" outlineLevel="0" collapsed="false">
      <c r="A608" s="0" t="n">
        <v>26</v>
      </c>
      <c r="B608" s="0" t="s">
        <v>65</v>
      </c>
      <c r="C608" s="0" t="s">
        <v>7805</v>
      </c>
      <c r="D608" s="0" t="s">
        <v>91</v>
      </c>
      <c r="E608" s="0" t="s">
        <v>7806</v>
      </c>
      <c r="F608" s="0" t="n">
        <v>5446</v>
      </c>
      <c r="G608" s="0" t="s">
        <v>277</v>
      </c>
      <c r="H608" s="0" t="s">
        <v>293</v>
      </c>
      <c r="I608" s="0" t="s">
        <v>7807</v>
      </c>
    </row>
    <row r="609" customFormat="false" ht="15" hidden="false" customHeight="false" outlineLevel="0" collapsed="false">
      <c r="A609" s="0" t="n">
        <v>26</v>
      </c>
      <c r="B609" s="0" t="s">
        <v>65</v>
      </c>
      <c r="C609" s="0" t="s">
        <v>7808</v>
      </c>
      <c r="D609" s="0" t="s">
        <v>6560</v>
      </c>
      <c r="E609" s="0" t="s">
        <v>7809</v>
      </c>
      <c r="F609" s="0" t="n">
        <v>3288</v>
      </c>
      <c r="G609" s="0" t="s">
        <v>277</v>
      </c>
      <c r="H609" s="0" t="s">
        <v>293</v>
      </c>
      <c r="I609" s="0" t="s">
        <v>7810</v>
      </c>
    </row>
    <row r="610" customFormat="false" ht="15" hidden="false" customHeight="false" outlineLevel="0" collapsed="false">
      <c r="A610" s="0" t="n">
        <v>26</v>
      </c>
      <c r="B610" s="0" t="s">
        <v>65</v>
      </c>
      <c r="C610" s="0" t="s">
        <v>7811</v>
      </c>
      <c r="D610" s="0" t="s">
        <v>6416</v>
      </c>
      <c r="E610" s="0" t="s">
        <v>7812</v>
      </c>
      <c r="F610" s="0" t="n">
        <v>3088</v>
      </c>
      <c r="G610" s="0" t="s">
        <v>277</v>
      </c>
      <c r="H610" s="0" t="s">
        <v>293</v>
      </c>
      <c r="I610" s="0" t="s">
        <v>7813</v>
      </c>
    </row>
    <row r="611" customFormat="false" ht="15" hidden="false" customHeight="false" outlineLevel="0" collapsed="false">
      <c r="A611" s="0" t="n">
        <v>26</v>
      </c>
      <c r="B611" s="0" t="s">
        <v>65</v>
      </c>
      <c r="C611" s="0" t="s">
        <v>7814</v>
      </c>
      <c r="D611" s="0" t="s">
        <v>6560</v>
      </c>
      <c r="E611" s="0" t="s">
        <v>7815</v>
      </c>
      <c r="F611" s="0" t="n">
        <v>1733</v>
      </c>
      <c r="G611" s="0" t="s">
        <v>277</v>
      </c>
      <c r="H611" s="0" t="s">
        <v>293</v>
      </c>
      <c r="I611" s="0" t="s">
        <v>7816</v>
      </c>
    </row>
    <row r="612" customFormat="false" ht="15" hidden="false" customHeight="false" outlineLevel="0" collapsed="false">
      <c r="A612" s="0" t="n">
        <v>26</v>
      </c>
      <c r="B612" s="0" t="s">
        <v>65</v>
      </c>
      <c r="C612" s="0" t="s">
        <v>7817</v>
      </c>
      <c r="D612" s="0" t="s">
        <v>6823</v>
      </c>
      <c r="E612" s="0" t="s">
        <v>7659</v>
      </c>
      <c r="F612" s="0" t="n">
        <v>1253</v>
      </c>
      <c r="G612" s="0" t="s">
        <v>277</v>
      </c>
      <c r="H612" s="0" t="s">
        <v>293</v>
      </c>
      <c r="I612" s="0" t="s">
        <v>7660</v>
      </c>
    </row>
    <row r="613" customFormat="false" ht="15" hidden="false" customHeight="false" outlineLevel="0" collapsed="false">
      <c r="A613" s="0" t="n">
        <v>26</v>
      </c>
      <c r="B613" s="0" t="s">
        <v>65</v>
      </c>
      <c r="C613" s="0" t="s">
        <v>7818</v>
      </c>
      <c r="D613" s="0" t="s">
        <v>6823</v>
      </c>
      <c r="E613" s="0" t="s">
        <v>7659</v>
      </c>
      <c r="F613" s="0" t="n">
        <v>1253</v>
      </c>
      <c r="G613" s="0" t="s">
        <v>277</v>
      </c>
      <c r="H613" s="0" t="s">
        <v>293</v>
      </c>
      <c r="I613" s="0" t="s">
        <v>7660</v>
      </c>
    </row>
    <row r="614" customFormat="false" ht="15" hidden="false" customHeight="false" outlineLevel="0" collapsed="false">
      <c r="A614" s="0" t="n">
        <v>26</v>
      </c>
      <c r="B614" s="0" t="s">
        <v>65</v>
      </c>
      <c r="C614" s="0" t="s">
        <v>7819</v>
      </c>
      <c r="D614" s="0" t="s">
        <v>6823</v>
      </c>
      <c r="E614" s="0" t="s">
        <v>7659</v>
      </c>
      <c r="F614" s="0" t="n">
        <v>1253</v>
      </c>
      <c r="G614" s="0" t="s">
        <v>277</v>
      </c>
      <c r="H614" s="0" t="s">
        <v>293</v>
      </c>
      <c r="I614" s="0" t="s">
        <v>7660</v>
      </c>
    </row>
    <row r="615" customFormat="false" ht="15" hidden="false" customHeight="false" outlineLevel="0" collapsed="false">
      <c r="A615" s="0" t="n">
        <v>26</v>
      </c>
      <c r="B615" s="0" t="s">
        <v>65</v>
      </c>
      <c r="C615" s="0" t="s">
        <v>7820</v>
      </c>
      <c r="D615" s="0" t="s">
        <v>6823</v>
      </c>
      <c r="E615" s="0" t="s">
        <v>7659</v>
      </c>
      <c r="F615" s="0" t="n">
        <v>1253</v>
      </c>
      <c r="G615" s="0" t="s">
        <v>277</v>
      </c>
      <c r="H615" s="0" t="s">
        <v>293</v>
      </c>
      <c r="I615" s="0" t="s">
        <v>7660</v>
      </c>
    </row>
    <row r="616" customFormat="false" ht="15" hidden="false" customHeight="false" outlineLevel="0" collapsed="false">
      <c r="A616" s="0" t="n">
        <v>26</v>
      </c>
      <c r="B616" s="0" t="s">
        <v>65</v>
      </c>
      <c r="C616" s="0" t="s">
        <v>7821</v>
      </c>
      <c r="D616" s="0" t="s">
        <v>6823</v>
      </c>
      <c r="E616" s="0" t="s">
        <v>7659</v>
      </c>
      <c r="F616" s="0" t="n">
        <v>1253</v>
      </c>
      <c r="G616" s="0" t="s">
        <v>277</v>
      </c>
      <c r="H616" s="0" t="s">
        <v>293</v>
      </c>
      <c r="I616" s="0" t="s">
        <v>7660</v>
      </c>
    </row>
    <row r="617" customFormat="false" ht="15" hidden="false" customHeight="false" outlineLevel="0" collapsed="false">
      <c r="A617" s="0" t="n">
        <v>26</v>
      </c>
      <c r="B617" s="0" t="s">
        <v>65</v>
      </c>
      <c r="C617" s="0" t="s">
        <v>7822</v>
      </c>
      <c r="D617" s="0" t="s">
        <v>35</v>
      </c>
      <c r="E617" s="0" t="s">
        <v>7823</v>
      </c>
      <c r="F617" s="0" t="n">
        <v>1711</v>
      </c>
      <c r="G617" s="0" t="s">
        <v>277</v>
      </c>
      <c r="H617" s="0" t="s">
        <v>293</v>
      </c>
      <c r="I617" s="0" t="s">
        <v>7824</v>
      </c>
    </row>
    <row r="618" customFormat="false" ht="15" hidden="false" customHeight="false" outlineLevel="0" collapsed="false">
      <c r="A618" s="0" t="n">
        <v>26</v>
      </c>
      <c r="B618" s="0" t="s">
        <v>65</v>
      </c>
      <c r="C618" s="0" t="s">
        <v>7825</v>
      </c>
      <c r="D618" s="0" t="s">
        <v>35</v>
      </c>
      <c r="E618" s="0" t="s">
        <v>7677</v>
      </c>
      <c r="F618" s="0" t="n">
        <v>1525</v>
      </c>
      <c r="G618" s="0" t="s">
        <v>277</v>
      </c>
      <c r="H618" s="0" t="s">
        <v>293</v>
      </c>
      <c r="I618" s="0" t="s">
        <v>7678</v>
      </c>
    </row>
    <row r="619" customFormat="false" ht="15" hidden="false" customHeight="false" outlineLevel="0" collapsed="false">
      <c r="A619" s="0" t="n">
        <v>26</v>
      </c>
      <c r="B619" s="0" t="s">
        <v>65</v>
      </c>
      <c r="C619" s="0" t="s">
        <v>7826</v>
      </c>
      <c r="D619" s="0" t="s">
        <v>6560</v>
      </c>
      <c r="E619" s="0" t="s">
        <v>7773</v>
      </c>
      <c r="F619" s="0" t="n">
        <v>3399</v>
      </c>
      <c r="G619" s="0" t="s">
        <v>277</v>
      </c>
      <c r="H619" s="0" t="s">
        <v>293</v>
      </c>
      <c r="I619" s="0" t="s">
        <v>7827</v>
      </c>
    </row>
    <row r="620" customFormat="false" ht="15" hidden="false" customHeight="false" outlineLevel="0" collapsed="false">
      <c r="A620" s="0" t="n">
        <v>26</v>
      </c>
      <c r="B620" s="0" t="s">
        <v>65</v>
      </c>
      <c r="C620" s="0" t="s">
        <v>7828</v>
      </c>
      <c r="D620" s="0" t="s">
        <v>6416</v>
      </c>
      <c r="E620" s="0" t="s">
        <v>7701</v>
      </c>
      <c r="F620" s="0" t="n">
        <v>3287</v>
      </c>
      <c r="G620" s="0" t="s">
        <v>277</v>
      </c>
      <c r="H620" s="0" t="s">
        <v>293</v>
      </c>
      <c r="I620" s="0" t="s">
        <v>7829</v>
      </c>
    </row>
    <row r="621" customFormat="false" ht="15" hidden="false" customHeight="false" outlineLevel="0" collapsed="false">
      <c r="A621" s="0" t="n">
        <v>26</v>
      </c>
      <c r="B621" s="0" t="s">
        <v>65</v>
      </c>
      <c r="C621" s="0" t="s">
        <v>7830</v>
      </c>
      <c r="D621" s="0" t="s">
        <v>6416</v>
      </c>
      <c r="E621" s="0" t="s">
        <v>7797</v>
      </c>
      <c r="F621" s="0" t="n">
        <v>3232</v>
      </c>
      <c r="G621" s="0" t="s">
        <v>277</v>
      </c>
      <c r="H621" s="0" t="s">
        <v>293</v>
      </c>
      <c r="I621" s="0" t="s">
        <v>7831</v>
      </c>
    </row>
    <row r="622" customFormat="false" ht="15" hidden="false" customHeight="false" outlineLevel="0" collapsed="false">
      <c r="A622" s="0" t="n">
        <v>26</v>
      </c>
      <c r="B622" s="0" t="s">
        <v>65</v>
      </c>
      <c r="C622" s="0" t="s">
        <v>7832</v>
      </c>
      <c r="D622" s="0" t="s">
        <v>335</v>
      </c>
      <c r="E622" s="0" t="s">
        <v>7794</v>
      </c>
      <c r="F622" s="0" t="n">
        <v>399</v>
      </c>
      <c r="G622" s="0" t="s">
        <v>277</v>
      </c>
      <c r="H622" s="0" t="s">
        <v>293</v>
      </c>
      <c r="I622" s="0" t="s">
        <v>7795</v>
      </c>
    </row>
    <row r="623" customFormat="false" ht="15" hidden="false" customHeight="false" outlineLevel="0" collapsed="false">
      <c r="A623" s="0" t="n">
        <v>26</v>
      </c>
      <c r="B623" s="0" t="s">
        <v>65</v>
      </c>
      <c r="C623" s="0" t="s">
        <v>7833</v>
      </c>
      <c r="D623" s="0" t="s">
        <v>6416</v>
      </c>
      <c r="E623" s="0" t="s">
        <v>7800</v>
      </c>
      <c r="F623" s="0" t="n">
        <v>3298</v>
      </c>
      <c r="G623" s="0" t="s">
        <v>277</v>
      </c>
      <c r="H623" s="0" t="s">
        <v>293</v>
      </c>
      <c r="I623" s="0" t="s">
        <v>7834</v>
      </c>
    </row>
    <row r="624" customFormat="false" ht="15" hidden="false" customHeight="false" outlineLevel="0" collapsed="false">
      <c r="A624" s="0" t="n">
        <v>26</v>
      </c>
      <c r="B624" s="0" t="s">
        <v>65</v>
      </c>
      <c r="C624" s="0" t="s">
        <v>7835</v>
      </c>
      <c r="D624" s="0" t="s">
        <v>91</v>
      </c>
      <c r="E624" s="0" t="s">
        <v>7836</v>
      </c>
      <c r="F624" s="0" t="n">
        <v>5079</v>
      </c>
      <c r="G624" s="0" t="s">
        <v>277</v>
      </c>
      <c r="H624" s="0" t="s">
        <v>293</v>
      </c>
      <c r="I624" s="0" t="s">
        <v>7837</v>
      </c>
    </row>
    <row r="625" customFormat="false" ht="15" hidden="false" customHeight="false" outlineLevel="0" collapsed="false">
      <c r="A625" s="0" t="n">
        <v>26</v>
      </c>
      <c r="B625" s="0" t="s">
        <v>65</v>
      </c>
      <c r="C625" s="0" t="s">
        <v>7838</v>
      </c>
      <c r="D625" s="0" t="s">
        <v>91</v>
      </c>
      <c r="E625" s="0" t="s">
        <v>7839</v>
      </c>
      <c r="F625" s="0" t="n">
        <v>5318</v>
      </c>
      <c r="G625" s="0" t="s">
        <v>277</v>
      </c>
      <c r="H625" s="0" t="s">
        <v>293</v>
      </c>
      <c r="I625" s="0" t="s">
        <v>7840</v>
      </c>
    </row>
    <row r="626" customFormat="false" ht="15" hidden="false" customHeight="false" outlineLevel="0" collapsed="false">
      <c r="A626" s="0" t="n">
        <v>26</v>
      </c>
      <c r="B626" s="0" t="s">
        <v>65</v>
      </c>
      <c r="C626" s="0" t="s">
        <v>7841</v>
      </c>
      <c r="D626" s="0" t="s">
        <v>91</v>
      </c>
      <c r="E626" s="0" t="s">
        <v>7842</v>
      </c>
      <c r="F626" s="0" t="n">
        <v>5110</v>
      </c>
      <c r="G626" s="0" t="s">
        <v>277</v>
      </c>
      <c r="H626" s="0" t="s">
        <v>293</v>
      </c>
      <c r="I626" s="0" t="s">
        <v>7843</v>
      </c>
    </row>
    <row r="627" customFormat="false" ht="15" hidden="false" customHeight="false" outlineLevel="0" collapsed="false">
      <c r="A627" s="0" t="n">
        <v>26</v>
      </c>
      <c r="B627" s="0" t="s">
        <v>65</v>
      </c>
      <c r="C627" s="0" t="s">
        <v>7844</v>
      </c>
      <c r="D627" s="0" t="s">
        <v>91</v>
      </c>
      <c r="E627" s="0" t="s">
        <v>7845</v>
      </c>
      <c r="F627" s="0" t="n">
        <v>5764</v>
      </c>
      <c r="G627" s="0" t="s">
        <v>277</v>
      </c>
      <c r="H627" s="0" t="s">
        <v>293</v>
      </c>
      <c r="I627" s="0" t="s">
        <v>7846</v>
      </c>
    </row>
    <row r="628" customFormat="false" ht="15" hidden="false" customHeight="false" outlineLevel="0" collapsed="false">
      <c r="A628" s="0" t="n">
        <v>32</v>
      </c>
      <c r="B628" s="0" t="s">
        <v>72</v>
      </c>
      <c r="C628" s="0" t="s">
        <v>7847</v>
      </c>
      <c r="D628" s="0" t="s">
        <v>6416</v>
      </c>
      <c r="E628" s="0" t="s">
        <v>7848</v>
      </c>
      <c r="F628" s="0" t="n">
        <v>4643</v>
      </c>
      <c r="G628" s="0" t="s">
        <v>277</v>
      </c>
      <c r="H628" s="0" t="s">
        <v>293</v>
      </c>
      <c r="I628" s="0" t="s">
        <v>7849</v>
      </c>
    </row>
    <row r="629" customFormat="false" ht="15" hidden="false" customHeight="false" outlineLevel="0" collapsed="false">
      <c r="A629" s="0" t="n">
        <v>32</v>
      </c>
      <c r="B629" s="0" t="s">
        <v>72</v>
      </c>
      <c r="C629" s="0" t="s">
        <v>7850</v>
      </c>
      <c r="D629" s="0" t="s">
        <v>6416</v>
      </c>
      <c r="E629" s="0" t="s">
        <v>7851</v>
      </c>
      <c r="F629" s="0" t="n">
        <v>1073</v>
      </c>
      <c r="G629" s="0" t="s">
        <v>277</v>
      </c>
      <c r="H629" s="0" t="s">
        <v>293</v>
      </c>
      <c r="I629" s="0" t="s">
        <v>7852</v>
      </c>
    </row>
    <row r="630" customFormat="false" ht="15" hidden="false" customHeight="false" outlineLevel="0" collapsed="false">
      <c r="A630" s="0" t="n">
        <v>32</v>
      </c>
      <c r="B630" s="0" t="s">
        <v>72</v>
      </c>
      <c r="C630" s="0" t="s">
        <v>7853</v>
      </c>
      <c r="D630" s="0" t="s">
        <v>6416</v>
      </c>
      <c r="E630" s="0" t="s">
        <v>7854</v>
      </c>
      <c r="F630" s="0" t="n">
        <v>1309</v>
      </c>
      <c r="G630" s="0" t="s">
        <v>277</v>
      </c>
      <c r="H630" s="0" t="s">
        <v>293</v>
      </c>
      <c r="I630" s="0" t="s">
        <v>7855</v>
      </c>
    </row>
    <row r="631" customFormat="false" ht="15" hidden="false" customHeight="false" outlineLevel="0" collapsed="false">
      <c r="A631" s="0" t="n">
        <v>32</v>
      </c>
      <c r="B631" s="0" t="s">
        <v>72</v>
      </c>
      <c r="C631" s="0" t="s">
        <v>7856</v>
      </c>
      <c r="D631" s="0" t="s">
        <v>6416</v>
      </c>
      <c r="E631" s="0" t="s">
        <v>7848</v>
      </c>
      <c r="F631" s="0" t="n">
        <v>4643</v>
      </c>
      <c r="G631" s="0" t="s">
        <v>277</v>
      </c>
      <c r="H631" s="0" t="s">
        <v>293</v>
      </c>
      <c r="I631" s="0" t="s">
        <v>7849</v>
      </c>
    </row>
    <row r="632" customFormat="false" ht="15" hidden="false" customHeight="false" outlineLevel="0" collapsed="false">
      <c r="A632" s="0" t="n">
        <v>32</v>
      </c>
      <c r="B632" s="0" t="s">
        <v>72</v>
      </c>
      <c r="C632" s="0" t="s">
        <v>7857</v>
      </c>
      <c r="D632" s="0" t="s">
        <v>6425</v>
      </c>
      <c r="E632" s="0" t="s">
        <v>7858</v>
      </c>
      <c r="F632" s="0" t="n">
        <v>1016</v>
      </c>
      <c r="G632" s="0" t="s">
        <v>277</v>
      </c>
      <c r="H632" s="0" t="s">
        <v>293</v>
      </c>
      <c r="I632" s="0" t="s">
        <v>7859</v>
      </c>
    </row>
    <row r="633" customFormat="false" ht="15" hidden="false" customHeight="false" outlineLevel="0" collapsed="false">
      <c r="A633" s="0" t="n">
        <v>34</v>
      </c>
      <c r="B633" s="0" t="s">
        <v>75</v>
      </c>
      <c r="C633" s="0" t="s">
        <v>7860</v>
      </c>
      <c r="D633" s="0" t="s">
        <v>6416</v>
      </c>
      <c r="E633" s="0" t="s">
        <v>7861</v>
      </c>
      <c r="F633" s="0" t="n">
        <v>8992</v>
      </c>
      <c r="G633" s="0" t="s">
        <v>277</v>
      </c>
      <c r="H633" s="0" t="s">
        <v>293</v>
      </c>
      <c r="I633" s="0" t="s">
        <v>7862</v>
      </c>
    </row>
    <row r="634" customFormat="false" ht="15" hidden="false" customHeight="false" outlineLevel="0" collapsed="false">
      <c r="A634" s="0" t="n">
        <v>34</v>
      </c>
      <c r="B634" s="0" t="s">
        <v>75</v>
      </c>
      <c r="C634" s="0" t="s">
        <v>7863</v>
      </c>
      <c r="D634" s="0" t="s">
        <v>6416</v>
      </c>
      <c r="E634" s="0" t="s">
        <v>7864</v>
      </c>
      <c r="F634" s="0" t="n">
        <v>4016</v>
      </c>
      <c r="G634" s="0" t="s">
        <v>277</v>
      </c>
      <c r="H634" s="0" t="s">
        <v>293</v>
      </c>
      <c r="I634" s="0" t="s">
        <v>7865</v>
      </c>
    </row>
    <row r="635" customFormat="false" ht="15" hidden="false" customHeight="false" outlineLevel="0" collapsed="false">
      <c r="A635" s="0" t="n">
        <v>34</v>
      </c>
      <c r="B635" s="0" t="s">
        <v>75</v>
      </c>
      <c r="C635" s="0" t="s">
        <v>7866</v>
      </c>
      <c r="D635" s="0" t="s">
        <v>6425</v>
      </c>
      <c r="E635" s="0" t="s">
        <v>7867</v>
      </c>
      <c r="F635" s="0" t="n">
        <v>1185</v>
      </c>
      <c r="G635" s="0" t="s">
        <v>277</v>
      </c>
      <c r="H635" s="0" t="s">
        <v>293</v>
      </c>
      <c r="I635" s="0" t="s">
        <v>7868</v>
      </c>
    </row>
    <row r="636" customFormat="false" ht="15" hidden="false" customHeight="false" outlineLevel="0" collapsed="false">
      <c r="A636" s="0" t="n">
        <v>34</v>
      </c>
      <c r="B636" s="0" t="s">
        <v>75</v>
      </c>
      <c r="C636" s="0" t="s">
        <v>7869</v>
      </c>
      <c r="D636" s="0" t="s">
        <v>6416</v>
      </c>
      <c r="E636" s="0" t="s">
        <v>7870</v>
      </c>
      <c r="F636" s="0" t="n">
        <v>4105</v>
      </c>
      <c r="G636" s="0" t="s">
        <v>277</v>
      </c>
      <c r="H636" s="0" t="s">
        <v>293</v>
      </c>
      <c r="I636" s="0" t="s">
        <v>7871</v>
      </c>
    </row>
    <row r="637" customFormat="false" ht="15" hidden="false" customHeight="false" outlineLevel="0" collapsed="false">
      <c r="A637" s="0" t="n">
        <v>34</v>
      </c>
      <c r="B637" s="0" t="s">
        <v>75</v>
      </c>
      <c r="C637" s="0" t="s">
        <v>7872</v>
      </c>
      <c r="D637" s="0" t="s">
        <v>91</v>
      </c>
      <c r="E637" s="0" t="s">
        <v>7873</v>
      </c>
      <c r="F637" s="0" t="n">
        <v>1802</v>
      </c>
      <c r="G637" s="0" t="s">
        <v>277</v>
      </c>
      <c r="H637" s="0" t="s">
        <v>293</v>
      </c>
      <c r="I637" s="0" t="s">
        <v>7874</v>
      </c>
    </row>
    <row r="638" customFormat="false" ht="15" hidden="false" customHeight="false" outlineLevel="0" collapsed="false">
      <c r="A638" s="0" t="n">
        <v>34</v>
      </c>
      <c r="B638" s="0" t="s">
        <v>75</v>
      </c>
      <c r="C638" s="0" t="s">
        <v>7875</v>
      </c>
      <c r="D638" s="0" t="s">
        <v>6416</v>
      </c>
      <c r="E638" s="0" t="s">
        <v>7876</v>
      </c>
      <c r="F638" s="0" t="n">
        <v>2377</v>
      </c>
      <c r="G638" s="0" t="s">
        <v>277</v>
      </c>
      <c r="H638" s="0" t="s">
        <v>293</v>
      </c>
      <c r="I638" s="0" t="s">
        <v>7877</v>
      </c>
    </row>
    <row r="639" customFormat="false" ht="15" hidden="false" customHeight="false" outlineLevel="0" collapsed="false">
      <c r="A639" s="0" t="n">
        <v>34</v>
      </c>
      <c r="B639" s="0" t="s">
        <v>75</v>
      </c>
      <c r="C639" s="0" t="s">
        <v>7878</v>
      </c>
      <c r="D639" s="0" t="s">
        <v>6416</v>
      </c>
      <c r="E639" s="0" t="s">
        <v>7879</v>
      </c>
      <c r="F639" s="0" t="n">
        <v>4592</v>
      </c>
      <c r="G639" s="0" t="s">
        <v>277</v>
      </c>
      <c r="H639" s="0" t="s">
        <v>293</v>
      </c>
      <c r="I639" s="0" t="s">
        <v>7880</v>
      </c>
    </row>
    <row r="640" customFormat="false" ht="15" hidden="false" customHeight="false" outlineLevel="0" collapsed="false">
      <c r="A640" s="0" t="n">
        <v>34</v>
      </c>
      <c r="B640" s="0" t="s">
        <v>75</v>
      </c>
      <c r="C640" s="0" t="s">
        <v>7881</v>
      </c>
      <c r="D640" s="0" t="s">
        <v>6425</v>
      </c>
      <c r="E640" s="0" t="s">
        <v>7882</v>
      </c>
      <c r="F640" s="0" t="n">
        <v>1427</v>
      </c>
      <c r="G640" s="0" t="s">
        <v>277</v>
      </c>
      <c r="H640" s="0" t="s">
        <v>293</v>
      </c>
      <c r="I640" s="0" t="s">
        <v>7883</v>
      </c>
    </row>
    <row r="641" customFormat="false" ht="15" hidden="false" customHeight="false" outlineLevel="0" collapsed="false">
      <c r="A641" s="0" t="n">
        <v>34</v>
      </c>
      <c r="B641" s="0" t="s">
        <v>75</v>
      </c>
      <c r="C641" s="0" t="s">
        <v>7884</v>
      </c>
      <c r="D641" s="0" t="s">
        <v>6416</v>
      </c>
      <c r="E641" s="0" t="s">
        <v>7885</v>
      </c>
      <c r="F641" s="0" t="n">
        <v>8183</v>
      </c>
      <c r="G641" s="0" t="s">
        <v>277</v>
      </c>
      <c r="H641" s="0" t="s">
        <v>293</v>
      </c>
      <c r="I641" s="0" t="s">
        <v>7886</v>
      </c>
    </row>
    <row r="642" customFormat="false" ht="15" hidden="false" customHeight="false" outlineLevel="0" collapsed="false">
      <c r="A642" s="0" t="n">
        <v>34</v>
      </c>
      <c r="B642" s="0" t="s">
        <v>75</v>
      </c>
      <c r="C642" s="0" t="s">
        <v>7887</v>
      </c>
      <c r="D642" s="0" t="s">
        <v>91</v>
      </c>
      <c r="E642" s="0" t="s">
        <v>7888</v>
      </c>
      <c r="F642" s="0" t="n">
        <v>2418</v>
      </c>
      <c r="G642" s="0" t="s">
        <v>277</v>
      </c>
      <c r="H642" s="0" t="s">
        <v>293</v>
      </c>
      <c r="I642" s="0" t="s">
        <v>7889</v>
      </c>
    </row>
    <row r="643" customFormat="false" ht="15" hidden="false" customHeight="false" outlineLevel="0" collapsed="false">
      <c r="A643" s="0" t="n">
        <v>34</v>
      </c>
      <c r="B643" s="0" t="s">
        <v>75</v>
      </c>
      <c r="C643" s="0" t="s">
        <v>7890</v>
      </c>
      <c r="D643" s="0" t="s">
        <v>6560</v>
      </c>
      <c r="E643" s="0" t="s">
        <v>7891</v>
      </c>
      <c r="F643" s="0" t="n">
        <v>3532</v>
      </c>
      <c r="G643" s="0" t="s">
        <v>277</v>
      </c>
      <c r="H643" s="0" t="s">
        <v>293</v>
      </c>
      <c r="I643" s="0" t="s">
        <v>7892</v>
      </c>
    </row>
    <row r="644" customFormat="false" ht="15" hidden="false" customHeight="false" outlineLevel="0" collapsed="false">
      <c r="A644" s="0" t="n">
        <v>34</v>
      </c>
      <c r="B644" s="0" t="s">
        <v>75</v>
      </c>
      <c r="C644" s="0" t="s">
        <v>7893</v>
      </c>
      <c r="D644" s="0" t="s">
        <v>500</v>
      </c>
      <c r="E644" s="0" t="s">
        <v>7894</v>
      </c>
      <c r="F644" s="0" t="n">
        <v>1919</v>
      </c>
      <c r="G644" s="0" t="s">
        <v>277</v>
      </c>
      <c r="H644" s="0" t="s">
        <v>293</v>
      </c>
      <c r="I644" s="0" t="s">
        <v>7895</v>
      </c>
    </row>
    <row r="645" customFormat="false" ht="15" hidden="false" customHeight="false" outlineLevel="0" collapsed="false">
      <c r="A645" s="0" t="n">
        <v>34</v>
      </c>
      <c r="B645" s="0" t="s">
        <v>75</v>
      </c>
      <c r="C645" s="0" t="s">
        <v>7896</v>
      </c>
      <c r="D645" s="0" t="s">
        <v>6416</v>
      </c>
      <c r="E645" s="0" t="s">
        <v>7897</v>
      </c>
      <c r="F645" s="0" t="n">
        <v>4933</v>
      </c>
      <c r="G645" s="0" t="s">
        <v>277</v>
      </c>
      <c r="H645" s="0" t="s">
        <v>293</v>
      </c>
      <c r="I645" s="0" t="s">
        <v>7898</v>
      </c>
    </row>
    <row r="646" customFormat="false" ht="15" hidden="false" customHeight="false" outlineLevel="0" collapsed="false">
      <c r="A646" s="0" t="n">
        <v>34</v>
      </c>
      <c r="B646" s="0" t="s">
        <v>75</v>
      </c>
      <c r="C646" s="0" t="s">
        <v>7899</v>
      </c>
      <c r="D646" s="0" t="s">
        <v>335</v>
      </c>
      <c r="E646" s="0" t="s">
        <v>7900</v>
      </c>
      <c r="F646" s="0" t="n">
        <v>5945</v>
      </c>
      <c r="G646" s="0" t="s">
        <v>277</v>
      </c>
      <c r="H646" s="0" t="s">
        <v>293</v>
      </c>
      <c r="I646" s="0" t="s">
        <v>7901</v>
      </c>
    </row>
    <row r="647" customFormat="false" ht="15" hidden="false" customHeight="false" outlineLevel="0" collapsed="false">
      <c r="A647" s="0" t="n">
        <v>34</v>
      </c>
      <c r="B647" s="0" t="s">
        <v>75</v>
      </c>
      <c r="C647" s="0" t="s">
        <v>7902</v>
      </c>
      <c r="D647" s="0" t="s">
        <v>6416</v>
      </c>
      <c r="E647" s="0" t="s">
        <v>7903</v>
      </c>
      <c r="F647" s="0" t="n">
        <v>5741</v>
      </c>
      <c r="G647" s="0" t="s">
        <v>277</v>
      </c>
      <c r="H647" s="0" t="s">
        <v>293</v>
      </c>
      <c r="I647" s="0" t="s">
        <v>7904</v>
      </c>
    </row>
    <row r="648" customFormat="false" ht="15" hidden="false" customHeight="false" outlineLevel="0" collapsed="false">
      <c r="A648" s="0" t="n">
        <v>34</v>
      </c>
      <c r="B648" s="0" t="s">
        <v>75</v>
      </c>
      <c r="C648" s="0" t="s">
        <v>7905</v>
      </c>
      <c r="D648" s="0" t="s">
        <v>6425</v>
      </c>
      <c r="E648" s="0" t="s">
        <v>7906</v>
      </c>
      <c r="F648" s="0" t="n">
        <v>1805</v>
      </c>
      <c r="G648" s="0" t="s">
        <v>277</v>
      </c>
      <c r="H648" s="0" t="s">
        <v>293</v>
      </c>
      <c r="I648" s="0" t="s">
        <v>7907</v>
      </c>
    </row>
    <row r="649" customFormat="false" ht="15" hidden="false" customHeight="false" outlineLevel="0" collapsed="false">
      <c r="A649" s="0" t="n">
        <v>34</v>
      </c>
      <c r="B649" s="0" t="s">
        <v>75</v>
      </c>
      <c r="C649" s="0" t="s">
        <v>7908</v>
      </c>
      <c r="D649" s="0" t="s">
        <v>6416</v>
      </c>
      <c r="E649" s="0" t="s">
        <v>7909</v>
      </c>
      <c r="F649" s="0" t="n">
        <v>2403</v>
      </c>
      <c r="G649" s="0" t="s">
        <v>277</v>
      </c>
      <c r="H649" s="0" t="s">
        <v>293</v>
      </c>
      <c r="I649" s="0" t="s">
        <v>7910</v>
      </c>
    </row>
    <row r="650" customFormat="false" ht="15" hidden="false" customHeight="false" outlineLevel="0" collapsed="false">
      <c r="A650" s="0" t="n">
        <v>35</v>
      </c>
      <c r="B650" s="0" t="s">
        <v>76</v>
      </c>
      <c r="C650" s="0" t="s">
        <v>7911</v>
      </c>
      <c r="D650" s="0" t="s">
        <v>6416</v>
      </c>
      <c r="E650" s="0" t="s">
        <v>7912</v>
      </c>
      <c r="F650" s="0" t="n">
        <v>11710</v>
      </c>
      <c r="G650" s="0" t="s">
        <v>277</v>
      </c>
      <c r="H650" s="0" t="s">
        <v>293</v>
      </c>
      <c r="I650" s="0" t="s">
        <v>7913</v>
      </c>
    </row>
    <row r="651" customFormat="false" ht="15" hidden="false" customHeight="false" outlineLevel="0" collapsed="false">
      <c r="A651" s="0" t="n">
        <v>34</v>
      </c>
      <c r="B651" s="0" t="s">
        <v>75</v>
      </c>
      <c r="C651" s="0" t="s">
        <v>7914</v>
      </c>
      <c r="D651" s="0" t="s">
        <v>91</v>
      </c>
      <c r="E651" s="0" t="s">
        <v>7915</v>
      </c>
      <c r="F651" s="0" t="n">
        <v>2947</v>
      </c>
      <c r="G651" s="0" t="s">
        <v>277</v>
      </c>
      <c r="H651" s="0" t="s">
        <v>293</v>
      </c>
      <c r="I651" s="0" t="s">
        <v>7916</v>
      </c>
    </row>
    <row r="652" customFormat="false" ht="15" hidden="false" customHeight="false" outlineLevel="0" collapsed="false">
      <c r="A652" s="0" t="n">
        <v>35</v>
      </c>
      <c r="B652" s="0" t="s">
        <v>76</v>
      </c>
      <c r="C652" s="0" t="s">
        <v>7917</v>
      </c>
      <c r="D652" s="0" t="s">
        <v>6425</v>
      </c>
      <c r="E652" s="0" t="s">
        <v>7918</v>
      </c>
      <c r="F652" s="0" t="n">
        <v>3916</v>
      </c>
      <c r="G652" s="0" t="s">
        <v>277</v>
      </c>
      <c r="H652" s="0" t="s">
        <v>293</v>
      </c>
      <c r="I652" s="0" t="s">
        <v>7919</v>
      </c>
    </row>
    <row r="653" customFormat="false" ht="15" hidden="false" customHeight="false" outlineLevel="0" collapsed="false">
      <c r="A653" s="0" t="n">
        <v>34</v>
      </c>
      <c r="B653" s="0" t="s">
        <v>75</v>
      </c>
      <c r="C653" s="0" t="s">
        <v>7920</v>
      </c>
      <c r="D653" s="0" t="s">
        <v>6416</v>
      </c>
      <c r="E653" s="0" t="s">
        <v>7921</v>
      </c>
      <c r="F653" s="0" t="n">
        <v>3666</v>
      </c>
      <c r="G653" s="0" t="s">
        <v>277</v>
      </c>
      <c r="H653" s="0" t="s">
        <v>293</v>
      </c>
      <c r="I653" s="0" t="s">
        <v>7922</v>
      </c>
    </row>
    <row r="654" customFormat="false" ht="15" hidden="false" customHeight="false" outlineLevel="0" collapsed="false">
      <c r="A654" s="0" t="n">
        <v>35</v>
      </c>
      <c r="B654" s="0" t="s">
        <v>76</v>
      </c>
      <c r="C654" s="0" t="s">
        <v>7923</v>
      </c>
      <c r="D654" s="0" t="s">
        <v>6416</v>
      </c>
      <c r="E654" s="0" t="s">
        <v>7924</v>
      </c>
      <c r="F654" s="0" t="n">
        <v>3215</v>
      </c>
      <c r="G654" s="0" t="s">
        <v>277</v>
      </c>
      <c r="H654" s="0" t="s">
        <v>293</v>
      </c>
      <c r="I654" s="0" t="s">
        <v>7925</v>
      </c>
    </row>
    <row r="655" customFormat="false" ht="15" hidden="false" customHeight="false" outlineLevel="0" collapsed="false">
      <c r="A655" s="0" t="n">
        <v>34</v>
      </c>
      <c r="B655" s="0" t="s">
        <v>75</v>
      </c>
      <c r="C655" s="0" t="s">
        <v>7926</v>
      </c>
      <c r="D655" s="0" t="s">
        <v>6416</v>
      </c>
      <c r="E655" s="0" t="s">
        <v>7927</v>
      </c>
      <c r="F655" s="0" t="n">
        <v>3134</v>
      </c>
      <c r="G655" s="0" t="s">
        <v>277</v>
      </c>
      <c r="H655" s="0" t="s">
        <v>293</v>
      </c>
      <c r="I655" s="0" t="s">
        <v>7928</v>
      </c>
    </row>
    <row r="656" customFormat="false" ht="15" hidden="false" customHeight="false" outlineLevel="0" collapsed="false">
      <c r="A656" s="0" t="n">
        <v>35</v>
      </c>
      <c r="B656" s="0" t="s">
        <v>76</v>
      </c>
      <c r="C656" s="0" t="s">
        <v>7929</v>
      </c>
      <c r="D656" s="0" t="s">
        <v>6425</v>
      </c>
      <c r="E656" s="0" t="s">
        <v>7930</v>
      </c>
      <c r="F656" s="0" t="n">
        <v>3602</v>
      </c>
      <c r="G656" s="0" t="s">
        <v>277</v>
      </c>
      <c r="H656" s="0" t="s">
        <v>293</v>
      </c>
      <c r="I656" s="0" t="s">
        <v>7931</v>
      </c>
    </row>
    <row r="657" customFormat="false" ht="15" hidden="false" customHeight="false" outlineLevel="0" collapsed="false">
      <c r="A657" s="0" t="n">
        <v>34</v>
      </c>
      <c r="B657" s="0" t="s">
        <v>75</v>
      </c>
      <c r="C657" s="0" t="s">
        <v>7932</v>
      </c>
      <c r="D657" s="0" t="s">
        <v>6425</v>
      </c>
      <c r="E657" s="0" t="s">
        <v>7933</v>
      </c>
      <c r="F657" s="0" t="n">
        <v>4078</v>
      </c>
      <c r="G657" s="0" t="s">
        <v>277</v>
      </c>
      <c r="H657" s="0" t="s">
        <v>293</v>
      </c>
      <c r="I657" s="0" t="s">
        <v>7934</v>
      </c>
    </row>
    <row r="658" customFormat="false" ht="15" hidden="false" customHeight="false" outlineLevel="0" collapsed="false">
      <c r="A658" s="0" t="n">
        <v>35</v>
      </c>
      <c r="B658" s="0" t="s">
        <v>76</v>
      </c>
      <c r="C658" s="0" t="s">
        <v>7935</v>
      </c>
      <c r="D658" s="0" t="s">
        <v>6416</v>
      </c>
      <c r="E658" s="0" t="s">
        <v>7936</v>
      </c>
      <c r="F658" s="0" t="n">
        <v>4511</v>
      </c>
      <c r="G658" s="0" t="s">
        <v>277</v>
      </c>
      <c r="H658" s="0" t="s">
        <v>293</v>
      </c>
      <c r="I658" s="0" t="s">
        <v>7937</v>
      </c>
    </row>
    <row r="659" customFormat="false" ht="15" hidden="false" customHeight="false" outlineLevel="0" collapsed="false">
      <c r="A659" s="0" t="n">
        <v>35</v>
      </c>
      <c r="B659" s="0" t="s">
        <v>76</v>
      </c>
      <c r="C659" s="0" t="s">
        <v>7938</v>
      </c>
      <c r="D659" s="0" t="s">
        <v>6416</v>
      </c>
      <c r="E659" s="0" t="s">
        <v>7936</v>
      </c>
      <c r="F659" s="0" t="n">
        <v>4092</v>
      </c>
      <c r="G659" s="0" t="s">
        <v>277</v>
      </c>
      <c r="H659" s="0" t="s">
        <v>293</v>
      </c>
      <c r="I659" s="0" t="s">
        <v>7939</v>
      </c>
    </row>
    <row r="660" customFormat="false" ht="15" hidden="false" customHeight="false" outlineLevel="0" collapsed="false">
      <c r="A660" s="0" t="n">
        <v>34</v>
      </c>
      <c r="B660" s="0" t="s">
        <v>75</v>
      </c>
      <c r="C660" s="0" t="s">
        <v>7940</v>
      </c>
      <c r="D660" s="0" t="s">
        <v>6416</v>
      </c>
      <c r="E660" s="0" t="s">
        <v>7941</v>
      </c>
      <c r="F660" s="0" t="n">
        <v>7916</v>
      </c>
      <c r="G660" s="0" t="s">
        <v>277</v>
      </c>
      <c r="H660" s="0" t="s">
        <v>293</v>
      </c>
      <c r="I660" s="0" t="s">
        <v>7942</v>
      </c>
    </row>
    <row r="661" customFormat="false" ht="15" hidden="false" customHeight="false" outlineLevel="0" collapsed="false">
      <c r="A661" s="0" t="n">
        <v>34</v>
      </c>
      <c r="B661" s="0" t="s">
        <v>75</v>
      </c>
      <c r="C661" s="0" t="s">
        <v>7943</v>
      </c>
      <c r="D661" s="0" t="s">
        <v>6416</v>
      </c>
      <c r="E661" s="0" t="s">
        <v>7944</v>
      </c>
      <c r="F661" s="0" t="n">
        <v>3692</v>
      </c>
      <c r="G661" s="0" t="s">
        <v>277</v>
      </c>
      <c r="H661" s="0" t="s">
        <v>293</v>
      </c>
      <c r="I661" s="0" t="s">
        <v>7945</v>
      </c>
    </row>
    <row r="662" customFormat="false" ht="15" hidden="false" customHeight="false" outlineLevel="0" collapsed="false">
      <c r="A662" s="0" t="n">
        <v>35</v>
      </c>
      <c r="B662" s="0" t="s">
        <v>76</v>
      </c>
      <c r="C662" s="0" t="s">
        <v>7946</v>
      </c>
      <c r="D662" s="0" t="s">
        <v>6416</v>
      </c>
      <c r="E662" s="0" t="s">
        <v>7947</v>
      </c>
      <c r="F662" s="0" t="n">
        <v>3067</v>
      </c>
      <c r="G662" s="0" t="s">
        <v>277</v>
      </c>
      <c r="H662" s="0" t="s">
        <v>293</v>
      </c>
      <c r="I662" s="0" t="s">
        <v>7948</v>
      </c>
    </row>
    <row r="663" customFormat="false" ht="15" hidden="false" customHeight="false" outlineLevel="0" collapsed="false">
      <c r="A663" s="0" t="n">
        <v>34</v>
      </c>
      <c r="B663" s="0" t="s">
        <v>75</v>
      </c>
      <c r="C663" s="0" t="s">
        <v>7949</v>
      </c>
      <c r="D663" s="0" t="s">
        <v>6425</v>
      </c>
      <c r="E663" s="0" t="s">
        <v>7950</v>
      </c>
      <c r="F663" s="0" t="n">
        <v>1457</v>
      </c>
      <c r="G663" s="0" t="s">
        <v>277</v>
      </c>
      <c r="H663" s="0" t="s">
        <v>293</v>
      </c>
      <c r="I663" s="0" t="s">
        <v>7951</v>
      </c>
    </row>
    <row r="664" customFormat="false" ht="15" hidden="false" customHeight="false" outlineLevel="0" collapsed="false">
      <c r="A664" s="0" t="n">
        <v>35</v>
      </c>
      <c r="B664" s="0" t="s">
        <v>76</v>
      </c>
      <c r="C664" s="0" t="s">
        <v>7952</v>
      </c>
      <c r="D664" s="0" t="s">
        <v>6416</v>
      </c>
      <c r="E664" s="0" t="s">
        <v>7953</v>
      </c>
      <c r="F664" s="0" t="n">
        <v>2969</v>
      </c>
      <c r="G664" s="0" t="s">
        <v>277</v>
      </c>
      <c r="H664" s="0" t="s">
        <v>293</v>
      </c>
      <c r="I664" s="0" t="s">
        <v>7954</v>
      </c>
    </row>
    <row r="665" customFormat="false" ht="15" hidden="false" customHeight="false" outlineLevel="0" collapsed="false">
      <c r="A665" s="0" t="n">
        <v>34</v>
      </c>
      <c r="B665" s="0" t="s">
        <v>75</v>
      </c>
      <c r="C665" s="0" t="s">
        <v>7955</v>
      </c>
      <c r="D665" s="0" t="s">
        <v>6416</v>
      </c>
      <c r="E665" s="0" t="s">
        <v>7956</v>
      </c>
      <c r="F665" s="0" t="n">
        <v>2488</v>
      </c>
      <c r="G665" s="0" t="s">
        <v>277</v>
      </c>
      <c r="H665" s="0" t="s">
        <v>293</v>
      </c>
      <c r="I665" s="0" t="s">
        <v>7957</v>
      </c>
    </row>
    <row r="666" customFormat="false" ht="15" hidden="false" customHeight="false" outlineLevel="0" collapsed="false">
      <c r="A666" s="0" t="n">
        <v>35</v>
      </c>
      <c r="B666" s="0" t="s">
        <v>76</v>
      </c>
      <c r="C666" s="0" t="s">
        <v>7958</v>
      </c>
      <c r="D666" s="0" t="s">
        <v>6416</v>
      </c>
      <c r="E666" s="0" t="s">
        <v>7959</v>
      </c>
      <c r="F666" s="0" t="n">
        <v>3177</v>
      </c>
      <c r="G666" s="0" t="s">
        <v>277</v>
      </c>
      <c r="H666" s="0" t="s">
        <v>293</v>
      </c>
      <c r="I666" s="0" t="s">
        <v>7960</v>
      </c>
    </row>
    <row r="667" customFormat="false" ht="15" hidden="false" customHeight="false" outlineLevel="0" collapsed="false">
      <c r="A667" s="0" t="n">
        <v>32</v>
      </c>
      <c r="B667" s="0" t="s">
        <v>72</v>
      </c>
      <c r="C667" s="0" t="s">
        <v>7961</v>
      </c>
      <c r="D667" s="0" t="s">
        <v>6416</v>
      </c>
      <c r="E667" s="0" t="s">
        <v>7962</v>
      </c>
      <c r="F667" s="0" t="n">
        <v>928</v>
      </c>
      <c r="G667" s="0" t="s">
        <v>277</v>
      </c>
      <c r="H667" s="0" t="s">
        <v>293</v>
      </c>
      <c r="I667" s="0" t="s">
        <v>7963</v>
      </c>
    </row>
    <row r="668" customFormat="false" ht="15" hidden="false" customHeight="false" outlineLevel="0" collapsed="false">
      <c r="A668" s="0" t="n">
        <v>34</v>
      </c>
      <c r="B668" s="0" t="s">
        <v>75</v>
      </c>
      <c r="C668" s="0" t="s">
        <v>7964</v>
      </c>
      <c r="D668" s="0" t="s">
        <v>6416</v>
      </c>
      <c r="E668" s="0" t="s">
        <v>7944</v>
      </c>
      <c r="F668" s="0" t="n">
        <v>3192</v>
      </c>
      <c r="G668" s="0" t="s">
        <v>277</v>
      </c>
      <c r="H668" s="0" t="s">
        <v>293</v>
      </c>
      <c r="I668" s="0" t="s">
        <v>7965</v>
      </c>
    </row>
    <row r="669" customFormat="false" ht="15" hidden="false" customHeight="false" outlineLevel="0" collapsed="false">
      <c r="A669" s="0" t="n">
        <v>35</v>
      </c>
      <c r="B669" s="0" t="s">
        <v>76</v>
      </c>
      <c r="C669" s="0" t="s">
        <v>7966</v>
      </c>
      <c r="D669" s="0" t="s">
        <v>6416</v>
      </c>
      <c r="E669" s="0" t="s">
        <v>7967</v>
      </c>
      <c r="F669" s="0" t="n">
        <v>3063</v>
      </c>
      <c r="G669" s="0" t="s">
        <v>277</v>
      </c>
      <c r="H669" s="0" t="s">
        <v>293</v>
      </c>
      <c r="I669" s="0" t="s">
        <v>7968</v>
      </c>
    </row>
    <row r="670" customFormat="false" ht="15" hidden="false" customHeight="false" outlineLevel="0" collapsed="false">
      <c r="A670" s="0" t="n">
        <v>34</v>
      </c>
      <c r="B670" s="0" t="s">
        <v>75</v>
      </c>
      <c r="C670" s="0" t="s">
        <v>7969</v>
      </c>
      <c r="D670" s="0" t="s">
        <v>6416</v>
      </c>
      <c r="E670" s="0" t="s">
        <v>7970</v>
      </c>
      <c r="F670" s="0" t="n">
        <v>2840</v>
      </c>
      <c r="G670" s="0" t="s">
        <v>277</v>
      </c>
      <c r="H670" s="0" t="s">
        <v>293</v>
      </c>
      <c r="I670" s="0" t="s">
        <v>7971</v>
      </c>
    </row>
    <row r="671" customFormat="false" ht="15" hidden="false" customHeight="false" outlineLevel="0" collapsed="false">
      <c r="A671" s="0" t="n">
        <v>35</v>
      </c>
      <c r="B671" s="0" t="s">
        <v>76</v>
      </c>
      <c r="C671" s="0" t="s">
        <v>7972</v>
      </c>
      <c r="D671" s="0" t="s">
        <v>6416</v>
      </c>
      <c r="E671" s="0" t="s">
        <v>7973</v>
      </c>
      <c r="F671" s="0" t="n">
        <v>3677</v>
      </c>
      <c r="G671" s="0" t="s">
        <v>277</v>
      </c>
      <c r="H671" s="0" t="s">
        <v>293</v>
      </c>
      <c r="I671" s="0" t="s">
        <v>7974</v>
      </c>
    </row>
    <row r="672" customFormat="false" ht="15" hidden="false" customHeight="false" outlineLevel="0" collapsed="false">
      <c r="A672" s="0" t="n">
        <v>34</v>
      </c>
      <c r="B672" s="0" t="s">
        <v>75</v>
      </c>
      <c r="C672" s="0" t="s">
        <v>7975</v>
      </c>
      <c r="D672" s="0" t="s">
        <v>6416</v>
      </c>
      <c r="E672" s="0" t="s">
        <v>7976</v>
      </c>
      <c r="F672" s="0" t="n">
        <v>941</v>
      </c>
      <c r="G672" s="0" t="s">
        <v>277</v>
      </c>
      <c r="H672" s="0" t="s">
        <v>293</v>
      </c>
      <c r="I672" s="0" t="s">
        <v>7977</v>
      </c>
    </row>
    <row r="673" customFormat="false" ht="15" hidden="false" customHeight="false" outlineLevel="0" collapsed="false">
      <c r="A673" s="0" t="n">
        <v>35</v>
      </c>
      <c r="B673" s="0" t="s">
        <v>76</v>
      </c>
      <c r="C673" s="0" t="s">
        <v>7978</v>
      </c>
      <c r="D673" s="0" t="s">
        <v>6416</v>
      </c>
      <c r="E673" s="0" t="s">
        <v>7979</v>
      </c>
      <c r="F673" s="0" t="n">
        <v>3145</v>
      </c>
      <c r="G673" s="0" t="s">
        <v>277</v>
      </c>
      <c r="H673" s="0" t="s">
        <v>293</v>
      </c>
      <c r="I673" s="0" t="s">
        <v>7980</v>
      </c>
    </row>
    <row r="674" customFormat="false" ht="15" hidden="false" customHeight="false" outlineLevel="0" collapsed="false">
      <c r="A674" s="0" t="n">
        <v>34</v>
      </c>
      <c r="B674" s="0" t="s">
        <v>75</v>
      </c>
      <c r="C674" s="0" t="s">
        <v>7981</v>
      </c>
      <c r="D674" s="0" t="s">
        <v>91</v>
      </c>
      <c r="E674" s="0" t="s">
        <v>7982</v>
      </c>
      <c r="F674" s="0" t="n">
        <v>3897</v>
      </c>
      <c r="G674" s="0" t="s">
        <v>277</v>
      </c>
      <c r="H674" s="0" t="s">
        <v>293</v>
      </c>
      <c r="I674" s="0" t="s">
        <v>7983</v>
      </c>
    </row>
    <row r="675" customFormat="false" ht="15" hidden="false" customHeight="false" outlineLevel="0" collapsed="false">
      <c r="A675" s="0" t="n">
        <v>32</v>
      </c>
      <c r="B675" s="0" t="s">
        <v>72</v>
      </c>
      <c r="C675" s="0" t="s">
        <v>7984</v>
      </c>
      <c r="D675" s="0" t="s">
        <v>6416</v>
      </c>
      <c r="E675" s="0" t="s">
        <v>7985</v>
      </c>
      <c r="F675" s="0" t="n">
        <v>2648</v>
      </c>
      <c r="G675" s="0" t="s">
        <v>277</v>
      </c>
      <c r="H675" s="0" t="s">
        <v>293</v>
      </c>
      <c r="I675" s="0" t="s">
        <v>7986</v>
      </c>
    </row>
    <row r="676" customFormat="false" ht="15" hidden="false" customHeight="false" outlineLevel="0" collapsed="false">
      <c r="A676" s="0" t="n">
        <v>35</v>
      </c>
      <c r="B676" s="0" t="s">
        <v>76</v>
      </c>
      <c r="C676" s="0" t="s">
        <v>7987</v>
      </c>
      <c r="D676" s="0" t="s">
        <v>6416</v>
      </c>
      <c r="E676" s="0" t="s">
        <v>7988</v>
      </c>
      <c r="F676" s="0" t="n">
        <v>4037</v>
      </c>
      <c r="G676" s="0" t="s">
        <v>277</v>
      </c>
      <c r="H676" s="0" t="s">
        <v>293</v>
      </c>
      <c r="I676" s="0" t="s">
        <v>7989</v>
      </c>
    </row>
    <row r="677" customFormat="false" ht="15" hidden="false" customHeight="false" outlineLevel="0" collapsed="false">
      <c r="A677" s="0" t="n">
        <v>34</v>
      </c>
      <c r="B677" s="0" t="s">
        <v>75</v>
      </c>
      <c r="C677" s="0" t="s">
        <v>7990</v>
      </c>
      <c r="D677" s="0" t="s">
        <v>6416</v>
      </c>
      <c r="E677" s="0" t="s">
        <v>7991</v>
      </c>
      <c r="F677" s="0" t="n">
        <v>2105</v>
      </c>
      <c r="G677" s="0" t="s">
        <v>277</v>
      </c>
      <c r="H677" s="0" t="s">
        <v>293</v>
      </c>
      <c r="I677" s="0" t="s">
        <v>7992</v>
      </c>
    </row>
    <row r="678" customFormat="false" ht="15" hidden="false" customHeight="false" outlineLevel="0" collapsed="false">
      <c r="A678" s="0" t="n">
        <v>35</v>
      </c>
      <c r="B678" s="0" t="s">
        <v>76</v>
      </c>
      <c r="C678" s="0" t="s">
        <v>7993</v>
      </c>
      <c r="D678" s="0" t="s">
        <v>6416</v>
      </c>
      <c r="E678" s="0" t="s">
        <v>7994</v>
      </c>
      <c r="F678" s="0" t="n">
        <v>3229</v>
      </c>
      <c r="G678" s="0" t="s">
        <v>277</v>
      </c>
      <c r="H678" s="0" t="s">
        <v>293</v>
      </c>
      <c r="I678" s="0" t="s">
        <v>7995</v>
      </c>
    </row>
    <row r="679" customFormat="false" ht="15" hidden="false" customHeight="false" outlineLevel="0" collapsed="false">
      <c r="A679" s="0" t="n">
        <v>32</v>
      </c>
      <c r="B679" s="0" t="s">
        <v>72</v>
      </c>
      <c r="C679" s="0" t="s">
        <v>7996</v>
      </c>
      <c r="D679" s="0" t="s">
        <v>6416</v>
      </c>
      <c r="E679" s="0" t="s">
        <v>7997</v>
      </c>
      <c r="F679" s="0" t="n">
        <v>1921</v>
      </c>
      <c r="G679" s="0" t="s">
        <v>277</v>
      </c>
      <c r="H679" s="0" t="s">
        <v>293</v>
      </c>
      <c r="I679" s="0" t="s">
        <v>7998</v>
      </c>
    </row>
    <row r="680" customFormat="false" ht="15" hidden="false" customHeight="false" outlineLevel="0" collapsed="false">
      <c r="A680" s="0" t="n">
        <v>34</v>
      </c>
      <c r="B680" s="0" t="s">
        <v>75</v>
      </c>
      <c r="C680" s="0" t="s">
        <v>7999</v>
      </c>
      <c r="D680" s="0" t="s">
        <v>7622</v>
      </c>
      <c r="E680" s="0" t="s">
        <v>8000</v>
      </c>
      <c r="F680" s="0" t="n">
        <v>3733</v>
      </c>
      <c r="G680" s="0" t="s">
        <v>277</v>
      </c>
      <c r="H680" s="0" t="s">
        <v>293</v>
      </c>
      <c r="I680" s="0" t="s">
        <v>8001</v>
      </c>
    </row>
    <row r="681" customFormat="false" ht="15" hidden="false" customHeight="false" outlineLevel="0" collapsed="false">
      <c r="A681" s="0" t="n">
        <v>35</v>
      </c>
      <c r="B681" s="0" t="s">
        <v>76</v>
      </c>
      <c r="C681" s="0" t="s">
        <v>8002</v>
      </c>
      <c r="D681" s="0" t="s">
        <v>6425</v>
      </c>
      <c r="E681" s="0" t="s">
        <v>8003</v>
      </c>
      <c r="F681" s="0" t="n">
        <v>3798</v>
      </c>
      <c r="G681" s="0" t="s">
        <v>277</v>
      </c>
      <c r="H681" s="0" t="s">
        <v>293</v>
      </c>
      <c r="I681" s="0" t="s">
        <v>8004</v>
      </c>
    </row>
    <row r="682" customFormat="false" ht="15" hidden="false" customHeight="false" outlineLevel="0" collapsed="false">
      <c r="A682" s="0" t="n">
        <v>32</v>
      </c>
      <c r="B682" s="0" t="s">
        <v>72</v>
      </c>
      <c r="C682" s="0" t="s">
        <v>8005</v>
      </c>
      <c r="D682" s="0" t="s">
        <v>6416</v>
      </c>
      <c r="E682" s="0" t="s">
        <v>8006</v>
      </c>
      <c r="F682" s="0" t="n">
        <v>997</v>
      </c>
      <c r="G682" s="0" t="s">
        <v>277</v>
      </c>
      <c r="H682" s="0" t="s">
        <v>293</v>
      </c>
      <c r="I682" s="0" t="s">
        <v>8007</v>
      </c>
    </row>
    <row r="683" customFormat="false" ht="15" hidden="false" customHeight="false" outlineLevel="0" collapsed="false">
      <c r="A683" s="0" t="n">
        <v>34</v>
      </c>
      <c r="B683" s="0" t="s">
        <v>75</v>
      </c>
      <c r="C683" s="0" t="s">
        <v>8008</v>
      </c>
      <c r="D683" s="0" t="s">
        <v>6416</v>
      </c>
      <c r="E683" s="0" t="s">
        <v>8009</v>
      </c>
      <c r="F683" s="0" t="n">
        <v>1697</v>
      </c>
      <c r="G683" s="0" t="s">
        <v>277</v>
      </c>
      <c r="H683" s="0" t="s">
        <v>293</v>
      </c>
      <c r="I683" s="0" t="s">
        <v>8010</v>
      </c>
    </row>
    <row r="684" customFormat="false" ht="15" hidden="false" customHeight="false" outlineLevel="0" collapsed="false">
      <c r="A684" s="0" t="n">
        <v>35</v>
      </c>
      <c r="B684" s="0" t="s">
        <v>76</v>
      </c>
      <c r="C684" s="0" t="s">
        <v>8011</v>
      </c>
      <c r="D684" s="0" t="s">
        <v>6416</v>
      </c>
      <c r="E684" s="0" t="s">
        <v>8012</v>
      </c>
      <c r="F684" s="0" t="n">
        <v>3050</v>
      </c>
      <c r="G684" s="0" t="s">
        <v>277</v>
      </c>
      <c r="H684" s="0" t="s">
        <v>293</v>
      </c>
      <c r="I684" s="0" t="s">
        <v>8013</v>
      </c>
    </row>
    <row r="685" customFormat="false" ht="15" hidden="false" customHeight="false" outlineLevel="0" collapsed="false">
      <c r="A685" s="0" t="n">
        <v>33</v>
      </c>
      <c r="B685" s="0" t="s">
        <v>73</v>
      </c>
      <c r="C685" s="0" t="s">
        <v>8014</v>
      </c>
      <c r="D685" s="0" t="s">
        <v>6416</v>
      </c>
      <c r="E685" s="0" t="s">
        <v>8015</v>
      </c>
      <c r="F685" s="0" t="n">
        <v>1397</v>
      </c>
      <c r="G685" s="0" t="s">
        <v>277</v>
      </c>
      <c r="H685" s="0" t="s">
        <v>293</v>
      </c>
      <c r="I685" s="0" t="s">
        <v>8016</v>
      </c>
    </row>
    <row r="686" customFormat="false" ht="15" hidden="false" customHeight="false" outlineLevel="0" collapsed="false">
      <c r="A686" s="0" t="n">
        <v>34</v>
      </c>
      <c r="B686" s="0" t="s">
        <v>75</v>
      </c>
      <c r="C686" s="0" t="s">
        <v>8017</v>
      </c>
      <c r="D686" s="0" t="s">
        <v>6425</v>
      </c>
      <c r="E686" s="0" t="s">
        <v>8018</v>
      </c>
      <c r="F686" s="0" t="n">
        <v>1542</v>
      </c>
      <c r="G686" s="0" t="s">
        <v>277</v>
      </c>
      <c r="H686" s="0" t="s">
        <v>293</v>
      </c>
      <c r="I686" s="0" t="s">
        <v>8019</v>
      </c>
    </row>
    <row r="687" customFormat="false" ht="15" hidden="false" customHeight="false" outlineLevel="0" collapsed="false">
      <c r="A687" s="0" t="n">
        <v>35</v>
      </c>
      <c r="B687" s="0" t="s">
        <v>76</v>
      </c>
      <c r="C687" s="0" t="s">
        <v>8020</v>
      </c>
      <c r="D687" s="0" t="s">
        <v>6425</v>
      </c>
      <c r="E687" s="0" t="s">
        <v>8021</v>
      </c>
      <c r="F687" s="0" t="n">
        <v>3635</v>
      </c>
      <c r="G687" s="0" t="s">
        <v>277</v>
      </c>
      <c r="H687" s="0" t="s">
        <v>293</v>
      </c>
      <c r="I687" s="0" t="s">
        <v>8022</v>
      </c>
    </row>
    <row r="688" customFormat="false" ht="15" hidden="false" customHeight="false" outlineLevel="0" collapsed="false">
      <c r="A688" s="0" t="n">
        <v>34</v>
      </c>
      <c r="B688" s="0" t="s">
        <v>75</v>
      </c>
      <c r="C688" s="0" t="s">
        <v>8023</v>
      </c>
      <c r="D688" s="0" t="s">
        <v>829</v>
      </c>
      <c r="E688" s="0" t="s">
        <v>8024</v>
      </c>
      <c r="F688" s="0" t="n">
        <v>2869</v>
      </c>
      <c r="G688" s="0" t="s">
        <v>277</v>
      </c>
      <c r="H688" s="0" t="s">
        <v>293</v>
      </c>
      <c r="I688" s="0" t="s">
        <v>8025</v>
      </c>
    </row>
    <row r="689" customFormat="false" ht="15" hidden="false" customHeight="false" outlineLevel="0" collapsed="false">
      <c r="A689" s="0" t="n">
        <v>34</v>
      </c>
      <c r="B689" s="0" t="s">
        <v>75</v>
      </c>
      <c r="C689" s="0" t="s">
        <v>8026</v>
      </c>
      <c r="D689" s="0" t="s">
        <v>6416</v>
      </c>
      <c r="E689" s="0" t="s">
        <v>8027</v>
      </c>
      <c r="F689" s="0" t="n">
        <v>2911</v>
      </c>
      <c r="G689" s="0" t="s">
        <v>277</v>
      </c>
      <c r="H689" s="0" t="s">
        <v>293</v>
      </c>
      <c r="I689" s="0" t="s">
        <v>8028</v>
      </c>
    </row>
    <row r="690" customFormat="false" ht="15" hidden="false" customHeight="false" outlineLevel="0" collapsed="false">
      <c r="A690" s="0" t="n">
        <v>34</v>
      </c>
      <c r="B690" s="0" t="s">
        <v>75</v>
      </c>
      <c r="C690" s="0" t="s">
        <v>8029</v>
      </c>
      <c r="D690" s="0" t="s">
        <v>6416</v>
      </c>
      <c r="E690" s="0" t="s">
        <v>8030</v>
      </c>
      <c r="F690" s="0" t="n">
        <v>2442</v>
      </c>
      <c r="G690" s="0" t="s">
        <v>277</v>
      </c>
      <c r="H690" s="0" t="s">
        <v>293</v>
      </c>
      <c r="I690" s="0" t="s">
        <v>8031</v>
      </c>
    </row>
    <row r="691" customFormat="false" ht="15" hidden="false" customHeight="false" outlineLevel="0" collapsed="false">
      <c r="A691" s="0" t="n">
        <v>35</v>
      </c>
      <c r="B691" s="0" t="s">
        <v>76</v>
      </c>
      <c r="C691" s="0" t="s">
        <v>8032</v>
      </c>
      <c r="D691" s="0" t="s">
        <v>6416</v>
      </c>
      <c r="E691" s="0" t="s">
        <v>8033</v>
      </c>
      <c r="F691" s="0" t="n">
        <v>2691</v>
      </c>
      <c r="G691" s="0" t="s">
        <v>277</v>
      </c>
      <c r="H691" s="0" t="s">
        <v>293</v>
      </c>
      <c r="I691" s="0" t="s">
        <v>8034</v>
      </c>
    </row>
    <row r="692" customFormat="false" ht="15" hidden="false" customHeight="false" outlineLevel="0" collapsed="false">
      <c r="A692" s="0" t="n">
        <v>34</v>
      </c>
      <c r="B692" s="0" t="s">
        <v>75</v>
      </c>
      <c r="C692" s="0" t="s">
        <v>8035</v>
      </c>
      <c r="D692" s="0" t="s">
        <v>6560</v>
      </c>
      <c r="E692" s="0" t="s">
        <v>8036</v>
      </c>
      <c r="F692" s="0" t="n">
        <v>2277</v>
      </c>
      <c r="G692" s="0" t="s">
        <v>277</v>
      </c>
      <c r="H692" s="0" t="s">
        <v>293</v>
      </c>
      <c r="I692" s="0" t="s">
        <v>8037</v>
      </c>
    </row>
    <row r="693" customFormat="false" ht="15" hidden="false" customHeight="false" outlineLevel="0" collapsed="false">
      <c r="A693" s="0" t="n">
        <v>35</v>
      </c>
      <c r="B693" s="0" t="s">
        <v>76</v>
      </c>
      <c r="C693" s="0" t="s">
        <v>8038</v>
      </c>
      <c r="D693" s="0" t="s">
        <v>6416</v>
      </c>
      <c r="E693" s="0" t="s">
        <v>8039</v>
      </c>
      <c r="F693" s="0" t="n">
        <v>3131</v>
      </c>
      <c r="G693" s="0" t="s">
        <v>277</v>
      </c>
      <c r="H693" s="0" t="s">
        <v>293</v>
      </c>
      <c r="I693" s="0" t="s">
        <v>8040</v>
      </c>
    </row>
    <row r="694" customFormat="false" ht="15" hidden="false" customHeight="false" outlineLevel="0" collapsed="false">
      <c r="A694" s="0" t="n">
        <v>34</v>
      </c>
      <c r="B694" s="0" t="s">
        <v>75</v>
      </c>
      <c r="C694" s="0" t="s">
        <v>8041</v>
      </c>
      <c r="D694" s="0" t="s">
        <v>6416</v>
      </c>
      <c r="E694" s="0" t="s">
        <v>8042</v>
      </c>
      <c r="F694" s="0" t="n">
        <v>2764</v>
      </c>
      <c r="G694" s="0" t="s">
        <v>277</v>
      </c>
      <c r="H694" s="0" t="s">
        <v>293</v>
      </c>
      <c r="I694" s="0" t="s">
        <v>8043</v>
      </c>
    </row>
    <row r="695" customFormat="false" ht="15" hidden="false" customHeight="false" outlineLevel="0" collapsed="false">
      <c r="A695" s="0" t="n">
        <v>35</v>
      </c>
      <c r="B695" s="0" t="s">
        <v>76</v>
      </c>
      <c r="C695" s="0" t="s">
        <v>8044</v>
      </c>
      <c r="D695" s="0" t="s">
        <v>6425</v>
      </c>
      <c r="E695" s="0" t="s">
        <v>8045</v>
      </c>
      <c r="F695" s="0" t="n">
        <v>3492</v>
      </c>
      <c r="G695" s="0" t="s">
        <v>277</v>
      </c>
      <c r="H695" s="0" t="s">
        <v>293</v>
      </c>
      <c r="I695" s="0" t="s">
        <v>8046</v>
      </c>
    </row>
    <row r="696" customFormat="false" ht="15" hidden="false" customHeight="false" outlineLevel="0" collapsed="false">
      <c r="A696" s="0" t="n">
        <v>34</v>
      </c>
      <c r="B696" s="0" t="s">
        <v>75</v>
      </c>
      <c r="C696" s="0" t="s">
        <v>8047</v>
      </c>
      <c r="D696" s="0" t="s">
        <v>6425</v>
      </c>
      <c r="E696" s="0" t="s">
        <v>8048</v>
      </c>
      <c r="F696" s="0" t="n">
        <v>1145</v>
      </c>
      <c r="G696" s="0" t="s">
        <v>277</v>
      </c>
      <c r="H696" s="0" t="s">
        <v>293</v>
      </c>
      <c r="I696" s="0" t="s">
        <v>8049</v>
      </c>
    </row>
    <row r="697" customFormat="false" ht="15" hidden="false" customHeight="false" outlineLevel="0" collapsed="false">
      <c r="A697" s="0" t="n">
        <v>35</v>
      </c>
      <c r="B697" s="0" t="s">
        <v>76</v>
      </c>
      <c r="C697" s="0" t="s">
        <v>8050</v>
      </c>
      <c r="D697" s="0" t="s">
        <v>6425</v>
      </c>
      <c r="E697" s="0" t="s">
        <v>8051</v>
      </c>
      <c r="F697" s="0" t="n">
        <v>3689</v>
      </c>
      <c r="G697" s="0" t="s">
        <v>277</v>
      </c>
      <c r="H697" s="0" t="s">
        <v>293</v>
      </c>
      <c r="I697" s="0" t="s">
        <v>8052</v>
      </c>
    </row>
    <row r="698" customFormat="false" ht="15" hidden="false" customHeight="false" outlineLevel="0" collapsed="false">
      <c r="A698" s="0" t="n">
        <v>34</v>
      </c>
      <c r="B698" s="0" t="s">
        <v>75</v>
      </c>
      <c r="C698" s="0" t="s">
        <v>8053</v>
      </c>
      <c r="D698" s="0" t="s">
        <v>6425</v>
      </c>
      <c r="E698" s="0" t="s">
        <v>8054</v>
      </c>
      <c r="F698" s="0" t="n">
        <v>1437</v>
      </c>
      <c r="G698" s="0" t="s">
        <v>277</v>
      </c>
      <c r="H698" s="0" t="s">
        <v>293</v>
      </c>
      <c r="I698" s="0" t="s">
        <v>8055</v>
      </c>
    </row>
    <row r="699" customFormat="false" ht="15" hidden="false" customHeight="false" outlineLevel="0" collapsed="false">
      <c r="A699" s="0" t="n">
        <v>35</v>
      </c>
      <c r="B699" s="0" t="s">
        <v>76</v>
      </c>
      <c r="C699" s="0" t="s">
        <v>8056</v>
      </c>
      <c r="D699" s="0" t="s">
        <v>6425</v>
      </c>
      <c r="E699" s="0" t="s">
        <v>8057</v>
      </c>
      <c r="F699" s="0" t="n">
        <v>3732</v>
      </c>
      <c r="G699" s="0" t="s">
        <v>277</v>
      </c>
      <c r="H699" s="0" t="s">
        <v>293</v>
      </c>
      <c r="I699" s="0" t="s">
        <v>8058</v>
      </c>
    </row>
    <row r="700" customFormat="false" ht="15" hidden="false" customHeight="false" outlineLevel="0" collapsed="false">
      <c r="A700" s="0" t="n">
        <v>34</v>
      </c>
      <c r="B700" s="0" t="s">
        <v>75</v>
      </c>
      <c r="C700" s="0" t="s">
        <v>8059</v>
      </c>
      <c r="D700" s="0" t="s">
        <v>6416</v>
      </c>
      <c r="E700" s="0" t="s">
        <v>8060</v>
      </c>
      <c r="F700" s="0" t="n">
        <v>4449</v>
      </c>
      <c r="G700" s="0" t="s">
        <v>277</v>
      </c>
      <c r="H700" s="0" t="s">
        <v>293</v>
      </c>
      <c r="I700" s="0" t="s">
        <v>8061</v>
      </c>
    </row>
    <row r="701" customFormat="false" ht="15" hidden="false" customHeight="false" outlineLevel="0" collapsed="false">
      <c r="A701" s="0" t="n">
        <v>35</v>
      </c>
      <c r="B701" s="0" t="s">
        <v>76</v>
      </c>
      <c r="C701" s="0" t="s">
        <v>8062</v>
      </c>
      <c r="D701" s="0" t="s">
        <v>6416</v>
      </c>
      <c r="E701" s="0" t="s">
        <v>8063</v>
      </c>
      <c r="F701" s="0" t="n">
        <v>3165</v>
      </c>
      <c r="G701" s="0" t="s">
        <v>277</v>
      </c>
      <c r="H701" s="0" t="s">
        <v>293</v>
      </c>
      <c r="I701" s="0" t="s">
        <v>8064</v>
      </c>
    </row>
    <row r="702" customFormat="false" ht="15" hidden="false" customHeight="false" outlineLevel="0" collapsed="false">
      <c r="A702" s="0" t="n">
        <v>34</v>
      </c>
      <c r="B702" s="0" t="s">
        <v>75</v>
      </c>
      <c r="C702" s="0" t="s">
        <v>8065</v>
      </c>
      <c r="D702" s="0" t="s">
        <v>6416</v>
      </c>
      <c r="E702" s="0" t="s">
        <v>8066</v>
      </c>
      <c r="F702" s="0" t="n">
        <v>3617</v>
      </c>
      <c r="G702" s="0" t="s">
        <v>277</v>
      </c>
      <c r="H702" s="0" t="s">
        <v>293</v>
      </c>
      <c r="I702" s="0" t="s">
        <v>8067</v>
      </c>
    </row>
    <row r="703" customFormat="false" ht="15" hidden="false" customHeight="false" outlineLevel="0" collapsed="false">
      <c r="A703" s="0" t="n">
        <v>35</v>
      </c>
      <c r="B703" s="0" t="s">
        <v>76</v>
      </c>
      <c r="C703" s="0" t="s">
        <v>8068</v>
      </c>
      <c r="D703" s="0" t="s">
        <v>6416</v>
      </c>
      <c r="E703" s="0" t="s">
        <v>8069</v>
      </c>
      <c r="F703" s="0" t="n">
        <v>2333</v>
      </c>
      <c r="G703" s="0" t="s">
        <v>277</v>
      </c>
      <c r="H703" s="0" t="s">
        <v>293</v>
      </c>
      <c r="I703" s="0" t="s">
        <v>8070</v>
      </c>
    </row>
    <row r="704" customFormat="false" ht="15" hidden="false" customHeight="false" outlineLevel="0" collapsed="false">
      <c r="A704" s="0" t="n">
        <v>34</v>
      </c>
      <c r="B704" s="0" t="s">
        <v>75</v>
      </c>
      <c r="C704" s="0" t="s">
        <v>8071</v>
      </c>
      <c r="D704" s="0" t="s">
        <v>6560</v>
      </c>
      <c r="E704" s="0" t="s">
        <v>8072</v>
      </c>
      <c r="F704" s="0" t="n">
        <v>5981</v>
      </c>
      <c r="G704" s="0" t="s">
        <v>277</v>
      </c>
      <c r="H704" s="0" t="s">
        <v>293</v>
      </c>
      <c r="I704" s="0" t="s">
        <v>8073</v>
      </c>
    </row>
    <row r="705" customFormat="false" ht="15" hidden="false" customHeight="false" outlineLevel="0" collapsed="false">
      <c r="A705" s="0" t="n">
        <v>35</v>
      </c>
      <c r="B705" s="0" t="s">
        <v>76</v>
      </c>
      <c r="C705" s="0" t="s">
        <v>8074</v>
      </c>
      <c r="D705" s="0" t="s">
        <v>6425</v>
      </c>
      <c r="E705" s="0" t="s">
        <v>8075</v>
      </c>
      <c r="F705" s="0" t="n">
        <v>2756</v>
      </c>
      <c r="G705" s="0" t="s">
        <v>277</v>
      </c>
      <c r="H705" s="0" t="s">
        <v>293</v>
      </c>
      <c r="I705" s="0" t="s">
        <v>8076</v>
      </c>
    </row>
    <row r="706" customFormat="false" ht="15" hidden="false" customHeight="false" outlineLevel="0" collapsed="false">
      <c r="A706" s="0" t="n">
        <v>34</v>
      </c>
      <c r="B706" s="0" t="s">
        <v>75</v>
      </c>
      <c r="C706" s="0" t="s">
        <v>8077</v>
      </c>
      <c r="D706" s="0" t="s">
        <v>6425</v>
      </c>
      <c r="E706" s="0" t="s">
        <v>8078</v>
      </c>
      <c r="F706" s="0" t="n">
        <v>1195</v>
      </c>
      <c r="G706" s="0" t="s">
        <v>277</v>
      </c>
      <c r="H706" s="0" t="s">
        <v>293</v>
      </c>
      <c r="I706" s="0" t="s">
        <v>8079</v>
      </c>
    </row>
    <row r="707" customFormat="false" ht="15" hidden="false" customHeight="false" outlineLevel="0" collapsed="false">
      <c r="A707" s="0" t="n">
        <v>35</v>
      </c>
      <c r="B707" s="0" t="s">
        <v>76</v>
      </c>
      <c r="C707" s="0" t="s">
        <v>8080</v>
      </c>
      <c r="D707" s="0" t="s">
        <v>6416</v>
      </c>
      <c r="E707" s="0" t="s">
        <v>8081</v>
      </c>
      <c r="F707" s="0" t="n">
        <v>3151</v>
      </c>
      <c r="G707" s="0" t="s">
        <v>277</v>
      </c>
      <c r="H707" s="0" t="s">
        <v>293</v>
      </c>
      <c r="I707" s="0" t="s">
        <v>8082</v>
      </c>
    </row>
    <row r="708" customFormat="false" ht="15" hidden="false" customHeight="false" outlineLevel="0" collapsed="false">
      <c r="A708" s="0" t="n">
        <v>34</v>
      </c>
      <c r="B708" s="0" t="s">
        <v>75</v>
      </c>
      <c r="C708" s="0" t="s">
        <v>8083</v>
      </c>
      <c r="D708" s="0" t="s">
        <v>6416</v>
      </c>
      <c r="E708" s="0" t="s">
        <v>8084</v>
      </c>
      <c r="F708" s="0" t="n">
        <v>5285</v>
      </c>
      <c r="G708" s="0" t="s">
        <v>277</v>
      </c>
      <c r="H708" s="0" t="s">
        <v>293</v>
      </c>
      <c r="I708" s="0" t="s">
        <v>8085</v>
      </c>
    </row>
    <row r="709" customFormat="false" ht="15" hidden="false" customHeight="false" outlineLevel="0" collapsed="false">
      <c r="A709" s="0" t="n">
        <v>34</v>
      </c>
      <c r="B709" s="0" t="s">
        <v>75</v>
      </c>
      <c r="C709" s="0" t="s">
        <v>8086</v>
      </c>
      <c r="D709" s="0" t="s">
        <v>6425</v>
      </c>
      <c r="E709" s="0" t="s">
        <v>8087</v>
      </c>
      <c r="F709" s="0" t="n">
        <v>1658</v>
      </c>
      <c r="G709" s="0" t="s">
        <v>277</v>
      </c>
      <c r="H709" s="0" t="s">
        <v>293</v>
      </c>
      <c r="I709" s="0" t="s">
        <v>8088</v>
      </c>
    </row>
    <row r="710" customFormat="false" ht="15" hidden="false" customHeight="false" outlineLevel="0" collapsed="false">
      <c r="A710" s="0" t="n">
        <v>34</v>
      </c>
      <c r="B710" s="0" t="s">
        <v>75</v>
      </c>
      <c r="C710" s="0" t="s">
        <v>8089</v>
      </c>
      <c r="D710" s="0" t="s">
        <v>6416</v>
      </c>
      <c r="E710" s="0" t="s">
        <v>7956</v>
      </c>
      <c r="F710" s="0" t="n">
        <v>2903</v>
      </c>
      <c r="G710" s="0" t="s">
        <v>277</v>
      </c>
      <c r="H710" s="0" t="s">
        <v>293</v>
      </c>
      <c r="I710" s="0" t="s">
        <v>8090</v>
      </c>
    </row>
    <row r="711" customFormat="false" ht="15" hidden="false" customHeight="false" outlineLevel="0" collapsed="false">
      <c r="A711" s="0" t="n">
        <v>35</v>
      </c>
      <c r="B711" s="0" t="s">
        <v>76</v>
      </c>
      <c r="C711" s="0" t="s">
        <v>8091</v>
      </c>
      <c r="D711" s="0" t="s">
        <v>35</v>
      </c>
      <c r="E711" s="0" t="s">
        <v>8092</v>
      </c>
      <c r="F711" s="0" t="n">
        <v>1598</v>
      </c>
      <c r="G711" s="0" t="s">
        <v>277</v>
      </c>
      <c r="H711" s="0" t="s">
        <v>293</v>
      </c>
      <c r="I711" s="0" t="s">
        <v>8093</v>
      </c>
    </row>
    <row r="712" customFormat="false" ht="15" hidden="false" customHeight="false" outlineLevel="0" collapsed="false">
      <c r="A712" s="0" t="n">
        <v>34</v>
      </c>
      <c r="B712" s="0" t="s">
        <v>75</v>
      </c>
      <c r="C712" s="0" t="s">
        <v>8094</v>
      </c>
      <c r="D712" s="0" t="s">
        <v>6416</v>
      </c>
      <c r="E712" s="0" t="s">
        <v>8095</v>
      </c>
      <c r="F712" s="0" t="n">
        <v>2138</v>
      </c>
      <c r="G712" s="0" t="s">
        <v>277</v>
      </c>
      <c r="H712" s="0" t="s">
        <v>293</v>
      </c>
      <c r="I712" s="0" t="s">
        <v>8096</v>
      </c>
    </row>
    <row r="713" customFormat="false" ht="15" hidden="false" customHeight="false" outlineLevel="0" collapsed="false">
      <c r="A713" s="0" t="n">
        <v>35</v>
      </c>
      <c r="B713" s="0" t="s">
        <v>76</v>
      </c>
      <c r="C713" s="0" t="s">
        <v>8097</v>
      </c>
      <c r="D713" s="0" t="s">
        <v>6416</v>
      </c>
      <c r="E713" s="0" t="s">
        <v>8098</v>
      </c>
      <c r="F713" s="0" t="n">
        <v>3043</v>
      </c>
      <c r="G713" s="0" t="s">
        <v>277</v>
      </c>
      <c r="H713" s="0" t="s">
        <v>293</v>
      </c>
      <c r="I713" s="0" t="s">
        <v>8099</v>
      </c>
    </row>
    <row r="714" customFormat="false" ht="15" hidden="false" customHeight="false" outlineLevel="0" collapsed="false">
      <c r="A714" s="0" t="n">
        <v>35</v>
      </c>
      <c r="B714" s="0" t="s">
        <v>76</v>
      </c>
      <c r="C714" s="0" t="s">
        <v>8100</v>
      </c>
      <c r="D714" s="0" t="s">
        <v>6416</v>
      </c>
      <c r="E714" s="0" t="s">
        <v>8101</v>
      </c>
      <c r="F714" s="0" t="n">
        <v>3254</v>
      </c>
      <c r="G714" s="0" t="s">
        <v>277</v>
      </c>
      <c r="H714" s="0" t="s">
        <v>293</v>
      </c>
      <c r="I714" s="0" t="s">
        <v>8102</v>
      </c>
    </row>
    <row r="715" customFormat="false" ht="15" hidden="false" customHeight="false" outlineLevel="0" collapsed="false">
      <c r="A715" s="0" t="n">
        <v>34</v>
      </c>
      <c r="B715" s="0" t="s">
        <v>75</v>
      </c>
      <c r="C715" s="0" t="s">
        <v>8103</v>
      </c>
      <c r="D715" s="0" t="s">
        <v>6416</v>
      </c>
      <c r="E715" s="0" t="s">
        <v>8104</v>
      </c>
      <c r="F715" s="0" t="n">
        <v>2022</v>
      </c>
      <c r="G715" s="0" t="s">
        <v>277</v>
      </c>
      <c r="H715" s="0" t="s">
        <v>293</v>
      </c>
      <c r="I715" s="0" t="s">
        <v>8105</v>
      </c>
    </row>
    <row r="716" customFormat="false" ht="15" hidden="false" customHeight="false" outlineLevel="0" collapsed="false">
      <c r="A716" s="0" t="n">
        <v>35</v>
      </c>
      <c r="B716" s="0" t="s">
        <v>76</v>
      </c>
      <c r="C716" s="0" t="s">
        <v>8106</v>
      </c>
      <c r="D716" s="0" t="s">
        <v>91</v>
      </c>
      <c r="E716" s="0" t="s">
        <v>8107</v>
      </c>
      <c r="F716" s="0" t="n">
        <v>4339</v>
      </c>
      <c r="G716" s="0" t="s">
        <v>277</v>
      </c>
      <c r="H716" s="0" t="s">
        <v>293</v>
      </c>
      <c r="I716" s="0" t="s">
        <v>8108</v>
      </c>
    </row>
    <row r="717" customFormat="false" ht="15" hidden="false" customHeight="false" outlineLevel="0" collapsed="false">
      <c r="A717" s="0" t="n">
        <v>34</v>
      </c>
      <c r="B717" s="0" t="s">
        <v>75</v>
      </c>
      <c r="C717" s="0" t="s">
        <v>8109</v>
      </c>
      <c r="D717" s="0" t="s">
        <v>6416</v>
      </c>
      <c r="E717" s="0" t="s">
        <v>8110</v>
      </c>
      <c r="F717" s="0" t="n">
        <v>2561</v>
      </c>
      <c r="G717" s="0" t="s">
        <v>277</v>
      </c>
      <c r="H717" s="0" t="s">
        <v>293</v>
      </c>
      <c r="I717" s="0" t="s">
        <v>8111</v>
      </c>
    </row>
    <row r="718" customFormat="false" ht="15" hidden="false" customHeight="false" outlineLevel="0" collapsed="false">
      <c r="A718" s="0" t="n">
        <v>35</v>
      </c>
      <c r="B718" s="0" t="s">
        <v>76</v>
      </c>
      <c r="C718" s="0" t="s">
        <v>8112</v>
      </c>
      <c r="D718" s="0" t="s">
        <v>6560</v>
      </c>
      <c r="E718" s="0" t="s">
        <v>8113</v>
      </c>
      <c r="F718" s="0" t="n">
        <v>3296</v>
      </c>
      <c r="G718" s="0" t="s">
        <v>277</v>
      </c>
      <c r="H718" s="0" t="s">
        <v>293</v>
      </c>
      <c r="I718" s="0" t="s">
        <v>8114</v>
      </c>
    </row>
    <row r="719" customFormat="false" ht="15" hidden="false" customHeight="false" outlineLevel="0" collapsed="false">
      <c r="A719" s="0" t="n">
        <v>34</v>
      </c>
      <c r="B719" s="0" t="s">
        <v>75</v>
      </c>
      <c r="C719" s="0" t="s">
        <v>8115</v>
      </c>
      <c r="D719" s="0" t="s">
        <v>6425</v>
      </c>
      <c r="E719" s="0" t="s">
        <v>8116</v>
      </c>
      <c r="F719" s="0" t="n">
        <v>1809</v>
      </c>
      <c r="G719" s="0" t="s">
        <v>277</v>
      </c>
      <c r="H719" s="0" t="s">
        <v>293</v>
      </c>
      <c r="I719" s="0" t="s">
        <v>8117</v>
      </c>
    </row>
    <row r="720" customFormat="false" ht="15" hidden="false" customHeight="false" outlineLevel="0" collapsed="false">
      <c r="A720" s="0" t="n">
        <v>35</v>
      </c>
      <c r="B720" s="0" t="s">
        <v>76</v>
      </c>
      <c r="C720" s="0" t="s">
        <v>8118</v>
      </c>
      <c r="D720" s="0" t="s">
        <v>6416</v>
      </c>
      <c r="E720" s="0" t="s">
        <v>8119</v>
      </c>
      <c r="F720" s="0" t="n">
        <v>2539</v>
      </c>
      <c r="G720" s="0" t="s">
        <v>277</v>
      </c>
      <c r="H720" s="0" t="s">
        <v>293</v>
      </c>
      <c r="I720" s="0" t="s">
        <v>8120</v>
      </c>
    </row>
    <row r="721" customFormat="false" ht="15" hidden="false" customHeight="false" outlineLevel="0" collapsed="false">
      <c r="A721" s="0" t="n">
        <v>35</v>
      </c>
      <c r="B721" s="0" t="s">
        <v>76</v>
      </c>
      <c r="C721" s="0" t="s">
        <v>8121</v>
      </c>
      <c r="D721" s="0" t="s">
        <v>335</v>
      </c>
      <c r="E721" s="0" t="s">
        <v>8122</v>
      </c>
      <c r="F721" s="0" t="n">
        <v>1558</v>
      </c>
      <c r="G721" s="0" t="s">
        <v>277</v>
      </c>
      <c r="H721" s="0" t="s">
        <v>293</v>
      </c>
      <c r="I721" s="0" t="s">
        <v>8123</v>
      </c>
    </row>
    <row r="722" customFormat="false" ht="15" hidden="false" customHeight="false" outlineLevel="0" collapsed="false">
      <c r="A722" s="0" t="n">
        <v>35</v>
      </c>
      <c r="B722" s="0" t="s">
        <v>76</v>
      </c>
      <c r="C722" s="0" t="s">
        <v>8124</v>
      </c>
      <c r="D722" s="0" t="s">
        <v>91</v>
      </c>
      <c r="E722" s="0" t="s">
        <v>8125</v>
      </c>
      <c r="F722" s="0" t="n">
        <v>2092</v>
      </c>
      <c r="G722" s="0" t="s">
        <v>277</v>
      </c>
      <c r="H722" s="0" t="s">
        <v>293</v>
      </c>
      <c r="I722" s="0" t="s">
        <v>8126</v>
      </c>
    </row>
    <row r="723" customFormat="false" ht="15" hidden="false" customHeight="false" outlineLevel="0" collapsed="false">
      <c r="A723" s="0" t="n">
        <v>35</v>
      </c>
      <c r="B723" s="0" t="s">
        <v>76</v>
      </c>
      <c r="C723" s="0" t="s">
        <v>8127</v>
      </c>
      <c r="D723" s="0" t="s">
        <v>6416</v>
      </c>
      <c r="E723" s="0" t="s">
        <v>8128</v>
      </c>
      <c r="F723" s="0" t="n">
        <v>3154</v>
      </c>
      <c r="G723" s="0" t="s">
        <v>277</v>
      </c>
      <c r="H723" s="0" t="s">
        <v>293</v>
      </c>
      <c r="I723" s="0" t="s">
        <v>8129</v>
      </c>
    </row>
    <row r="724" customFormat="false" ht="15" hidden="false" customHeight="false" outlineLevel="0" collapsed="false">
      <c r="A724" s="0" t="n">
        <v>35</v>
      </c>
      <c r="B724" s="0" t="s">
        <v>76</v>
      </c>
      <c r="C724" s="0" t="s">
        <v>8130</v>
      </c>
      <c r="D724" s="0" t="s">
        <v>6560</v>
      </c>
      <c r="E724" s="0" t="s">
        <v>8131</v>
      </c>
      <c r="F724" s="0" t="n">
        <v>2849</v>
      </c>
      <c r="G724" s="0" t="s">
        <v>277</v>
      </c>
      <c r="H724" s="0" t="s">
        <v>293</v>
      </c>
      <c r="I724" s="0" t="s">
        <v>8132</v>
      </c>
    </row>
    <row r="725" customFormat="false" ht="15" hidden="false" customHeight="false" outlineLevel="0" collapsed="false">
      <c r="A725" s="0" t="n">
        <v>34</v>
      </c>
      <c r="B725" s="0" t="s">
        <v>75</v>
      </c>
      <c r="C725" s="0" t="s">
        <v>8133</v>
      </c>
      <c r="D725" s="0" t="s">
        <v>6416</v>
      </c>
      <c r="E725" s="0" t="s">
        <v>7944</v>
      </c>
      <c r="F725" s="0" t="n">
        <v>3568</v>
      </c>
      <c r="G725" s="0" t="s">
        <v>277</v>
      </c>
      <c r="H725" s="0" t="s">
        <v>293</v>
      </c>
      <c r="I725" s="0" t="s">
        <v>8134</v>
      </c>
    </row>
    <row r="726" customFormat="false" ht="15" hidden="false" customHeight="false" outlineLevel="0" collapsed="false">
      <c r="A726" s="0" t="n">
        <v>35</v>
      </c>
      <c r="B726" s="0" t="s">
        <v>76</v>
      </c>
      <c r="C726" s="0" t="s">
        <v>8135</v>
      </c>
      <c r="D726" s="0" t="s">
        <v>6425</v>
      </c>
      <c r="E726" s="0" t="s">
        <v>8136</v>
      </c>
      <c r="F726" s="0" t="n">
        <v>3869</v>
      </c>
      <c r="G726" s="0" t="s">
        <v>277</v>
      </c>
      <c r="H726" s="0" t="s">
        <v>293</v>
      </c>
      <c r="I726" s="0" t="s">
        <v>8137</v>
      </c>
    </row>
    <row r="727" customFormat="false" ht="15" hidden="false" customHeight="false" outlineLevel="0" collapsed="false">
      <c r="A727" s="0" t="n">
        <v>35</v>
      </c>
      <c r="B727" s="0" t="s">
        <v>76</v>
      </c>
      <c r="C727" s="0" t="s">
        <v>8138</v>
      </c>
      <c r="D727" s="0" t="s">
        <v>6416</v>
      </c>
      <c r="E727" s="0" t="s">
        <v>8139</v>
      </c>
      <c r="F727" s="0" t="n">
        <v>1481</v>
      </c>
      <c r="G727" s="0" t="s">
        <v>277</v>
      </c>
      <c r="H727" s="0" t="s">
        <v>293</v>
      </c>
      <c r="I727" s="0" t="s">
        <v>8140</v>
      </c>
    </row>
    <row r="728" customFormat="false" ht="15" hidden="false" customHeight="false" outlineLevel="0" collapsed="false">
      <c r="A728" s="0" t="n">
        <v>32</v>
      </c>
      <c r="B728" s="0" t="s">
        <v>72</v>
      </c>
      <c r="C728" s="0" t="s">
        <v>8141</v>
      </c>
      <c r="D728" s="0" t="s">
        <v>6416</v>
      </c>
      <c r="E728" s="0" t="s">
        <v>8142</v>
      </c>
      <c r="F728" s="0" t="n">
        <v>274</v>
      </c>
      <c r="G728" s="0" t="s">
        <v>277</v>
      </c>
      <c r="H728" s="0" t="s">
        <v>293</v>
      </c>
      <c r="I728" s="0" t="s">
        <v>8143</v>
      </c>
    </row>
    <row r="729" customFormat="false" ht="15" hidden="false" customHeight="false" outlineLevel="0" collapsed="false">
      <c r="A729" s="0" t="n">
        <v>35</v>
      </c>
      <c r="B729" s="0" t="s">
        <v>76</v>
      </c>
      <c r="C729" s="0" t="s">
        <v>8144</v>
      </c>
      <c r="D729" s="0" t="s">
        <v>6416</v>
      </c>
      <c r="E729" s="0" t="s">
        <v>8145</v>
      </c>
      <c r="F729" s="0" t="n">
        <v>3100</v>
      </c>
      <c r="G729" s="0" t="s">
        <v>277</v>
      </c>
      <c r="H729" s="0" t="s">
        <v>293</v>
      </c>
      <c r="I729" s="0" t="s">
        <v>8146</v>
      </c>
    </row>
    <row r="730" customFormat="false" ht="15" hidden="false" customHeight="false" outlineLevel="0" collapsed="false">
      <c r="A730" s="0" t="n">
        <v>32</v>
      </c>
      <c r="B730" s="0" t="s">
        <v>72</v>
      </c>
      <c r="C730" s="0" t="s">
        <v>8147</v>
      </c>
      <c r="D730" s="0" t="s">
        <v>6416</v>
      </c>
      <c r="E730" s="0" t="s">
        <v>8148</v>
      </c>
      <c r="F730" s="0" t="n">
        <v>1845</v>
      </c>
      <c r="G730" s="0" t="s">
        <v>277</v>
      </c>
      <c r="H730" s="0" t="s">
        <v>293</v>
      </c>
      <c r="I730" s="0" t="s">
        <v>8149</v>
      </c>
    </row>
    <row r="731" customFormat="false" ht="15" hidden="false" customHeight="false" outlineLevel="0" collapsed="false">
      <c r="A731" s="0" t="n">
        <v>34</v>
      </c>
      <c r="B731" s="0" t="s">
        <v>75</v>
      </c>
      <c r="C731" s="0" t="s">
        <v>8150</v>
      </c>
      <c r="D731" s="0" t="s">
        <v>6076</v>
      </c>
      <c r="E731" s="0" t="s">
        <v>8151</v>
      </c>
      <c r="F731" s="0" t="n">
        <v>2188</v>
      </c>
      <c r="G731" s="0" t="s">
        <v>277</v>
      </c>
      <c r="H731" s="0" t="s">
        <v>293</v>
      </c>
      <c r="I731" s="0" t="s">
        <v>8152</v>
      </c>
    </row>
    <row r="732" customFormat="false" ht="15" hidden="false" customHeight="false" outlineLevel="0" collapsed="false">
      <c r="A732" s="0" t="n">
        <v>35</v>
      </c>
      <c r="B732" s="0" t="s">
        <v>76</v>
      </c>
      <c r="C732" s="0" t="s">
        <v>8153</v>
      </c>
      <c r="D732" s="0" t="s">
        <v>6416</v>
      </c>
      <c r="E732" s="0" t="s">
        <v>8154</v>
      </c>
      <c r="F732" s="0" t="n">
        <v>4030</v>
      </c>
      <c r="G732" s="0" t="s">
        <v>277</v>
      </c>
      <c r="H732" s="0" t="s">
        <v>293</v>
      </c>
      <c r="I732" s="0" t="s">
        <v>8155</v>
      </c>
    </row>
    <row r="733" customFormat="false" ht="15" hidden="false" customHeight="false" outlineLevel="0" collapsed="false">
      <c r="A733" s="0" t="n">
        <v>32</v>
      </c>
      <c r="B733" s="0" t="s">
        <v>72</v>
      </c>
      <c r="C733" s="0" t="s">
        <v>8156</v>
      </c>
      <c r="D733" s="0" t="s">
        <v>6416</v>
      </c>
      <c r="E733" s="0" t="s">
        <v>8157</v>
      </c>
      <c r="F733" s="0" t="n">
        <v>1485</v>
      </c>
      <c r="G733" s="0" t="s">
        <v>277</v>
      </c>
      <c r="H733" s="0" t="s">
        <v>293</v>
      </c>
      <c r="I733" s="0" t="s">
        <v>8158</v>
      </c>
    </row>
    <row r="734" customFormat="false" ht="15" hidden="false" customHeight="false" outlineLevel="0" collapsed="false">
      <c r="A734" s="0" t="n">
        <v>35</v>
      </c>
      <c r="B734" s="0" t="s">
        <v>76</v>
      </c>
      <c r="C734" s="0" t="s">
        <v>8159</v>
      </c>
      <c r="D734" s="0" t="s">
        <v>6425</v>
      </c>
      <c r="E734" s="0" t="s">
        <v>8160</v>
      </c>
      <c r="F734" s="0" t="n">
        <v>3498</v>
      </c>
      <c r="G734" s="0" t="s">
        <v>277</v>
      </c>
      <c r="H734" s="0" t="s">
        <v>293</v>
      </c>
      <c r="I734" s="0" t="s">
        <v>8161</v>
      </c>
    </row>
    <row r="735" customFormat="false" ht="15" hidden="false" customHeight="false" outlineLevel="0" collapsed="false">
      <c r="A735" s="0" t="n">
        <v>35</v>
      </c>
      <c r="B735" s="0" t="s">
        <v>76</v>
      </c>
      <c r="C735" s="0" t="s">
        <v>8162</v>
      </c>
      <c r="D735" s="0" t="s">
        <v>335</v>
      </c>
      <c r="E735" s="0" t="s">
        <v>8163</v>
      </c>
      <c r="F735" s="0" t="n">
        <v>2753</v>
      </c>
      <c r="G735" s="0" t="s">
        <v>277</v>
      </c>
      <c r="H735" s="0" t="s">
        <v>293</v>
      </c>
      <c r="I735" s="0" t="s">
        <v>8164</v>
      </c>
    </row>
    <row r="736" customFormat="false" ht="15" hidden="false" customHeight="false" outlineLevel="0" collapsed="false">
      <c r="A736" s="0" t="n">
        <v>32</v>
      </c>
      <c r="B736" s="0" t="s">
        <v>72</v>
      </c>
      <c r="C736" s="0" t="s">
        <v>8165</v>
      </c>
      <c r="D736" s="0" t="s">
        <v>6425</v>
      </c>
      <c r="E736" s="0" t="s">
        <v>8166</v>
      </c>
      <c r="F736" s="0" t="n">
        <v>1122</v>
      </c>
      <c r="G736" s="0" t="s">
        <v>277</v>
      </c>
      <c r="H736" s="0" t="s">
        <v>293</v>
      </c>
      <c r="I736" s="0" t="s">
        <v>8167</v>
      </c>
    </row>
    <row r="737" customFormat="false" ht="15" hidden="false" customHeight="false" outlineLevel="0" collapsed="false">
      <c r="A737" s="0" t="n">
        <v>32</v>
      </c>
      <c r="B737" s="0" t="s">
        <v>72</v>
      </c>
      <c r="C737" s="0" t="s">
        <v>8168</v>
      </c>
      <c r="D737" s="0" t="s">
        <v>6416</v>
      </c>
      <c r="E737" s="0" t="s">
        <v>8169</v>
      </c>
      <c r="F737" s="0" t="n">
        <v>1325</v>
      </c>
      <c r="G737" s="0" t="s">
        <v>277</v>
      </c>
      <c r="H737" s="0" t="s">
        <v>293</v>
      </c>
      <c r="I737" s="0" t="s">
        <v>8170</v>
      </c>
    </row>
    <row r="738" customFormat="false" ht="15" hidden="false" customHeight="false" outlineLevel="0" collapsed="false">
      <c r="A738" s="0" t="n">
        <v>35</v>
      </c>
      <c r="B738" s="0" t="s">
        <v>76</v>
      </c>
      <c r="C738" s="0" t="s">
        <v>8171</v>
      </c>
      <c r="D738" s="0" t="s">
        <v>6560</v>
      </c>
      <c r="E738" s="0" t="s">
        <v>8172</v>
      </c>
      <c r="F738" s="0" t="n">
        <v>5251</v>
      </c>
      <c r="G738" s="0" t="s">
        <v>277</v>
      </c>
      <c r="H738" s="0" t="s">
        <v>293</v>
      </c>
      <c r="I738" s="0" t="s">
        <v>8173</v>
      </c>
    </row>
    <row r="739" customFormat="false" ht="15" hidden="false" customHeight="false" outlineLevel="0" collapsed="false">
      <c r="A739" s="0" t="n">
        <v>35</v>
      </c>
      <c r="B739" s="0" t="s">
        <v>76</v>
      </c>
      <c r="C739" s="0" t="s">
        <v>8174</v>
      </c>
      <c r="D739" s="0" t="s">
        <v>6416</v>
      </c>
      <c r="E739" s="0" t="s">
        <v>8175</v>
      </c>
      <c r="F739" s="0" t="n">
        <v>7912</v>
      </c>
      <c r="G739" s="0" t="s">
        <v>277</v>
      </c>
      <c r="H739" s="0" t="s">
        <v>293</v>
      </c>
      <c r="I739" s="0" t="s">
        <v>8176</v>
      </c>
    </row>
    <row r="740" customFormat="false" ht="15" hidden="false" customHeight="false" outlineLevel="0" collapsed="false">
      <c r="A740" s="0" t="n">
        <v>32</v>
      </c>
      <c r="B740" s="0" t="s">
        <v>72</v>
      </c>
      <c r="C740" s="0" t="s">
        <v>8177</v>
      </c>
      <c r="D740" s="0" t="s">
        <v>6416</v>
      </c>
      <c r="E740" s="0" t="s">
        <v>8178</v>
      </c>
      <c r="F740" s="0" t="n">
        <v>1988</v>
      </c>
      <c r="G740" s="0" t="s">
        <v>277</v>
      </c>
      <c r="H740" s="0" t="s">
        <v>293</v>
      </c>
      <c r="I740" s="0" t="s">
        <v>8179</v>
      </c>
    </row>
    <row r="741" customFormat="false" ht="15" hidden="false" customHeight="false" outlineLevel="0" collapsed="false">
      <c r="A741" s="0" t="n">
        <v>32</v>
      </c>
      <c r="B741" s="0" t="s">
        <v>72</v>
      </c>
      <c r="C741" s="0" t="s">
        <v>8180</v>
      </c>
      <c r="D741" s="0" t="s">
        <v>6416</v>
      </c>
      <c r="E741" s="0" t="s">
        <v>8181</v>
      </c>
      <c r="F741" s="0" t="n">
        <v>1470</v>
      </c>
      <c r="G741" s="0" t="s">
        <v>277</v>
      </c>
      <c r="H741" s="0" t="s">
        <v>293</v>
      </c>
      <c r="I741" s="0" t="s">
        <v>8182</v>
      </c>
    </row>
    <row r="742" customFormat="false" ht="15" hidden="false" customHeight="false" outlineLevel="0" collapsed="false">
      <c r="A742" s="0" t="n">
        <v>35</v>
      </c>
      <c r="B742" s="0" t="s">
        <v>76</v>
      </c>
      <c r="C742" s="0" t="s">
        <v>8183</v>
      </c>
      <c r="D742" s="0" t="s">
        <v>6560</v>
      </c>
      <c r="E742" s="0" t="s">
        <v>8184</v>
      </c>
      <c r="F742" s="0" t="n">
        <v>3000</v>
      </c>
      <c r="G742" s="0" t="s">
        <v>277</v>
      </c>
      <c r="H742" s="0" t="s">
        <v>293</v>
      </c>
      <c r="I742" s="0" t="s">
        <v>8185</v>
      </c>
    </row>
    <row r="743" customFormat="false" ht="15" hidden="false" customHeight="false" outlineLevel="0" collapsed="false">
      <c r="A743" s="0" t="n">
        <v>35</v>
      </c>
      <c r="B743" s="0" t="s">
        <v>76</v>
      </c>
      <c r="C743" s="0" t="s">
        <v>8186</v>
      </c>
      <c r="D743" s="0" t="s">
        <v>6416</v>
      </c>
      <c r="E743" s="0" t="s">
        <v>8187</v>
      </c>
      <c r="F743" s="0" t="n">
        <v>4761</v>
      </c>
      <c r="G743" s="0" t="s">
        <v>277</v>
      </c>
      <c r="H743" s="0" t="s">
        <v>293</v>
      </c>
      <c r="I743" s="0" t="s">
        <v>8188</v>
      </c>
    </row>
    <row r="744" customFormat="false" ht="15" hidden="false" customHeight="false" outlineLevel="0" collapsed="false">
      <c r="A744" s="0" t="n">
        <v>35</v>
      </c>
      <c r="B744" s="0" t="s">
        <v>76</v>
      </c>
      <c r="C744" s="0" t="s">
        <v>8189</v>
      </c>
      <c r="D744" s="0" t="s">
        <v>6416</v>
      </c>
      <c r="E744" s="0" t="s">
        <v>8190</v>
      </c>
      <c r="F744" s="0" t="n">
        <v>3253</v>
      </c>
      <c r="G744" s="0" t="s">
        <v>277</v>
      </c>
      <c r="H744" s="0" t="s">
        <v>293</v>
      </c>
      <c r="I744" s="0" t="s">
        <v>8191</v>
      </c>
    </row>
    <row r="745" customFormat="false" ht="15" hidden="false" customHeight="false" outlineLevel="0" collapsed="false">
      <c r="A745" s="0" t="n">
        <v>32</v>
      </c>
      <c r="B745" s="0" t="s">
        <v>72</v>
      </c>
      <c r="C745" s="0" t="s">
        <v>8192</v>
      </c>
      <c r="D745" s="0" t="s">
        <v>6560</v>
      </c>
      <c r="E745" s="0" t="s">
        <v>8193</v>
      </c>
      <c r="F745" s="0" t="n">
        <v>955</v>
      </c>
      <c r="G745" s="0" t="s">
        <v>277</v>
      </c>
      <c r="H745" s="0" t="s">
        <v>293</v>
      </c>
      <c r="I745" s="0" t="s">
        <v>8194</v>
      </c>
    </row>
    <row r="746" customFormat="false" ht="15" hidden="false" customHeight="false" outlineLevel="0" collapsed="false">
      <c r="A746" s="0" t="n">
        <v>35</v>
      </c>
      <c r="B746" s="0" t="s">
        <v>76</v>
      </c>
      <c r="C746" s="0" t="s">
        <v>8195</v>
      </c>
      <c r="D746" s="0" t="s">
        <v>6425</v>
      </c>
      <c r="E746" s="0" t="s">
        <v>8196</v>
      </c>
      <c r="F746" s="0" t="n">
        <v>3626</v>
      </c>
      <c r="G746" s="0" t="s">
        <v>277</v>
      </c>
      <c r="H746" s="0" t="s">
        <v>293</v>
      </c>
      <c r="I746" s="0" t="s">
        <v>8197</v>
      </c>
    </row>
    <row r="747" customFormat="false" ht="15" hidden="false" customHeight="false" outlineLevel="0" collapsed="false">
      <c r="A747" s="0" t="n">
        <v>32</v>
      </c>
      <c r="B747" s="0" t="s">
        <v>72</v>
      </c>
      <c r="C747" s="0" t="s">
        <v>8198</v>
      </c>
      <c r="D747" s="0" t="s">
        <v>35</v>
      </c>
      <c r="E747" s="0" t="s">
        <v>8199</v>
      </c>
      <c r="F747" s="0" t="n">
        <v>630</v>
      </c>
      <c r="G747" s="0" t="s">
        <v>277</v>
      </c>
      <c r="H747" s="0" t="s">
        <v>293</v>
      </c>
      <c r="I747" s="0" t="s">
        <v>8200</v>
      </c>
    </row>
    <row r="748" customFormat="false" ht="15" hidden="false" customHeight="false" outlineLevel="0" collapsed="false">
      <c r="A748" s="0" t="n">
        <v>35</v>
      </c>
      <c r="B748" s="0" t="s">
        <v>76</v>
      </c>
      <c r="C748" s="0" t="s">
        <v>8201</v>
      </c>
      <c r="D748" s="0" t="s">
        <v>500</v>
      </c>
      <c r="E748" s="0" t="s">
        <v>8202</v>
      </c>
      <c r="F748" s="0" t="n">
        <v>3252</v>
      </c>
      <c r="G748" s="0" t="s">
        <v>277</v>
      </c>
      <c r="H748" s="0" t="s">
        <v>293</v>
      </c>
      <c r="I748" s="0" t="s">
        <v>8203</v>
      </c>
    </row>
    <row r="749" customFormat="false" ht="15" hidden="false" customHeight="false" outlineLevel="0" collapsed="false">
      <c r="A749" s="0" t="n">
        <v>35</v>
      </c>
      <c r="B749" s="0" t="s">
        <v>76</v>
      </c>
      <c r="C749" s="0" t="s">
        <v>8204</v>
      </c>
      <c r="D749" s="0" t="s">
        <v>6416</v>
      </c>
      <c r="E749" s="0" t="s">
        <v>8205</v>
      </c>
      <c r="F749" s="0" t="n">
        <v>3748</v>
      </c>
      <c r="G749" s="0" t="s">
        <v>277</v>
      </c>
      <c r="H749" s="0" t="s">
        <v>293</v>
      </c>
      <c r="I749" s="0" t="s">
        <v>8206</v>
      </c>
    </row>
    <row r="750" customFormat="false" ht="15" hidden="false" customHeight="false" outlineLevel="0" collapsed="false">
      <c r="A750" s="0" t="n">
        <v>32</v>
      </c>
      <c r="B750" s="0" t="s">
        <v>72</v>
      </c>
      <c r="C750" s="0" t="s">
        <v>8207</v>
      </c>
      <c r="D750" s="0" t="s">
        <v>6416</v>
      </c>
      <c r="E750" s="0" t="s">
        <v>8208</v>
      </c>
      <c r="F750" s="0" t="n">
        <v>1324</v>
      </c>
      <c r="G750" s="0" t="s">
        <v>277</v>
      </c>
      <c r="H750" s="0" t="s">
        <v>293</v>
      </c>
      <c r="I750" s="0" t="s">
        <v>8209</v>
      </c>
    </row>
    <row r="751" customFormat="false" ht="15" hidden="false" customHeight="false" outlineLevel="0" collapsed="false">
      <c r="A751" s="0" t="n">
        <v>32</v>
      </c>
      <c r="B751" s="0" t="s">
        <v>72</v>
      </c>
      <c r="C751" s="0" t="s">
        <v>8210</v>
      </c>
      <c r="D751" s="0" t="s">
        <v>6416</v>
      </c>
      <c r="E751" s="0" t="s">
        <v>8211</v>
      </c>
      <c r="F751" s="0" t="n">
        <v>682</v>
      </c>
      <c r="G751" s="0" t="s">
        <v>277</v>
      </c>
      <c r="H751" s="0" t="s">
        <v>293</v>
      </c>
      <c r="I751" s="0" t="s">
        <v>8212</v>
      </c>
    </row>
    <row r="752" customFormat="false" ht="15" hidden="false" customHeight="false" outlineLevel="0" collapsed="false">
      <c r="A752" s="0" t="n">
        <v>35</v>
      </c>
      <c r="B752" s="0" t="s">
        <v>76</v>
      </c>
      <c r="C752" s="0" t="s">
        <v>8213</v>
      </c>
      <c r="D752" s="0" t="s">
        <v>6416</v>
      </c>
      <c r="E752" s="0" t="s">
        <v>8214</v>
      </c>
      <c r="F752" s="0" t="n">
        <v>1846</v>
      </c>
      <c r="G752" s="0" t="s">
        <v>277</v>
      </c>
      <c r="H752" s="0" t="s">
        <v>293</v>
      </c>
      <c r="I752" s="0" t="s">
        <v>8215</v>
      </c>
    </row>
    <row r="753" customFormat="false" ht="15" hidden="false" customHeight="false" outlineLevel="0" collapsed="false">
      <c r="A753" s="0" t="n">
        <v>32</v>
      </c>
      <c r="B753" s="0" t="s">
        <v>72</v>
      </c>
      <c r="C753" s="0" t="s">
        <v>8216</v>
      </c>
      <c r="D753" s="0" t="s">
        <v>6416</v>
      </c>
      <c r="E753" s="0" t="s">
        <v>8217</v>
      </c>
      <c r="F753" s="0" t="n">
        <v>757</v>
      </c>
      <c r="G753" s="0" t="s">
        <v>277</v>
      </c>
      <c r="H753" s="0" t="s">
        <v>293</v>
      </c>
      <c r="I753" s="0" t="s">
        <v>8218</v>
      </c>
    </row>
    <row r="754" customFormat="false" ht="15" hidden="false" customHeight="false" outlineLevel="0" collapsed="false">
      <c r="A754" s="0" t="n">
        <v>35</v>
      </c>
      <c r="B754" s="0" t="s">
        <v>76</v>
      </c>
      <c r="C754" s="0" t="s">
        <v>8219</v>
      </c>
      <c r="D754" s="0" t="s">
        <v>6425</v>
      </c>
      <c r="E754" s="0" t="s">
        <v>8220</v>
      </c>
      <c r="F754" s="0" t="n">
        <v>3381</v>
      </c>
      <c r="G754" s="0" t="s">
        <v>277</v>
      </c>
      <c r="H754" s="0" t="s">
        <v>293</v>
      </c>
      <c r="I754" s="0" t="s">
        <v>8221</v>
      </c>
    </row>
    <row r="755" customFormat="false" ht="15" hidden="false" customHeight="false" outlineLevel="0" collapsed="false">
      <c r="A755" s="0" t="n">
        <v>35</v>
      </c>
      <c r="B755" s="0" t="s">
        <v>76</v>
      </c>
      <c r="C755" s="0" t="s">
        <v>8222</v>
      </c>
      <c r="D755" s="0" t="s">
        <v>6425</v>
      </c>
      <c r="E755" s="0" t="s">
        <v>8223</v>
      </c>
      <c r="F755" s="0" t="n">
        <v>3689</v>
      </c>
      <c r="G755" s="0" t="s">
        <v>277</v>
      </c>
      <c r="H755" s="0" t="s">
        <v>293</v>
      </c>
      <c r="I755" s="0" t="s">
        <v>8224</v>
      </c>
    </row>
    <row r="756" customFormat="false" ht="15" hidden="false" customHeight="false" outlineLevel="0" collapsed="false">
      <c r="A756" s="0" t="n">
        <v>35</v>
      </c>
      <c r="B756" s="0" t="s">
        <v>76</v>
      </c>
      <c r="C756" s="0" t="s">
        <v>8225</v>
      </c>
      <c r="D756" s="0" t="s">
        <v>6425</v>
      </c>
      <c r="E756" s="0" t="s">
        <v>8226</v>
      </c>
      <c r="F756" s="0" t="n">
        <v>3996</v>
      </c>
      <c r="G756" s="0" t="s">
        <v>277</v>
      </c>
      <c r="H756" s="0" t="s">
        <v>293</v>
      </c>
      <c r="I756" s="0" t="s">
        <v>8227</v>
      </c>
    </row>
    <row r="757" customFormat="false" ht="15" hidden="false" customHeight="false" outlineLevel="0" collapsed="false">
      <c r="A757" s="0" t="n">
        <v>35</v>
      </c>
      <c r="B757" s="0" t="s">
        <v>76</v>
      </c>
      <c r="C757" s="0" t="s">
        <v>8228</v>
      </c>
      <c r="D757" s="0" t="s">
        <v>6416</v>
      </c>
      <c r="E757" s="0" t="s">
        <v>8229</v>
      </c>
      <c r="F757" s="0" t="n">
        <v>2050</v>
      </c>
      <c r="G757" s="0" t="s">
        <v>277</v>
      </c>
      <c r="H757" s="0" t="s">
        <v>293</v>
      </c>
      <c r="I757" s="0" t="s">
        <v>8230</v>
      </c>
    </row>
    <row r="758" customFormat="false" ht="15" hidden="false" customHeight="false" outlineLevel="0" collapsed="false">
      <c r="A758" s="0" t="n">
        <v>32</v>
      </c>
      <c r="B758" s="0" t="s">
        <v>72</v>
      </c>
      <c r="C758" s="0" t="s">
        <v>8231</v>
      </c>
      <c r="D758" s="0" t="s">
        <v>6416</v>
      </c>
      <c r="E758" s="0" t="s">
        <v>8232</v>
      </c>
      <c r="F758" s="0" t="n">
        <v>1506</v>
      </c>
      <c r="G758" s="0" t="s">
        <v>277</v>
      </c>
      <c r="H758" s="0" t="s">
        <v>293</v>
      </c>
      <c r="I758" s="0" t="s">
        <v>8233</v>
      </c>
    </row>
    <row r="759" customFormat="false" ht="15" hidden="false" customHeight="false" outlineLevel="0" collapsed="false">
      <c r="A759" s="0" t="n">
        <v>35</v>
      </c>
      <c r="B759" s="0" t="s">
        <v>76</v>
      </c>
      <c r="C759" s="0" t="s">
        <v>8234</v>
      </c>
      <c r="D759" s="0" t="s">
        <v>500</v>
      </c>
      <c r="E759" s="2" t="s">
        <v>8235</v>
      </c>
      <c r="F759" s="0" t="n">
        <v>5169</v>
      </c>
      <c r="G759" s="0" t="s">
        <v>277</v>
      </c>
      <c r="H759" s="0" t="s">
        <v>293</v>
      </c>
      <c r="I759" s="0" t="s">
        <v>8236</v>
      </c>
    </row>
    <row r="760" customFormat="false" ht="15" hidden="false" customHeight="false" outlineLevel="0" collapsed="false">
      <c r="A760" s="0" t="n">
        <v>35</v>
      </c>
      <c r="B760" s="0" t="s">
        <v>76</v>
      </c>
      <c r="C760" s="0" t="s">
        <v>8237</v>
      </c>
      <c r="D760" s="0" t="s">
        <v>6560</v>
      </c>
      <c r="E760" s="0" t="s">
        <v>8172</v>
      </c>
      <c r="F760" s="0" t="n">
        <v>5251</v>
      </c>
      <c r="G760" s="0" t="s">
        <v>277</v>
      </c>
      <c r="H760" s="0" t="s">
        <v>293</v>
      </c>
      <c r="I760" s="0" t="s">
        <v>8238</v>
      </c>
    </row>
    <row r="761" customFormat="false" ht="15" hidden="false" customHeight="false" outlineLevel="0" collapsed="false">
      <c r="A761" s="0" t="n">
        <v>32</v>
      </c>
      <c r="B761" s="0" t="s">
        <v>72</v>
      </c>
      <c r="C761" s="0" t="s">
        <v>8239</v>
      </c>
      <c r="D761" s="0" t="s">
        <v>6416</v>
      </c>
      <c r="E761" s="0" t="s">
        <v>8240</v>
      </c>
      <c r="F761" s="0" t="n">
        <v>1481</v>
      </c>
      <c r="G761" s="0" t="s">
        <v>277</v>
      </c>
      <c r="H761" s="0" t="s">
        <v>293</v>
      </c>
      <c r="I761" s="0" t="s">
        <v>8241</v>
      </c>
    </row>
    <row r="762" customFormat="false" ht="15" hidden="false" customHeight="false" outlineLevel="0" collapsed="false">
      <c r="A762" s="0" t="n">
        <v>32</v>
      </c>
      <c r="B762" s="0" t="s">
        <v>72</v>
      </c>
      <c r="C762" s="0" t="s">
        <v>8242</v>
      </c>
      <c r="D762" s="0" t="s">
        <v>6416</v>
      </c>
      <c r="E762" s="0" t="s">
        <v>8243</v>
      </c>
      <c r="F762" s="0" t="n">
        <v>1346</v>
      </c>
      <c r="G762" s="0" t="s">
        <v>277</v>
      </c>
      <c r="H762" s="0" t="s">
        <v>293</v>
      </c>
      <c r="I762" s="0" t="s">
        <v>8244</v>
      </c>
    </row>
    <row r="763" customFormat="false" ht="15" hidden="false" customHeight="false" outlineLevel="0" collapsed="false">
      <c r="A763" s="0" t="n">
        <v>35</v>
      </c>
      <c r="B763" s="0" t="s">
        <v>76</v>
      </c>
      <c r="C763" s="0" t="s">
        <v>8245</v>
      </c>
      <c r="D763" s="0" t="s">
        <v>6425</v>
      </c>
      <c r="E763" s="0" t="s">
        <v>8246</v>
      </c>
      <c r="F763" s="0" t="n">
        <v>3608</v>
      </c>
      <c r="G763" s="0" t="s">
        <v>277</v>
      </c>
      <c r="H763" s="0" t="s">
        <v>293</v>
      </c>
      <c r="I763" s="0" t="s">
        <v>8247</v>
      </c>
    </row>
    <row r="764" customFormat="false" ht="15" hidden="false" customHeight="false" outlineLevel="0" collapsed="false">
      <c r="A764" s="0" t="n">
        <v>35</v>
      </c>
      <c r="B764" s="0" t="s">
        <v>76</v>
      </c>
      <c r="C764" s="0" t="s">
        <v>8248</v>
      </c>
      <c r="D764" s="0" t="s">
        <v>500</v>
      </c>
      <c r="E764" s="2" t="s">
        <v>8249</v>
      </c>
      <c r="F764" s="0" t="n">
        <v>7532</v>
      </c>
      <c r="G764" s="0" t="s">
        <v>277</v>
      </c>
      <c r="H764" s="0" t="s">
        <v>293</v>
      </c>
      <c r="I764" s="0" t="s">
        <v>8236</v>
      </c>
    </row>
    <row r="765" customFormat="false" ht="15" hidden="false" customHeight="false" outlineLevel="0" collapsed="false">
      <c r="A765" s="0" t="n">
        <v>35</v>
      </c>
      <c r="B765" s="0" t="s">
        <v>76</v>
      </c>
      <c r="C765" s="0" t="s">
        <v>8250</v>
      </c>
      <c r="D765" s="0" t="s">
        <v>500</v>
      </c>
      <c r="E765" s="0" t="s">
        <v>8251</v>
      </c>
      <c r="F765" s="0" t="n">
        <v>8954</v>
      </c>
      <c r="G765" s="0" t="s">
        <v>277</v>
      </c>
      <c r="H765" s="0" t="s">
        <v>293</v>
      </c>
      <c r="I765" s="0" t="s">
        <v>8236</v>
      </c>
    </row>
    <row r="766" customFormat="false" ht="15" hidden="false" customHeight="false" outlineLevel="0" collapsed="false">
      <c r="A766" s="0" t="n">
        <v>32</v>
      </c>
      <c r="B766" s="0" t="s">
        <v>72</v>
      </c>
      <c r="C766" s="0" t="s">
        <v>8252</v>
      </c>
      <c r="D766" s="0" t="s">
        <v>6416</v>
      </c>
      <c r="E766" s="0" t="s">
        <v>8253</v>
      </c>
      <c r="F766" s="0" t="n">
        <v>755</v>
      </c>
      <c r="G766" s="0" t="s">
        <v>277</v>
      </c>
      <c r="H766" s="0" t="s">
        <v>293</v>
      </c>
      <c r="I766" s="0" t="s">
        <v>8254</v>
      </c>
    </row>
    <row r="767" customFormat="false" ht="15" hidden="false" customHeight="false" outlineLevel="0" collapsed="false">
      <c r="A767" s="0" t="n">
        <v>35</v>
      </c>
      <c r="B767" s="0" t="s">
        <v>76</v>
      </c>
      <c r="C767" s="0" t="s">
        <v>8255</v>
      </c>
      <c r="D767" s="0" t="s">
        <v>6425</v>
      </c>
      <c r="E767" s="2" t="s">
        <v>8256</v>
      </c>
      <c r="F767" s="0" t="n">
        <v>1967</v>
      </c>
      <c r="G767" s="0" t="s">
        <v>277</v>
      </c>
      <c r="H767" s="0" t="s">
        <v>293</v>
      </c>
      <c r="I767" s="0" t="s">
        <v>7919</v>
      </c>
    </row>
    <row r="768" customFormat="false" ht="15" hidden="false" customHeight="false" outlineLevel="0" collapsed="false">
      <c r="A768" s="0" t="n">
        <v>35</v>
      </c>
      <c r="B768" s="0" t="s">
        <v>76</v>
      </c>
      <c r="C768" s="0" t="s">
        <v>8257</v>
      </c>
      <c r="D768" s="0" t="s">
        <v>6425</v>
      </c>
      <c r="E768" s="2" t="s">
        <v>8258</v>
      </c>
      <c r="F768" s="0" t="n">
        <v>1152</v>
      </c>
      <c r="G768" s="0" t="s">
        <v>277</v>
      </c>
      <c r="H768" s="0" t="s">
        <v>293</v>
      </c>
      <c r="I768" s="0" t="s">
        <v>7919</v>
      </c>
    </row>
    <row r="769" customFormat="false" ht="15" hidden="false" customHeight="false" outlineLevel="0" collapsed="false">
      <c r="A769" s="0" t="n">
        <v>32</v>
      </c>
      <c r="B769" s="0" t="s">
        <v>72</v>
      </c>
      <c r="C769" s="0" t="s">
        <v>8259</v>
      </c>
      <c r="D769" s="0" t="s">
        <v>6425</v>
      </c>
      <c r="E769" s="0" t="s">
        <v>8260</v>
      </c>
      <c r="F769" s="0" t="n">
        <v>3285</v>
      </c>
      <c r="G769" s="0" t="s">
        <v>277</v>
      </c>
      <c r="H769" s="0" t="s">
        <v>293</v>
      </c>
      <c r="I769" s="0" t="s">
        <v>8261</v>
      </c>
    </row>
    <row r="770" customFormat="false" ht="15" hidden="false" customHeight="false" outlineLevel="0" collapsed="false">
      <c r="A770" s="0" t="n">
        <v>35</v>
      </c>
      <c r="B770" s="0" t="s">
        <v>76</v>
      </c>
      <c r="C770" s="0" t="s">
        <v>8262</v>
      </c>
      <c r="D770" s="0" t="s">
        <v>6416</v>
      </c>
      <c r="E770" s="2" t="s">
        <v>8263</v>
      </c>
      <c r="F770" s="0" t="n">
        <v>4503</v>
      </c>
      <c r="G770" s="0" t="s">
        <v>277</v>
      </c>
      <c r="H770" s="0" t="s">
        <v>293</v>
      </c>
      <c r="I770" s="0" t="s">
        <v>8264</v>
      </c>
    </row>
    <row r="771" customFormat="false" ht="15" hidden="false" customHeight="false" outlineLevel="0" collapsed="false">
      <c r="A771" s="0" t="n">
        <v>32</v>
      </c>
      <c r="B771" s="0" t="s">
        <v>72</v>
      </c>
      <c r="C771" s="0" t="s">
        <v>8265</v>
      </c>
      <c r="D771" s="0" t="s">
        <v>6416</v>
      </c>
      <c r="E771" s="0" t="s">
        <v>8266</v>
      </c>
      <c r="F771" s="0" t="n">
        <v>1857</v>
      </c>
      <c r="G771" s="0" t="s">
        <v>277</v>
      </c>
      <c r="H771" s="0" t="s">
        <v>293</v>
      </c>
      <c r="I771" s="0" t="s">
        <v>8267</v>
      </c>
    </row>
    <row r="772" customFormat="false" ht="15" hidden="false" customHeight="false" outlineLevel="0" collapsed="false">
      <c r="A772" s="0" t="n">
        <v>32</v>
      </c>
      <c r="B772" s="0" t="s">
        <v>72</v>
      </c>
      <c r="C772" s="0" t="s">
        <v>8268</v>
      </c>
      <c r="D772" s="0" t="s">
        <v>6425</v>
      </c>
      <c r="E772" s="0" t="s">
        <v>8269</v>
      </c>
      <c r="F772" s="0" t="n">
        <v>917</v>
      </c>
      <c r="G772" s="0" t="s">
        <v>277</v>
      </c>
      <c r="H772" s="0" t="s">
        <v>293</v>
      </c>
      <c r="I772" s="0" t="s">
        <v>8270</v>
      </c>
    </row>
    <row r="773" customFormat="false" ht="15" hidden="false" customHeight="false" outlineLevel="0" collapsed="false">
      <c r="A773" s="0" t="n">
        <v>35</v>
      </c>
      <c r="B773" s="0" t="s">
        <v>76</v>
      </c>
      <c r="C773" s="0" t="s">
        <v>8271</v>
      </c>
      <c r="D773" s="0" t="s">
        <v>6416</v>
      </c>
      <c r="E773" s="2" t="s">
        <v>8272</v>
      </c>
      <c r="F773" s="0" t="n">
        <v>982</v>
      </c>
      <c r="G773" s="0" t="s">
        <v>277</v>
      </c>
      <c r="H773" s="0" t="s">
        <v>293</v>
      </c>
      <c r="I773" s="0" t="s">
        <v>7925</v>
      </c>
    </row>
    <row r="774" customFormat="false" ht="15" hidden="false" customHeight="false" outlineLevel="0" collapsed="false">
      <c r="A774" s="0" t="n">
        <v>32</v>
      </c>
      <c r="B774" s="0" t="s">
        <v>72</v>
      </c>
      <c r="C774" s="0" t="s">
        <v>8273</v>
      </c>
      <c r="D774" s="0" t="s">
        <v>6416</v>
      </c>
      <c r="E774" s="0" t="s">
        <v>8274</v>
      </c>
      <c r="F774" s="0" t="n">
        <v>6241</v>
      </c>
      <c r="G774" s="0" t="s">
        <v>277</v>
      </c>
      <c r="H774" s="0" t="s">
        <v>293</v>
      </c>
      <c r="I774" s="0" t="s">
        <v>8275</v>
      </c>
    </row>
    <row r="775" customFormat="false" ht="15" hidden="false" customHeight="false" outlineLevel="0" collapsed="false">
      <c r="A775" s="0" t="n">
        <v>35</v>
      </c>
      <c r="B775" s="0" t="s">
        <v>76</v>
      </c>
      <c r="C775" s="0" t="s">
        <v>8276</v>
      </c>
      <c r="D775" s="0" t="s">
        <v>6425</v>
      </c>
      <c r="E775" s="2" t="s">
        <v>8277</v>
      </c>
      <c r="F775" s="0" t="n">
        <v>1050</v>
      </c>
      <c r="G775" s="0" t="s">
        <v>277</v>
      </c>
      <c r="H775" s="0" t="s">
        <v>293</v>
      </c>
      <c r="I775" s="0" t="s">
        <v>7931</v>
      </c>
    </row>
    <row r="776" customFormat="false" ht="15" hidden="false" customHeight="false" outlineLevel="0" collapsed="false">
      <c r="A776" s="0" t="n">
        <v>32</v>
      </c>
      <c r="B776" s="0" t="s">
        <v>72</v>
      </c>
      <c r="C776" s="0" t="s">
        <v>8278</v>
      </c>
      <c r="D776" s="0" t="s">
        <v>6416</v>
      </c>
      <c r="E776" s="0" t="s">
        <v>8279</v>
      </c>
      <c r="F776" s="0" t="n">
        <v>1043</v>
      </c>
      <c r="G776" s="0" t="s">
        <v>277</v>
      </c>
      <c r="H776" s="0" t="s">
        <v>293</v>
      </c>
      <c r="I776" s="0" t="s">
        <v>8280</v>
      </c>
    </row>
    <row r="777" customFormat="false" ht="15" hidden="false" customHeight="false" outlineLevel="0" collapsed="false">
      <c r="A777" s="0" t="n">
        <v>35</v>
      </c>
      <c r="B777" s="0" t="s">
        <v>76</v>
      </c>
      <c r="C777" s="0" t="s">
        <v>8281</v>
      </c>
      <c r="D777" s="0" t="s">
        <v>6425</v>
      </c>
      <c r="E777" s="2" t="s">
        <v>8282</v>
      </c>
      <c r="F777" s="0" t="n">
        <v>1805</v>
      </c>
      <c r="G777" s="0" t="s">
        <v>277</v>
      </c>
      <c r="H777" s="0" t="s">
        <v>293</v>
      </c>
      <c r="I777" s="0" t="s">
        <v>7931</v>
      </c>
    </row>
    <row r="778" customFormat="false" ht="15" hidden="false" customHeight="false" outlineLevel="0" collapsed="false">
      <c r="A778" s="0" t="n">
        <v>32</v>
      </c>
      <c r="B778" s="0" t="s">
        <v>72</v>
      </c>
      <c r="C778" s="0" t="s">
        <v>8283</v>
      </c>
      <c r="D778" s="0" t="s">
        <v>6416</v>
      </c>
      <c r="E778" s="0" t="s">
        <v>8284</v>
      </c>
      <c r="F778" s="0" t="n">
        <v>3634</v>
      </c>
      <c r="G778" s="0" t="s">
        <v>277</v>
      </c>
      <c r="H778" s="0" t="s">
        <v>293</v>
      </c>
      <c r="I778" s="0" t="s">
        <v>8285</v>
      </c>
    </row>
    <row r="779" customFormat="false" ht="15" hidden="false" customHeight="false" outlineLevel="0" collapsed="false">
      <c r="A779" s="0" t="n">
        <v>35</v>
      </c>
      <c r="B779" s="0" t="s">
        <v>76</v>
      </c>
      <c r="C779" s="0" t="s">
        <v>8286</v>
      </c>
      <c r="D779" s="0" t="s">
        <v>829</v>
      </c>
      <c r="E779" s="2" t="s">
        <v>8287</v>
      </c>
      <c r="F779" s="0" t="n">
        <v>2200</v>
      </c>
      <c r="G779" s="0" t="s">
        <v>277</v>
      </c>
      <c r="H779" s="0" t="s">
        <v>293</v>
      </c>
      <c r="I779" s="0" t="s">
        <v>8288</v>
      </c>
    </row>
    <row r="780" customFormat="false" ht="15" hidden="false" customHeight="false" outlineLevel="0" collapsed="false">
      <c r="A780" s="0" t="n">
        <v>32</v>
      </c>
      <c r="B780" s="0" t="s">
        <v>72</v>
      </c>
      <c r="C780" s="0" t="s">
        <v>8289</v>
      </c>
      <c r="D780" s="0" t="s">
        <v>6416</v>
      </c>
      <c r="E780" s="0" t="s">
        <v>7997</v>
      </c>
      <c r="F780" s="0" t="n">
        <v>2413</v>
      </c>
      <c r="G780" s="0" t="s">
        <v>277</v>
      </c>
      <c r="H780" s="0" t="s">
        <v>293</v>
      </c>
      <c r="I780" s="0" t="s">
        <v>8290</v>
      </c>
    </row>
    <row r="781" customFormat="false" ht="15" hidden="false" customHeight="false" outlineLevel="0" collapsed="false">
      <c r="A781" s="0" t="n">
        <v>35</v>
      </c>
      <c r="B781" s="0" t="s">
        <v>76</v>
      </c>
      <c r="C781" s="0" t="s">
        <v>8291</v>
      </c>
      <c r="D781" s="0" t="s">
        <v>6416</v>
      </c>
      <c r="E781" s="0" t="s">
        <v>7936</v>
      </c>
      <c r="F781" s="0" t="n">
        <v>4281</v>
      </c>
      <c r="G781" s="0" t="s">
        <v>277</v>
      </c>
      <c r="H781" s="0" t="s">
        <v>293</v>
      </c>
      <c r="I781" s="0" t="s">
        <v>7937</v>
      </c>
    </row>
    <row r="782" customFormat="false" ht="15" hidden="false" customHeight="false" outlineLevel="0" collapsed="false">
      <c r="A782" s="0" t="n">
        <v>35</v>
      </c>
      <c r="B782" s="0" t="s">
        <v>76</v>
      </c>
      <c r="C782" s="0" t="s">
        <v>8292</v>
      </c>
      <c r="D782" s="0" t="s">
        <v>829</v>
      </c>
      <c r="E782" s="2" t="s">
        <v>8293</v>
      </c>
      <c r="F782" s="0" t="n">
        <v>1294</v>
      </c>
      <c r="G782" s="0" t="s">
        <v>277</v>
      </c>
      <c r="H782" s="0" t="s">
        <v>293</v>
      </c>
      <c r="I782" s="0" t="s">
        <v>8294</v>
      </c>
    </row>
    <row r="783" customFormat="false" ht="15" hidden="false" customHeight="false" outlineLevel="0" collapsed="false">
      <c r="A783" s="0" t="n">
        <v>35</v>
      </c>
      <c r="B783" s="0" t="s">
        <v>76</v>
      </c>
      <c r="C783" s="0" t="s">
        <v>8295</v>
      </c>
      <c r="D783" s="0" t="s">
        <v>6416</v>
      </c>
      <c r="E783" s="0" t="s">
        <v>7936</v>
      </c>
      <c r="F783" s="0" t="n">
        <v>3864</v>
      </c>
      <c r="G783" s="0" t="s">
        <v>277</v>
      </c>
      <c r="H783" s="0" t="s">
        <v>293</v>
      </c>
      <c r="I783" s="0" t="s">
        <v>8296</v>
      </c>
    </row>
    <row r="784" customFormat="false" ht="15" hidden="false" customHeight="false" outlineLevel="0" collapsed="false">
      <c r="A784" s="0" t="n">
        <v>38</v>
      </c>
      <c r="B784" s="0" t="s">
        <v>79</v>
      </c>
      <c r="C784" s="0" t="s">
        <v>8297</v>
      </c>
      <c r="D784" s="0" t="s">
        <v>6416</v>
      </c>
      <c r="E784" s="0" t="s">
        <v>8298</v>
      </c>
      <c r="F784" s="0" t="n">
        <v>12497</v>
      </c>
      <c r="G784" s="0" t="s">
        <v>277</v>
      </c>
      <c r="H784" s="0" t="s">
        <v>293</v>
      </c>
      <c r="I784" s="0" t="s">
        <v>8299</v>
      </c>
    </row>
    <row r="785" customFormat="false" ht="15" hidden="false" customHeight="false" outlineLevel="0" collapsed="false">
      <c r="A785" s="0" t="n">
        <v>38</v>
      </c>
      <c r="B785" s="0" t="s">
        <v>79</v>
      </c>
      <c r="C785" s="0" t="s">
        <v>8300</v>
      </c>
      <c r="D785" s="0" t="s">
        <v>6416</v>
      </c>
      <c r="E785" s="0" t="s">
        <v>8301</v>
      </c>
      <c r="F785" s="0" t="n">
        <v>4152</v>
      </c>
      <c r="G785" s="0" t="s">
        <v>277</v>
      </c>
      <c r="H785" s="0" t="s">
        <v>293</v>
      </c>
      <c r="I785" s="0" t="s">
        <v>8302</v>
      </c>
    </row>
    <row r="786" customFormat="false" ht="15" hidden="false" customHeight="false" outlineLevel="0" collapsed="false">
      <c r="A786" s="0" t="n">
        <v>32</v>
      </c>
      <c r="B786" s="0" t="s">
        <v>72</v>
      </c>
      <c r="C786" s="0" t="s">
        <v>8303</v>
      </c>
      <c r="D786" s="0" t="s">
        <v>91</v>
      </c>
      <c r="E786" s="0" t="s">
        <v>8304</v>
      </c>
      <c r="F786" s="0" t="n">
        <v>279</v>
      </c>
      <c r="G786" s="0" t="s">
        <v>277</v>
      </c>
      <c r="H786" s="0" t="s">
        <v>293</v>
      </c>
      <c r="I786" s="0" t="s">
        <v>8305</v>
      </c>
    </row>
    <row r="787" customFormat="false" ht="15" hidden="false" customHeight="false" outlineLevel="0" collapsed="false">
      <c r="A787" s="0" t="n">
        <v>38</v>
      </c>
      <c r="B787" s="0" t="s">
        <v>79</v>
      </c>
      <c r="C787" s="0" t="s">
        <v>8306</v>
      </c>
      <c r="D787" s="0" t="s">
        <v>6425</v>
      </c>
      <c r="E787" s="0" t="s">
        <v>8307</v>
      </c>
      <c r="F787" s="0" t="n">
        <v>6112</v>
      </c>
      <c r="G787" s="0" t="s">
        <v>277</v>
      </c>
      <c r="H787" s="0" t="s">
        <v>293</v>
      </c>
      <c r="I787" s="0" t="s">
        <v>8308</v>
      </c>
    </row>
    <row r="788" customFormat="false" ht="15" hidden="false" customHeight="false" outlineLevel="0" collapsed="false">
      <c r="A788" s="0" t="n">
        <v>38</v>
      </c>
      <c r="B788" s="0" t="s">
        <v>79</v>
      </c>
      <c r="C788" s="0" t="s">
        <v>8309</v>
      </c>
      <c r="D788" s="0" t="s">
        <v>6425</v>
      </c>
      <c r="E788" s="0" t="s">
        <v>8310</v>
      </c>
      <c r="F788" s="0" t="n">
        <v>2224</v>
      </c>
      <c r="G788" s="0" t="s">
        <v>277</v>
      </c>
      <c r="H788" s="0" t="s">
        <v>293</v>
      </c>
      <c r="I788" s="0" t="s">
        <v>8311</v>
      </c>
    </row>
    <row r="789" customFormat="false" ht="15" hidden="false" customHeight="false" outlineLevel="0" collapsed="false">
      <c r="A789" s="0" t="n">
        <v>38</v>
      </c>
      <c r="B789" s="0" t="s">
        <v>79</v>
      </c>
      <c r="C789" s="0" t="s">
        <v>8312</v>
      </c>
      <c r="D789" s="0" t="s">
        <v>6416</v>
      </c>
      <c r="E789" s="0" t="s">
        <v>8313</v>
      </c>
      <c r="F789" s="0" t="n">
        <v>6306</v>
      </c>
      <c r="G789" s="0" t="s">
        <v>277</v>
      </c>
      <c r="H789" s="0" t="s">
        <v>293</v>
      </c>
      <c r="I789" s="0" t="s">
        <v>8314</v>
      </c>
    </row>
    <row r="790" customFormat="false" ht="15" hidden="false" customHeight="false" outlineLevel="0" collapsed="false">
      <c r="A790" s="0" t="n">
        <v>38</v>
      </c>
      <c r="B790" s="0" t="s">
        <v>79</v>
      </c>
      <c r="C790" s="0" t="s">
        <v>8315</v>
      </c>
      <c r="D790" s="0" t="s">
        <v>6416</v>
      </c>
      <c r="E790" s="0" t="s">
        <v>8316</v>
      </c>
      <c r="F790" s="0" t="n">
        <v>3428</v>
      </c>
      <c r="G790" s="0" t="s">
        <v>277</v>
      </c>
      <c r="H790" s="0" t="s">
        <v>293</v>
      </c>
      <c r="I790" s="0" t="s">
        <v>8317</v>
      </c>
    </row>
    <row r="791" customFormat="false" ht="15" hidden="false" customHeight="false" outlineLevel="0" collapsed="false">
      <c r="A791" s="0" t="n">
        <v>38</v>
      </c>
      <c r="B791" s="0" t="s">
        <v>79</v>
      </c>
      <c r="C791" s="0" t="s">
        <v>8318</v>
      </c>
      <c r="D791" s="0" t="s">
        <v>6416</v>
      </c>
      <c r="E791" s="0" t="s">
        <v>8319</v>
      </c>
      <c r="F791" s="0" t="n">
        <v>5719</v>
      </c>
      <c r="G791" s="0" t="s">
        <v>277</v>
      </c>
      <c r="H791" s="0" t="s">
        <v>293</v>
      </c>
      <c r="I791" s="0" t="s">
        <v>8320</v>
      </c>
    </row>
    <row r="792" customFormat="false" ht="15" hidden="false" customHeight="false" outlineLevel="0" collapsed="false">
      <c r="A792" s="0" t="n">
        <v>38</v>
      </c>
      <c r="B792" s="0" t="s">
        <v>79</v>
      </c>
      <c r="C792" s="0" t="s">
        <v>8321</v>
      </c>
      <c r="D792" s="0" t="s">
        <v>6416</v>
      </c>
      <c r="E792" s="0" t="s">
        <v>8322</v>
      </c>
      <c r="F792" s="0" t="n">
        <v>1477</v>
      </c>
      <c r="G792" s="0" t="s">
        <v>277</v>
      </c>
      <c r="H792" s="0" t="s">
        <v>293</v>
      </c>
      <c r="I792" s="0" t="s">
        <v>8323</v>
      </c>
    </row>
    <row r="793" customFormat="false" ht="15" hidden="false" customHeight="false" outlineLevel="0" collapsed="false">
      <c r="A793" s="0" t="n">
        <v>29</v>
      </c>
      <c r="B793" s="0" t="s">
        <v>68</v>
      </c>
      <c r="C793" s="0" t="s">
        <v>8324</v>
      </c>
      <c r="D793" s="0" t="s">
        <v>6076</v>
      </c>
      <c r="E793" s="0" t="s">
        <v>8325</v>
      </c>
      <c r="F793" s="0" t="n">
        <v>226</v>
      </c>
      <c r="G793" s="0" t="s">
        <v>277</v>
      </c>
      <c r="H793" s="0" t="s">
        <v>293</v>
      </c>
      <c r="I793" s="0" t="s">
        <v>8326</v>
      </c>
    </row>
    <row r="794" customFormat="false" ht="15" hidden="false" customHeight="false" outlineLevel="0" collapsed="false">
      <c r="A794" s="0" t="n">
        <v>38</v>
      </c>
      <c r="B794" s="0" t="s">
        <v>79</v>
      </c>
      <c r="C794" s="0" t="s">
        <v>8327</v>
      </c>
      <c r="D794" s="0" t="s">
        <v>6425</v>
      </c>
      <c r="E794" s="0" t="s">
        <v>8328</v>
      </c>
      <c r="F794" s="0" t="n">
        <v>5369</v>
      </c>
      <c r="G794" s="0" t="s">
        <v>277</v>
      </c>
      <c r="H794" s="0" t="s">
        <v>293</v>
      </c>
      <c r="I794" s="0" t="s">
        <v>8329</v>
      </c>
    </row>
    <row r="795" customFormat="false" ht="15" hidden="false" customHeight="false" outlineLevel="0" collapsed="false">
      <c r="A795" s="0" t="n">
        <v>38</v>
      </c>
      <c r="B795" s="0" t="s">
        <v>79</v>
      </c>
      <c r="C795" s="0" t="s">
        <v>8330</v>
      </c>
      <c r="D795" s="0" t="s">
        <v>6416</v>
      </c>
      <c r="E795" s="0" t="s">
        <v>8331</v>
      </c>
      <c r="F795" s="0" t="n">
        <v>2957</v>
      </c>
      <c r="G795" s="0" t="s">
        <v>277</v>
      </c>
      <c r="H795" s="0" t="s">
        <v>293</v>
      </c>
      <c r="I795" s="0" t="s">
        <v>8332</v>
      </c>
    </row>
    <row r="796" customFormat="false" ht="15" hidden="false" customHeight="false" outlineLevel="0" collapsed="false">
      <c r="A796" s="0" t="n">
        <v>32</v>
      </c>
      <c r="B796" s="0" t="s">
        <v>72</v>
      </c>
      <c r="C796" s="0" t="s">
        <v>8333</v>
      </c>
      <c r="D796" s="0" t="s">
        <v>6416</v>
      </c>
      <c r="E796" s="0" t="s">
        <v>8334</v>
      </c>
      <c r="F796" s="0" t="n">
        <v>1730</v>
      </c>
      <c r="G796" s="0" t="s">
        <v>277</v>
      </c>
      <c r="H796" s="0" t="s">
        <v>293</v>
      </c>
      <c r="I796" s="0" t="s">
        <v>8335</v>
      </c>
    </row>
    <row r="797" customFormat="false" ht="15" hidden="false" customHeight="false" outlineLevel="0" collapsed="false">
      <c r="A797" s="0" t="n">
        <v>32</v>
      </c>
      <c r="B797" s="0" t="s">
        <v>72</v>
      </c>
      <c r="C797" s="0" t="s">
        <v>8336</v>
      </c>
      <c r="D797" s="0" t="s">
        <v>6416</v>
      </c>
      <c r="E797" s="0" t="s">
        <v>8337</v>
      </c>
      <c r="F797" s="0" t="n">
        <v>4174</v>
      </c>
      <c r="G797" s="0" t="s">
        <v>277</v>
      </c>
      <c r="H797" s="0" t="s">
        <v>293</v>
      </c>
      <c r="I797" s="0" t="s">
        <v>8338</v>
      </c>
    </row>
    <row r="798" customFormat="false" ht="15" hidden="false" customHeight="false" outlineLevel="0" collapsed="false">
      <c r="A798" s="0" t="n">
        <v>32</v>
      </c>
      <c r="B798" s="0" t="s">
        <v>72</v>
      </c>
      <c r="C798" s="0" t="s">
        <v>8339</v>
      </c>
      <c r="D798" s="0" t="s">
        <v>6416</v>
      </c>
      <c r="E798" s="0" t="s">
        <v>8340</v>
      </c>
      <c r="F798" s="0" t="n">
        <v>5398</v>
      </c>
      <c r="G798" s="0" t="s">
        <v>277</v>
      </c>
      <c r="H798" s="0" t="s">
        <v>293</v>
      </c>
      <c r="I798" s="0" t="s">
        <v>8341</v>
      </c>
    </row>
    <row r="799" customFormat="false" ht="15" hidden="false" customHeight="false" outlineLevel="0" collapsed="false">
      <c r="A799" s="0" t="n">
        <v>32</v>
      </c>
      <c r="B799" s="0" t="s">
        <v>72</v>
      </c>
      <c r="C799" s="0" t="s">
        <v>8342</v>
      </c>
      <c r="D799" s="0" t="s">
        <v>6416</v>
      </c>
      <c r="E799" s="0" t="s">
        <v>8343</v>
      </c>
      <c r="F799" s="0" t="n">
        <v>2586</v>
      </c>
      <c r="G799" s="0" t="s">
        <v>277</v>
      </c>
      <c r="H799" s="0" t="s">
        <v>293</v>
      </c>
      <c r="I799" s="0" t="s">
        <v>8344</v>
      </c>
    </row>
    <row r="800" customFormat="false" ht="15" hidden="false" customHeight="false" outlineLevel="0" collapsed="false">
      <c r="A800" s="0" t="n">
        <v>32</v>
      </c>
      <c r="B800" s="0" t="s">
        <v>72</v>
      </c>
      <c r="C800" s="0" t="s">
        <v>8345</v>
      </c>
      <c r="D800" s="0" t="s">
        <v>6416</v>
      </c>
      <c r="E800" s="0" t="s">
        <v>8346</v>
      </c>
      <c r="F800" s="0" t="n">
        <v>678</v>
      </c>
      <c r="G800" s="0" t="s">
        <v>277</v>
      </c>
      <c r="H800" s="0" t="s">
        <v>293</v>
      </c>
      <c r="I800" s="0" t="s">
        <v>8347</v>
      </c>
    </row>
    <row r="801" customFormat="false" ht="15" hidden="false" customHeight="false" outlineLevel="0" collapsed="false">
      <c r="A801" s="0" t="n">
        <v>32</v>
      </c>
      <c r="B801" s="0" t="s">
        <v>72</v>
      </c>
      <c r="C801" s="0" t="s">
        <v>8348</v>
      </c>
      <c r="D801" s="0" t="s">
        <v>6416</v>
      </c>
      <c r="E801" s="0" t="s">
        <v>8349</v>
      </c>
      <c r="F801" s="0" t="n">
        <v>5617</v>
      </c>
      <c r="G801" s="0" t="s">
        <v>277</v>
      </c>
      <c r="H801" s="0" t="s">
        <v>293</v>
      </c>
      <c r="I801" s="0" t="s">
        <v>8350</v>
      </c>
    </row>
    <row r="802" customFormat="false" ht="15" hidden="false" customHeight="false" outlineLevel="0" collapsed="false">
      <c r="A802" s="0" t="n">
        <v>38</v>
      </c>
      <c r="B802" s="0" t="s">
        <v>79</v>
      </c>
      <c r="C802" s="0" t="s">
        <v>8351</v>
      </c>
      <c r="D802" s="0" t="s">
        <v>6416</v>
      </c>
      <c r="E802" s="0" t="s">
        <v>8352</v>
      </c>
      <c r="F802" s="0" t="n">
        <v>283</v>
      </c>
      <c r="G802" s="0" t="s">
        <v>277</v>
      </c>
      <c r="H802" s="0" t="s">
        <v>293</v>
      </c>
      <c r="I802" s="0" t="s">
        <v>8353</v>
      </c>
    </row>
    <row r="803" customFormat="false" ht="15" hidden="false" customHeight="false" outlineLevel="0" collapsed="false">
      <c r="A803" s="0" t="n">
        <v>38</v>
      </c>
      <c r="B803" s="0" t="s">
        <v>79</v>
      </c>
      <c r="C803" s="0" t="s">
        <v>8354</v>
      </c>
      <c r="D803" s="0" t="s">
        <v>6416</v>
      </c>
      <c r="E803" s="0" t="s">
        <v>8355</v>
      </c>
      <c r="F803" s="0" t="n">
        <v>2936</v>
      </c>
      <c r="G803" s="0" t="s">
        <v>277</v>
      </c>
      <c r="H803" s="0" t="s">
        <v>293</v>
      </c>
      <c r="I803" s="0" t="s">
        <v>8356</v>
      </c>
    </row>
    <row r="804" customFormat="false" ht="15" hidden="false" customHeight="false" outlineLevel="0" collapsed="false">
      <c r="A804" s="0" t="n">
        <v>38</v>
      </c>
      <c r="B804" s="0" t="s">
        <v>79</v>
      </c>
      <c r="C804" s="0" t="s">
        <v>8357</v>
      </c>
      <c r="D804" s="0" t="s">
        <v>6416</v>
      </c>
      <c r="E804" s="0" t="s">
        <v>8358</v>
      </c>
      <c r="F804" s="0" t="n">
        <v>1747</v>
      </c>
      <c r="G804" s="0" t="s">
        <v>277</v>
      </c>
      <c r="H804" s="0" t="s">
        <v>293</v>
      </c>
      <c r="I804" s="0" t="s">
        <v>8359</v>
      </c>
    </row>
    <row r="805" customFormat="false" ht="15" hidden="false" customHeight="false" outlineLevel="0" collapsed="false">
      <c r="A805" s="0" t="n">
        <v>38</v>
      </c>
      <c r="B805" s="0" t="s">
        <v>79</v>
      </c>
      <c r="C805" s="0" t="s">
        <v>8360</v>
      </c>
      <c r="D805" s="0" t="s">
        <v>6416</v>
      </c>
      <c r="E805" s="0" t="s">
        <v>8361</v>
      </c>
      <c r="F805" s="0" t="n">
        <v>3839</v>
      </c>
      <c r="G805" s="0" t="s">
        <v>277</v>
      </c>
      <c r="H805" s="0" t="s">
        <v>293</v>
      </c>
      <c r="I805" s="0" t="s">
        <v>8362</v>
      </c>
    </row>
    <row r="806" customFormat="false" ht="15" hidden="false" customHeight="false" outlineLevel="0" collapsed="false">
      <c r="A806" s="0" t="n">
        <v>32</v>
      </c>
      <c r="B806" s="0" t="s">
        <v>72</v>
      </c>
      <c r="C806" s="0" t="s">
        <v>8363</v>
      </c>
      <c r="D806" s="0" t="s">
        <v>6425</v>
      </c>
      <c r="E806" s="0" t="s">
        <v>8364</v>
      </c>
      <c r="F806" s="0" t="n">
        <v>1201</v>
      </c>
      <c r="G806" s="0" t="s">
        <v>277</v>
      </c>
      <c r="H806" s="0" t="s">
        <v>293</v>
      </c>
      <c r="I806" s="0" t="s">
        <v>8365</v>
      </c>
    </row>
    <row r="807" customFormat="false" ht="15" hidden="false" customHeight="false" outlineLevel="0" collapsed="false">
      <c r="A807" s="0" t="n">
        <v>32</v>
      </c>
      <c r="B807" s="0" t="s">
        <v>72</v>
      </c>
      <c r="C807" s="0" t="s">
        <v>8366</v>
      </c>
      <c r="D807" s="0" t="s">
        <v>6416</v>
      </c>
      <c r="E807" s="0" t="s">
        <v>8367</v>
      </c>
      <c r="F807" s="0" t="n">
        <v>838</v>
      </c>
      <c r="G807" s="0" t="s">
        <v>277</v>
      </c>
      <c r="H807" s="0" t="s">
        <v>293</v>
      </c>
      <c r="I807" s="0" t="s">
        <v>8368</v>
      </c>
    </row>
    <row r="808" customFormat="false" ht="15" hidden="false" customHeight="false" outlineLevel="0" collapsed="false">
      <c r="A808" s="0" t="n">
        <v>32</v>
      </c>
      <c r="B808" s="0" t="s">
        <v>72</v>
      </c>
      <c r="C808" s="0" t="s">
        <v>8369</v>
      </c>
      <c r="D808" s="0" t="s">
        <v>6416</v>
      </c>
      <c r="E808" s="0" t="s">
        <v>8370</v>
      </c>
      <c r="F808" s="0" t="n">
        <v>1100</v>
      </c>
      <c r="G808" s="0" t="s">
        <v>277</v>
      </c>
      <c r="H808" s="0" t="s">
        <v>293</v>
      </c>
      <c r="I808" s="0" t="s">
        <v>8371</v>
      </c>
    </row>
    <row r="809" customFormat="false" ht="15" hidden="false" customHeight="false" outlineLevel="0" collapsed="false">
      <c r="A809" s="0" t="n">
        <v>32</v>
      </c>
      <c r="B809" s="0" t="s">
        <v>72</v>
      </c>
      <c r="C809" s="0" t="s">
        <v>8372</v>
      </c>
      <c r="D809" s="0" t="s">
        <v>91</v>
      </c>
      <c r="E809" s="0" t="s">
        <v>8373</v>
      </c>
      <c r="F809" s="0" t="n">
        <v>993</v>
      </c>
      <c r="G809" s="0" t="s">
        <v>277</v>
      </c>
      <c r="H809" s="0" t="s">
        <v>293</v>
      </c>
      <c r="I809" s="0" t="s">
        <v>8374</v>
      </c>
    </row>
    <row r="810" customFormat="false" ht="15" hidden="false" customHeight="false" outlineLevel="0" collapsed="false">
      <c r="A810" s="0" t="n">
        <v>32</v>
      </c>
      <c r="B810" s="0" t="s">
        <v>72</v>
      </c>
      <c r="C810" s="0" t="s">
        <v>8375</v>
      </c>
      <c r="D810" s="0" t="s">
        <v>6416</v>
      </c>
      <c r="E810" s="0" t="s">
        <v>8376</v>
      </c>
      <c r="F810" s="0" t="n">
        <v>4774</v>
      </c>
      <c r="G810" s="0" t="s">
        <v>277</v>
      </c>
      <c r="H810" s="0" t="s">
        <v>293</v>
      </c>
      <c r="I810" s="0" t="s">
        <v>8377</v>
      </c>
    </row>
    <row r="811" customFormat="false" ht="15" hidden="false" customHeight="false" outlineLevel="0" collapsed="false">
      <c r="A811" s="0" t="n">
        <v>32</v>
      </c>
      <c r="B811" s="0" t="s">
        <v>72</v>
      </c>
      <c r="C811" s="0" t="s">
        <v>8378</v>
      </c>
      <c r="D811" s="0" t="s">
        <v>6416</v>
      </c>
      <c r="E811" s="0" t="s">
        <v>8379</v>
      </c>
      <c r="F811" s="0" t="n">
        <v>442</v>
      </c>
      <c r="G811" s="0" t="s">
        <v>277</v>
      </c>
      <c r="H811" s="0" t="s">
        <v>293</v>
      </c>
      <c r="I811" s="0" t="s">
        <v>8380</v>
      </c>
    </row>
    <row r="812" customFormat="false" ht="15" hidden="false" customHeight="false" outlineLevel="0" collapsed="false">
      <c r="A812" s="0" t="n">
        <v>38</v>
      </c>
      <c r="B812" s="0" t="s">
        <v>79</v>
      </c>
      <c r="C812" s="0" t="s">
        <v>8381</v>
      </c>
      <c r="D812" s="0" t="s">
        <v>6416</v>
      </c>
      <c r="E812" s="0" t="s">
        <v>8382</v>
      </c>
      <c r="F812" s="0" t="n">
        <v>5001</v>
      </c>
      <c r="G812" s="0" t="s">
        <v>277</v>
      </c>
      <c r="H812" s="0" t="s">
        <v>293</v>
      </c>
      <c r="I812" s="0" t="s">
        <v>8383</v>
      </c>
    </row>
    <row r="813" customFormat="false" ht="15" hidden="false" customHeight="false" outlineLevel="0" collapsed="false">
      <c r="A813" s="0" t="n">
        <v>32</v>
      </c>
      <c r="B813" s="0" t="s">
        <v>72</v>
      </c>
      <c r="C813" s="0" t="s">
        <v>8384</v>
      </c>
      <c r="D813" s="0" t="s">
        <v>6416</v>
      </c>
      <c r="E813" s="0" t="s">
        <v>8385</v>
      </c>
      <c r="F813" s="0" t="n">
        <v>1277</v>
      </c>
      <c r="G813" s="0" t="s">
        <v>277</v>
      </c>
      <c r="H813" s="0" t="s">
        <v>293</v>
      </c>
      <c r="I813" s="0" t="s">
        <v>8386</v>
      </c>
    </row>
    <row r="814" customFormat="false" ht="15" hidden="false" customHeight="false" outlineLevel="0" collapsed="false">
      <c r="A814" s="0" t="n">
        <v>32</v>
      </c>
      <c r="B814" s="0" t="s">
        <v>72</v>
      </c>
      <c r="C814" s="0" t="s">
        <v>8387</v>
      </c>
      <c r="D814" s="0" t="s">
        <v>6425</v>
      </c>
      <c r="E814" s="0" t="s">
        <v>8388</v>
      </c>
      <c r="F814" s="0" t="n">
        <v>690</v>
      </c>
      <c r="G814" s="0" t="s">
        <v>277</v>
      </c>
      <c r="H814" s="0" t="s">
        <v>293</v>
      </c>
      <c r="I814" s="0" t="s">
        <v>8389</v>
      </c>
    </row>
    <row r="815" customFormat="false" ht="15" hidden="false" customHeight="false" outlineLevel="0" collapsed="false">
      <c r="A815" s="0" t="n">
        <v>38</v>
      </c>
      <c r="B815" s="0" t="s">
        <v>79</v>
      </c>
      <c r="C815" s="0" t="s">
        <v>8390</v>
      </c>
      <c r="D815" s="0" t="s">
        <v>6560</v>
      </c>
      <c r="E815" s="0" t="s">
        <v>8391</v>
      </c>
      <c r="F815" s="0" t="n">
        <v>4029</v>
      </c>
      <c r="G815" s="0" t="s">
        <v>277</v>
      </c>
      <c r="H815" s="0" t="s">
        <v>293</v>
      </c>
      <c r="I815" s="0" t="s">
        <v>8392</v>
      </c>
    </row>
    <row r="816" customFormat="false" ht="15" hidden="false" customHeight="false" outlineLevel="0" collapsed="false">
      <c r="A816" s="0" t="n">
        <v>38</v>
      </c>
      <c r="B816" s="0" t="s">
        <v>79</v>
      </c>
      <c r="C816" s="0" t="s">
        <v>8393</v>
      </c>
      <c r="D816" s="0" t="s">
        <v>6416</v>
      </c>
      <c r="E816" s="0" t="s">
        <v>8394</v>
      </c>
      <c r="F816" s="0" t="n">
        <v>5456</v>
      </c>
      <c r="G816" s="0" t="s">
        <v>277</v>
      </c>
      <c r="H816" s="0" t="s">
        <v>293</v>
      </c>
      <c r="I816" s="0" t="s">
        <v>8395</v>
      </c>
    </row>
    <row r="817" customFormat="false" ht="15" hidden="false" customHeight="false" outlineLevel="0" collapsed="false">
      <c r="A817" s="0" t="n">
        <v>38</v>
      </c>
      <c r="B817" s="0" t="s">
        <v>79</v>
      </c>
      <c r="C817" s="0" t="s">
        <v>8396</v>
      </c>
      <c r="D817" s="0" t="s">
        <v>6425</v>
      </c>
      <c r="E817" s="0" t="s">
        <v>8397</v>
      </c>
      <c r="F817" s="0" t="n">
        <v>3032</v>
      </c>
      <c r="G817" s="0" t="s">
        <v>277</v>
      </c>
      <c r="H817" s="0" t="s">
        <v>293</v>
      </c>
      <c r="I817" s="0" t="s">
        <v>8398</v>
      </c>
    </row>
    <row r="818" customFormat="false" ht="15" hidden="false" customHeight="false" outlineLevel="0" collapsed="false">
      <c r="A818" s="0" t="n">
        <v>38</v>
      </c>
      <c r="B818" s="0" t="s">
        <v>79</v>
      </c>
      <c r="C818" s="0" t="s">
        <v>8399</v>
      </c>
      <c r="D818" s="0" t="s">
        <v>91</v>
      </c>
      <c r="E818" s="0" t="s">
        <v>8400</v>
      </c>
      <c r="F818" s="0" t="n">
        <v>3978</v>
      </c>
      <c r="G818" s="0" t="s">
        <v>277</v>
      </c>
      <c r="H818" s="0" t="s">
        <v>293</v>
      </c>
      <c r="I818" s="0" t="s">
        <v>8401</v>
      </c>
    </row>
    <row r="819" customFormat="false" ht="15" hidden="false" customHeight="false" outlineLevel="0" collapsed="false">
      <c r="A819" s="0" t="n">
        <v>38</v>
      </c>
      <c r="B819" s="0" t="s">
        <v>79</v>
      </c>
      <c r="C819" s="0" t="s">
        <v>8402</v>
      </c>
      <c r="D819" s="0" t="s">
        <v>6416</v>
      </c>
      <c r="E819" s="0" t="s">
        <v>8403</v>
      </c>
      <c r="F819" s="0" t="n">
        <v>4237</v>
      </c>
      <c r="G819" s="0" t="s">
        <v>277</v>
      </c>
      <c r="H819" s="0" t="s">
        <v>293</v>
      </c>
      <c r="I819" s="0" t="s">
        <v>8404</v>
      </c>
    </row>
    <row r="820" customFormat="false" ht="15" hidden="false" customHeight="false" outlineLevel="0" collapsed="false">
      <c r="A820" s="0" t="n">
        <v>38</v>
      </c>
      <c r="B820" s="0" t="s">
        <v>79</v>
      </c>
      <c r="C820" s="0" t="s">
        <v>8405</v>
      </c>
      <c r="D820" s="0" t="s">
        <v>6416</v>
      </c>
      <c r="E820" s="0" t="s">
        <v>8406</v>
      </c>
      <c r="F820" s="0" t="n">
        <v>2094</v>
      </c>
      <c r="G820" s="0" t="s">
        <v>277</v>
      </c>
      <c r="H820" s="0" t="s">
        <v>293</v>
      </c>
      <c r="I820" s="0" t="s">
        <v>8407</v>
      </c>
    </row>
    <row r="821" customFormat="false" ht="15" hidden="false" customHeight="false" outlineLevel="0" collapsed="false">
      <c r="A821" s="0" t="n">
        <v>38</v>
      </c>
      <c r="B821" s="0" t="s">
        <v>79</v>
      </c>
      <c r="C821" s="0" t="s">
        <v>8408</v>
      </c>
      <c r="D821" s="0" t="s">
        <v>6416</v>
      </c>
      <c r="E821" s="0" t="s">
        <v>8409</v>
      </c>
      <c r="F821" s="0" t="n">
        <v>2546</v>
      </c>
      <c r="G821" s="0" t="s">
        <v>277</v>
      </c>
      <c r="H821" s="0" t="s">
        <v>293</v>
      </c>
      <c r="I821" s="0" t="s">
        <v>8410</v>
      </c>
    </row>
    <row r="822" customFormat="false" ht="15" hidden="false" customHeight="false" outlineLevel="0" collapsed="false">
      <c r="A822" s="0" t="n">
        <v>38</v>
      </c>
      <c r="B822" s="0" t="s">
        <v>79</v>
      </c>
      <c r="C822" s="0" t="s">
        <v>8411</v>
      </c>
      <c r="D822" s="0" t="s">
        <v>6416</v>
      </c>
      <c r="E822" s="0" t="s">
        <v>8412</v>
      </c>
      <c r="F822" s="0" t="n">
        <v>4849</v>
      </c>
      <c r="G822" s="0" t="s">
        <v>277</v>
      </c>
      <c r="H822" s="0" t="s">
        <v>293</v>
      </c>
      <c r="I822" s="0" t="s">
        <v>8413</v>
      </c>
    </row>
    <row r="823" customFormat="false" ht="15" hidden="false" customHeight="false" outlineLevel="0" collapsed="false">
      <c r="A823" s="0" t="n">
        <v>38</v>
      </c>
      <c r="B823" s="0" t="s">
        <v>79</v>
      </c>
      <c r="C823" s="0" t="s">
        <v>8414</v>
      </c>
      <c r="D823" s="0" t="s">
        <v>6416</v>
      </c>
      <c r="E823" s="0" t="s">
        <v>8415</v>
      </c>
      <c r="F823" s="0" t="n">
        <v>1989</v>
      </c>
      <c r="G823" s="0" t="s">
        <v>277</v>
      </c>
      <c r="H823" s="0" t="s">
        <v>293</v>
      </c>
      <c r="I823" s="0" t="s">
        <v>8416</v>
      </c>
    </row>
    <row r="824" customFormat="false" ht="15" hidden="false" customHeight="false" outlineLevel="0" collapsed="false">
      <c r="A824" s="0" t="n">
        <v>38</v>
      </c>
      <c r="B824" s="0" t="s">
        <v>79</v>
      </c>
      <c r="C824" s="0" t="s">
        <v>8417</v>
      </c>
      <c r="D824" s="0" t="s">
        <v>6416</v>
      </c>
      <c r="E824" s="0" t="s">
        <v>8418</v>
      </c>
      <c r="F824" s="0" t="n">
        <v>3202</v>
      </c>
      <c r="G824" s="0" t="s">
        <v>277</v>
      </c>
      <c r="H824" s="0" t="s">
        <v>293</v>
      </c>
      <c r="I824" s="0" t="s">
        <v>8419</v>
      </c>
    </row>
    <row r="825" customFormat="false" ht="15" hidden="false" customHeight="false" outlineLevel="0" collapsed="false">
      <c r="A825" s="0" t="n">
        <v>38</v>
      </c>
      <c r="B825" s="0" t="s">
        <v>79</v>
      </c>
      <c r="C825" s="0" t="s">
        <v>8420</v>
      </c>
      <c r="D825" s="0" t="s">
        <v>6416</v>
      </c>
      <c r="E825" s="0" t="s">
        <v>8421</v>
      </c>
      <c r="F825" s="0" t="n">
        <v>3172</v>
      </c>
      <c r="G825" s="0" t="s">
        <v>277</v>
      </c>
      <c r="H825" s="0" t="s">
        <v>293</v>
      </c>
      <c r="I825" s="0" t="s">
        <v>8422</v>
      </c>
    </row>
    <row r="826" customFormat="false" ht="15" hidden="false" customHeight="false" outlineLevel="0" collapsed="false">
      <c r="A826" s="0" t="n">
        <v>38</v>
      </c>
      <c r="B826" s="0" t="s">
        <v>79</v>
      </c>
      <c r="C826" s="0" t="s">
        <v>8423</v>
      </c>
      <c r="D826" s="0" t="s">
        <v>91</v>
      </c>
      <c r="E826" s="0" t="s">
        <v>8424</v>
      </c>
      <c r="F826" s="0" t="n">
        <v>1470</v>
      </c>
      <c r="G826" s="0" t="s">
        <v>277</v>
      </c>
      <c r="H826" s="0" t="s">
        <v>293</v>
      </c>
      <c r="I826" s="0" t="s">
        <v>8425</v>
      </c>
    </row>
    <row r="827" customFormat="false" ht="15" hidden="false" customHeight="false" outlineLevel="0" collapsed="false">
      <c r="A827" s="0" t="n">
        <v>38</v>
      </c>
      <c r="B827" s="0" t="s">
        <v>79</v>
      </c>
      <c r="C827" s="0" t="s">
        <v>8426</v>
      </c>
      <c r="D827" s="0" t="s">
        <v>6416</v>
      </c>
      <c r="E827" s="0" t="s">
        <v>8427</v>
      </c>
      <c r="F827" s="0" t="n">
        <v>4087</v>
      </c>
      <c r="G827" s="0" t="s">
        <v>277</v>
      </c>
      <c r="H827" s="0" t="s">
        <v>293</v>
      </c>
      <c r="I827" s="0" t="s">
        <v>8428</v>
      </c>
    </row>
    <row r="828" customFormat="false" ht="15" hidden="false" customHeight="false" outlineLevel="0" collapsed="false">
      <c r="A828" s="0" t="n">
        <v>38</v>
      </c>
      <c r="B828" s="0" t="s">
        <v>79</v>
      </c>
      <c r="C828" s="0" t="s">
        <v>8429</v>
      </c>
      <c r="D828" s="0" t="s">
        <v>6416</v>
      </c>
      <c r="E828" s="0" t="s">
        <v>8430</v>
      </c>
      <c r="F828" s="0" t="n">
        <v>1950</v>
      </c>
      <c r="G828" s="0" t="s">
        <v>277</v>
      </c>
      <c r="H828" s="0" t="s">
        <v>293</v>
      </c>
      <c r="I828" s="0" t="s">
        <v>8431</v>
      </c>
    </row>
    <row r="829" customFormat="false" ht="15" hidden="false" customHeight="false" outlineLevel="0" collapsed="false">
      <c r="A829" s="0" t="n">
        <v>38</v>
      </c>
      <c r="B829" s="0" t="s">
        <v>79</v>
      </c>
      <c r="C829" s="0" t="s">
        <v>8432</v>
      </c>
      <c r="D829" s="0" t="s">
        <v>6416</v>
      </c>
      <c r="E829" s="0" t="s">
        <v>8433</v>
      </c>
      <c r="F829" s="0" t="n">
        <v>5907</v>
      </c>
      <c r="G829" s="0" t="s">
        <v>277</v>
      </c>
      <c r="H829" s="0" t="s">
        <v>293</v>
      </c>
      <c r="I829" s="0" t="s">
        <v>8434</v>
      </c>
    </row>
    <row r="830" customFormat="false" ht="15" hidden="false" customHeight="false" outlineLevel="0" collapsed="false">
      <c r="A830" s="0" t="n">
        <v>38</v>
      </c>
      <c r="B830" s="0" t="s">
        <v>79</v>
      </c>
      <c r="C830" s="0" t="s">
        <v>8435</v>
      </c>
      <c r="D830" s="0" t="s">
        <v>6416</v>
      </c>
      <c r="E830" s="0" t="s">
        <v>8436</v>
      </c>
      <c r="F830" s="0" t="n">
        <v>5546</v>
      </c>
      <c r="G830" s="0" t="s">
        <v>277</v>
      </c>
      <c r="H830" s="0" t="s">
        <v>293</v>
      </c>
      <c r="I830" s="0" t="s">
        <v>8437</v>
      </c>
    </row>
    <row r="831" customFormat="false" ht="15" hidden="false" customHeight="false" outlineLevel="0" collapsed="false">
      <c r="A831" s="0" t="n">
        <v>38</v>
      </c>
      <c r="B831" s="0" t="s">
        <v>79</v>
      </c>
      <c r="C831" s="0" t="s">
        <v>8438</v>
      </c>
      <c r="D831" s="0" t="s">
        <v>6425</v>
      </c>
      <c r="E831" s="0" t="s">
        <v>8439</v>
      </c>
      <c r="F831" s="0" t="n">
        <v>5463</v>
      </c>
      <c r="G831" s="0" t="s">
        <v>277</v>
      </c>
      <c r="H831" s="0" t="s">
        <v>293</v>
      </c>
      <c r="I831" s="0" t="s">
        <v>8440</v>
      </c>
    </row>
    <row r="832" customFormat="false" ht="15" hidden="false" customHeight="false" outlineLevel="0" collapsed="false">
      <c r="A832" s="0" t="n">
        <v>43</v>
      </c>
      <c r="B832" s="0" t="s">
        <v>87</v>
      </c>
      <c r="C832" s="0" t="s">
        <v>8441</v>
      </c>
      <c r="D832" s="0" t="s">
        <v>6416</v>
      </c>
      <c r="E832" s="0" t="s">
        <v>8442</v>
      </c>
      <c r="F832" s="0" t="n">
        <v>716</v>
      </c>
      <c r="G832" s="0" t="s">
        <v>277</v>
      </c>
      <c r="H832" s="0" t="s">
        <v>293</v>
      </c>
      <c r="I832" s="0" t="s">
        <v>8443</v>
      </c>
    </row>
    <row r="833" customFormat="false" ht="15" hidden="false" customHeight="false" outlineLevel="0" collapsed="false">
      <c r="A833" s="0" t="n">
        <v>43</v>
      </c>
      <c r="B833" s="0" t="s">
        <v>87</v>
      </c>
      <c r="C833" s="0" t="s">
        <v>8444</v>
      </c>
      <c r="D833" s="0" t="s">
        <v>6416</v>
      </c>
      <c r="E833" s="0" t="s">
        <v>8445</v>
      </c>
      <c r="F833" s="0" t="n">
        <v>597</v>
      </c>
      <c r="G833" s="0" t="s">
        <v>277</v>
      </c>
      <c r="H833" s="0" t="s">
        <v>293</v>
      </c>
      <c r="I833" s="0" t="s">
        <v>8446</v>
      </c>
    </row>
    <row r="834" customFormat="false" ht="15" hidden="false" customHeight="false" outlineLevel="0" collapsed="false">
      <c r="A834" s="0" t="n">
        <v>45</v>
      </c>
      <c r="B834" s="0" t="s">
        <v>90</v>
      </c>
      <c r="C834" s="0" t="s">
        <v>8447</v>
      </c>
      <c r="D834" s="0" t="s">
        <v>6416</v>
      </c>
      <c r="E834" s="0" t="s">
        <v>8448</v>
      </c>
      <c r="F834" s="0" t="n">
        <v>17545</v>
      </c>
      <c r="G834" s="0" t="s">
        <v>277</v>
      </c>
      <c r="H834" s="0" t="s">
        <v>293</v>
      </c>
      <c r="I834" s="0" t="s">
        <v>8449</v>
      </c>
    </row>
    <row r="835" customFormat="false" ht="15" hidden="false" customHeight="false" outlineLevel="0" collapsed="false">
      <c r="A835" s="0" t="n">
        <v>43</v>
      </c>
      <c r="B835" s="0" t="s">
        <v>87</v>
      </c>
      <c r="C835" s="0" t="s">
        <v>8450</v>
      </c>
      <c r="D835" s="0" t="s">
        <v>6416</v>
      </c>
      <c r="E835" s="0" t="s">
        <v>8451</v>
      </c>
      <c r="F835" s="0" t="n">
        <v>2576</v>
      </c>
      <c r="G835" s="0" t="s">
        <v>277</v>
      </c>
      <c r="H835" s="0" t="s">
        <v>293</v>
      </c>
      <c r="I835" s="0" t="s">
        <v>8452</v>
      </c>
    </row>
    <row r="836" customFormat="false" ht="15" hidden="false" customHeight="false" outlineLevel="0" collapsed="false">
      <c r="A836" s="0" t="n">
        <v>43</v>
      </c>
      <c r="B836" s="0" t="s">
        <v>87</v>
      </c>
      <c r="C836" s="0" t="s">
        <v>8453</v>
      </c>
      <c r="D836" s="0" t="s">
        <v>6425</v>
      </c>
      <c r="E836" s="0" t="s">
        <v>8454</v>
      </c>
      <c r="F836" s="0" t="n">
        <v>643</v>
      </c>
      <c r="G836" s="0" t="s">
        <v>277</v>
      </c>
      <c r="H836" s="0" t="s">
        <v>293</v>
      </c>
      <c r="I836" s="0" t="s">
        <v>8455</v>
      </c>
    </row>
    <row r="837" customFormat="false" ht="15" hidden="false" customHeight="false" outlineLevel="0" collapsed="false">
      <c r="A837" s="0" t="n">
        <v>43</v>
      </c>
      <c r="B837" s="0" t="s">
        <v>87</v>
      </c>
      <c r="C837" s="0" t="s">
        <v>8456</v>
      </c>
      <c r="D837" s="0" t="s">
        <v>6425</v>
      </c>
      <c r="E837" s="0" t="s">
        <v>8457</v>
      </c>
      <c r="F837" s="0" t="n">
        <v>477</v>
      </c>
      <c r="G837" s="0" t="s">
        <v>277</v>
      </c>
      <c r="H837" s="0" t="s">
        <v>293</v>
      </c>
      <c r="I837" s="0" t="s">
        <v>8458</v>
      </c>
    </row>
    <row r="838" customFormat="false" ht="15" hidden="false" customHeight="false" outlineLevel="0" collapsed="false">
      <c r="A838" s="0" t="n">
        <v>43</v>
      </c>
      <c r="B838" s="0" t="s">
        <v>87</v>
      </c>
      <c r="C838" s="0" t="s">
        <v>8459</v>
      </c>
      <c r="D838" s="0" t="s">
        <v>6416</v>
      </c>
      <c r="E838" s="0" t="s">
        <v>8460</v>
      </c>
      <c r="F838" s="0" t="n">
        <v>1058</v>
      </c>
      <c r="G838" s="0" t="s">
        <v>277</v>
      </c>
      <c r="H838" s="0" t="s">
        <v>293</v>
      </c>
      <c r="I838" s="0" t="s">
        <v>8461</v>
      </c>
    </row>
    <row r="839" customFormat="false" ht="15" hidden="false" customHeight="false" outlineLevel="0" collapsed="false">
      <c r="A839" s="0" t="n">
        <v>43</v>
      </c>
      <c r="B839" s="0" t="s">
        <v>87</v>
      </c>
      <c r="C839" s="0" t="s">
        <v>8462</v>
      </c>
      <c r="D839" s="0" t="s">
        <v>6416</v>
      </c>
      <c r="E839" s="0" t="s">
        <v>8463</v>
      </c>
      <c r="F839" s="0" t="n">
        <v>1099</v>
      </c>
      <c r="G839" s="0" t="s">
        <v>277</v>
      </c>
      <c r="H839" s="0" t="s">
        <v>293</v>
      </c>
      <c r="I839" s="0" t="s">
        <v>8464</v>
      </c>
    </row>
    <row r="840" customFormat="false" ht="15" hidden="false" customHeight="false" outlineLevel="0" collapsed="false">
      <c r="A840" s="0" t="n">
        <v>43</v>
      </c>
      <c r="B840" s="0" t="s">
        <v>87</v>
      </c>
      <c r="C840" s="0" t="s">
        <v>8465</v>
      </c>
      <c r="D840" s="0" t="s">
        <v>6425</v>
      </c>
      <c r="E840" s="0" t="s">
        <v>8466</v>
      </c>
      <c r="F840" s="0" t="n">
        <v>553</v>
      </c>
      <c r="G840" s="0" t="s">
        <v>277</v>
      </c>
      <c r="H840" s="0" t="s">
        <v>293</v>
      </c>
      <c r="I840" s="0" t="s">
        <v>8467</v>
      </c>
    </row>
    <row r="841" customFormat="false" ht="15" hidden="false" customHeight="false" outlineLevel="0" collapsed="false">
      <c r="A841" s="0" t="n">
        <v>43</v>
      </c>
      <c r="B841" s="0" t="s">
        <v>87</v>
      </c>
      <c r="C841" s="0" t="s">
        <v>8468</v>
      </c>
      <c r="D841" s="0" t="s">
        <v>6416</v>
      </c>
      <c r="E841" s="0" t="s">
        <v>8469</v>
      </c>
      <c r="F841" s="0" t="n">
        <v>1119</v>
      </c>
      <c r="G841" s="0" t="s">
        <v>277</v>
      </c>
      <c r="H841" s="0" t="s">
        <v>293</v>
      </c>
      <c r="I841" s="0" t="s">
        <v>8470</v>
      </c>
    </row>
    <row r="842" customFormat="false" ht="15" hidden="false" customHeight="false" outlineLevel="0" collapsed="false">
      <c r="A842" s="0" t="n">
        <v>43</v>
      </c>
      <c r="B842" s="0" t="s">
        <v>87</v>
      </c>
      <c r="C842" s="0" t="s">
        <v>8471</v>
      </c>
      <c r="D842" s="0" t="s">
        <v>6416</v>
      </c>
      <c r="E842" s="0" t="s">
        <v>8472</v>
      </c>
      <c r="F842" s="0" t="n">
        <v>975</v>
      </c>
      <c r="G842" s="0" t="s">
        <v>277</v>
      </c>
      <c r="H842" s="0" t="s">
        <v>293</v>
      </c>
      <c r="I842" s="0" t="s">
        <v>8473</v>
      </c>
    </row>
    <row r="843" customFormat="false" ht="15" hidden="false" customHeight="false" outlineLevel="0" collapsed="false">
      <c r="A843" s="0" t="n">
        <v>43</v>
      </c>
      <c r="B843" s="0" t="s">
        <v>87</v>
      </c>
      <c r="C843" s="0" t="s">
        <v>8474</v>
      </c>
      <c r="D843" s="0" t="s">
        <v>6560</v>
      </c>
      <c r="E843" s="0" t="s">
        <v>8475</v>
      </c>
      <c r="F843" s="0" t="n">
        <v>1079</v>
      </c>
      <c r="G843" s="0" t="s">
        <v>277</v>
      </c>
      <c r="H843" s="0" t="s">
        <v>293</v>
      </c>
      <c r="I843" s="0" t="s">
        <v>8476</v>
      </c>
    </row>
    <row r="844" customFormat="false" ht="15" hidden="false" customHeight="false" outlineLevel="0" collapsed="false">
      <c r="A844" s="0" t="n">
        <v>43</v>
      </c>
      <c r="B844" s="0" t="s">
        <v>87</v>
      </c>
      <c r="C844" s="0" t="s">
        <v>8477</v>
      </c>
      <c r="D844" s="0" t="s">
        <v>91</v>
      </c>
      <c r="E844" s="0" t="s">
        <v>8478</v>
      </c>
      <c r="F844" s="0" t="n">
        <v>1363</v>
      </c>
      <c r="G844" s="0" t="s">
        <v>277</v>
      </c>
      <c r="H844" s="0" t="s">
        <v>293</v>
      </c>
      <c r="I844" s="0" t="s">
        <v>8479</v>
      </c>
    </row>
    <row r="845" customFormat="false" ht="15" hidden="false" customHeight="false" outlineLevel="0" collapsed="false">
      <c r="A845" s="0" t="n">
        <v>43</v>
      </c>
      <c r="B845" s="0" t="s">
        <v>87</v>
      </c>
      <c r="C845" s="0" t="s">
        <v>8480</v>
      </c>
      <c r="D845" s="0" t="s">
        <v>6560</v>
      </c>
      <c r="E845" s="0" t="s">
        <v>8481</v>
      </c>
      <c r="F845" s="0" t="n">
        <v>404</v>
      </c>
      <c r="G845" s="0" t="s">
        <v>277</v>
      </c>
      <c r="H845" s="0" t="s">
        <v>293</v>
      </c>
      <c r="I845" s="0" t="s">
        <v>8482</v>
      </c>
    </row>
    <row r="846" customFormat="false" ht="15" hidden="false" customHeight="false" outlineLevel="0" collapsed="false">
      <c r="A846" s="0" t="n">
        <v>43</v>
      </c>
      <c r="B846" s="0" t="s">
        <v>87</v>
      </c>
      <c r="C846" s="0" t="s">
        <v>8483</v>
      </c>
      <c r="D846" s="0" t="s">
        <v>6416</v>
      </c>
      <c r="E846" s="0" t="s">
        <v>8484</v>
      </c>
      <c r="F846" s="0" t="n">
        <v>724</v>
      </c>
      <c r="G846" s="0" t="s">
        <v>277</v>
      </c>
      <c r="H846" s="0" t="s">
        <v>293</v>
      </c>
      <c r="I846" s="0" t="s">
        <v>8485</v>
      </c>
    </row>
    <row r="847" customFormat="false" ht="15" hidden="false" customHeight="false" outlineLevel="0" collapsed="false">
      <c r="A847" s="0" t="n">
        <v>43</v>
      </c>
      <c r="B847" s="0" t="s">
        <v>87</v>
      </c>
      <c r="C847" s="0" t="s">
        <v>8486</v>
      </c>
      <c r="D847" s="0" t="s">
        <v>6416</v>
      </c>
      <c r="E847" s="0" t="s">
        <v>8487</v>
      </c>
      <c r="F847" s="0" t="n">
        <v>1047</v>
      </c>
      <c r="G847" s="0" t="s">
        <v>277</v>
      </c>
      <c r="H847" s="0" t="s">
        <v>293</v>
      </c>
      <c r="I847" s="0" t="s">
        <v>8488</v>
      </c>
    </row>
    <row r="848" customFormat="false" ht="15" hidden="false" customHeight="false" outlineLevel="0" collapsed="false">
      <c r="A848" s="0" t="n">
        <v>43</v>
      </c>
      <c r="B848" s="0" t="s">
        <v>87</v>
      </c>
      <c r="C848" s="0" t="s">
        <v>8489</v>
      </c>
      <c r="D848" s="0" t="s">
        <v>6560</v>
      </c>
      <c r="E848" s="0" t="s">
        <v>8490</v>
      </c>
      <c r="F848" s="0" t="n">
        <v>308</v>
      </c>
      <c r="G848" s="0" t="s">
        <v>277</v>
      </c>
      <c r="H848" s="0" t="s">
        <v>293</v>
      </c>
      <c r="I848" s="0" t="s">
        <v>8491</v>
      </c>
    </row>
    <row r="849" customFormat="false" ht="15" hidden="false" customHeight="false" outlineLevel="0" collapsed="false">
      <c r="A849" s="0" t="n">
        <v>43</v>
      </c>
      <c r="B849" s="0" t="s">
        <v>87</v>
      </c>
      <c r="C849" s="0" t="s">
        <v>8492</v>
      </c>
      <c r="D849" s="0" t="s">
        <v>6416</v>
      </c>
      <c r="E849" s="0" t="s">
        <v>8493</v>
      </c>
      <c r="F849" s="0" t="n">
        <v>1103</v>
      </c>
      <c r="G849" s="0" t="s">
        <v>277</v>
      </c>
      <c r="H849" s="0" t="s">
        <v>293</v>
      </c>
      <c r="I849" s="0" t="s">
        <v>8494</v>
      </c>
    </row>
    <row r="850" customFormat="false" ht="15" hidden="false" customHeight="false" outlineLevel="0" collapsed="false">
      <c r="A850" s="0" t="n">
        <v>43</v>
      </c>
      <c r="B850" s="0" t="s">
        <v>87</v>
      </c>
      <c r="C850" s="0" t="s">
        <v>8495</v>
      </c>
      <c r="D850" s="0" t="s">
        <v>6425</v>
      </c>
      <c r="E850" s="0" t="s">
        <v>8496</v>
      </c>
      <c r="F850" s="0" t="n">
        <v>840</v>
      </c>
      <c r="G850" s="0" t="s">
        <v>277</v>
      </c>
      <c r="H850" s="0" t="s">
        <v>293</v>
      </c>
      <c r="I850" s="0" t="s">
        <v>8497</v>
      </c>
    </row>
    <row r="851" customFormat="false" ht="15" hidden="false" customHeight="false" outlineLevel="0" collapsed="false">
      <c r="A851" s="0" t="n">
        <v>43</v>
      </c>
      <c r="B851" s="0" t="s">
        <v>87</v>
      </c>
      <c r="C851" s="0" t="s">
        <v>8498</v>
      </c>
      <c r="D851" s="0" t="s">
        <v>6425</v>
      </c>
      <c r="E851" s="0" t="s">
        <v>8499</v>
      </c>
      <c r="F851" s="0" t="n">
        <v>719</v>
      </c>
      <c r="G851" s="0" t="s">
        <v>277</v>
      </c>
      <c r="H851" s="0" t="s">
        <v>293</v>
      </c>
      <c r="I851" s="0" t="s">
        <v>8500</v>
      </c>
    </row>
    <row r="852" customFormat="false" ht="15" hidden="false" customHeight="false" outlineLevel="0" collapsed="false">
      <c r="A852" s="0" t="n">
        <v>43</v>
      </c>
      <c r="B852" s="0" t="s">
        <v>87</v>
      </c>
      <c r="C852" s="0" t="s">
        <v>8501</v>
      </c>
      <c r="D852" s="0" t="s">
        <v>6425</v>
      </c>
      <c r="E852" s="0" t="s">
        <v>8502</v>
      </c>
      <c r="F852" s="0" t="n">
        <v>682</v>
      </c>
      <c r="G852" s="0" t="s">
        <v>277</v>
      </c>
      <c r="H852" s="0" t="s">
        <v>293</v>
      </c>
      <c r="I852" s="0" t="s">
        <v>8503</v>
      </c>
    </row>
    <row r="853" customFormat="false" ht="15" hidden="false" customHeight="false" outlineLevel="0" collapsed="false">
      <c r="A853" s="0" t="n">
        <v>43</v>
      </c>
      <c r="B853" s="0" t="s">
        <v>87</v>
      </c>
      <c r="C853" s="0" t="s">
        <v>8504</v>
      </c>
      <c r="D853" s="0" t="s">
        <v>6416</v>
      </c>
      <c r="E853" s="0" t="s">
        <v>8505</v>
      </c>
      <c r="F853" s="0" t="n">
        <v>277</v>
      </c>
      <c r="G853" s="0" t="s">
        <v>277</v>
      </c>
      <c r="H853" s="0" t="s">
        <v>293</v>
      </c>
      <c r="I853" s="0" t="s">
        <v>8506</v>
      </c>
    </row>
    <row r="854" customFormat="false" ht="15" hidden="false" customHeight="false" outlineLevel="0" collapsed="false">
      <c r="A854" s="0" t="n">
        <v>43</v>
      </c>
      <c r="B854" s="0" t="s">
        <v>87</v>
      </c>
      <c r="C854" s="0" t="s">
        <v>8507</v>
      </c>
      <c r="D854" s="0" t="s">
        <v>6560</v>
      </c>
      <c r="E854" s="0" t="s">
        <v>8508</v>
      </c>
      <c r="F854" s="0" t="n">
        <v>223</v>
      </c>
      <c r="G854" s="0" t="s">
        <v>277</v>
      </c>
      <c r="H854" s="0" t="s">
        <v>293</v>
      </c>
      <c r="I854" s="0" t="s">
        <v>8509</v>
      </c>
    </row>
    <row r="855" customFormat="false" ht="15" hidden="false" customHeight="false" outlineLevel="0" collapsed="false">
      <c r="A855" s="0" t="n">
        <v>43</v>
      </c>
      <c r="B855" s="0" t="s">
        <v>87</v>
      </c>
      <c r="C855" s="0" t="s">
        <v>8510</v>
      </c>
      <c r="D855" s="0" t="s">
        <v>6416</v>
      </c>
      <c r="E855" s="0" t="s">
        <v>8511</v>
      </c>
      <c r="F855" s="0" t="n">
        <v>4331</v>
      </c>
      <c r="G855" s="0" t="s">
        <v>277</v>
      </c>
      <c r="H855" s="0" t="s">
        <v>293</v>
      </c>
      <c r="I855" s="0" t="s">
        <v>8512</v>
      </c>
    </row>
    <row r="856" customFormat="false" ht="15" hidden="false" customHeight="false" outlineLevel="0" collapsed="false">
      <c r="A856" s="0" t="n">
        <v>44</v>
      </c>
      <c r="B856" s="0" t="s">
        <v>88</v>
      </c>
      <c r="C856" s="0" t="s">
        <v>8513</v>
      </c>
      <c r="D856" s="0" t="s">
        <v>6416</v>
      </c>
      <c r="E856" s="0" t="s">
        <v>8514</v>
      </c>
      <c r="F856" s="0" t="n">
        <v>1900</v>
      </c>
      <c r="G856" s="0" t="s">
        <v>277</v>
      </c>
      <c r="H856" s="0" t="s">
        <v>293</v>
      </c>
      <c r="I856" s="0" t="s">
        <v>8515</v>
      </c>
    </row>
    <row r="857" customFormat="false" ht="15" hidden="false" customHeight="false" outlineLevel="0" collapsed="false">
      <c r="A857" s="0" t="n">
        <v>43</v>
      </c>
      <c r="B857" s="0" t="s">
        <v>87</v>
      </c>
      <c r="C857" s="0" t="s">
        <v>8516</v>
      </c>
      <c r="D857" s="0" t="s">
        <v>6416</v>
      </c>
      <c r="E857" s="0" t="s">
        <v>8517</v>
      </c>
      <c r="F857" s="0" t="n">
        <v>20984</v>
      </c>
      <c r="G857" s="0" t="s">
        <v>277</v>
      </c>
      <c r="H857" s="0" t="s">
        <v>293</v>
      </c>
      <c r="I857" s="0" t="s">
        <v>8518</v>
      </c>
    </row>
    <row r="858" customFormat="false" ht="15" hidden="false" customHeight="false" outlineLevel="0" collapsed="false">
      <c r="A858" s="0" t="n">
        <v>44</v>
      </c>
      <c r="B858" s="0" t="s">
        <v>88</v>
      </c>
      <c r="C858" s="0" t="s">
        <v>8519</v>
      </c>
      <c r="D858" s="0" t="s">
        <v>6425</v>
      </c>
      <c r="E858" s="0" t="s">
        <v>8520</v>
      </c>
      <c r="F858" s="0" t="n">
        <v>6333</v>
      </c>
      <c r="G858" s="0" t="s">
        <v>277</v>
      </c>
      <c r="H858" s="0" t="s">
        <v>293</v>
      </c>
      <c r="I858" s="0" t="s">
        <v>8521</v>
      </c>
    </row>
    <row r="859" customFormat="false" ht="15" hidden="false" customHeight="false" outlineLevel="0" collapsed="false">
      <c r="A859" s="0" t="n">
        <v>43</v>
      </c>
      <c r="B859" s="0" t="s">
        <v>87</v>
      </c>
      <c r="C859" s="0" t="s">
        <v>8522</v>
      </c>
      <c r="D859" s="0" t="s">
        <v>6416</v>
      </c>
      <c r="E859" s="0" t="s">
        <v>8523</v>
      </c>
      <c r="F859" s="0" t="n">
        <v>585</v>
      </c>
      <c r="G859" s="0" t="s">
        <v>277</v>
      </c>
      <c r="H859" s="0" t="s">
        <v>293</v>
      </c>
      <c r="I859" s="0" t="s">
        <v>8524</v>
      </c>
    </row>
    <row r="860" customFormat="false" ht="15" hidden="false" customHeight="false" outlineLevel="0" collapsed="false">
      <c r="A860" s="0" t="n">
        <v>44</v>
      </c>
      <c r="B860" s="0" t="s">
        <v>88</v>
      </c>
      <c r="C860" s="0" t="s">
        <v>8525</v>
      </c>
      <c r="D860" s="0" t="s">
        <v>91</v>
      </c>
      <c r="E860" s="0" t="s">
        <v>8526</v>
      </c>
      <c r="F860" s="0" t="n">
        <v>2302</v>
      </c>
      <c r="G860" s="0" t="s">
        <v>277</v>
      </c>
      <c r="H860" s="0" t="s">
        <v>293</v>
      </c>
      <c r="I860" s="0" t="s">
        <v>8527</v>
      </c>
    </row>
    <row r="861" customFormat="false" ht="15" hidden="false" customHeight="false" outlineLevel="0" collapsed="false">
      <c r="A861" s="0" t="n">
        <v>44</v>
      </c>
      <c r="B861" s="0" t="s">
        <v>88</v>
      </c>
      <c r="C861" s="0" t="s">
        <v>8528</v>
      </c>
      <c r="D861" s="0" t="s">
        <v>6560</v>
      </c>
      <c r="E861" s="0" t="s">
        <v>8529</v>
      </c>
      <c r="F861" s="0" t="n">
        <v>2253</v>
      </c>
      <c r="G861" s="0" t="s">
        <v>277</v>
      </c>
      <c r="H861" s="0" t="s">
        <v>293</v>
      </c>
      <c r="I861" s="0" t="s">
        <v>8530</v>
      </c>
    </row>
    <row r="862" customFormat="false" ht="15" hidden="false" customHeight="false" outlineLevel="0" collapsed="false">
      <c r="A862" s="0" t="n">
        <v>43</v>
      </c>
      <c r="B862" s="0" t="s">
        <v>87</v>
      </c>
      <c r="C862" s="0" t="s">
        <v>8531</v>
      </c>
      <c r="D862" s="0" t="s">
        <v>6416</v>
      </c>
      <c r="E862" s="0" t="s">
        <v>8532</v>
      </c>
      <c r="F862" s="0" t="n">
        <v>588</v>
      </c>
      <c r="G862" s="0" t="s">
        <v>277</v>
      </c>
      <c r="H862" s="0" t="s">
        <v>293</v>
      </c>
      <c r="I862" s="0" t="s">
        <v>8533</v>
      </c>
    </row>
    <row r="863" customFormat="false" ht="15" hidden="false" customHeight="false" outlineLevel="0" collapsed="false">
      <c r="A863" s="0" t="n">
        <v>44</v>
      </c>
      <c r="B863" s="0" t="s">
        <v>88</v>
      </c>
      <c r="C863" s="0" t="s">
        <v>8534</v>
      </c>
      <c r="D863" s="0" t="s">
        <v>6416</v>
      </c>
      <c r="E863" s="0" t="s">
        <v>8535</v>
      </c>
      <c r="F863" s="0" t="n">
        <v>5615</v>
      </c>
      <c r="G863" s="0" t="s">
        <v>277</v>
      </c>
      <c r="H863" s="0" t="s">
        <v>293</v>
      </c>
      <c r="I863" s="0" t="s">
        <v>8536</v>
      </c>
    </row>
    <row r="864" customFormat="false" ht="15" hidden="false" customHeight="false" outlineLevel="0" collapsed="false">
      <c r="A864" s="0" t="n">
        <v>43</v>
      </c>
      <c r="B864" s="0" t="s">
        <v>87</v>
      </c>
      <c r="C864" s="0" t="s">
        <v>8537</v>
      </c>
      <c r="D864" s="0" t="s">
        <v>6416</v>
      </c>
      <c r="E864" s="0" t="s">
        <v>8538</v>
      </c>
      <c r="F864" s="0" t="n">
        <v>955</v>
      </c>
      <c r="G864" s="0" t="s">
        <v>277</v>
      </c>
      <c r="H864" s="0" t="s">
        <v>293</v>
      </c>
      <c r="I864" s="0" t="s">
        <v>8539</v>
      </c>
    </row>
    <row r="865" customFormat="false" ht="15" hidden="false" customHeight="false" outlineLevel="0" collapsed="false">
      <c r="A865" s="0" t="n">
        <v>44</v>
      </c>
      <c r="B865" s="0" t="s">
        <v>88</v>
      </c>
      <c r="C865" s="0" t="s">
        <v>8540</v>
      </c>
      <c r="D865" s="0" t="s">
        <v>6416</v>
      </c>
      <c r="E865" s="0" t="s">
        <v>8541</v>
      </c>
      <c r="F865" s="0" t="n">
        <v>12296</v>
      </c>
      <c r="G865" s="0" t="s">
        <v>277</v>
      </c>
      <c r="H865" s="0" t="s">
        <v>293</v>
      </c>
      <c r="I865" s="0" t="s">
        <v>8542</v>
      </c>
    </row>
    <row r="866" customFormat="false" ht="15" hidden="false" customHeight="false" outlineLevel="0" collapsed="false">
      <c r="A866" s="0" t="n">
        <v>43</v>
      </c>
      <c r="B866" s="0" t="s">
        <v>87</v>
      </c>
      <c r="C866" s="0" t="s">
        <v>8543</v>
      </c>
      <c r="D866" s="0" t="s">
        <v>6416</v>
      </c>
      <c r="E866" s="0" t="s">
        <v>8544</v>
      </c>
      <c r="F866" s="0" t="n">
        <v>766</v>
      </c>
      <c r="G866" s="0" t="s">
        <v>277</v>
      </c>
      <c r="H866" s="0" t="s">
        <v>293</v>
      </c>
      <c r="I866" s="0" t="s">
        <v>8545</v>
      </c>
    </row>
    <row r="867" customFormat="false" ht="15" hidden="false" customHeight="false" outlineLevel="0" collapsed="false">
      <c r="A867" s="0" t="n">
        <v>44</v>
      </c>
      <c r="B867" s="0" t="s">
        <v>88</v>
      </c>
      <c r="C867" s="0" t="s">
        <v>8546</v>
      </c>
      <c r="D867" s="0" t="s">
        <v>35</v>
      </c>
      <c r="E867" s="0" t="s">
        <v>8547</v>
      </c>
      <c r="F867" s="0" t="n">
        <v>387</v>
      </c>
      <c r="G867" s="0" t="s">
        <v>277</v>
      </c>
      <c r="H867" s="0" t="s">
        <v>293</v>
      </c>
      <c r="I867" s="0" t="s">
        <v>8548</v>
      </c>
    </row>
    <row r="868" customFormat="false" ht="15" hidden="false" customHeight="false" outlineLevel="0" collapsed="false">
      <c r="A868" s="0" t="n">
        <v>44</v>
      </c>
      <c r="B868" s="0" t="s">
        <v>88</v>
      </c>
      <c r="C868" s="0" t="s">
        <v>8549</v>
      </c>
      <c r="D868" s="0" t="s">
        <v>6416</v>
      </c>
      <c r="E868" s="0" t="s">
        <v>8550</v>
      </c>
      <c r="F868" s="0" t="n">
        <v>3688</v>
      </c>
      <c r="G868" s="0" t="s">
        <v>277</v>
      </c>
      <c r="H868" s="0" t="s">
        <v>293</v>
      </c>
      <c r="I868" s="0" t="s">
        <v>8551</v>
      </c>
    </row>
    <row r="869" customFormat="false" ht="15" hidden="false" customHeight="false" outlineLevel="0" collapsed="false">
      <c r="A869" s="0" t="n">
        <v>43</v>
      </c>
      <c r="B869" s="0" t="s">
        <v>87</v>
      </c>
      <c r="C869" s="0" t="s">
        <v>8552</v>
      </c>
      <c r="D869" s="0" t="s">
        <v>6416</v>
      </c>
      <c r="E869" s="0" t="s">
        <v>8553</v>
      </c>
      <c r="F869" s="0" t="n">
        <v>1399</v>
      </c>
      <c r="G869" s="0" t="s">
        <v>277</v>
      </c>
      <c r="H869" s="0" t="s">
        <v>293</v>
      </c>
      <c r="I869" s="0" t="s">
        <v>8554</v>
      </c>
    </row>
    <row r="870" customFormat="false" ht="15" hidden="false" customHeight="false" outlineLevel="0" collapsed="false">
      <c r="A870" s="0" t="n">
        <v>44</v>
      </c>
      <c r="B870" s="0" t="s">
        <v>88</v>
      </c>
      <c r="C870" s="0" t="s">
        <v>8555</v>
      </c>
      <c r="D870" s="0" t="s">
        <v>6416</v>
      </c>
      <c r="E870" s="0" t="s">
        <v>8556</v>
      </c>
      <c r="F870" s="0" t="n">
        <v>1724</v>
      </c>
      <c r="G870" s="0" t="s">
        <v>277</v>
      </c>
      <c r="H870" s="0" t="s">
        <v>293</v>
      </c>
      <c r="I870" s="0" t="s">
        <v>8557</v>
      </c>
    </row>
    <row r="871" customFormat="false" ht="15" hidden="false" customHeight="false" outlineLevel="0" collapsed="false">
      <c r="A871" s="0" t="n">
        <v>43</v>
      </c>
      <c r="B871" s="0" t="s">
        <v>87</v>
      </c>
      <c r="C871" s="0" t="s">
        <v>8558</v>
      </c>
      <c r="D871" s="0" t="s">
        <v>6416</v>
      </c>
      <c r="E871" s="0" t="s">
        <v>8559</v>
      </c>
      <c r="F871" s="0" t="n">
        <v>1056</v>
      </c>
      <c r="G871" s="0" t="s">
        <v>277</v>
      </c>
      <c r="H871" s="0" t="s">
        <v>293</v>
      </c>
      <c r="I871" s="0" t="s">
        <v>8560</v>
      </c>
    </row>
    <row r="872" customFormat="false" ht="15" hidden="false" customHeight="false" outlineLevel="0" collapsed="false">
      <c r="A872" s="0" t="n">
        <v>44</v>
      </c>
      <c r="B872" s="0" t="s">
        <v>88</v>
      </c>
      <c r="C872" s="0" t="s">
        <v>8561</v>
      </c>
      <c r="D872" s="0" t="s">
        <v>6416</v>
      </c>
      <c r="E872" s="0" t="s">
        <v>8562</v>
      </c>
      <c r="F872" s="0" t="n">
        <v>2926</v>
      </c>
      <c r="G872" s="0" t="s">
        <v>277</v>
      </c>
      <c r="H872" s="0" t="s">
        <v>293</v>
      </c>
      <c r="I872" s="0" t="s">
        <v>8563</v>
      </c>
    </row>
    <row r="873" customFormat="false" ht="15" hidden="false" customHeight="false" outlineLevel="0" collapsed="false">
      <c r="A873" s="0" t="n">
        <v>43</v>
      </c>
      <c r="B873" s="0" t="s">
        <v>87</v>
      </c>
      <c r="C873" s="0" t="s">
        <v>8564</v>
      </c>
      <c r="D873" s="0" t="s">
        <v>6416</v>
      </c>
      <c r="E873" s="0" t="s">
        <v>8565</v>
      </c>
      <c r="F873" s="0" t="n">
        <v>481</v>
      </c>
      <c r="G873" s="0" t="s">
        <v>277</v>
      </c>
      <c r="H873" s="0" t="s">
        <v>293</v>
      </c>
      <c r="I873" s="0" t="s">
        <v>8566</v>
      </c>
    </row>
    <row r="874" customFormat="false" ht="15" hidden="false" customHeight="false" outlineLevel="0" collapsed="false">
      <c r="A874" s="0" t="n">
        <v>44</v>
      </c>
      <c r="B874" s="0" t="s">
        <v>88</v>
      </c>
      <c r="C874" s="0" t="s">
        <v>8567</v>
      </c>
      <c r="D874" s="0" t="s">
        <v>6416</v>
      </c>
      <c r="E874" s="0" t="s">
        <v>8568</v>
      </c>
      <c r="F874" s="0" t="n">
        <v>1390</v>
      </c>
      <c r="G874" s="0" t="s">
        <v>277</v>
      </c>
      <c r="H874" s="0" t="s">
        <v>293</v>
      </c>
      <c r="I874" s="0" t="s">
        <v>8569</v>
      </c>
    </row>
    <row r="875" customFormat="false" ht="15" hidden="false" customHeight="false" outlineLevel="0" collapsed="false">
      <c r="A875" s="0" t="n">
        <v>43</v>
      </c>
      <c r="B875" s="0" t="s">
        <v>87</v>
      </c>
      <c r="C875" s="0" t="s">
        <v>8570</v>
      </c>
      <c r="D875" s="0" t="s">
        <v>6416</v>
      </c>
      <c r="E875" s="0" t="s">
        <v>8571</v>
      </c>
      <c r="F875" s="0" t="n">
        <v>1094</v>
      </c>
      <c r="G875" s="0" t="s">
        <v>277</v>
      </c>
      <c r="H875" s="0" t="s">
        <v>293</v>
      </c>
      <c r="I875" s="0" t="s">
        <v>8572</v>
      </c>
    </row>
    <row r="876" customFormat="false" ht="15" hidden="false" customHeight="false" outlineLevel="0" collapsed="false">
      <c r="A876" s="0" t="n">
        <v>44</v>
      </c>
      <c r="B876" s="0" t="s">
        <v>88</v>
      </c>
      <c r="C876" s="0" t="s">
        <v>8573</v>
      </c>
      <c r="D876" s="0" t="s">
        <v>35</v>
      </c>
      <c r="E876" s="0" t="s">
        <v>8574</v>
      </c>
      <c r="F876" s="0" t="n">
        <v>2099</v>
      </c>
      <c r="G876" s="0" t="s">
        <v>277</v>
      </c>
      <c r="H876" s="0" t="s">
        <v>293</v>
      </c>
      <c r="I876" s="0" t="s">
        <v>8575</v>
      </c>
    </row>
    <row r="877" customFormat="false" ht="15" hidden="false" customHeight="false" outlineLevel="0" collapsed="false">
      <c r="A877" s="0" t="n">
        <v>43</v>
      </c>
      <c r="B877" s="0" t="s">
        <v>87</v>
      </c>
      <c r="C877" s="0" t="s">
        <v>8576</v>
      </c>
      <c r="D877" s="0" t="s">
        <v>6425</v>
      </c>
      <c r="E877" s="0" t="s">
        <v>8577</v>
      </c>
      <c r="F877" s="0" t="n">
        <v>398</v>
      </c>
      <c r="G877" s="0" t="s">
        <v>277</v>
      </c>
      <c r="H877" s="0" t="s">
        <v>293</v>
      </c>
      <c r="I877" s="0" t="s">
        <v>8578</v>
      </c>
    </row>
    <row r="878" customFormat="false" ht="15" hidden="false" customHeight="false" outlineLevel="0" collapsed="false">
      <c r="A878" s="0" t="n">
        <v>44</v>
      </c>
      <c r="B878" s="0" t="s">
        <v>88</v>
      </c>
      <c r="C878" s="0" t="s">
        <v>8579</v>
      </c>
      <c r="D878" s="0" t="s">
        <v>6416</v>
      </c>
      <c r="E878" s="0" t="s">
        <v>8580</v>
      </c>
      <c r="F878" s="0" t="n">
        <v>3173</v>
      </c>
      <c r="G878" s="0" t="s">
        <v>277</v>
      </c>
      <c r="H878" s="0" t="s">
        <v>293</v>
      </c>
      <c r="I878" s="0" t="s">
        <v>8581</v>
      </c>
    </row>
    <row r="879" customFormat="false" ht="15" hidden="false" customHeight="false" outlineLevel="0" collapsed="false">
      <c r="A879" s="0" t="n">
        <v>43</v>
      </c>
      <c r="B879" s="0" t="s">
        <v>87</v>
      </c>
      <c r="C879" s="0" t="s">
        <v>8582</v>
      </c>
      <c r="D879" s="0" t="s">
        <v>6416</v>
      </c>
      <c r="E879" s="0" t="s">
        <v>8583</v>
      </c>
      <c r="F879" s="0" t="n">
        <v>1718</v>
      </c>
      <c r="G879" s="0" t="s">
        <v>277</v>
      </c>
      <c r="H879" s="0" t="s">
        <v>293</v>
      </c>
      <c r="I879" s="0" t="s">
        <v>8584</v>
      </c>
    </row>
    <row r="880" customFormat="false" ht="15" hidden="false" customHeight="false" outlineLevel="0" collapsed="false">
      <c r="A880" s="0" t="n">
        <v>44</v>
      </c>
      <c r="B880" s="0" t="s">
        <v>88</v>
      </c>
      <c r="C880" s="0" t="s">
        <v>8585</v>
      </c>
      <c r="D880" s="0" t="s">
        <v>6416</v>
      </c>
      <c r="E880" s="0" t="s">
        <v>8586</v>
      </c>
      <c r="F880" s="0" t="n">
        <v>14434</v>
      </c>
      <c r="G880" s="0" t="s">
        <v>277</v>
      </c>
      <c r="H880" s="0" t="s">
        <v>293</v>
      </c>
      <c r="I880" s="0" t="s">
        <v>8587</v>
      </c>
    </row>
    <row r="881" customFormat="false" ht="15" hidden="false" customHeight="false" outlineLevel="0" collapsed="false">
      <c r="A881" s="0" t="n">
        <v>43</v>
      </c>
      <c r="B881" s="0" t="s">
        <v>87</v>
      </c>
      <c r="C881" s="0" t="s">
        <v>8588</v>
      </c>
      <c r="D881" s="0" t="s">
        <v>6416</v>
      </c>
      <c r="E881" s="0" t="s">
        <v>8589</v>
      </c>
      <c r="F881" s="0" t="n">
        <v>1430</v>
      </c>
      <c r="G881" s="0" t="s">
        <v>277</v>
      </c>
      <c r="H881" s="0" t="s">
        <v>293</v>
      </c>
      <c r="I881" s="0" t="s">
        <v>8590</v>
      </c>
    </row>
    <row r="882" customFormat="false" ht="15" hidden="false" customHeight="false" outlineLevel="0" collapsed="false">
      <c r="A882" s="0" t="n">
        <v>44</v>
      </c>
      <c r="B882" s="0" t="s">
        <v>88</v>
      </c>
      <c r="C882" s="0" t="s">
        <v>8591</v>
      </c>
      <c r="D882" s="0" t="s">
        <v>6416</v>
      </c>
      <c r="E882" s="0" t="s">
        <v>8592</v>
      </c>
      <c r="F882" s="0" t="n">
        <v>7985</v>
      </c>
      <c r="G882" s="0" t="s">
        <v>277</v>
      </c>
      <c r="H882" s="0" t="s">
        <v>293</v>
      </c>
      <c r="I882" s="0" t="s">
        <v>8593</v>
      </c>
    </row>
    <row r="883" customFormat="false" ht="15" hidden="false" customHeight="false" outlineLevel="0" collapsed="false">
      <c r="A883" s="0" t="n">
        <v>44</v>
      </c>
      <c r="B883" s="0" t="s">
        <v>88</v>
      </c>
      <c r="C883" s="0" t="s">
        <v>8594</v>
      </c>
      <c r="D883" s="0" t="s">
        <v>35</v>
      </c>
      <c r="E883" s="0" t="s">
        <v>8595</v>
      </c>
      <c r="F883" s="0" t="n">
        <v>590</v>
      </c>
      <c r="G883" s="0" t="s">
        <v>277</v>
      </c>
      <c r="H883" s="0" t="s">
        <v>293</v>
      </c>
      <c r="I883" s="0" t="s">
        <v>8596</v>
      </c>
    </row>
    <row r="884" customFormat="false" ht="15" hidden="false" customHeight="false" outlineLevel="0" collapsed="false">
      <c r="A884" s="0" t="n">
        <v>43</v>
      </c>
      <c r="B884" s="0" t="s">
        <v>87</v>
      </c>
      <c r="C884" s="0" t="s">
        <v>8597</v>
      </c>
      <c r="D884" s="0" t="s">
        <v>6416</v>
      </c>
      <c r="E884" s="0" t="s">
        <v>8598</v>
      </c>
      <c r="F884" s="0" t="n">
        <v>1624</v>
      </c>
      <c r="G884" s="0" t="s">
        <v>277</v>
      </c>
      <c r="H884" s="0" t="s">
        <v>293</v>
      </c>
      <c r="I884" s="0" t="s">
        <v>8599</v>
      </c>
    </row>
    <row r="885" customFormat="false" ht="15" hidden="false" customHeight="false" outlineLevel="0" collapsed="false">
      <c r="A885" s="0" t="n">
        <v>44</v>
      </c>
      <c r="B885" s="0" t="s">
        <v>88</v>
      </c>
      <c r="C885" s="0" t="s">
        <v>8600</v>
      </c>
      <c r="D885" s="0" t="s">
        <v>91</v>
      </c>
      <c r="E885" s="0" t="s">
        <v>8601</v>
      </c>
      <c r="F885" s="0" t="n">
        <v>1853</v>
      </c>
      <c r="G885" s="0" t="s">
        <v>277</v>
      </c>
      <c r="H885" s="0" t="s">
        <v>293</v>
      </c>
      <c r="I885" s="0" t="s">
        <v>8602</v>
      </c>
    </row>
    <row r="886" customFormat="false" ht="15" hidden="false" customHeight="false" outlineLevel="0" collapsed="false">
      <c r="A886" s="0" t="n">
        <v>44</v>
      </c>
      <c r="B886" s="0" t="s">
        <v>88</v>
      </c>
      <c r="C886" s="0" t="s">
        <v>8603</v>
      </c>
      <c r="D886" s="0" t="s">
        <v>6416</v>
      </c>
      <c r="E886" s="0" t="s">
        <v>8604</v>
      </c>
      <c r="F886" s="0" t="n">
        <v>1614</v>
      </c>
      <c r="G886" s="0" t="s">
        <v>277</v>
      </c>
      <c r="H886" s="0" t="s">
        <v>293</v>
      </c>
      <c r="I886" s="0" t="s">
        <v>8605</v>
      </c>
    </row>
    <row r="887" customFormat="false" ht="15" hidden="false" customHeight="false" outlineLevel="0" collapsed="false">
      <c r="A887" s="0" t="n">
        <v>43</v>
      </c>
      <c r="B887" s="0" t="s">
        <v>87</v>
      </c>
      <c r="C887" s="0" t="s">
        <v>8606</v>
      </c>
      <c r="D887" s="0" t="s">
        <v>6416</v>
      </c>
      <c r="E887" s="0" t="s">
        <v>8607</v>
      </c>
      <c r="F887" s="0" t="n">
        <v>285</v>
      </c>
      <c r="G887" s="0" t="s">
        <v>277</v>
      </c>
      <c r="H887" s="0" t="s">
        <v>293</v>
      </c>
      <c r="I887" s="0" t="s">
        <v>8608</v>
      </c>
    </row>
    <row r="888" customFormat="false" ht="15" hidden="false" customHeight="false" outlineLevel="0" collapsed="false">
      <c r="A888" s="0" t="n">
        <v>44</v>
      </c>
      <c r="B888" s="0" t="s">
        <v>88</v>
      </c>
      <c r="C888" s="0" t="s">
        <v>8609</v>
      </c>
      <c r="D888" s="0" t="s">
        <v>6416</v>
      </c>
      <c r="E888" s="0" t="s">
        <v>8610</v>
      </c>
      <c r="F888" s="0" t="n">
        <v>1868</v>
      </c>
      <c r="G888" s="0" t="s">
        <v>277</v>
      </c>
      <c r="H888" s="0" t="s">
        <v>293</v>
      </c>
      <c r="I888" s="0" t="s">
        <v>8611</v>
      </c>
    </row>
    <row r="889" customFormat="false" ht="15" hidden="false" customHeight="false" outlineLevel="0" collapsed="false">
      <c r="A889" s="0" t="n">
        <v>43</v>
      </c>
      <c r="B889" s="0" t="s">
        <v>87</v>
      </c>
      <c r="C889" s="0" t="s">
        <v>8612</v>
      </c>
      <c r="D889" s="0" t="s">
        <v>6425</v>
      </c>
      <c r="E889" s="0" t="s">
        <v>8613</v>
      </c>
      <c r="F889" s="0" t="n">
        <v>563</v>
      </c>
      <c r="G889" s="0" t="s">
        <v>277</v>
      </c>
      <c r="H889" s="0" t="s">
        <v>293</v>
      </c>
      <c r="I889" s="0" t="s">
        <v>8614</v>
      </c>
    </row>
    <row r="890" customFormat="false" ht="15" hidden="false" customHeight="false" outlineLevel="0" collapsed="false">
      <c r="A890" s="0" t="n">
        <v>44</v>
      </c>
      <c r="B890" s="0" t="s">
        <v>88</v>
      </c>
      <c r="C890" s="0" t="s">
        <v>8615</v>
      </c>
      <c r="D890" s="0" t="s">
        <v>6416</v>
      </c>
      <c r="E890" s="0" t="s">
        <v>8616</v>
      </c>
      <c r="F890" s="0" t="n">
        <v>537</v>
      </c>
      <c r="G890" s="0" t="s">
        <v>277</v>
      </c>
      <c r="H890" s="0" t="s">
        <v>293</v>
      </c>
      <c r="I890" s="0" t="s">
        <v>8617</v>
      </c>
    </row>
    <row r="891" customFormat="false" ht="15" hidden="false" customHeight="false" outlineLevel="0" collapsed="false">
      <c r="A891" s="0" t="n">
        <v>44</v>
      </c>
      <c r="B891" s="0" t="s">
        <v>88</v>
      </c>
      <c r="C891" s="0" t="s">
        <v>8618</v>
      </c>
      <c r="D891" s="0" t="s">
        <v>6416</v>
      </c>
      <c r="E891" s="0" t="s">
        <v>8619</v>
      </c>
      <c r="F891" s="0" t="n">
        <v>2234</v>
      </c>
      <c r="G891" s="0" t="s">
        <v>277</v>
      </c>
      <c r="H891" s="0" t="s">
        <v>293</v>
      </c>
      <c r="I891" s="0" t="s">
        <v>8620</v>
      </c>
    </row>
    <row r="892" customFormat="false" ht="15" hidden="false" customHeight="false" outlineLevel="0" collapsed="false">
      <c r="A892" s="0" t="n">
        <v>43</v>
      </c>
      <c r="B892" s="0" t="s">
        <v>87</v>
      </c>
      <c r="C892" s="0" t="s">
        <v>8621</v>
      </c>
      <c r="D892" s="0" t="s">
        <v>6560</v>
      </c>
      <c r="E892" s="0" t="s">
        <v>8475</v>
      </c>
      <c r="F892" s="0" t="n">
        <v>1079</v>
      </c>
      <c r="G892" s="0" t="s">
        <v>277</v>
      </c>
      <c r="H892" s="0" t="s">
        <v>293</v>
      </c>
      <c r="I892" s="0" t="s">
        <v>8476</v>
      </c>
    </row>
    <row r="893" customFormat="false" ht="15" hidden="false" customHeight="false" outlineLevel="0" collapsed="false">
      <c r="A893" s="0" t="n">
        <v>44</v>
      </c>
      <c r="B893" s="0" t="s">
        <v>88</v>
      </c>
      <c r="C893" s="0" t="s">
        <v>8622</v>
      </c>
      <c r="D893" s="0" t="s">
        <v>6416</v>
      </c>
      <c r="E893" s="0" t="s">
        <v>8623</v>
      </c>
      <c r="F893" s="0" t="n">
        <v>3391</v>
      </c>
      <c r="G893" s="0" t="s">
        <v>277</v>
      </c>
      <c r="H893" s="0" t="s">
        <v>293</v>
      </c>
      <c r="I893" s="0" t="s">
        <v>8624</v>
      </c>
    </row>
    <row r="894" customFormat="false" ht="15" hidden="false" customHeight="false" outlineLevel="0" collapsed="false">
      <c r="A894" s="0" t="n">
        <v>43</v>
      </c>
      <c r="B894" s="0" t="s">
        <v>87</v>
      </c>
      <c r="C894" s="0" t="s">
        <v>8625</v>
      </c>
      <c r="D894" s="0" t="s">
        <v>6560</v>
      </c>
      <c r="E894" s="0" t="s">
        <v>8481</v>
      </c>
      <c r="F894" s="0" t="n">
        <v>404</v>
      </c>
      <c r="G894" s="0" t="s">
        <v>277</v>
      </c>
      <c r="H894" s="0" t="s">
        <v>293</v>
      </c>
      <c r="I894" s="0" t="s">
        <v>8626</v>
      </c>
    </row>
    <row r="895" customFormat="false" ht="15" hidden="false" customHeight="false" outlineLevel="0" collapsed="false">
      <c r="A895" s="0" t="n">
        <v>44</v>
      </c>
      <c r="B895" s="0" t="s">
        <v>88</v>
      </c>
      <c r="C895" s="0" t="s">
        <v>8627</v>
      </c>
      <c r="D895" s="0" t="s">
        <v>6416</v>
      </c>
      <c r="E895" s="0" t="s">
        <v>8628</v>
      </c>
      <c r="F895" s="0" t="n">
        <v>3820</v>
      </c>
      <c r="G895" s="0" t="s">
        <v>277</v>
      </c>
      <c r="H895" s="0" t="s">
        <v>293</v>
      </c>
      <c r="I895" s="0" t="s">
        <v>8629</v>
      </c>
    </row>
    <row r="896" customFormat="false" ht="15" hidden="false" customHeight="false" outlineLevel="0" collapsed="false">
      <c r="A896" s="0" t="n">
        <v>43</v>
      </c>
      <c r="B896" s="0" t="s">
        <v>87</v>
      </c>
      <c r="C896" s="0" t="s">
        <v>8630</v>
      </c>
      <c r="D896" s="0" t="s">
        <v>91</v>
      </c>
      <c r="E896" s="0" t="s">
        <v>8478</v>
      </c>
      <c r="F896" s="0" t="n">
        <v>1363</v>
      </c>
      <c r="G896" s="0" t="s">
        <v>277</v>
      </c>
      <c r="H896" s="0" t="s">
        <v>293</v>
      </c>
      <c r="I896" s="0" t="s">
        <v>8479</v>
      </c>
    </row>
    <row r="897" customFormat="false" ht="15" hidden="false" customHeight="false" outlineLevel="0" collapsed="false">
      <c r="A897" s="0" t="n">
        <v>44</v>
      </c>
      <c r="B897" s="0" t="s">
        <v>88</v>
      </c>
      <c r="C897" s="0" t="s">
        <v>8631</v>
      </c>
      <c r="D897" s="0" t="s">
        <v>6416</v>
      </c>
      <c r="E897" s="0" t="s">
        <v>8632</v>
      </c>
      <c r="F897" s="0" t="n">
        <v>19423</v>
      </c>
      <c r="G897" s="0" t="s">
        <v>277</v>
      </c>
      <c r="H897" s="0" t="s">
        <v>293</v>
      </c>
      <c r="I897" s="0" t="s">
        <v>8633</v>
      </c>
    </row>
    <row r="898" customFormat="false" ht="15" hidden="false" customHeight="false" outlineLevel="0" collapsed="false">
      <c r="A898" s="0" t="n">
        <v>43</v>
      </c>
      <c r="B898" s="0" t="s">
        <v>87</v>
      </c>
      <c r="C898" s="0" t="s">
        <v>8634</v>
      </c>
      <c r="D898" s="0" t="s">
        <v>6416</v>
      </c>
      <c r="E898" s="0" t="s">
        <v>8571</v>
      </c>
      <c r="F898" s="0" t="n">
        <v>1094</v>
      </c>
      <c r="G898" s="0" t="s">
        <v>277</v>
      </c>
      <c r="H898" s="0" t="s">
        <v>293</v>
      </c>
      <c r="I898" s="0" t="s">
        <v>8635</v>
      </c>
    </row>
    <row r="899" customFormat="false" ht="15" hidden="false" customHeight="false" outlineLevel="0" collapsed="false">
      <c r="A899" s="0" t="n">
        <v>44</v>
      </c>
      <c r="B899" s="0" t="s">
        <v>88</v>
      </c>
      <c r="C899" s="0" t="s">
        <v>8636</v>
      </c>
      <c r="D899" s="0" t="s">
        <v>6416</v>
      </c>
      <c r="E899" s="0" t="s">
        <v>8637</v>
      </c>
      <c r="F899" s="0" t="n">
        <v>9630</v>
      </c>
      <c r="G899" s="0" t="s">
        <v>277</v>
      </c>
      <c r="H899" s="0" t="s">
        <v>293</v>
      </c>
      <c r="I899" s="0" t="s">
        <v>8638</v>
      </c>
    </row>
    <row r="900" customFormat="false" ht="15" hidden="false" customHeight="false" outlineLevel="0" collapsed="false">
      <c r="A900" s="0" t="n">
        <v>43</v>
      </c>
      <c r="B900" s="0" t="s">
        <v>87</v>
      </c>
      <c r="C900" s="0" t="s">
        <v>8639</v>
      </c>
      <c r="D900" s="0" t="s">
        <v>6416</v>
      </c>
      <c r="E900" s="0" t="s">
        <v>8505</v>
      </c>
      <c r="F900" s="0" t="n">
        <v>277</v>
      </c>
      <c r="G900" s="0" t="s">
        <v>277</v>
      </c>
      <c r="H900" s="0" t="s">
        <v>293</v>
      </c>
      <c r="I900" s="0" t="s">
        <v>8506</v>
      </c>
    </row>
    <row r="901" customFormat="false" ht="15" hidden="false" customHeight="false" outlineLevel="0" collapsed="false">
      <c r="A901" s="0" t="n">
        <v>44</v>
      </c>
      <c r="B901" s="0" t="s">
        <v>88</v>
      </c>
      <c r="C901" s="0" t="s">
        <v>8640</v>
      </c>
      <c r="D901" s="0" t="s">
        <v>6416</v>
      </c>
      <c r="E901" s="0" t="s">
        <v>8641</v>
      </c>
      <c r="F901" s="0" t="n">
        <v>490</v>
      </c>
      <c r="G901" s="0" t="s">
        <v>277</v>
      </c>
      <c r="H901" s="0" t="s">
        <v>293</v>
      </c>
      <c r="I901" s="0" t="s">
        <v>8642</v>
      </c>
    </row>
    <row r="902" customFormat="false" ht="15" hidden="false" customHeight="false" outlineLevel="0" collapsed="false">
      <c r="A902" s="0" t="n">
        <v>43</v>
      </c>
      <c r="B902" s="0" t="s">
        <v>87</v>
      </c>
      <c r="C902" s="0" t="s">
        <v>8643</v>
      </c>
      <c r="D902" s="0" t="s">
        <v>6416</v>
      </c>
      <c r="E902" s="0" t="s">
        <v>8469</v>
      </c>
      <c r="F902" s="0" t="n">
        <v>1119</v>
      </c>
      <c r="G902" s="0" t="s">
        <v>277</v>
      </c>
      <c r="H902" s="0" t="s">
        <v>293</v>
      </c>
      <c r="I902" s="0" t="s">
        <v>8644</v>
      </c>
    </row>
    <row r="903" customFormat="false" ht="15" hidden="false" customHeight="false" outlineLevel="0" collapsed="false">
      <c r="A903" s="0" t="n">
        <v>43</v>
      </c>
      <c r="B903" s="0" t="s">
        <v>87</v>
      </c>
      <c r="C903" s="0" t="s">
        <v>8645</v>
      </c>
      <c r="D903" s="0" t="s">
        <v>6425</v>
      </c>
      <c r="E903" s="0" t="s">
        <v>8646</v>
      </c>
      <c r="F903" s="0" t="n">
        <v>601</v>
      </c>
      <c r="G903" s="0" t="s">
        <v>277</v>
      </c>
      <c r="H903" s="0" t="s">
        <v>293</v>
      </c>
      <c r="I903" s="0" t="s">
        <v>8647</v>
      </c>
    </row>
    <row r="904" customFormat="false" ht="15" hidden="false" customHeight="false" outlineLevel="0" collapsed="false">
      <c r="A904" s="0" t="n">
        <v>43</v>
      </c>
      <c r="B904" s="0" t="s">
        <v>87</v>
      </c>
      <c r="C904" s="0" t="s">
        <v>8648</v>
      </c>
      <c r="D904" s="0" t="s">
        <v>6560</v>
      </c>
      <c r="E904" s="0" t="s">
        <v>8481</v>
      </c>
      <c r="F904" s="0" t="n">
        <v>404</v>
      </c>
      <c r="G904" s="0" t="s">
        <v>277</v>
      </c>
      <c r="H904" s="0" t="s">
        <v>293</v>
      </c>
      <c r="I904" s="0" t="s">
        <v>8626</v>
      </c>
    </row>
    <row r="905" customFormat="false" ht="15" hidden="false" customHeight="false" outlineLevel="0" collapsed="false">
      <c r="A905" s="0" t="n">
        <v>43</v>
      </c>
      <c r="B905" s="0" t="s">
        <v>87</v>
      </c>
      <c r="C905" s="0" t="s">
        <v>8649</v>
      </c>
      <c r="D905" s="0" t="s">
        <v>6416</v>
      </c>
      <c r="E905" s="0" t="s">
        <v>8565</v>
      </c>
      <c r="F905" s="0" t="n">
        <v>481</v>
      </c>
      <c r="G905" s="0" t="s">
        <v>277</v>
      </c>
      <c r="H905" s="0" t="s">
        <v>293</v>
      </c>
      <c r="I905" s="0" t="s">
        <v>8566</v>
      </c>
    </row>
    <row r="906" customFormat="false" ht="15" hidden="false" customHeight="false" outlineLevel="0" collapsed="false">
      <c r="A906" s="0" t="n">
        <v>43</v>
      </c>
      <c r="B906" s="0" t="s">
        <v>87</v>
      </c>
      <c r="C906" s="0" t="s">
        <v>8650</v>
      </c>
      <c r="D906" s="0" t="s">
        <v>6425</v>
      </c>
      <c r="E906" s="0" t="s">
        <v>8613</v>
      </c>
      <c r="F906" s="0" t="n">
        <v>563</v>
      </c>
      <c r="G906" s="0" t="s">
        <v>277</v>
      </c>
      <c r="H906" s="0" t="s">
        <v>293</v>
      </c>
      <c r="I906" s="0" t="s">
        <v>8614</v>
      </c>
    </row>
    <row r="907" customFormat="false" ht="15" hidden="false" customHeight="false" outlineLevel="0" collapsed="false">
      <c r="A907" s="0" t="n">
        <v>43</v>
      </c>
      <c r="B907" s="0" t="s">
        <v>87</v>
      </c>
      <c r="C907" s="0" t="s">
        <v>8651</v>
      </c>
      <c r="D907" s="0" t="s">
        <v>6416</v>
      </c>
      <c r="E907" s="0" t="s">
        <v>8487</v>
      </c>
      <c r="F907" s="0" t="n">
        <v>1047</v>
      </c>
      <c r="G907" s="0" t="s">
        <v>277</v>
      </c>
      <c r="H907" s="0" t="s">
        <v>293</v>
      </c>
      <c r="I907" s="0" t="s">
        <v>8488</v>
      </c>
    </row>
    <row r="908" customFormat="false" ht="15" hidden="false" customHeight="false" outlineLevel="0" collapsed="false">
      <c r="A908" s="0" t="n">
        <v>43</v>
      </c>
      <c r="B908" s="0" t="s">
        <v>87</v>
      </c>
      <c r="C908" s="0" t="s">
        <v>8652</v>
      </c>
      <c r="D908" s="0" t="s">
        <v>6425</v>
      </c>
      <c r="E908" s="0" t="s">
        <v>8457</v>
      </c>
      <c r="F908" s="0" t="n">
        <v>477</v>
      </c>
      <c r="G908" s="0" t="s">
        <v>277</v>
      </c>
      <c r="H908" s="0" t="s">
        <v>293</v>
      </c>
      <c r="I908" s="0" t="s">
        <v>8458</v>
      </c>
    </row>
    <row r="909" customFormat="false" ht="15" hidden="false" customHeight="false" outlineLevel="0" collapsed="false">
      <c r="A909" s="0" t="n">
        <v>43</v>
      </c>
      <c r="B909" s="0" t="s">
        <v>87</v>
      </c>
      <c r="C909" s="0" t="s">
        <v>8653</v>
      </c>
      <c r="D909" s="0" t="s">
        <v>6416</v>
      </c>
      <c r="E909" s="0" t="s">
        <v>8460</v>
      </c>
      <c r="F909" s="0" t="n">
        <v>1058</v>
      </c>
      <c r="G909" s="0" t="s">
        <v>277</v>
      </c>
      <c r="H909" s="0" t="s">
        <v>293</v>
      </c>
      <c r="I909" s="0" t="s">
        <v>8461</v>
      </c>
    </row>
    <row r="910" customFormat="false" ht="15" hidden="false" customHeight="false" outlineLevel="0" collapsed="false">
      <c r="A910" s="0" t="n">
        <v>43</v>
      </c>
      <c r="B910" s="0" t="s">
        <v>87</v>
      </c>
      <c r="C910" s="0" t="s">
        <v>8654</v>
      </c>
      <c r="D910" s="0" t="s">
        <v>6416</v>
      </c>
      <c r="E910" s="0" t="s">
        <v>8511</v>
      </c>
      <c r="F910" s="0" t="n">
        <v>4331</v>
      </c>
      <c r="G910" s="0" t="s">
        <v>277</v>
      </c>
      <c r="H910" s="0" t="s">
        <v>293</v>
      </c>
      <c r="I910" s="0" t="s">
        <v>8512</v>
      </c>
    </row>
    <row r="911" customFormat="false" ht="15" hidden="false" customHeight="false" outlineLevel="0" collapsed="false">
      <c r="A911" s="0" t="n">
        <v>43</v>
      </c>
      <c r="B911" s="0" t="s">
        <v>87</v>
      </c>
      <c r="C911" s="0" t="s">
        <v>8655</v>
      </c>
      <c r="D911" s="0" t="s">
        <v>6416</v>
      </c>
      <c r="E911" s="0" t="s">
        <v>8517</v>
      </c>
      <c r="F911" s="0" t="n">
        <v>20984</v>
      </c>
      <c r="G911" s="0" t="s">
        <v>277</v>
      </c>
      <c r="H911" s="0" t="s">
        <v>293</v>
      </c>
      <c r="I911" s="0" t="s">
        <v>8518</v>
      </c>
    </row>
    <row r="912" customFormat="false" ht="15" hidden="false" customHeight="false" outlineLevel="0" collapsed="false">
      <c r="A912" s="0" t="n">
        <v>43</v>
      </c>
      <c r="B912" s="0" t="s">
        <v>87</v>
      </c>
      <c r="C912" s="0" t="s">
        <v>8656</v>
      </c>
      <c r="D912" s="0" t="s">
        <v>6416</v>
      </c>
      <c r="E912" s="0" t="s">
        <v>8589</v>
      </c>
      <c r="F912" s="0" t="n">
        <v>1430</v>
      </c>
      <c r="G912" s="0" t="s">
        <v>277</v>
      </c>
      <c r="H912" s="0" t="s">
        <v>293</v>
      </c>
      <c r="I912" s="0" t="s">
        <v>8590</v>
      </c>
    </row>
    <row r="913" customFormat="false" ht="15" hidden="false" customHeight="false" outlineLevel="0" collapsed="false">
      <c r="A913" s="0" t="n">
        <v>43</v>
      </c>
      <c r="B913" s="0" t="s">
        <v>87</v>
      </c>
      <c r="C913" s="0" t="s">
        <v>8657</v>
      </c>
      <c r="D913" s="0" t="s">
        <v>6425</v>
      </c>
      <c r="E913" s="0" t="s">
        <v>8502</v>
      </c>
      <c r="F913" s="0" t="n">
        <v>682</v>
      </c>
      <c r="G913" s="0" t="s">
        <v>277</v>
      </c>
      <c r="H913" s="0" t="s">
        <v>293</v>
      </c>
      <c r="I913" s="0" t="s">
        <v>8503</v>
      </c>
    </row>
    <row r="914" customFormat="false" ht="15" hidden="false" customHeight="false" outlineLevel="0" collapsed="false">
      <c r="A914" s="0" t="n">
        <v>43</v>
      </c>
      <c r="B914" s="0" t="s">
        <v>87</v>
      </c>
      <c r="C914" s="0" t="s">
        <v>8658</v>
      </c>
      <c r="D914" s="0" t="s">
        <v>6425</v>
      </c>
      <c r="E914" s="0" t="s">
        <v>8454</v>
      </c>
      <c r="F914" s="0" t="n">
        <v>643</v>
      </c>
      <c r="G914" s="0" t="s">
        <v>277</v>
      </c>
      <c r="H914" s="0" t="s">
        <v>293</v>
      </c>
      <c r="I914" s="0" t="s">
        <v>8455</v>
      </c>
    </row>
    <row r="915" customFormat="false" ht="15" hidden="false" customHeight="false" outlineLevel="0" collapsed="false">
      <c r="A915" s="0" t="n">
        <v>43</v>
      </c>
      <c r="B915" s="0" t="s">
        <v>87</v>
      </c>
      <c r="C915" s="0" t="s">
        <v>8659</v>
      </c>
      <c r="D915" s="0" t="s">
        <v>6416</v>
      </c>
      <c r="E915" s="0" t="s">
        <v>8589</v>
      </c>
      <c r="F915" s="0" t="n">
        <v>1430</v>
      </c>
      <c r="G915" s="0" t="s">
        <v>277</v>
      </c>
      <c r="H915" s="0" t="s">
        <v>293</v>
      </c>
      <c r="I915" s="0" t="s">
        <v>8660</v>
      </c>
    </row>
    <row r="916" customFormat="false" ht="15" hidden="false" customHeight="false" outlineLevel="0" collapsed="false">
      <c r="A916" s="0" t="n">
        <v>43</v>
      </c>
      <c r="B916" s="0" t="s">
        <v>87</v>
      </c>
      <c r="C916" s="0" t="s">
        <v>8661</v>
      </c>
      <c r="D916" s="0" t="s">
        <v>6560</v>
      </c>
      <c r="E916" s="0" t="s">
        <v>8490</v>
      </c>
      <c r="F916" s="0" t="n">
        <v>308</v>
      </c>
      <c r="G916" s="0" t="s">
        <v>277</v>
      </c>
      <c r="H916" s="0" t="s">
        <v>293</v>
      </c>
      <c r="I916" s="0" t="s">
        <v>8491</v>
      </c>
    </row>
    <row r="917" customFormat="false" ht="15" hidden="false" customHeight="false" outlineLevel="0" collapsed="false">
      <c r="A917" s="0" t="n">
        <v>49</v>
      </c>
      <c r="B917" s="0" t="s">
        <v>96</v>
      </c>
      <c r="C917" s="0" t="s">
        <v>8662</v>
      </c>
      <c r="D917" s="0" t="s">
        <v>6416</v>
      </c>
      <c r="E917" s="0" t="s">
        <v>8663</v>
      </c>
      <c r="F917" s="0" t="n">
        <v>7721</v>
      </c>
      <c r="G917" s="0" t="s">
        <v>277</v>
      </c>
      <c r="H917" s="0" t="s">
        <v>293</v>
      </c>
      <c r="I917" s="0" t="s">
        <v>8664</v>
      </c>
    </row>
    <row r="918" customFormat="false" ht="15" hidden="false" customHeight="false" outlineLevel="0" collapsed="false">
      <c r="A918" s="0" t="n">
        <v>49</v>
      </c>
      <c r="B918" s="0" t="s">
        <v>96</v>
      </c>
      <c r="C918" s="0" t="s">
        <v>8665</v>
      </c>
      <c r="D918" s="0" t="s">
        <v>6416</v>
      </c>
      <c r="E918" s="0" t="s">
        <v>8666</v>
      </c>
      <c r="F918" s="0" t="n">
        <v>1674</v>
      </c>
      <c r="G918" s="0" t="s">
        <v>277</v>
      </c>
      <c r="H918" s="0" t="s">
        <v>293</v>
      </c>
      <c r="I918" s="0" t="s">
        <v>8667</v>
      </c>
    </row>
    <row r="919" customFormat="false" ht="15" hidden="false" customHeight="false" outlineLevel="0" collapsed="false">
      <c r="A919" s="0" t="n">
        <v>49</v>
      </c>
      <c r="B919" s="0" t="s">
        <v>96</v>
      </c>
      <c r="C919" s="0" t="s">
        <v>8668</v>
      </c>
      <c r="D919" s="0" t="s">
        <v>35</v>
      </c>
      <c r="E919" s="0" t="s">
        <v>8669</v>
      </c>
      <c r="F919" s="0" t="n">
        <v>1424</v>
      </c>
      <c r="G919" s="0" t="s">
        <v>277</v>
      </c>
      <c r="H919" s="0" t="s">
        <v>293</v>
      </c>
      <c r="I919" s="0" t="s">
        <v>8670</v>
      </c>
    </row>
    <row r="920" customFormat="false" ht="15" hidden="false" customHeight="false" outlineLevel="0" collapsed="false">
      <c r="A920" s="0" t="n">
        <v>49</v>
      </c>
      <c r="B920" s="0" t="s">
        <v>96</v>
      </c>
      <c r="C920" s="0" t="s">
        <v>8671</v>
      </c>
      <c r="D920" s="0" t="s">
        <v>6416</v>
      </c>
      <c r="E920" s="0" t="s">
        <v>8672</v>
      </c>
      <c r="F920" s="0" t="n">
        <v>1100</v>
      </c>
      <c r="G920" s="0" t="s">
        <v>277</v>
      </c>
      <c r="H920" s="0" t="s">
        <v>293</v>
      </c>
      <c r="I920" s="0" t="s">
        <v>8673</v>
      </c>
    </row>
    <row r="921" customFormat="false" ht="15" hidden="false" customHeight="false" outlineLevel="0" collapsed="false">
      <c r="A921" s="0" t="n">
        <v>49</v>
      </c>
      <c r="B921" s="0" t="s">
        <v>96</v>
      </c>
      <c r="C921" s="0" t="s">
        <v>8674</v>
      </c>
      <c r="D921" s="0" t="s">
        <v>6416</v>
      </c>
      <c r="E921" s="0" t="s">
        <v>8675</v>
      </c>
      <c r="F921" s="0" t="n">
        <v>4490</v>
      </c>
      <c r="G921" s="0" t="s">
        <v>277</v>
      </c>
      <c r="H921" s="0" t="s">
        <v>293</v>
      </c>
      <c r="I921" s="0" t="s">
        <v>8676</v>
      </c>
    </row>
    <row r="922" customFormat="false" ht="15" hidden="false" customHeight="false" outlineLevel="0" collapsed="false">
      <c r="A922" s="0" t="n">
        <v>49</v>
      </c>
      <c r="B922" s="0" t="s">
        <v>96</v>
      </c>
      <c r="C922" s="0" t="s">
        <v>8677</v>
      </c>
      <c r="D922" s="0" t="s">
        <v>35</v>
      </c>
      <c r="E922" s="0" t="s">
        <v>8678</v>
      </c>
      <c r="F922" s="0" t="n">
        <v>858</v>
      </c>
      <c r="G922" s="0" t="s">
        <v>277</v>
      </c>
      <c r="H922" s="0" t="s">
        <v>293</v>
      </c>
      <c r="I922" s="0" t="s">
        <v>8679</v>
      </c>
    </row>
    <row r="923" customFormat="false" ht="15" hidden="false" customHeight="false" outlineLevel="0" collapsed="false">
      <c r="A923" s="0" t="n">
        <v>49</v>
      </c>
      <c r="B923" s="0" t="s">
        <v>96</v>
      </c>
      <c r="C923" s="0" t="s">
        <v>8680</v>
      </c>
      <c r="D923" s="0" t="s">
        <v>6416</v>
      </c>
      <c r="E923" s="0" t="s">
        <v>8663</v>
      </c>
      <c r="F923" s="0" t="n">
        <v>7721</v>
      </c>
      <c r="G923" s="0" t="s">
        <v>277</v>
      </c>
      <c r="H923" s="0" t="s">
        <v>293</v>
      </c>
      <c r="I923" s="0" t="s">
        <v>8681</v>
      </c>
    </row>
    <row r="924" customFormat="false" ht="15" hidden="false" customHeight="false" outlineLevel="0" collapsed="false">
      <c r="A924" s="0" t="n">
        <v>49</v>
      </c>
      <c r="B924" s="0" t="s">
        <v>96</v>
      </c>
      <c r="C924" s="0" t="s">
        <v>8682</v>
      </c>
      <c r="D924" s="0" t="s">
        <v>6416</v>
      </c>
      <c r="E924" s="0" t="s">
        <v>8683</v>
      </c>
      <c r="F924" s="0" t="n">
        <v>1078</v>
      </c>
      <c r="G924" s="0" t="s">
        <v>277</v>
      </c>
      <c r="H924" s="0" t="s">
        <v>293</v>
      </c>
      <c r="I924" s="0" t="s">
        <v>8684</v>
      </c>
    </row>
    <row r="925" customFormat="false" ht="15" hidden="false" customHeight="false" outlineLevel="0" collapsed="false">
      <c r="A925" s="0" t="n">
        <v>49</v>
      </c>
      <c r="B925" s="0" t="s">
        <v>96</v>
      </c>
      <c r="C925" s="0" t="s">
        <v>8685</v>
      </c>
      <c r="D925" s="0" t="s">
        <v>35</v>
      </c>
      <c r="E925" s="0" t="s">
        <v>8686</v>
      </c>
      <c r="F925" s="0" t="n">
        <v>3937</v>
      </c>
      <c r="G925" s="0" t="s">
        <v>277</v>
      </c>
      <c r="H925" s="0" t="s">
        <v>293</v>
      </c>
      <c r="I925" s="0" t="s">
        <v>8687</v>
      </c>
    </row>
    <row r="926" customFormat="false" ht="15" hidden="false" customHeight="false" outlineLevel="0" collapsed="false">
      <c r="A926" s="0" t="n">
        <v>49</v>
      </c>
      <c r="B926" s="0" t="s">
        <v>96</v>
      </c>
      <c r="C926" s="0" t="s">
        <v>8688</v>
      </c>
      <c r="D926" s="0" t="s">
        <v>35</v>
      </c>
      <c r="E926" s="0" t="s">
        <v>8689</v>
      </c>
      <c r="F926" s="0" t="n">
        <v>809</v>
      </c>
      <c r="G926" s="0" t="s">
        <v>277</v>
      </c>
      <c r="H926" s="0" t="s">
        <v>293</v>
      </c>
      <c r="I926" s="0" t="s">
        <v>8690</v>
      </c>
    </row>
    <row r="927" customFormat="false" ht="15" hidden="false" customHeight="false" outlineLevel="0" collapsed="false">
      <c r="A927" s="0" t="n">
        <v>49</v>
      </c>
      <c r="B927" s="0" t="s">
        <v>96</v>
      </c>
      <c r="C927" s="0" t="s">
        <v>8691</v>
      </c>
      <c r="D927" s="0" t="s">
        <v>6416</v>
      </c>
      <c r="E927" s="0" t="s">
        <v>8692</v>
      </c>
      <c r="F927" s="0" t="n">
        <v>2536</v>
      </c>
      <c r="G927" s="0" t="s">
        <v>277</v>
      </c>
      <c r="H927" s="0" t="s">
        <v>293</v>
      </c>
      <c r="I927" s="0" t="s">
        <v>8693</v>
      </c>
    </row>
    <row r="928" customFormat="false" ht="15" hidden="false" customHeight="false" outlineLevel="0" collapsed="false">
      <c r="A928" s="0" t="n">
        <v>49</v>
      </c>
      <c r="B928" s="0" t="s">
        <v>96</v>
      </c>
      <c r="C928" s="0" t="s">
        <v>8694</v>
      </c>
      <c r="D928" s="0" t="s">
        <v>35</v>
      </c>
      <c r="E928" s="0" t="s">
        <v>8695</v>
      </c>
      <c r="F928" s="0" t="n">
        <v>1396</v>
      </c>
      <c r="G928" s="0" t="s">
        <v>277</v>
      </c>
      <c r="H928" s="0" t="s">
        <v>293</v>
      </c>
      <c r="I928" s="0" t="s">
        <v>8696</v>
      </c>
    </row>
    <row r="929" customFormat="false" ht="15" hidden="false" customHeight="false" outlineLevel="0" collapsed="false">
      <c r="A929" s="0" t="n">
        <v>49</v>
      </c>
      <c r="B929" s="0" t="s">
        <v>96</v>
      </c>
      <c r="C929" s="0" t="s">
        <v>8697</v>
      </c>
      <c r="D929" s="0" t="s">
        <v>6416</v>
      </c>
      <c r="E929" s="0" t="s">
        <v>8698</v>
      </c>
      <c r="F929" s="0" t="n">
        <v>3815</v>
      </c>
      <c r="G929" s="0" t="s">
        <v>277</v>
      </c>
      <c r="H929" s="0" t="s">
        <v>293</v>
      </c>
      <c r="I929" s="0" t="s">
        <v>8699</v>
      </c>
    </row>
    <row r="930" customFormat="false" ht="15" hidden="false" customHeight="false" outlineLevel="0" collapsed="false">
      <c r="A930" s="0" t="n">
        <v>49</v>
      </c>
      <c r="B930" s="0" t="s">
        <v>96</v>
      </c>
      <c r="C930" s="0" t="s">
        <v>8700</v>
      </c>
      <c r="D930" s="0" t="s">
        <v>35</v>
      </c>
      <c r="E930" s="0" t="s">
        <v>8701</v>
      </c>
      <c r="F930" s="0" t="n">
        <v>1935</v>
      </c>
      <c r="G930" s="0" t="s">
        <v>277</v>
      </c>
      <c r="H930" s="0" t="s">
        <v>293</v>
      </c>
      <c r="I930" s="0" t="s">
        <v>8702</v>
      </c>
    </row>
    <row r="931" customFormat="false" ht="15" hidden="false" customHeight="false" outlineLevel="0" collapsed="false">
      <c r="A931" s="0" t="n">
        <v>49</v>
      </c>
      <c r="B931" s="0" t="s">
        <v>96</v>
      </c>
      <c r="C931" s="0" t="s">
        <v>8703</v>
      </c>
      <c r="D931" s="0" t="s">
        <v>6416</v>
      </c>
      <c r="E931" s="0" t="s">
        <v>8704</v>
      </c>
      <c r="F931" s="0" t="n">
        <v>4653</v>
      </c>
      <c r="G931" s="0" t="s">
        <v>277</v>
      </c>
      <c r="H931" s="0" t="s">
        <v>293</v>
      </c>
      <c r="I931" s="0" t="s">
        <v>8705</v>
      </c>
    </row>
    <row r="932" customFormat="false" ht="15" hidden="false" customHeight="false" outlineLevel="0" collapsed="false">
      <c r="A932" s="0" t="n">
        <v>44</v>
      </c>
      <c r="B932" s="0" t="s">
        <v>88</v>
      </c>
      <c r="C932" s="0" t="s">
        <v>8706</v>
      </c>
      <c r="D932" s="0" t="s">
        <v>6416</v>
      </c>
      <c r="E932" s="0" t="s">
        <v>8707</v>
      </c>
      <c r="F932" s="0" t="n">
        <v>10465</v>
      </c>
      <c r="G932" s="0" t="s">
        <v>277</v>
      </c>
      <c r="H932" s="0" t="s">
        <v>293</v>
      </c>
      <c r="I932" s="0" t="s">
        <v>8708</v>
      </c>
    </row>
    <row r="933" customFormat="false" ht="15" hidden="false" customHeight="false" outlineLevel="0" collapsed="false">
      <c r="A933" s="0" t="n">
        <v>44</v>
      </c>
      <c r="B933" s="0" t="s">
        <v>88</v>
      </c>
      <c r="C933" s="0" t="s">
        <v>8709</v>
      </c>
      <c r="D933" s="0" t="s">
        <v>6416</v>
      </c>
      <c r="E933" s="2" t="s">
        <v>8710</v>
      </c>
      <c r="F933" s="0" t="n">
        <v>4114</v>
      </c>
      <c r="G933" s="0" t="s">
        <v>277</v>
      </c>
      <c r="H933" s="0" t="s">
        <v>293</v>
      </c>
      <c r="I933" s="0" t="s">
        <v>8711</v>
      </c>
    </row>
    <row r="934" customFormat="false" ht="15" hidden="false" customHeight="false" outlineLevel="0" collapsed="false">
      <c r="A934" s="0" t="n">
        <v>49</v>
      </c>
      <c r="B934" s="0" t="s">
        <v>96</v>
      </c>
      <c r="C934" s="0" t="s">
        <v>8712</v>
      </c>
      <c r="D934" s="0" t="s">
        <v>35</v>
      </c>
      <c r="E934" s="0" t="s">
        <v>8713</v>
      </c>
      <c r="F934" s="0" t="n">
        <v>1005</v>
      </c>
      <c r="G934" s="0" t="s">
        <v>277</v>
      </c>
      <c r="H934" s="0" t="s">
        <v>293</v>
      </c>
      <c r="I934" s="0" t="s">
        <v>8714</v>
      </c>
    </row>
    <row r="935" customFormat="false" ht="15" hidden="false" customHeight="false" outlineLevel="0" collapsed="false">
      <c r="A935" s="0" t="n">
        <v>44</v>
      </c>
      <c r="B935" s="0" t="s">
        <v>88</v>
      </c>
      <c r="C935" s="0" t="s">
        <v>8715</v>
      </c>
      <c r="D935" s="0" t="s">
        <v>6416</v>
      </c>
      <c r="E935" s="0" t="s">
        <v>8716</v>
      </c>
      <c r="F935" s="0" t="n">
        <v>438</v>
      </c>
      <c r="G935" s="0" t="s">
        <v>277</v>
      </c>
      <c r="H935" s="0" t="s">
        <v>293</v>
      </c>
      <c r="I935" s="0" t="s">
        <v>8717</v>
      </c>
    </row>
    <row r="936" customFormat="false" ht="15" hidden="false" customHeight="false" outlineLevel="0" collapsed="false">
      <c r="A936" s="0" t="n">
        <v>49</v>
      </c>
      <c r="B936" s="0" t="s">
        <v>96</v>
      </c>
      <c r="C936" s="0" t="s">
        <v>8718</v>
      </c>
      <c r="D936" s="0" t="s">
        <v>6416</v>
      </c>
      <c r="E936" s="0" t="s">
        <v>8719</v>
      </c>
      <c r="F936" s="0" t="n">
        <v>757</v>
      </c>
      <c r="G936" s="0" t="s">
        <v>277</v>
      </c>
      <c r="H936" s="0" t="s">
        <v>293</v>
      </c>
      <c r="I936" s="0" t="s">
        <v>8720</v>
      </c>
    </row>
    <row r="937" customFormat="false" ht="15" hidden="false" customHeight="false" outlineLevel="0" collapsed="false">
      <c r="A937" s="0" t="n">
        <v>44</v>
      </c>
      <c r="B937" s="0" t="s">
        <v>88</v>
      </c>
      <c r="C937" s="0" t="s">
        <v>8721</v>
      </c>
      <c r="D937" s="0" t="s">
        <v>6416</v>
      </c>
      <c r="E937" s="0" t="s">
        <v>8722</v>
      </c>
      <c r="F937" s="0" t="n">
        <v>2455</v>
      </c>
      <c r="G937" s="0" t="s">
        <v>277</v>
      </c>
      <c r="H937" s="0" t="s">
        <v>293</v>
      </c>
      <c r="I937" s="0" t="s">
        <v>8723</v>
      </c>
    </row>
    <row r="938" customFormat="false" ht="15" hidden="false" customHeight="false" outlineLevel="0" collapsed="false">
      <c r="A938" s="0" t="n">
        <v>44</v>
      </c>
      <c r="B938" s="0" t="s">
        <v>88</v>
      </c>
      <c r="C938" s="0" t="s">
        <v>8724</v>
      </c>
      <c r="D938" s="0" t="s">
        <v>6416</v>
      </c>
      <c r="E938" s="0" t="s">
        <v>8725</v>
      </c>
      <c r="F938" s="0" t="n">
        <v>10106</v>
      </c>
      <c r="G938" s="0" t="s">
        <v>277</v>
      </c>
      <c r="H938" s="0" t="s">
        <v>293</v>
      </c>
      <c r="I938" s="0" t="s">
        <v>8726</v>
      </c>
    </row>
    <row r="939" customFormat="false" ht="15" hidden="false" customHeight="false" outlineLevel="0" collapsed="false">
      <c r="A939" s="0" t="n">
        <v>49</v>
      </c>
      <c r="B939" s="0" t="s">
        <v>96</v>
      </c>
      <c r="C939" s="0" t="s">
        <v>8727</v>
      </c>
      <c r="D939" s="0" t="s">
        <v>35</v>
      </c>
      <c r="E939" s="0" t="s">
        <v>8728</v>
      </c>
      <c r="F939" s="0" t="n">
        <v>3861</v>
      </c>
      <c r="G939" s="0" t="s">
        <v>277</v>
      </c>
      <c r="H939" s="0" t="s">
        <v>293</v>
      </c>
      <c r="I939" s="0" t="s">
        <v>8729</v>
      </c>
    </row>
    <row r="940" customFormat="false" ht="15" hidden="false" customHeight="false" outlineLevel="0" collapsed="false">
      <c r="A940" s="0" t="n">
        <v>49</v>
      </c>
      <c r="B940" s="0" t="s">
        <v>96</v>
      </c>
      <c r="C940" s="0" t="s">
        <v>8730</v>
      </c>
      <c r="D940" s="0" t="s">
        <v>35</v>
      </c>
      <c r="E940" s="0" t="s">
        <v>8731</v>
      </c>
      <c r="F940" s="0" t="n">
        <v>698</v>
      </c>
      <c r="G940" s="0" t="s">
        <v>277</v>
      </c>
      <c r="H940" s="0" t="s">
        <v>293</v>
      </c>
      <c r="I940" s="0" t="s">
        <v>8732</v>
      </c>
    </row>
    <row r="941" customFormat="false" ht="15" hidden="false" customHeight="false" outlineLevel="0" collapsed="false">
      <c r="A941" s="0" t="n">
        <v>49</v>
      </c>
      <c r="B941" s="0" t="s">
        <v>96</v>
      </c>
      <c r="C941" s="0" t="s">
        <v>8733</v>
      </c>
      <c r="D941" s="0" t="s">
        <v>6416</v>
      </c>
      <c r="E941" s="0" t="s">
        <v>8734</v>
      </c>
      <c r="F941" s="0" t="n">
        <v>2782</v>
      </c>
      <c r="G941" s="0" t="s">
        <v>277</v>
      </c>
      <c r="H941" s="0" t="s">
        <v>293</v>
      </c>
      <c r="I941" s="0" t="s">
        <v>8735</v>
      </c>
    </row>
    <row r="942" customFormat="false" ht="15" hidden="false" customHeight="false" outlineLevel="0" collapsed="false">
      <c r="A942" s="0" t="n">
        <v>49</v>
      </c>
      <c r="B942" s="0" t="s">
        <v>96</v>
      </c>
      <c r="C942" s="0" t="s">
        <v>8736</v>
      </c>
      <c r="D942" s="0" t="s">
        <v>6416</v>
      </c>
      <c r="E942" s="0" t="s">
        <v>8737</v>
      </c>
      <c r="F942" s="0" t="n">
        <v>2671</v>
      </c>
      <c r="G942" s="0" t="s">
        <v>277</v>
      </c>
      <c r="H942" s="0" t="s">
        <v>293</v>
      </c>
      <c r="I942" s="0" t="s">
        <v>8738</v>
      </c>
    </row>
    <row r="943" customFormat="false" ht="15" hidden="false" customHeight="false" outlineLevel="0" collapsed="false">
      <c r="A943" s="0" t="n">
        <v>49</v>
      </c>
      <c r="B943" s="0" t="s">
        <v>96</v>
      </c>
      <c r="C943" s="0" t="s">
        <v>8739</v>
      </c>
      <c r="D943" s="0" t="s">
        <v>35</v>
      </c>
      <c r="E943" s="0" t="s">
        <v>8740</v>
      </c>
      <c r="F943" s="0" t="n">
        <v>3748</v>
      </c>
      <c r="G943" s="0" t="s">
        <v>277</v>
      </c>
      <c r="H943" s="0" t="s">
        <v>293</v>
      </c>
      <c r="I943" s="0" t="s">
        <v>8741</v>
      </c>
    </row>
    <row r="944" customFormat="false" ht="15" hidden="false" customHeight="false" outlineLevel="0" collapsed="false">
      <c r="A944" s="0" t="n">
        <v>49</v>
      </c>
      <c r="B944" s="0" t="s">
        <v>96</v>
      </c>
      <c r="C944" s="0" t="s">
        <v>8742</v>
      </c>
      <c r="D944" s="0" t="s">
        <v>500</v>
      </c>
      <c r="E944" s="0" t="s">
        <v>8743</v>
      </c>
      <c r="F944" s="0" t="n">
        <v>1263</v>
      </c>
      <c r="G944" s="0" t="s">
        <v>277</v>
      </c>
      <c r="H944" s="0" t="s">
        <v>293</v>
      </c>
      <c r="I944" s="0" t="s">
        <v>8744</v>
      </c>
    </row>
    <row r="945" customFormat="false" ht="15" hidden="false" customHeight="false" outlineLevel="0" collapsed="false">
      <c r="A945" s="0" t="n">
        <v>49</v>
      </c>
      <c r="B945" s="0" t="s">
        <v>96</v>
      </c>
      <c r="C945" s="0" t="s">
        <v>8745</v>
      </c>
      <c r="D945" s="0" t="s">
        <v>6425</v>
      </c>
      <c r="E945" s="0" t="s">
        <v>8746</v>
      </c>
      <c r="F945" s="0" t="n">
        <v>634</v>
      </c>
      <c r="G945" s="0" t="s">
        <v>277</v>
      </c>
      <c r="H945" s="0" t="s">
        <v>293</v>
      </c>
      <c r="I945" s="0" t="s">
        <v>8747</v>
      </c>
    </row>
    <row r="946" customFormat="false" ht="15" hidden="false" customHeight="false" outlineLevel="0" collapsed="false">
      <c r="A946" s="0" t="n">
        <v>49</v>
      </c>
      <c r="B946" s="0" t="s">
        <v>96</v>
      </c>
      <c r="C946" s="0" t="s">
        <v>8748</v>
      </c>
      <c r="D946" s="0" t="s">
        <v>6416</v>
      </c>
      <c r="E946" s="0" t="s">
        <v>8749</v>
      </c>
      <c r="F946" s="0" t="n">
        <v>3004</v>
      </c>
      <c r="G946" s="0" t="s">
        <v>277</v>
      </c>
      <c r="H946" s="0" t="s">
        <v>293</v>
      </c>
      <c r="I946" s="0" t="s">
        <v>8750</v>
      </c>
    </row>
    <row r="947" customFormat="false" ht="15" hidden="false" customHeight="false" outlineLevel="0" collapsed="false">
      <c r="A947" s="0" t="n">
        <v>49</v>
      </c>
      <c r="B947" s="0" t="s">
        <v>96</v>
      </c>
      <c r="C947" s="0" t="s">
        <v>8751</v>
      </c>
      <c r="D947" s="0" t="s">
        <v>35</v>
      </c>
      <c r="E947" s="0" t="s">
        <v>8752</v>
      </c>
      <c r="F947" s="0" t="n">
        <v>696</v>
      </c>
      <c r="G947" s="0" t="s">
        <v>277</v>
      </c>
      <c r="H947" s="0" t="s">
        <v>293</v>
      </c>
      <c r="I947" s="0" t="s">
        <v>8753</v>
      </c>
    </row>
    <row r="948" customFormat="false" ht="15" hidden="false" customHeight="false" outlineLevel="0" collapsed="false">
      <c r="A948" s="0" t="n">
        <v>49</v>
      </c>
      <c r="B948" s="0" t="s">
        <v>96</v>
      </c>
      <c r="C948" s="0" t="s">
        <v>8754</v>
      </c>
      <c r="D948" s="0" t="s">
        <v>6416</v>
      </c>
      <c r="E948" s="0" t="s">
        <v>8755</v>
      </c>
      <c r="F948" s="0" t="n">
        <v>2953</v>
      </c>
      <c r="G948" s="0" t="s">
        <v>277</v>
      </c>
      <c r="H948" s="0" t="s">
        <v>293</v>
      </c>
      <c r="I948" s="0" t="s">
        <v>8756</v>
      </c>
    </row>
    <row r="949" customFormat="false" ht="15" hidden="false" customHeight="false" outlineLevel="0" collapsed="false">
      <c r="A949" s="0" t="n">
        <v>50</v>
      </c>
      <c r="B949" s="0" t="s">
        <v>97</v>
      </c>
      <c r="C949" s="0" t="s">
        <v>8757</v>
      </c>
      <c r="D949" s="0" t="s">
        <v>6560</v>
      </c>
      <c r="E949" s="0" t="s">
        <v>8758</v>
      </c>
      <c r="F949" s="0" t="n">
        <v>10557</v>
      </c>
      <c r="G949" s="0" t="s">
        <v>277</v>
      </c>
      <c r="H949" s="0" t="s">
        <v>293</v>
      </c>
      <c r="I949" s="0" t="s">
        <v>8759</v>
      </c>
    </row>
    <row r="950" customFormat="false" ht="15" hidden="false" customHeight="false" outlineLevel="0" collapsed="false">
      <c r="A950" s="0" t="n">
        <v>49</v>
      </c>
      <c r="B950" s="0" t="s">
        <v>96</v>
      </c>
      <c r="C950" s="0" t="s">
        <v>8760</v>
      </c>
      <c r="D950" s="0" t="s">
        <v>6416</v>
      </c>
      <c r="E950" s="0" t="s">
        <v>8761</v>
      </c>
      <c r="F950" s="0" t="n">
        <v>2130</v>
      </c>
      <c r="G950" s="0" t="s">
        <v>277</v>
      </c>
      <c r="H950" s="0" t="s">
        <v>293</v>
      </c>
      <c r="I950" s="0" t="s">
        <v>8762</v>
      </c>
    </row>
    <row r="951" customFormat="false" ht="15" hidden="false" customHeight="false" outlineLevel="0" collapsed="false">
      <c r="A951" s="0" t="n">
        <v>49</v>
      </c>
      <c r="B951" s="0" t="s">
        <v>96</v>
      </c>
      <c r="C951" s="0" t="s">
        <v>8763</v>
      </c>
      <c r="D951" s="0" t="s">
        <v>6416</v>
      </c>
      <c r="E951" s="0" t="s">
        <v>8764</v>
      </c>
      <c r="F951" s="0" t="n">
        <v>3043</v>
      </c>
      <c r="G951" s="0" t="s">
        <v>277</v>
      </c>
      <c r="H951" s="0" t="s">
        <v>293</v>
      </c>
      <c r="I951" s="0" t="s">
        <v>8765</v>
      </c>
    </row>
    <row r="952" customFormat="false" ht="15" hidden="false" customHeight="false" outlineLevel="0" collapsed="false">
      <c r="A952" s="0" t="n">
        <v>49</v>
      </c>
      <c r="B952" s="0" t="s">
        <v>96</v>
      </c>
      <c r="C952" s="0" t="s">
        <v>8766</v>
      </c>
      <c r="D952" s="0" t="s">
        <v>6416</v>
      </c>
      <c r="E952" s="0" t="s">
        <v>8767</v>
      </c>
      <c r="F952" s="0" t="n">
        <v>2579</v>
      </c>
      <c r="G952" s="0" t="s">
        <v>277</v>
      </c>
      <c r="H952" s="0" t="s">
        <v>293</v>
      </c>
      <c r="I952" s="0" t="s">
        <v>8768</v>
      </c>
    </row>
    <row r="953" customFormat="false" ht="15" hidden="false" customHeight="false" outlineLevel="0" collapsed="false">
      <c r="A953" s="0" t="n">
        <v>49</v>
      </c>
      <c r="B953" s="0" t="s">
        <v>96</v>
      </c>
      <c r="C953" s="0" t="s">
        <v>8769</v>
      </c>
      <c r="D953" s="0" t="s">
        <v>6416</v>
      </c>
      <c r="E953" s="0" t="s">
        <v>8770</v>
      </c>
      <c r="F953" s="0" t="n">
        <v>846</v>
      </c>
      <c r="G953" s="0" t="s">
        <v>277</v>
      </c>
      <c r="H953" s="0" t="s">
        <v>293</v>
      </c>
      <c r="I953" s="0" t="s">
        <v>8771</v>
      </c>
    </row>
    <row r="954" customFormat="false" ht="15" hidden="false" customHeight="false" outlineLevel="0" collapsed="false">
      <c r="A954" s="0" t="n">
        <v>49</v>
      </c>
      <c r="B954" s="0" t="s">
        <v>96</v>
      </c>
      <c r="C954" s="0" t="s">
        <v>8772</v>
      </c>
      <c r="D954" s="0" t="s">
        <v>6416</v>
      </c>
      <c r="E954" s="0" t="s">
        <v>8773</v>
      </c>
      <c r="F954" s="0" t="n">
        <v>2196</v>
      </c>
      <c r="G954" s="0" t="s">
        <v>277</v>
      </c>
      <c r="H954" s="0" t="s">
        <v>293</v>
      </c>
      <c r="I954" s="0" t="s">
        <v>8774</v>
      </c>
    </row>
    <row r="955" customFormat="false" ht="15" hidden="false" customHeight="false" outlineLevel="0" collapsed="false">
      <c r="A955" s="0" t="n">
        <v>49</v>
      </c>
      <c r="B955" s="0" t="s">
        <v>96</v>
      </c>
      <c r="C955" s="0" t="s">
        <v>8775</v>
      </c>
      <c r="D955" s="0" t="s">
        <v>6416</v>
      </c>
      <c r="E955" s="0" t="s">
        <v>8776</v>
      </c>
      <c r="F955" s="0" t="n">
        <v>4789</v>
      </c>
      <c r="G955" s="0" t="s">
        <v>277</v>
      </c>
      <c r="H955" s="0" t="s">
        <v>293</v>
      </c>
      <c r="I955" s="0" t="s">
        <v>8777</v>
      </c>
    </row>
    <row r="956" customFormat="false" ht="15" hidden="false" customHeight="false" outlineLevel="0" collapsed="false">
      <c r="A956" s="0" t="n">
        <v>50</v>
      </c>
      <c r="B956" s="0" t="s">
        <v>97</v>
      </c>
      <c r="C956" s="0" t="s">
        <v>8778</v>
      </c>
      <c r="D956" s="0" t="s">
        <v>6416</v>
      </c>
      <c r="E956" s="0" t="s">
        <v>8779</v>
      </c>
      <c r="F956" s="0" t="n">
        <v>1563</v>
      </c>
      <c r="G956" s="0" t="s">
        <v>277</v>
      </c>
      <c r="H956" s="0" t="s">
        <v>293</v>
      </c>
      <c r="I956" s="0" t="s">
        <v>8780</v>
      </c>
    </row>
    <row r="957" customFormat="false" ht="15" hidden="false" customHeight="false" outlineLevel="0" collapsed="false">
      <c r="A957" s="0" t="n">
        <v>49</v>
      </c>
      <c r="B957" s="0" t="s">
        <v>96</v>
      </c>
      <c r="C957" s="0" t="s">
        <v>8781</v>
      </c>
      <c r="D957" s="0" t="s">
        <v>6416</v>
      </c>
      <c r="E957" s="0" t="s">
        <v>8782</v>
      </c>
      <c r="F957" s="0" t="n">
        <v>11855</v>
      </c>
      <c r="G957" s="0" t="s">
        <v>277</v>
      </c>
      <c r="H957" s="0" t="s">
        <v>293</v>
      </c>
      <c r="I957" s="0" t="s">
        <v>8783</v>
      </c>
    </row>
    <row r="958" customFormat="false" ht="15" hidden="false" customHeight="false" outlineLevel="0" collapsed="false">
      <c r="A958" s="0" t="n">
        <v>49</v>
      </c>
      <c r="B958" s="0" t="s">
        <v>96</v>
      </c>
      <c r="C958" s="0" t="s">
        <v>8784</v>
      </c>
      <c r="D958" s="0" t="s">
        <v>35</v>
      </c>
      <c r="E958" s="0" t="s">
        <v>8785</v>
      </c>
      <c r="F958" s="0" t="n">
        <v>365</v>
      </c>
      <c r="G958" s="0" t="s">
        <v>277</v>
      </c>
      <c r="H958" s="0" t="s">
        <v>293</v>
      </c>
      <c r="I958" s="0" t="s">
        <v>8786</v>
      </c>
    </row>
    <row r="959" customFormat="false" ht="15" hidden="false" customHeight="false" outlineLevel="0" collapsed="false">
      <c r="A959" s="0" t="n">
        <v>49</v>
      </c>
      <c r="B959" s="0" t="s">
        <v>96</v>
      </c>
      <c r="C959" s="0" t="s">
        <v>8787</v>
      </c>
      <c r="D959" s="0" t="s">
        <v>35</v>
      </c>
      <c r="E959" s="0" t="s">
        <v>8788</v>
      </c>
      <c r="F959" s="0" t="n">
        <v>826</v>
      </c>
      <c r="G959" s="0" t="s">
        <v>277</v>
      </c>
      <c r="H959" s="0" t="s">
        <v>293</v>
      </c>
      <c r="I959" s="0" t="s">
        <v>8789</v>
      </c>
    </row>
    <row r="960" customFormat="false" ht="15" hidden="false" customHeight="false" outlineLevel="0" collapsed="false">
      <c r="A960" s="0" t="n">
        <v>44</v>
      </c>
      <c r="B960" s="0" t="s">
        <v>88</v>
      </c>
      <c r="C960" s="0" t="s">
        <v>8790</v>
      </c>
      <c r="D960" s="0" t="s">
        <v>6560</v>
      </c>
      <c r="E960" s="0" t="s">
        <v>8791</v>
      </c>
      <c r="F960" s="0" t="n">
        <v>386</v>
      </c>
      <c r="G960" s="0" t="s">
        <v>277</v>
      </c>
      <c r="H960" s="0" t="s">
        <v>293</v>
      </c>
      <c r="I960" s="0" t="s">
        <v>8792</v>
      </c>
    </row>
    <row r="961" customFormat="false" ht="15" hidden="false" customHeight="false" outlineLevel="0" collapsed="false">
      <c r="A961" s="0" t="n">
        <v>44</v>
      </c>
      <c r="B961" s="0" t="s">
        <v>88</v>
      </c>
      <c r="C961" s="0" t="s">
        <v>8793</v>
      </c>
      <c r="D961" s="0" t="s">
        <v>6560</v>
      </c>
      <c r="E961" s="0" t="s">
        <v>8529</v>
      </c>
      <c r="F961" s="0" t="n">
        <v>2253</v>
      </c>
      <c r="G961" s="0" t="s">
        <v>277</v>
      </c>
      <c r="H961" s="0" t="s">
        <v>293</v>
      </c>
      <c r="I961" s="0" t="s">
        <v>8794</v>
      </c>
    </row>
    <row r="962" customFormat="false" ht="15" hidden="false" customHeight="false" outlineLevel="0" collapsed="false">
      <c r="A962" s="0" t="n">
        <v>49</v>
      </c>
      <c r="B962" s="0" t="s">
        <v>96</v>
      </c>
      <c r="C962" s="0" t="s">
        <v>8795</v>
      </c>
      <c r="D962" s="0" t="s">
        <v>91</v>
      </c>
      <c r="E962" s="0" t="s">
        <v>8796</v>
      </c>
      <c r="F962" s="0" t="n">
        <v>2090</v>
      </c>
      <c r="G962" s="0" t="s">
        <v>277</v>
      </c>
      <c r="H962" s="0" t="s">
        <v>293</v>
      </c>
      <c r="I962" s="0" t="s">
        <v>8797</v>
      </c>
    </row>
    <row r="963" customFormat="false" ht="15" hidden="false" customHeight="false" outlineLevel="0" collapsed="false">
      <c r="A963" s="0" t="n">
        <v>49</v>
      </c>
      <c r="B963" s="0" t="s">
        <v>96</v>
      </c>
      <c r="C963" s="0" t="s">
        <v>8798</v>
      </c>
      <c r="D963" s="0" t="s">
        <v>6425</v>
      </c>
      <c r="E963" s="0" t="s">
        <v>8799</v>
      </c>
      <c r="F963" s="0" t="n">
        <v>611</v>
      </c>
      <c r="G963" s="0" t="s">
        <v>277</v>
      </c>
      <c r="H963" s="0" t="s">
        <v>293</v>
      </c>
      <c r="I963" s="0" t="s">
        <v>8800</v>
      </c>
    </row>
    <row r="964" customFormat="false" ht="15" hidden="false" customHeight="false" outlineLevel="0" collapsed="false">
      <c r="A964" s="0" t="n">
        <v>50</v>
      </c>
      <c r="B964" s="0" t="s">
        <v>97</v>
      </c>
      <c r="C964" s="0" t="s">
        <v>8801</v>
      </c>
      <c r="D964" s="0" t="s">
        <v>6416</v>
      </c>
      <c r="E964" s="0" t="s">
        <v>8802</v>
      </c>
      <c r="F964" s="0" t="n">
        <v>340</v>
      </c>
      <c r="G964" s="0" t="s">
        <v>277</v>
      </c>
      <c r="H964" s="0" t="s">
        <v>293</v>
      </c>
      <c r="I964" s="0" t="s">
        <v>8803</v>
      </c>
    </row>
    <row r="965" customFormat="false" ht="15" hidden="false" customHeight="false" outlineLevel="0" collapsed="false">
      <c r="A965" s="0" t="n">
        <v>49</v>
      </c>
      <c r="B965" s="0" t="s">
        <v>96</v>
      </c>
      <c r="C965" s="0" t="s">
        <v>8804</v>
      </c>
      <c r="D965" s="0" t="s">
        <v>6425</v>
      </c>
      <c r="E965" s="0" t="s">
        <v>8805</v>
      </c>
      <c r="F965" s="0" t="n">
        <v>2652</v>
      </c>
      <c r="G965" s="0" t="s">
        <v>277</v>
      </c>
      <c r="H965" s="0" t="s">
        <v>293</v>
      </c>
      <c r="I965" s="0" t="s">
        <v>8806</v>
      </c>
    </row>
    <row r="966" customFormat="false" ht="15" hidden="false" customHeight="false" outlineLevel="0" collapsed="false">
      <c r="A966" s="0" t="n">
        <v>49</v>
      </c>
      <c r="B966" s="0" t="s">
        <v>96</v>
      </c>
      <c r="C966" s="0" t="s">
        <v>8807</v>
      </c>
      <c r="D966" s="0" t="s">
        <v>6416</v>
      </c>
      <c r="E966" s="0" t="s">
        <v>8808</v>
      </c>
      <c r="F966" s="0" t="n">
        <v>1589</v>
      </c>
      <c r="G966" s="0" t="s">
        <v>277</v>
      </c>
      <c r="H966" s="0" t="s">
        <v>293</v>
      </c>
      <c r="I966" s="0" t="s">
        <v>8809</v>
      </c>
    </row>
    <row r="967" customFormat="false" ht="15" hidden="false" customHeight="false" outlineLevel="0" collapsed="false">
      <c r="A967" s="0" t="n">
        <v>50</v>
      </c>
      <c r="B967" s="0" t="s">
        <v>97</v>
      </c>
      <c r="C967" s="0" t="s">
        <v>8810</v>
      </c>
      <c r="D967" s="0" t="s">
        <v>91</v>
      </c>
      <c r="E967" s="0" t="s">
        <v>8811</v>
      </c>
      <c r="F967" s="0" t="n">
        <v>2280</v>
      </c>
      <c r="G967" s="0" t="s">
        <v>277</v>
      </c>
      <c r="H967" s="0" t="s">
        <v>293</v>
      </c>
      <c r="I967" s="0" t="s">
        <v>8812</v>
      </c>
    </row>
    <row r="968" customFormat="false" ht="15" hidden="false" customHeight="false" outlineLevel="0" collapsed="false">
      <c r="A968" s="0" t="n">
        <v>49</v>
      </c>
      <c r="B968" s="0" t="s">
        <v>96</v>
      </c>
      <c r="C968" s="0" t="s">
        <v>8813</v>
      </c>
      <c r="D968" s="0" t="s">
        <v>6416</v>
      </c>
      <c r="E968" s="0" t="s">
        <v>8814</v>
      </c>
      <c r="F968" s="0" t="n">
        <v>3883</v>
      </c>
      <c r="G968" s="0" t="s">
        <v>277</v>
      </c>
      <c r="H968" s="0" t="s">
        <v>293</v>
      </c>
      <c r="I968" s="0" t="s">
        <v>8815</v>
      </c>
    </row>
    <row r="969" customFormat="false" ht="15" hidden="false" customHeight="false" outlineLevel="0" collapsed="false">
      <c r="A969" s="0" t="n">
        <v>50</v>
      </c>
      <c r="B969" s="0" t="s">
        <v>97</v>
      </c>
      <c r="C969" s="0" t="s">
        <v>8816</v>
      </c>
      <c r="D969" s="0" t="s">
        <v>7622</v>
      </c>
      <c r="E969" s="0" t="s">
        <v>8817</v>
      </c>
      <c r="F969" s="0" t="n">
        <v>2144</v>
      </c>
      <c r="G969" s="0" t="s">
        <v>277</v>
      </c>
      <c r="H969" s="0" t="s">
        <v>293</v>
      </c>
      <c r="I969" s="0" t="s">
        <v>8818</v>
      </c>
    </row>
    <row r="970" customFormat="false" ht="15" hidden="false" customHeight="false" outlineLevel="0" collapsed="false">
      <c r="A970" s="0" t="n">
        <v>49</v>
      </c>
      <c r="B970" s="0" t="s">
        <v>96</v>
      </c>
      <c r="C970" s="0" t="s">
        <v>8819</v>
      </c>
      <c r="D970" s="0" t="s">
        <v>35</v>
      </c>
      <c r="E970" s="0" t="s">
        <v>8820</v>
      </c>
      <c r="F970" s="0" t="n">
        <v>1842</v>
      </c>
      <c r="G970" s="0" t="s">
        <v>277</v>
      </c>
      <c r="H970" s="0" t="s">
        <v>293</v>
      </c>
      <c r="I970" s="0" t="s">
        <v>8821</v>
      </c>
    </row>
    <row r="971" customFormat="false" ht="15" hidden="false" customHeight="false" outlineLevel="0" collapsed="false">
      <c r="A971" s="0" t="n">
        <v>49</v>
      </c>
      <c r="B971" s="0" t="s">
        <v>96</v>
      </c>
      <c r="C971" s="0" t="s">
        <v>8822</v>
      </c>
      <c r="D971" s="0" t="s">
        <v>6416</v>
      </c>
      <c r="E971" s="0" t="s">
        <v>8823</v>
      </c>
      <c r="F971" s="0" t="n">
        <v>44805</v>
      </c>
      <c r="G971" s="0" t="s">
        <v>277</v>
      </c>
      <c r="H971" s="0" t="s">
        <v>293</v>
      </c>
      <c r="I971" s="0" t="s">
        <v>8824</v>
      </c>
    </row>
    <row r="972" customFormat="false" ht="15" hidden="false" customHeight="false" outlineLevel="0" collapsed="false">
      <c r="A972" s="0" t="n">
        <v>50</v>
      </c>
      <c r="B972" s="0" t="s">
        <v>97</v>
      </c>
      <c r="C972" s="0" t="s">
        <v>8825</v>
      </c>
      <c r="D972" s="0" t="s">
        <v>35</v>
      </c>
      <c r="E972" s="0" t="s">
        <v>8826</v>
      </c>
      <c r="F972" s="0" t="n">
        <v>462</v>
      </c>
      <c r="G972" s="0" t="s">
        <v>277</v>
      </c>
      <c r="H972" s="0" t="s">
        <v>293</v>
      </c>
      <c r="I972" s="0" t="s">
        <v>8827</v>
      </c>
    </row>
    <row r="973" customFormat="false" ht="15" hidden="false" customHeight="false" outlineLevel="0" collapsed="false">
      <c r="A973" s="0" t="n">
        <v>51</v>
      </c>
      <c r="B973" s="0" t="s">
        <v>99</v>
      </c>
      <c r="C973" s="0" t="s">
        <v>8828</v>
      </c>
      <c r="D973" s="0" t="s">
        <v>6560</v>
      </c>
      <c r="E973" s="0" t="s">
        <v>8829</v>
      </c>
      <c r="F973" s="0" t="n">
        <v>343</v>
      </c>
      <c r="G973" s="0" t="s">
        <v>277</v>
      </c>
      <c r="H973" s="0" t="s">
        <v>293</v>
      </c>
      <c r="I973" s="0" t="s">
        <v>8830</v>
      </c>
    </row>
    <row r="974" customFormat="false" ht="15" hidden="false" customHeight="false" outlineLevel="0" collapsed="false">
      <c r="A974" s="0" t="n">
        <v>49</v>
      </c>
      <c r="B974" s="0" t="s">
        <v>96</v>
      </c>
      <c r="C974" s="0" t="s">
        <v>8831</v>
      </c>
      <c r="D974" s="0" t="s">
        <v>35</v>
      </c>
      <c r="E974" s="0" t="s">
        <v>8832</v>
      </c>
      <c r="F974" s="0" t="n">
        <v>725</v>
      </c>
      <c r="G974" s="0" t="s">
        <v>277</v>
      </c>
      <c r="H974" s="0" t="s">
        <v>293</v>
      </c>
      <c r="I974" s="0" t="s">
        <v>8833</v>
      </c>
    </row>
    <row r="975" customFormat="false" ht="15" hidden="false" customHeight="false" outlineLevel="0" collapsed="false">
      <c r="A975" s="0" t="n">
        <v>51</v>
      </c>
      <c r="B975" s="0" t="s">
        <v>99</v>
      </c>
      <c r="C975" s="0" t="s">
        <v>8834</v>
      </c>
      <c r="D975" s="0" t="s">
        <v>500</v>
      </c>
      <c r="F975" s="0" t="n">
        <v>3507</v>
      </c>
      <c r="G975" s="0" t="s">
        <v>277</v>
      </c>
      <c r="H975" s="0" t="s">
        <v>293</v>
      </c>
      <c r="I975" s="0" t="s">
        <v>8835</v>
      </c>
    </row>
    <row r="976" customFormat="false" ht="15" hidden="false" customHeight="false" outlineLevel="0" collapsed="false">
      <c r="A976" s="0" t="n">
        <v>51</v>
      </c>
      <c r="B976" s="0" t="s">
        <v>99</v>
      </c>
      <c r="C976" s="0" t="s">
        <v>8836</v>
      </c>
      <c r="D976" s="0" t="s">
        <v>6560</v>
      </c>
      <c r="E976" s="0" t="s">
        <v>8837</v>
      </c>
      <c r="F976" s="0" t="n">
        <v>496</v>
      </c>
      <c r="G976" s="0" t="s">
        <v>277</v>
      </c>
      <c r="H976" s="0" t="s">
        <v>293</v>
      </c>
      <c r="I976" s="0" t="s">
        <v>8838</v>
      </c>
    </row>
    <row r="977" customFormat="false" ht="15" hidden="false" customHeight="false" outlineLevel="0" collapsed="false">
      <c r="A977" s="0" t="n">
        <v>49</v>
      </c>
      <c r="B977" s="0" t="s">
        <v>96</v>
      </c>
      <c r="C977" s="0" t="s">
        <v>8839</v>
      </c>
      <c r="D977" s="0" t="s">
        <v>6416</v>
      </c>
      <c r="E977" s="0" t="s">
        <v>8749</v>
      </c>
      <c r="F977" s="0" t="n">
        <v>3004</v>
      </c>
      <c r="G977" s="0" t="s">
        <v>277</v>
      </c>
      <c r="H977" s="0" t="s">
        <v>293</v>
      </c>
      <c r="I977" s="0" t="s">
        <v>8840</v>
      </c>
    </row>
    <row r="978" customFormat="false" ht="15" hidden="false" customHeight="false" outlineLevel="0" collapsed="false">
      <c r="A978" s="0" t="n">
        <v>51</v>
      </c>
      <c r="B978" s="0" t="s">
        <v>99</v>
      </c>
      <c r="C978" s="0" t="s">
        <v>8841</v>
      </c>
      <c r="D978" s="0" t="s">
        <v>6560</v>
      </c>
      <c r="E978" s="0" t="s">
        <v>8842</v>
      </c>
      <c r="F978" s="0" t="n">
        <v>584</v>
      </c>
      <c r="G978" s="0" t="s">
        <v>277</v>
      </c>
      <c r="H978" s="0" t="s">
        <v>293</v>
      </c>
      <c r="I978" s="0" t="s">
        <v>8843</v>
      </c>
    </row>
    <row r="979" customFormat="false" ht="15" hidden="false" customHeight="false" outlineLevel="0" collapsed="false">
      <c r="A979" s="0" t="n">
        <v>51</v>
      </c>
      <c r="B979" s="0" t="s">
        <v>99</v>
      </c>
      <c r="C979" s="0" t="s">
        <v>8844</v>
      </c>
      <c r="D979" s="0" t="s">
        <v>6560</v>
      </c>
      <c r="E979" s="0" t="s">
        <v>8845</v>
      </c>
      <c r="F979" s="0" t="n">
        <v>664</v>
      </c>
      <c r="G979" s="0" t="s">
        <v>277</v>
      </c>
      <c r="H979" s="0" t="s">
        <v>293</v>
      </c>
      <c r="I979" s="0" t="s">
        <v>8846</v>
      </c>
    </row>
    <row r="980" customFormat="false" ht="15" hidden="false" customHeight="false" outlineLevel="0" collapsed="false">
      <c r="A980" s="0" t="n">
        <v>51</v>
      </c>
      <c r="B980" s="0" t="s">
        <v>99</v>
      </c>
      <c r="C980" s="0" t="s">
        <v>8847</v>
      </c>
      <c r="D980" s="0" t="s">
        <v>6425</v>
      </c>
      <c r="E980" s="0" t="s">
        <v>8848</v>
      </c>
      <c r="F980" s="0" t="n">
        <v>432</v>
      </c>
      <c r="G980" s="0" t="s">
        <v>277</v>
      </c>
      <c r="H980" s="0" t="s">
        <v>293</v>
      </c>
      <c r="I980" s="0" t="s">
        <v>8849</v>
      </c>
    </row>
    <row r="981" customFormat="false" ht="15" hidden="false" customHeight="false" outlineLevel="0" collapsed="false">
      <c r="A981" s="0" t="n">
        <v>49</v>
      </c>
      <c r="B981" s="0" t="s">
        <v>96</v>
      </c>
      <c r="C981" s="0" t="s">
        <v>8850</v>
      </c>
      <c r="D981" s="0" t="s">
        <v>6416</v>
      </c>
      <c r="E981" s="0" t="s">
        <v>8851</v>
      </c>
      <c r="F981" s="0" t="n">
        <v>3764</v>
      </c>
      <c r="G981" s="0" t="s">
        <v>277</v>
      </c>
      <c r="H981" s="0" t="s">
        <v>293</v>
      </c>
      <c r="I981" s="0" t="s">
        <v>8852</v>
      </c>
    </row>
    <row r="982" customFormat="false" ht="15" hidden="false" customHeight="false" outlineLevel="0" collapsed="false">
      <c r="A982" s="0" t="n">
        <v>51</v>
      </c>
      <c r="B982" s="0" t="s">
        <v>99</v>
      </c>
      <c r="C982" s="0" t="s">
        <v>8853</v>
      </c>
      <c r="D982" s="0" t="s">
        <v>6425</v>
      </c>
      <c r="E982" s="0" t="s">
        <v>8854</v>
      </c>
      <c r="F982" s="0" t="n">
        <v>684</v>
      </c>
      <c r="G982" s="0" t="s">
        <v>277</v>
      </c>
      <c r="H982" s="0" t="s">
        <v>293</v>
      </c>
      <c r="I982" s="0" t="s">
        <v>8855</v>
      </c>
    </row>
    <row r="983" customFormat="false" ht="15" hidden="false" customHeight="false" outlineLevel="0" collapsed="false">
      <c r="A983" s="0" t="n">
        <v>51</v>
      </c>
      <c r="B983" s="0" t="s">
        <v>99</v>
      </c>
      <c r="C983" s="0" t="s">
        <v>8856</v>
      </c>
      <c r="D983" s="0" t="s">
        <v>500</v>
      </c>
      <c r="F983" s="0" t="n">
        <v>2228</v>
      </c>
      <c r="G983" s="0" t="s">
        <v>277</v>
      </c>
      <c r="H983" s="0" t="s">
        <v>293</v>
      </c>
      <c r="I983" s="0" t="s">
        <v>8857</v>
      </c>
    </row>
    <row r="984" customFormat="false" ht="15" hidden="false" customHeight="false" outlineLevel="0" collapsed="false">
      <c r="A984" s="0" t="n">
        <v>49</v>
      </c>
      <c r="B984" s="0" t="s">
        <v>96</v>
      </c>
      <c r="C984" s="0" t="s">
        <v>8858</v>
      </c>
      <c r="D984" s="0" t="s">
        <v>6425</v>
      </c>
      <c r="E984" s="0" t="s">
        <v>8859</v>
      </c>
      <c r="F984" s="0" t="n">
        <v>2322</v>
      </c>
      <c r="G984" s="0" t="s">
        <v>277</v>
      </c>
      <c r="H984" s="0" t="s">
        <v>293</v>
      </c>
      <c r="I984" s="0" t="s">
        <v>8860</v>
      </c>
    </row>
    <row r="985" customFormat="false" ht="15" hidden="false" customHeight="false" outlineLevel="0" collapsed="false">
      <c r="A985" s="0" t="n">
        <v>51</v>
      </c>
      <c r="B985" s="0" t="s">
        <v>99</v>
      </c>
      <c r="C985" s="0" t="s">
        <v>8861</v>
      </c>
      <c r="D985" s="0" t="s">
        <v>6416</v>
      </c>
      <c r="F985" s="0" t="n">
        <v>8070</v>
      </c>
      <c r="G985" s="0" t="s">
        <v>277</v>
      </c>
      <c r="H985" s="0" t="s">
        <v>293</v>
      </c>
      <c r="I985" s="0" t="s">
        <v>8862</v>
      </c>
    </row>
    <row r="986" customFormat="false" ht="15" hidden="false" customHeight="false" outlineLevel="0" collapsed="false">
      <c r="A986" s="0" t="n">
        <v>51</v>
      </c>
      <c r="B986" s="0" t="s">
        <v>99</v>
      </c>
      <c r="C986" s="0" t="s">
        <v>8863</v>
      </c>
      <c r="D986" s="0" t="s">
        <v>6560</v>
      </c>
      <c r="E986" s="0" t="s">
        <v>8864</v>
      </c>
      <c r="F986" s="0" t="n">
        <v>1389</v>
      </c>
      <c r="G986" s="0" t="s">
        <v>277</v>
      </c>
      <c r="H986" s="0" t="s">
        <v>293</v>
      </c>
      <c r="I986" s="0" t="s">
        <v>8865</v>
      </c>
    </row>
    <row r="987" customFormat="false" ht="15" hidden="false" customHeight="false" outlineLevel="0" collapsed="false">
      <c r="A987" s="0" t="n">
        <v>50</v>
      </c>
      <c r="B987" s="0" t="s">
        <v>97</v>
      </c>
      <c r="C987" s="0" t="s">
        <v>8866</v>
      </c>
      <c r="D987" s="0" t="s">
        <v>6416</v>
      </c>
      <c r="E987" s="0" t="s">
        <v>8867</v>
      </c>
      <c r="F987" s="0" t="n">
        <v>375</v>
      </c>
      <c r="G987" s="0" t="s">
        <v>277</v>
      </c>
      <c r="H987" s="0" t="s">
        <v>293</v>
      </c>
      <c r="I987" s="0" t="s">
        <v>8868</v>
      </c>
    </row>
    <row r="988" customFormat="false" ht="15" hidden="false" customHeight="false" outlineLevel="0" collapsed="false">
      <c r="A988" s="0" t="n">
        <v>51</v>
      </c>
      <c r="B988" s="0" t="s">
        <v>99</v>
      </c>
      <c r="C988" s="0" t="s">
        <v>8869</v>
      </c>
      <c r="D988" s="0" t="s">
        <v>6560</v>
      </c>
      <c r="E988" s="0" t="s">
        <v>8870</v>
      </c>
      <c r="F988" s="0" t="n">
        <v>1814</v>
      </c>
      <c r="G988" s="0" t="s">
        <v>277</v>
      </c>
      <c r="H988" s="0" t="s">
        <v>293</v>
      </c>
      <c r="I988" s="0" t="s">
        <v>8871</v>
      </c>
    </row>
    <row r="989" customFormat="false" ht="15" hidden="false" customHeight="false" outlineLevel="0" collapsed="false">
      <c r="A989" s="0" t="n">
        <v>49</v>
      </c>
      <c r="B989" s="0" t="s">
        <v>96</v>
      </c>
      <c r="C989" s="0" t="s">
        <v>8872</v>
      </c>
      <c r="D989" s="0" t="s">
        <v>35</v>
      </c>
      <c r="E989" s="0" t="s">
        <v>8873</v>
      </c>
      <c r="F989" s="0" t="n">
        <v>806</v>
      </c>
      <c r="G989" s="0" t="s">
        <v>277</v>
      </c>
      <c r="H989" s="0" t="s">
        <v>293</v>
      </c>
      <c r="I989" s="0" t="s">
        <v>8874</v>
      </c>
    </row>
    <row r="990" customFormat="false" ht="15" hidden="false" customHeight="false" outlineLevel="0" collapsed="false">
      <c r="A990" s="0" t="n">
        <v>51</v>
      </c>
      <c r="B990" s="0" t="s">
        <v>99</v>
      </c>
      <c r="C990" s="0" t="s">
        <v>8875</v>
      </c>
      <c r="D990" s="0" t="s">
        <v>6416</v>
      </c>
      <c r="F990" s="0" t="n">
        <v>2742</v>
      </c>
      <c r="G990" s="0" t="s">
        <v>277</v>
      </c>
      <c r="H990" s="0" t="s">
        <v>293</v>
      </c>
      <c r="I990" s="0" t="s">
        <v>8876</v>
      </c>
    </row>
    <row r="991" customFormat="false" ht="15" hidden="false" customHeight="false" outlineLevel="0" collapsed="false">
      <c r="A991" s="0" t="n">
        <v>51</v>
      </c>
      <c r="B991" s="0" t="s">
        <v>99</v>
      </c>
      <c r="C991" s="0" t="s">
        <v>8877</v>
      </c>
      <c r="D991" s="0" t="s">
        <v>6416</v>
      </c>
      <c r="F991" s="0" t="n">
        <v>5555</v>
      </c>
      <c r="G991" s="0" t="s">
        <v>277</v>
      </c>
      <c r="H991" s="0" t="s">
        <v>293</v>
      </c>
      <c r="I991" s="0" t="s">
        <v>8878</v>
      </c>
    </row>
    <row r="992" customFormat="false" ht="15" hidden="false" customHeight="false" outlineLevel="0" collapsed="false">
      <c r="A992" s="0" t="n">
        <v>50</v>
      </c>
      <c r="B992" s="0" t="s">
        <v>97</v>
      </c>
      <c r="C992" s="0" t="s">
        <v>8879</v>
      </c>
      <c r="D992" s="0" t="s">
        <v>6416</v>
      </c>
      <c r="E992" s="0" t="s">
        <v>8880</v>
      </c>
      <c r="F992" s="0" t="n">
        <v>4116</v>
      </c>
      <c r="G992" s="0" t="s">
        <v>277</v>
      </c>
      <c r="H992" s="0" t="s">
        <v>293</v>
      </c>
      <c r="I992" s="0" t="s">
        <v>8881</v>
      </c>
    </row>
    <row r="993" customFormat="false" ht="15" hidden="false" customHeight="false" outlineLevel="0" collapsed="false">
      <c r="A993" s="0" t="n">
        <v>49</v>
      </c>
      <c r="B993" s="0" t="s">
        <v>96</v>
      </c>
      <c r="C993" s="0" t="s">
        <v>8882</v>
      </c>
      <c r="D993" s="0" t="s">
        <v>6416</v>
      </c>
      <c r="E993" s="0" t="s">
        <v>8883</v>
      </c>
      <c r="F993" s="0" t="n">
        <v>441</v>
      </c>
      <c r="G993" s="0" t="s">
        <v>277</v>
      </c>
      <c r="H993" s="0" t="s">
        <v>293</v>
      </c>
      <c r="I993" s="0" t="s">
        <v>8884</v>
      </c>
    </row>
    <row r="994" customFormat="false" ht="15" hidden="false" customHeight="false" outlineLevel="0" collapsed="false">
      <c r="A994" s="0" t="n">
        <v>51</v>
      </c>
      <c r="B994" s="0" t="s">
        <v>99</v>
      </c>
      <c r="C994" s="0" t="s">
        <v>8885</v>
      </c>
      <c r="D994" s="0" t="s">
        <v>6425</v>
      </c>
      <c r="F994" s="0" t="n">
        <v>5145</v>
      </c>
      <c r="G994" s="0" t="s">
        <v>277</v>
      </c>
      <c r="H994" s="0" t="s">
        <v>293</v>
      </c>
      <c r="I994" s="0" t="s">
        <v>8886</v>
      </c>
    </row>
    <row r="995" customFormat="false" ht="15" hidden="false" customHeight="false" outlineLevel="0" collapsed="false">
      <c r="A995" s="0" t="n">
        <v>44</v>
      </c>
      <c r="B995" s="0" t="s">
        <v>88</v>
      </c>
      <c r="C995" s="0" t="s">
        <v>8887</v>
      </c>
      <c r="D995" s="0" t="s">
        <v>35</v>
      </c>
      <c r="E995" s="0" t="s">
        <v>8595</v>
      </c>
      <c r="F995" s="0" t="n">
        <v>590</v>
      </c>
      <c r="G995" s="0" t="s">
        <v>277</v>
      </c>
      <c r="H995" s="0" t="s">
        <v>293</v>
      </c>
      <c r="I995" s="0" t="s">
        <v>8596</v>
      </c>
    </row>
    <row r="996" customFormat="false" ht="15" hidden="false" customHeight="false" outlineLevel="0" collapsed="false">
      <c r="A996" s="0" t="n">
        <v>51</v>
      </c>
      <c r="B996" s="0" t="s">
        <v>99</v>
      </c>
      <c r="C996" s="0" t="s">
        <v>8888</v>
      </c>
      <c r="D996" s="0" t="s">
        <v>6416</v>
      </c>
      <c r="F996" s="0" t="n">
        <v>2287</v>
      </c>
      <c r="G996" s="0" t="s">
        <v>277</v>
      </c>
      <c r="H996" s="0" t="s">
        <v>293</v>
      </c>
      <c r="I996" s="0" t="s">
        <v>8889</v>
      </c>
    </row>
    <row r="997" customFormat="false" ht="15" hidden="false" customHeight="false" outlineLevel="0" collapsed="false">
      <c r="A997" s="0" t="n">
        <v>50</v>
      </c>
      <c r="B997" s="0" t="s">
        <v>97</v>
      </c>
      <c r="C997" s="0" t="s">
        <v>8890</v>
      </c>
      <c r="D997" s="0" t="s">
        <v>6416</v>
      </c>
      <c r="E997" s="0" t="s">
        <v>8891</v>
      </c>
      <c r="F997" s="0" t="n">
        <v>609</v>
      </c>
      <c r="G997" s="0" t="s">
        <v>277</v>
      </c>
      <c r="H997" s="0" t="s">
        <v>293</v>
      </c>
      <c r="I997" s="0" t="s">
        <v>8892</v>
      </c>
    </row>
    <row r="998" customFormat="false" ht="15" hidden="false" customHeight="false" outlineLevel="0" collapsed="false">
      <c r="A998" s="0" t="n">
        <v>44</v>
      </c>
      <c r="B998" s="0" t="s">
        <v>88</v>
      </c>
      <c r="C998" s="0" t="s">
        <v>8893</v>
      </c>
      <c r="D998" s="0" t="s">
        <v>35</v>
      </c>
      <c r="E998" s="0" t="s">
        <v>8894</v>
      </c>
      <c r="F998" s="0" t="n">
        <v>588</v>
      </c>
      <c r="G998" s="0" t="s">
        <v>277</v>
      </c>
      <c r="H998" s="0" t="s">
        <v>293</v>
      </c>
      <c r="I998" s="0" t="s">
        <v>8596</v>
      </c>
    </row>
    <row r="999" customFormat="false" ht="15" hidden="false" customHeight="false" outlineLevel="0" collapsed="false">
      <c r="A999" s="0" t="n">
        <v>51</v>
      </c>
      <c r="B999" s="0" t="s">
        <v>99</v>
      </c>
      <c r="C999" s="0" t="s">
        <v>8895</v>
      </c>
      <c r="D999" s="0" t="s">
        <v>500</v>
      </c>
      <c r="F999" s="0" t="n">
        <v>4548</v>
      </c>
      <c r="G999" s="0" t="s">
        <v>277</v>
      </c>
      <c r="H999" s="0" t="s">
        <v>293</v>
      </c>
      <c r="I999" s="0" t="s">
        <v>8896</v>
      </c>
    </row>
    <row r="1000" customFormat="false" ht="15" hidden="false" customHeight="false" outlineLevel="0" collapsed="false">
      <c r="A1000" s="0" t="n">
        <v>44</v>
      </c>
      <c r="B1000" s="0" t="s">
        <v>88</v>
      </c>
      <c r="C1000" s="0" t="s">
        <v>8897</v>
      </c>
      <c r="D1000" s="0" t="s">
        <v>35</v>
      </c>
      <c r="E1000" s="0" t="s">
        <v>8898</v>
      </c>
      <c r="F1000" s="0" t="n">
        <v>587</v>
      </c>
      <c r="G1000" s="0" t="s">
        <v>277</v>
      </c>
      <c r="H1000" s="0" t="s">
        <v>293</v>
      </c>
      <c r="I1000" s="0" t="s">
        <v>8596</v>
      </c>
    </row>
    <row r="1001" customFormat="false" ht="15" hidden="false" customHeight="false" outlineLevel="0" collapsed="false">
      <c r="A1001" s="0" t="n">
        <v>51</v>
      </c>
      <c r="B1001" s="0" t="s">
        <v>99</v>
      </c>
      <c r="C1001" s="0" t="s">
        <v>8899</v>
      </c>
      <c r="D1001" s="0" t="s">
        <v>6560</v>
      </c>
      <c r="E1001" s="0" t="s">
        <v>8900</v>
      </c>
      <c r="F1001" s="0" t="n">
        <v>515</v>
      </c>
      <c r="G1001" s="0" t="s">
        <v>277</v>
      </c>
      <c r="H1001" s="0" t="s">
        <v>293</v>
      </c>
      <c r="I1001" s="0" t="s">
        <v>8901</v>
      </c>
    </row>
    <row r="1002" customFormat="false" ht="15" hidden="false" customHeight="false" outlineLevel="0" collapsed="false">
      <c r="A1002" s="0" t="n">
        <v>49</v>
      </c>
      <c r="B1002" s="0" t="s">
        <v>96</v>
      </c>
      <c r="C1002" s="0" t="s">
        <v>8902</v>
      </c>
      <c r="D1002" s="0" t="s">
        <v>35</v>
      </c>
      <c r="E1002" s="0" t="s">
        <v>8903</v>
      </c>
      <c r="F1002" s="0" t="n">
        <v>954</v>
      </c>
      <c r="G1002" s="0" t="s">
        <v>277</v>
      </c>
      <c r="H1002" s="0" t="s">
        <v>293</v>
      </c>
      <c r="I1002" s="0" t="s">
        <v>8904</v>
      </c>
    </row>
    <row r="1003" customFormat="false" ht="15" hidden="false" customHeight="false" outlineLevel="0" collapsed="false">
      <c r="A1003" s="0" t="n">
        <v>44</v>
      </c>
      <c r="B1003" s="0" t="s">
        <v>88</v>
      </c>
      <c r="C1003" s="0" t="s">
        <v>8905</v>
      </c>
      <c r="D1003" s="0" t="s">
        <v>35</v>
      </c>
      <c r="E1003" s="0" t="s">
        <v>8906</v>
      </c>
      <c r="F1003" s="0" t="n">
        <v>587</v>
      </c>
      <c r="G1003" s="0" t="s">
        <v>277</v>
      </c>
      <c r="H1003" s="0" t="s">
        <v>293</v>
      </c>
      <c r="I1003" s="0" t="s">
        <v>8596</v>
      </c>
    </row>
    <row r="1004" customFormat="false" ht="15" hidden="false" customHeight="false" outlineLevel="0" collapsed="false">
      <c r="A1004" s="0" t="n">
        <v>51</v>
      </c>
      <c r="B1004" s="0" t="s">
        <v>99</v>
      </c>
      <c r="C1004" s="0" t="s">
        <v>8907</v>
      </c>
      <c r="D1004" s="0" t="s">
        <v>6425</v>
      </c>
      <c r="F1004" s="0" t="n">
        <v>3218</v>
      </c>
      <c r="G1004" s="0" t="s">
        <v>277</v>
      </c>
      <c r="H1004" s="0" t="s">
        <v>293</v>
      </c>
      <c r="I1004" s="0" t="s">
        <v>8908</v>
      </c>
    </row>
    <row r="1005" customFormat="false" ht="15" hidden="false" customHeight="false" outlineLevel="0" collapsed="false">
      <c r="A1005" s="0" t="n">
        <v>50</v>
      </c>
      <c r="B1005" s="0" t="s">
        <v>97</v>
      </c>
      <c r="C1005" s="0" t="s">
        <v>8909</v>
      </c>
      <c r="D1005" s="0" t="s">
        <v>91</v>
      </c>
      <c r="E1005" s="0" t="s">
        <v>8910</v>
      </c>
      <c r="F1005" s="0" t="n">
        <v>1420</v>
      </c>
      <c r="G1005" s="0" t="s">
        <v>277</v>
      </c>
      <c r="H1005" s="0" t="s">
        <v>293</v>
      </c>
      <c r="I1005" s="0" t="s">
        <v>8911</v>
      </c>
    </row>
    <row r="1006" customFormat="false" ht="15" hidden="false" customHeight="false" outlineLevel="0" collapsed="false">
      <c r="A1006" s="0" t="n">
        <v>51</v>
      </c>
      <c r="B1006" s="0" t="s">
        <v>99</v>
      </c>
      <c r="C1006" s="0" t="s">
        <v>8912</v>
      </c>
      <c r="D1006" s="0" t="s">
        <v>7622</v>
      </c>
      <c r="F1006" s="0" t="n">
        <v>1104</v>
      </c>
      <c r="G1006" s="0" t="s">
        <v>277</v>
      </c>
      <c r="H1006" s="0" t="s">
        <v>293</v>
      </c>
      <c r="I1006" s="0" t="s">
        <v>8913</v>
      </c>
    </row>
    <row r="1007" customFormat="false" ht="15" hidden="false" customHeight="false" outlineLevel="0" collapsed="false">
      <c r="A1007" s="0" t="n">
        <v>44</v>
      </c>
      <c r="B1007" s="0" t="s">
        <v>88</v>
      </c>
      <c r="C1007" s="0" t="s">
        <v>8914</v>
      </c>
      <c r="D1007" s="0" t="s">
        <v>35</v>
      </c>
      <c r="E1007" s="0" t="s">
        <v>8915</v>
      </c>
      <c r="F1007" s="0" t="n">
        <v>587</v>
      </c>
      <c r="G1007" s="0" t="s">
        <v>277</v>
      </c>
      <c r="H1007" s="0" t="s">
        <v>293</v>
      </c>
      <c r="I1007" s="0" t="s">
        <v>8596</v>
      </c>
    </row>
    <row r="1008" customFormat="false" ht="15" hidden="false" customHeight="false" outlineLevel="0" collapsed="false">
      <c r="A1008" s="0" t="n">
        <v>50</v>
      </c>
      <c r="B1008" s="0" t="s">
        <v>97</v>
      </c>
      <c r="C1008" s="0" t="s">
        <v>8916</v>
      </c>
      <c r="D1008" s="0" t="s">
        <v>6416</v>
      </c>
      <c r="E1008" s="0" t="s">
        <v>8917</v>
      </c>
      <c r="F1008" s="0" t="n">
        <v>444</v>
      </c>
      <c r="G1008" s="0" t="s">
        <v>277</v>
      </c>
      <c r="H1008" s="0" t="s">
        <v>293</v>
      </c>
      <c r="I1008" s="0" t="s">
        <v>8918</v>
      </c>
    </row>
    <row r="1009" customFormat="false" ht="15" hidden="false" customHeight="false" outlineLevel="0" collapsed="false">
      <c r="A1009" s="0" t="n">
        <v>44</v>
      </c>
      <c r="B1009" s="0" t="s">
        <v>88</v>
      </c>
      <c r="C1009" s="0" t="s">
        <v>8919</v>
      </c>
      <c r="D1009" s="0" t="s">
        <v>35</v>
      </c>
      <c r="E1009" s="0" t="s">
        <v>8920</v>
      </c>
      <c r="F1009" s="0" t="n">
        <v>588</v>
      </c>
      <c r="G1009" s="0" t="s">
        <v>277</v>
      </c>
      <c r="H1009" s="0" t="s">
        <v>293</v>
      </c>
      <c r="I1009" s="0" t="s">
        <v>8596</v>
      </c>
    </row>
    <row r="1010" customFormat="false" ht="15" hidden="false" customHeight="false" outlineLevel="0" collapsed="false">
      <c r="A1010" s="0" t="n">
        <v>51</v>
      </c>
      <c r="B1010" s="0" t="s">
        <v>99</v>
      </c>
      <c r="C1010" s="0" t="s">
        <v>8921</v>
      </c>
      <c r="D1010" s="0" t="s">
        <v>6416</v>
      </c>
      <c r="E1010" s="0" t="s">
        <v>8922</v>
      </c>
      <c r="F1010" s="0" t="n">
        <v>4609</v>
      </c>
      <c r="G1010" s="0" t="s">
        <v>277</v>
      </c>
      <c r="H1010" s="0" t="s">
        <v>293</v>
      </c>
      <c r="I1010" s="0" t="s">
        <v>8923</v>
      </c>
    </row>
    <row r="1011" customFormat="false" ht="15" hidden="false" customHeight="false" outlineLevel="0" collapsed="false">
      <c r="A1011" s="0" t="n">
        <v>49</v>
      </c>
      <c r="B1011" s="0" t="s">
        <v>96</v>
      </c>
      <c r="C1011" s="0" t="s">
        <v>8924</v>
      </c>
      <c r="D1011" s="0" t="s">
        <v>6425</v>
      </c>
      <c r="E1011" s="0" t="s">
        <v>8925</v>
      </c>
      <c r="F1011" s="0" t="n">
        <v>2193</v>
      </c>
      <c r="G1011" s="0" t="s">
        <v>277</v>
      </c>
      <c r="H1011" s="0" t="s">
        <v>293</v>
      </c>
      <c r="I1011" s="0" t="s">
        <v>8926</v>
      </c>
    </row>
    <row r="1012" customFormat="false" ht="15" hidden="false" customHeight="false" outlineLevel="0" collapsed="false">
      <c r="A1012" s="0" t="n">
        <v>51</v>
      </c>
      <c r="B1012" s="0" t="s">
        <v>99</v>
      </c>
      <c r="C1012" s="0" t="s">
        <v>8927</v>
      </c>
      <c r="D1012" s="0" t="s">
        <v>6560</v>
      </c>
      <c r="E1012" s="0" t="s">
        <v>8928</v>
      </c>
      <c r="F1012" s="0" t="n">
        <v>3953</v>
      </c>
      <c r="G1012" s="0" t="s">
        <v>277</v>
      </c>
      <c r="H1012" s="0" t="s">
        <v>293</v>
      </c>
      <c r="I1012" s="0" t="s">
        <v>8929</v>
      </c>
    </row>
    <row r="1013" customFormat="false" ht="15" hidden="false" customHeight="false" outlineLevel="0" collapsed="false">
      <c r="A1013" s="0" t="n">
        <v>44</v>
      </c>
      <c r="B1013" s="0" t="s">
        <v>88</v>
      </c>
      <c r="C1013" s="0" t="s">
        <v>8930</v>
      </c>
      <c r="D1013" s="0" t="s">
        <v>35</v>
      </c>
      <c r="E1013" s="0" t="s">
        <v>8931</v>
      </c>
      <c r="F1013" s="0" t="n">
        <v>588</v>
      </c>
      <c r="G1013" s="0" t="s">
        <v>277</v>
      </c>
      <c r="H1013" s="0" t="s">
        <v>293</v>
      </c>
      <c r="I1013" s="0" t="s">
        <v>8596</v>
      </c>
    </row>
    <row r="1014" customFormat="false" ht="15" hidden="false" customHeight="false" outlineLevel="0" collapsed="false">
      <c r="A1014" s="0" t="n">
        <v>51</v>
      </c>
      <c r="B1014" s="0" t="s">
        <v>99</v>
      </c>
      <c r="C1014" s="0" t="s">
        <v>8932</v>
      </c>
      <c r="D1014" s="0" t="s">
        <v>6560</v>
      </c>
      <c r="E1014" s="0" t="s">
        <v>8933</v>
      </c>
      <c r="F1014" s="0" t="n">
        <v>417</v>
      </c>
      <c r="G1014" s="0" t="s">
        <v>277</v>
      </c>
      <c r="H1014" s="0" t="s">
        <v>293</v>
      </c>
      <c r="I1014" s="0" t="s">
        <v>8934</v>
      </c>
    </row>
    <row r="1015" customFormat="false" ht="15" hidden="false" customHeight="false" outlineLevel="0" collapsed="false">
      <c r="A1015" s="0" t="n">
        <v>44</v>
      </c>
      <c r="B1015" s="0" t="s">
        <v>88</v>
      </c>
      <c r="C1015" s="0" t="s">
        <v>8935</v>
      </c>
      <c r="D1015" s="0" t="s">
        <v>35</v>
      </c>
      <c r="E1015" s="0" t="s">
        <v>8936</v>
      </c>
      <c r="F1015" s="0" t="n">
        <v>598</v>
      </c>
      <c r="G1015" s="0" t="s">
        <v>277</v>
      </c>
      <c r="H1015" s="0" t="s">
        <v>293</v>
      </c>
      <c r="I1015" s="0" t="s">
        <v>8596</v>
      </c>
    </row>
    <row r="1016" customFormat="false" ht="15" hidden="false" customHeight="false" outlineLevel="0" collapsed="false">
      <c r="A1016" s="0" t="n">
        <v>51</v>
      </c>
      <c r="B1016" s="0" t="s">
        <v>99</v>
      </c>
      <c r="C1016" s="0" t="s">
        <v>8937</v>
      </c>
      <c r="D1016" s="0" t="s">
        <v>91</v>
      </c>
      <c r="F1016" s="0" t="n">
        <v>1139</v>
      </c>
      <c r="G1016" s="0" t="s">
        <v>277</v>
      </c>
      <c r="H1016" s="0" t="s">
        <v>293</v>
      </c>
      <c r="I1016" s="0" t="s">
        <v>8938</v>
      </c>
    </row>
    <row r="1017" customFormat="false" ht="15" hidden="false" customHeight="false" outlineLevel="0" collapsed="false">
      <c r="A1017" s="0" t="n">
        <v>49</v>
      </c>
      <c r="B1017" s="0" t="s">
        <v>96</v>
      </c>
      <c r="C1017" s="0" t="s">
        <v>8939</v>
      </c>
      <c r="D1017" s="0" t="s">
        <v>91</v>
      </c>
      <c r="E1017" s="0" t="s">
        <v>8940</v>
      </c>
      <c r="F1017" s="0" t="n">
        <v>2329</v>
      </c>
      <c r="G1017" s="0" t="s">
        <v>277</v>
      </c>
      <c r="H1017" s="0" t="s">
        <v>293</v>
      </c>
      <c r="I1017" s="0" t="s">
        <v>8941</v>
      </c>
    </row>
    <row r="1018" customFormat="false" ht="15" hidden="false" customHeight="false" outlineLevel="0" collapsed="false">
      <c r="A1018" s="0" t="n">
        <v>44</v>
      </c>
      <c r="B1018" s="0" t="s">
        <v>88</v>
      </c>
      <c r="C1018" s="0" t="s">
        <v>8942</v>
      </c>
      <c r="D1018" s="0" t="s">
        <v>35</v>
      </c>
      <c r="E1018" s="0" t="s">
        <v>8943</v>
      </c>
      <c r="F1018" s="0" t="n">
        <v>588</v>
      </c>
      <c r="G1018" s="0" t="s">
        <v>277</v>
      </c>
      <c r="H1018" s="0" t="s">
        <v>293</v>
      </c>
      <c r="I1018" s="0" t="s">
        <v>8596</v>
      </c>
    </row>
    <row r="1019" customFormat="false" ht="15" hidden="false" customHeight="false" outlineLevel="0" collapsed="false">
      <c r="A1019" s="0" t="n">
        <v>51</v>
      </c>
      <c r="B1019" s="0" t="s">
        <v>99</v>
      </c>
      <c r="C1019" s="0" t="s">
        <v>8944</v>
      </c>
      <c r="D1019" s="0" t="s">
        <v>6560</v>
      </c>
      <c r="E1019" s="0" t="s">
        <v>8945</v>
      </c>
      <c r="F1019" s="0" t="n">
        <v>355</v>
      </c>
      <c r="G1019" s="0" t="s">
        <v>277</v>
      </c>
      <c r="H1019" s="0" t="s">
        <v>293</v>
      </c>
      <c r="I1019" s="0" t="s">
        <v>8946</v>
      </c>
    </row>
    <row r="1020" customFormat="false" ht="15" hidden="false" customHeight="false" outlineLevel="0" collapsed="false">
      <c r="A1020" s="0" t="n">
        <v>44</v>
      </c>
      <c r="B1020" s="0" t="s">
        <v>88</v>
      </c>
      <c r="C1020" s="0" t="s">
        <v>8947</v>
      </c>
      <c r="D1020" s="0" t="s">
        <v>35</v>
      </c>
      <c r="E1020" s="0" t="s">
        <v>8948</v>
      </c>
      <c r="F1020" s="0" t="n">
        <v>598</v>
      </c>
      <c r="G1020" s="0" t="s">
        <v>277</v>
      </c>
      <c r="H1020" s="0" t="s">
        <v>293</v>
      </c>
      <c r="I1020" s="0" t="s">
        <v>8596</v>
      </c>
    </row>
    <row r="1021" customFormat="false" ht="15" hidden="false" customHeight="false" outlineLevel="0" collapsed="false">
      <c r="A1021" s="0" t="n">
        <v>44</v>
      </c>
      <c r="B1021" s="0" t="s">
        <v>88</v>
      </c>
      <c r="C1021" s="0" t="s">
        <v>8949</v>
      </c>
      <c r="D1021" s="0" t="s">
        <v>35</v>
      </c>
      <c r="E1021" s="0" t="s">
        <v>8950</v>
      </c>
      <c r="F1021" s="0" t="n">
        <v>588</v>
      </c>
      <c r="G1021" s="0" t="s">
        <v>277</v>
      </c>
      <c r="H1021" s="0" t="s">
        <v>293</v>
      </c>
      <c r="I1021" s="0" t="s">
        <v>8596</v>
      </c>
    </row>
    <row r="1022" customFormat="false" ht="15" hidden="false" customHeight="false" outlineLevel="0" collapsed="false">
      <c r="A1022" s="0" t="n">
        <v>51</v>
      </c>
      <c r="B1022" s="0" t="s">
        <v>99</v>
      </c>
      <c r="C1022" s="0" t="s">
        <v>8951</v>
      </c>
      <c r="D1022" s="0" t="s">
        <v>6425</v>
      </c>
      <c r="F1022" s="0" t="n">
        <v>1617</v>
      </c>
      <c r="G1022" s="0" t="s">
        <v>277</v>
      </c>
      <c r="H1022" s="0" t="s">
        <v>293</v>
      </c>
      <c r="I1022" s="0" t="s">
        <v>8952</v>
      </c>
    </row>
    <row r="1023" customFormat="false" ht="15" hidden="false" customHeight="false" outlineLevel="0" collapsed="false">
      <c r="A1023" s="0" t="n">
        <v>49</v>
      </c>
      <c r="B1023" s="0" t="s">
        <v>96</v>
      </c>
      <c r="C1023" s="0" t="s">
        <v>8953</v>
      </c>
      <c r="D1023" s="0" t="s">
        <v>6416</v>
      </c>
      <c r="E1023" s="0" t="s">
        <v>8954</v>
      </c>
      <c r="F1023" s="0" t="n">
        <v>965</v>
      </c>
      <c r="G1023" s="0" t="s">
        <v>277</v>
      </c>
      <c r="H1023" s="0" t="s">
        <v>293</v>
      </c>
      <c r="I1023" s="0" t="s">
        <v>8955</v>
      </c>
    </row>
    <row r="1024" customFormat="false" ht="15" hidden="false" customHeight="false" outlineLevel="0" collapsed="false">
      <c r="A1024" s="0" t="n">
        <v>44</v>
      </c>
      <c r="B1024" s="0" t="s">
        <v>88</v>
      </c>
      <c r="C1024" s="0" t="s">
        <v>8956</v>
      </c>
      <c r="D1024" s="0" t="s">
        <v>35</v>
      </c>
      <c r="E1024" s="0" t="s">
        <v>8595</v>
      </c>
      <c r="F1024" s="0" t="n">
        <v>590</v>
      </c>
      <c r="G1024" s="0" t="s">
        <v>277</v>
      </c>
      <c r="H1024" s="0" t="s">
        <v>293</v>
      </c>
      <c r="I1024" s="0" t="s">
        <v>8596</v>
      </c>
    </row>
    <row r="1025" customFormat="false" ht="15" hidden="false" customHeight="false" outlineLevel="0" collapsed="false">
      <c r="A1025" s="0" t="n">
        <v>51</v>
      </c>
      <c r="B1025" s="0" t="s">
        <v>99</v>
      </c>
      <c r="C1025" s="0" t="s">
        <v>8957</v>
      </c>
      <c r="D1025" s="0" t="s">
        <v>6560</v>
      </c>
      <c r="E1025" s="0" t="s">
        <v>8958</v>
      </c>
      <c r="F1025" s="0" t="n">
        <v>513</v>
      </c>
      <c r="G1025" s="0" t="s">
        <v>277</v>
      </c>
      <c r="H1025" s="0" t="s">
        <v>293</v>
      </c>
      <c r="I1025" s="0" t="s">
        <v>8959</v>
      </c>
    </row>
    <row r="1026" customFormat="false" ht="15" hidden="false" customHeight="false" outlineLevel="0" collapsed="false">
      <c r="A1026" s="0" t="n">
        <v>50</v>
      </c>
      <c r="B1026" s="0" t="s">
        <v>97</v>
      </c>
      <c r="C1026" s="0" t="s">
        <v>8960</v>
      </c>
      <c r="D1026" s="0" t="s">
        <v>6425</v>
      </c>
      <c r="E1026" s="0" t="s">
        <v>8961</v>
      </c>
      <c r="F1026" s="0" t="n">
        <v>2317</v>
      </c>
      <c r="G1026" s="0" t="s">
        <v>277</v>
      </c>
      <c r="H1026" s="0" t="s">
        <v>293</v>
      </c>
      <c r="I1026" s="0" t="s">
        <v>8962</v>
      </c>
    </row>
    <row r="1027" customFormat="false" ht="15" hidden="false" customHeight="false" outlineLevel="0" collapsed="false">
      <c r="A1027" s="0" t="n">
        <v>51</v>
      </c>
      <c r="B1027" s="0" t="s">
        <v>99</v>
      </c>
      <c r="C1027" s="0" t="s">
        <v>8963</v>
      </c>
      <c r="D1027" s="0" t="s">
        <v>6416</v>
      </c>
      <c r="F1027" s="0" t="n">
        <v>3625</v>
      </c>
      <c r="G1027" s="0" t="s">
        <v>277</v>
      </c>
      <c r="H1027" s="0" t="s">
        <v>293</v>
      </c>
      <c r="I1027" s="0" t="s">
        <v>8964</v>
      </c>
    </row>
    <row r="1028" customFormat="false" ht="15" hidden="false" customHeight="false" outlineLevel="0" collapsed="false">
      <c r="A1028" s="0" t="n">
        <v>44</v>
      </c>
      <c r="B1028" s="0" t="s">
        <v>88</v>
      </c>
      <c r="C1028" s="0" t="s">
        <v>8965</v>
      </c>
      <c r="D1028" s="0" t="s">
        <v>35</v>
      </c>
      <c r="E1028" s="0" t="s">
        <v>8966</v>
      </c>
      <c r="F1028" s="0" t="n">
        <v>588</v>
      </c>
      <c r="G1028" s="0" t="s">
        <v>277</v>
      </c>
      <c r="H1028" s="0" t="s">
        <v>293</v>
      </c>
      <c r="I1028" s="0" t="s">
        <v>8596</v>
      </c>
    </row>
    <row r="1029" customFormat="false" ht="15" hidden="false" customHeight="false" outlineLevel="0" collapsed="false">
      <c r="A1029" s="0" t="n">
        <v>51</v>
      </c>
      <c r="B1029" s="0" t="s">
        <v>99</v>
      </c>
      <c r="C1029" s="0" t="s">
        <v>8967</v>
      </c>
      <c r="D1029" s="0" t="s">
        <v>6560</v>
      </c>
      <c r="E1029" s="0" t="s">
        <v>8968</v>
      </c>
      <c r="F1029" s="0" t="n">
        <v>1788</v>
      </c>
      <c r="G1029" s="0" t="s">
        <v>277</v>
      </c>
      <c r="H1029" s="0" t="s">
        <v>293</v>
      </c>
      <c r="I1029" s="0" t="s">
        <v>8969</v>
      </c>
    </row>
    <row r="1030" customFormat="false" ht="15" hidden="false" customHeight="false" outlineLevel="0" collapsed="false">
      <c r="A1030" s="0" t="n">
        <v>49</v>
      </c>
      <c r="B1030" s="0" t="s">
        <v>96</v>
      </c>
      <c r="C1030" s="0" t="s">
        <v>8970</v>
      </c>
      <c r="D1030" s="0" t="s">
        <v>6416</v>
      </c>
      <c r="E1030" s="0" t="s">
        <v>8971</v>
      </c>
      <c r="F1030" s="0" t="n">
        <v>3999</v>
      </c>
      <c r="G1030" s="0" t="s">
        <v>277</v>
      </c>
      <c r="H1030" s="0" t="s">
        <v>293</v>
      </c>
      <c r="I1030" s="0" t="s">
        <v>8972</v>
      </c>
    </row>
    <row r="1031" customFormat="false" ht="15" hidden="false" customHeight="false" outlineLevel="0" collapsed="false">
      <c r="A1031" s="0" t="n">
        <v>44</v>
      </c>
      <c r="B1031" s="0" t="s">
        <v>88</v>
      </c>
      <c r="C1031" s="0" t="s">
        <v>8973</v>
      </c>
      <c r="D1031" s="0" t="s">
        <v>35</v>
      </c>
      <c r="E1031" s="0" t="s">
        <v>8974</v>
      </c>
      <c r="F1031" s="0" t="n">
        <v>598</v>
      </c>
      <c r="G1031" s="0" t="s">
        <v>277</v>
      </c>
      <c r="H1031" s="0" t="s">
        <v>293</v>
      </c>
      <c r="I1031" s="0" t="s">
        <v>8596</v>
      </c>
    </row>
    <row r="1032" customFormat="false" ht="15" hidden="false" customHeight="false" outlineLevel="0" collapsed="false">
      <c r="A1032" s="0" t="n">
        <v>51</v>
      </c>
      <c r="B1032" s="0" t="s">
        <v>99</v>
      </c>
      <c r="C1032" s="0" t="s">
        <v>8975</v>
      </c>
      <c r="D1032" s="0" t="s">
        <v>6560</v>
      </c>
      <c r="F1032" s="0" t="n">
        <v>3061</v>
      </c>
      <c r="G1032" s="0" t="s">
        <v>277</v>
      </c>
      <c r="H1032" s="0" t="s">
        <v>293</v>
      </c>
      <c r="I1032" s="0" t="s">
        <v>8976</v>
      </c>
    </row>
    <row r="1033" customFormat="false" ht="15" hidden="false" customHeight="false" outlineLevel="0" collapsed="false">
      <c r="A1033" s="0" t="n">
        <v>44</v>
      </c>
      <c r="B1033" s="0" t="s">
        <v>88</v>
      </c>
      <c r="C1033" s="0" t="s">
        <v>8977</v>
      </c>
      <c r="D1033" s="0" t="s">
        <v>35</v>
      </c>
      <c r="E1033" s="0" t="s">
        <v>8978</v>
      </c>
      <c r="F1033" s="0" t="n">
        <v>587</v>
      </c>
      <c r="G1033" s="0" t="s">
        <v>277</v>
      </c>
      <c r="H1033" s="0" t="s">
        <v>293</v>
      </c>
      <c r="I1033" s="0" t="s">
        <v>8596</v>
      </c>
    </row>
    <row r="1034" customFormat="false" ht="15" hidden="false" customHeight="false" outlineLevel="0" collapsed="false">
      <c r="A1034" s="0" t="n">
        <v>51</v>
      </c>
      <c r="B1034" s="0" t="s">
        <v>99</v>
      </c>
      <c r="C1034" s="0" t="s">
        <v>8979</v>
      </c>
      <c r="D1034" s="0" t="s">
        <v>500</v>
      </c>
      <c r="F1034" s="0" t="n">
        <v>830</v>
      </c>
      <c r="G1034" s="0" t="s">
        <v>277</v>
      </c>
      <c r="H1034" s="0" t="s">
        <v>293</v>
      </c>
      <c r="I1034" s="0" t="s">
        <v>8980</v>
      </c>
    </row>
    <row r="1035" customFormat="false" ht="15" hidden="false" customHeight="false" outlineLevel="0" collapsed="false">
      <c r="A1035" s="0" t="n">
        <v>44</v>
      </c>
      <c r="B1035" s="0" t="s">
        <v>88</v>
      </c>
      <c r="C1035" s="0" t="s">
        <v>8981</v>
      </c>
      <c r="D1035" s="0" t="s">
        <v>35</v>
      </c>
      <c r="E1035" s="0" t="s">
        <v>8982</v>
      </c>
      <c r="F1035" s="0" t="n">
        <v>587</v>
      </c>
      <c r="G1035" s="0" t="s">
        <v>277</v>
      </c>
      <c r="H1035" s="0" t="s">
        <v>293</v>
      </c>
      <c r="I1035" s="0" t="s">
        <v>8596</v>
      </c>
    </row>
    <row r="1036" customFormat="false" ht="15" hidden="false" customHeight="false" outlineLevel="0" collapsed="false">
      <c r="A1036" s="0" t="n">
        <v>50</v>
      </c>
      <c r="B1036" s="0" t="s">
        <v>97</v>
      </c>
      <c r="C1036" s="0" t="s">
        <v>8983</v>
      </c>
      <c r="D1036" s="0" t="s">
        <v>7622</v>
      </c>
      <c r="E1036" s="0" t="s">
        <v>8984</v>
      </c>
      <c r="F1036" s="0" t="n">
        <v>1890</v>
      </c>
      <c r="G1036" s="0" t="s">
        <v>277</v>
      </c>
      <c r="H1036" s="0" t="s">
        <v>293</v>
      </c>
      <c r="I1036" s="0" t="s">
        <v>8985</v>
      </c>
    </row>
    <row r="1037" customFormat="false" ht="15" hidden="false" customHeight="false" outlineLevel="0" collapsed="false">
      <c r="A1037" s="0" t="n">
        <v>51</v>
      </c>
      <c r="B1037" s="0" t="s">
        <v>99</v>
      </c>
      <c r="C1037" s="0" t="s">
        <v>8986</v>
      </c>
      <c r="D1037" s="0" t="s">
        <v>6560</v>
      </c>
      <c r="E1037" s="0" t="s">
        <v>8987</v>
      </c>
      <c r="F1037" s="0" t="n">
        <v>923</v>
      </c>
      <c r="G1037" s="0" t="s">
        <v>277</v>
      </c>
      <c r="H1037" s="0" t="s">
        <v>293</v>
      </c>
      <c r="I1037" s="0" t="s">
        <v>8988</v>
      </c>
    </row>
    <row r="1038" customFormat="false" ht="15" hidden="false" customHeight="false" outlineLevel="0" collapsed="false">
      <c r="A1038" s="0" t="n">
        <v>49</v>
      </c>
      <c r="B1038" s="0" t="s">
        <v>96</v>
      </c>
      <c r="C1038" s="0" t="s">
        <v>8989</v>
      </c>
      <c r="D1038" s="0" t="s">
        <v>6560</v>
      </c>
      <c r="E1038" s="0" t="s">
        <v>8990</v>
      </c>
      <c r="F1038" s="0" t="n">
        <v>2281</v>
      </c>
      <c r="G1038" s="0" t="s">
        <v>277</v>
      </c>
      <c r="H1038" s="0" t="s">
        <v>293</v>
      </c>
      <c r="I1038" s="0" t="s">
        <v>8991</v>
      </c>
    </row>
    <row r="1039" customFormat="false" ht="15" hidden="false" customHeight="false" outlineLevel="0" collapsed="false">
      <c r="A1039" s="0" t="n">
        <v>44</v>
      </c>
      <c r="B1039" s="0" t="s">
        <v>88</v>
      </c>
      <c r="C1039" s="0" t="s">
        <v>8992</v>
      </c>
      <c r="D1039" s="0" t="s">
        <v>35</v>
      </c>
      <c r="E1039" s="0" t="s">
        <v>8993</v>
      </c>
      <c r="F1039" s="0" t="n">
        <v>588</v>
      </c>
      <c r="G1039" s="0" t="s">
        <v>277</v>
      </c>
      <c r="H1039" s="0" t="s">
        <v>293</v>
      </c>
      <c r="I1039" s="0" t="s">
        <v>8596</v>
      </c>
    </row>
    <row r="1040" customFormat="false" ht="15" hidden="false" customHeight="false" outlineLevel="0" collapsed="false">
      <c r="A1040" s="0" t="n">
        <v>51</v>
      </c>
      <c r="B1040" s="0" t="s">
        <v>99</v>
      </c>
      <c r="C1040" s="0" t="s">
        <v>8994</v>
      </c>
      <c r="D1040" s="0" t="s">
        <v>6560</v>
      </c>
      <c r="E1040" s="0" t="s">
        <v>8995</v>
      </c>
      <c r="F1040" s="0" t="n">
        <v>646</v>
      </c>
      <c r="G1040" s="0" t="s">
        <v>277</v>
      </c>
      <c r="H1040" s="0" t="s">
        <v>293</v>
      </c>
      <c r="I1040" s="0" t="s">
        <v>8996</v>
      </c>
    </row>
    <row r="1041" customFormat="false" ht="15" hidden="false" customHeight="false" outlineLevel="0" collapsed="false">
      <c r="A1041" s="0" t="n">
        <v>44</v>
      </c>
      <c r="B1041" s="0" t="s">
        <v>88</v>
      </c>
      <c r="C1041" s="0" t="s">
        <v>8997</v>
      </c>
      <c r="D1041" s="0" t="s">
        <v>35</v>
      </c>
      <c r="E1041" s="0" t="s">
        <v>8998</v>
      </c>
      <c r="F1041" s="0" t="n">
        <v>588</v>
      </c>
      <c r="G1041" s="0" t="s">
        <v>277</v>
      </c>
      <c r="H1041" s="0" t="s">
        <v>293</v>
      </c>
      <c r="I1041" s="0" t="s">
        <v>8596</v>
      </c>
    </row>
    <row r="1042" customFormat="false" ht="15" hidden="false" customHeight="false" outlineLevel="0" collapsed="false">
      <c r="A1042" s="0" t="n">
        <v>51</v>
      </c>
      <c r="B1042" s="0" t="s">
        <v>99</v>
      </c>
      <c r="C1042" s="0" t="s">
        <v>8999</v>
      </c>
      <c r="D1042" s="0" t="s">
        <v>335</v>
      </c>
      <c r="F1042" s="0" t="n">
        <v>6579</v>
      </c>
      <c r="G1042" s="0" t="s">
        <v>277</v>
      </c>
      <c r="H1042" s="0" t="s">
        <v>293</v>
      </c>
      <c r="I1042" s="0" t="s">
        <v>9000</v>
      </c>
    </row>
    <row r="1043" customFormat="false" ht="15" hidden="false" customHeight="false" outlineLevel="0" collapsed="false">
      <c r="A1043" s="0" t="n">
        <v>50</v>
      </c>
      <c r="B1043" s="0" t="s">
        <v>97</v>
      </c>
      <c r="C1043" s="0" t="s">
        <v>9001</v>
      </c>
      <c r="D1043" s="0" t="s">
        <v>91</v>
      </c>
      <c r="E1043" s="0" t="s">
        <v>9002</v>
      </c>
      <c r="F1043" s="0" t="n">
        <v>3536</v>
      </c>
      <c r="G1043" s="0" t="s">
        <v>277</v>
      </c>
      <c r="H1043" s="0" t="s">
        <v>293</v>
      </c>
      <c r="I1043" s="0" t="s">
        <v>9003</v>
      </c>
    </row>
    <row r="1044" customFormat="false" ht="15" hidden="false" customHeight="false" outlineLevel="0" collapsed="false">
      <c r="A1044" s="0" t="n">
        <v>44</v>
      </c>
      <c r="B1044" s="0" t="s">
        <v>88</v>
      </c>
      <c r="C1044" s="0" t="s">
        <v>9004</v>
      </c>
      <c r="D1044" s="0" t="s">
        <v>35</v>
      </c>
      <c r="E1044" s="0" t="s">
        <v>9005</v>
      </c>
      <c r="F1044" s="0" t="n">
        <v>588</v>
      </c>
      <c r="G1044" s="0" t="s">
        <v>277</v>
      </c>
      <c r="H1044" s="0" t="s">
        <v>293</v>
      </c>
      <c r="I1044" s="0" t="s">
        <v>8596</v>
      </c>
    </row>
    <row r="1045" customFormat="false" ht="15" hidden="false" customHeight="false" outlineLevel="0" collapsed="false">
      <c r="A1045" s="0" t="n">
        <v>49</v>
      </c>
      <c r="B1045" s="0" t="s">
        <v>96</v>
      </c>
      <c r="C1045" s="0" t="s">
        <v>9006</v>
      </c>
      <c r="D1045" s="0" t="s">
        <v>6560</v>
      </c>
      <c r="E1045" s="0" t="s">
        <v>9007</v>
      </c>
      <c r="F1045" s="0" t="n">
        <v>2164</v>
      </c>
      <c r="G1045" s="0" t="s">
        <v>277</v>
      </c>
      <c r="H1045" s="0" t="s">
        <v>293</v>
      </c>
      <c r="I1045" s="0" t="s">
        <v>9008</v>
      </c>
    </row>
    <row r="1046" customFormat="false" ht="15" hidden="false" customHeight="false" outlineLevel="0" collapsed="false">
      <c r="A1046" s="0" t="n">
        <v>44</v>
      </c>
      <c r="B1046" s="0" t="s">
        <v>88</v>
      </c>
      <c r="C1046" s="0" t="s">
        <v>9009</v>
      </c>
      <c r="D1046" s="0" t="s">
        <v>35</v>
      </c>
      <c r="F1046" s="0" t="n">
        <v>11872</v>
      </c>
      <c r="G1046" s="0" t="s">
        <v>277</v>
      </c>
      <c r="H1046" s="0" t="s">
        <v>293</v>
      </c>
      <c r="I1046" s="0" t="s">
        <v>8596</v>
      </c>
    </row>
    <row r="1047" customFormat="false" ht="15" hidden="false" customHeight="false" outlineLevel="0" collapsed="false">
      <c r="A1047" s="0" t="n">
        <v>44</v>
      </c>
      <c r="B1047" s="0" t="s">
        <v>88</v>
      </c>
      <c r="C1047" s="0" t="s">
        <v>9010</v>
      </c>
      <c r="D1047" s="0" t="s">
        <v>35</v>
      </c>
      <c r="E1047" s="0" t="s">
        <v>9011</v>
      </c>
      <c r="F1047" s="0" t="n">
        <v>587</v>
      </c>
      <c r="G1047" s="0" t="s">
        <v>277</v>
      </c>
      <c r="H1047" s="0" t="s">
        <v>293</v>
      </c>
      <c r="I1047" s="0" t="s">
        <v>8596</v>
      </c>
    </row>
    <row r="1048" customFormat="false" ht="15" hidden="false" customHeight="false" outlineLevel="0" collapsed="false">
      <c r="A1048" s="0" t="n">
        <v>51</v>
      </c>
      <c r="B1048" s="0" t="s">
        <v>99</v>
      </c>
      <c r="C1048" s="0" t="s">
        <v>9012</v>
      </c>
      <c r="D1048" s="0" t="s">
        <v>91</v>
      </c>
      <c r="F1048" s="0" t="n">
        <v>2806</v>
      </c>
      <c r="G1048" s="0" t="s">
        <v>277</v>
      </c>
      <c r="H1048" s="0" t="s">
        <v>293</v>
      </c>
      <c r="I1048" s="0" t="s">
        <v>9013</v>
      </c>
    </row>
    <row r="1049" customFormat="false" ht="15" hidden="false" customHeight="false" outlineLevel="0" collapsed="false">
      <c r="A1049" s="0" t="n">
        <v>44</v>
      </c>
      <c r="B1049" s="0" t="s">
        <v>88</v>
      </c>
      <c r="C1049" s="0" t="s">
        <v>9014</v>
      </c>
      <c r="D1049" s="0" t="s">
        <v>35</v>
      </c>
      <c r="E1049" s="0" t="s">
        <v>9015</v>
      </c>
      <c r="F1049" s="0" t="n">
        <v>587</v>
      </c>
      <c r="G1049" s="0" t="s">
        <v>277</v>
      </c>
      <c r="H1049" s="0" t="s">
        <v>293</v>
      </c>
      <c r="I1049" s="0" t="s">
        <v>8596</v>
      </c>
    </row>
    <row r="1050" customFormat="false" ht="15" hidden="false" customHeight="false" outlineLevel="0" collapsed="false">
      <c r="A1050" s="0" t="n">
        <v>51</v>
      </c>
      <c r="B1050" s="0" t="s">
        <v>99</v>
      </c>
      <c r="C1050" s="0" t="s">
        <v>9016</v>
      </c>
      <c r="D1050" s="0" t="s">
        <v>6560</v>
      </c>
      <c r="E1050" s="0" t="s">
        <v>9017</v>
      </c>
      <c r="F1050" s="0" t="n">
        <v>512</v>
      </c>
      <c r="G1050" s="0" t="s">
        <v>277</v>
      </c>
      <c r="H1050" s="0" t="s">
        <v>293</v>
      </c>
      <c r="I1050" s="0" t="s">
        <v>9018</v>
      </c>
    </row>
    <row r="1051" customFormat="false" ht="15" hidden="false" customHeight="false" outlineLevel="0" collapsed="false">
      <c r="A1051" s="0" t="n">
        <v>44</v>
      </c>
      <c r="B1051" s="0" t="s">
        <v>88</v>
      </c>
      <c r="C1051" s="0" t="s">
        <v>9019</v>
      </c>
      <c r="D1051" s="0" t="s">
        <v>35</v>
      </c>
      <c r="E1051" s="0" t="s">
        <v>9020</v>
      </c>
      <c r="F1051" s="0" t="n">
        <v>588</v>
      </c>
      <c r="G1051" s="0" t="s">
        <v>277</v>
      </c>
      <c r="H1051" s="0" t="s">
        <v>293</v>
      </c>
      <c r="I1051" s="0" t="s">
        <v>8596</v>
      </c>
    </row>
    <row r="1052" customFormat="false" ht="15" hidden="false" customHeight="false" outlineLevel="0" collapsed="false">
      <c r="A1052" s="0" t="n">
        <v>51</v>
      </c>
      <c r="B1052" s="0" t="s">
        <v>99</v>
      </c>
      <c r="C1052" s="0" t="s">
        <v>9021</v>
      </c>
      <c r="D1052" s="0" t="s">
        <v>6560</v>
      </c>
      <c r="F1052" s="0" t="n">
        <v>755</v>
      </c>
      <c r="G1052" s="0" t="s">
        <v>277</v>
      </c>
      <c r="H1052" s="0" t="s">
        <v>293</v>
      </c>
      <c r="I1052" s="0" t="s">
        <v>9022</v>
      </c>
    </row>
    <row r="1053" customFormat="false" ht="15" hidden="false" customHeight="false" outlineLevel="0" collapsed="false">
      <c r="A1053" s="0" t="n">
        <v>49</v>
      </c>
      <c r="B1053" s="0" t="s">
        <v>96</v>
      </c>
      <c r="C1053" s="0" t="s">
        <v>9023</v>
      </c>
      <c r="D1053" s="0" t="s">
        <v>6425</v>
      </c>
      <c r="E1053" s="0" t="s">
        <v>9024</v>
      </c>
      <c r="F1053" s="0" t="n">
        <v>2864</v>
      </c>
      <c r="G1053" s="0" t="s">
        <v>277</v>
      </c>
      <c r="H1053" s="0" t="s">
        <v>293</v>
      </c>
      <c r="I1053" s="0" t="s">
        <v>9025</v>
      </c>
    </row>
    <row r="1054" customFormat="false" ht="15" hidden="false" customHeight="false" outlineLevel="0" collapsed="false">
      <c r="A1054" s="0" t="n">
        <v>44</v>
      </c>
      <c r="B1054" s="0" t="s">
        <v>88</v>
      </c>
      <c r="C1054" s="0" t="s">
        <v>9026</v>
      </c>
      <c r="D1054" s="0" t="s">
        <v>35</v>
      </c>
      <c r="E1054" s="0" t="s">
        <v>9027</v>
      </c>
      <c r="F1054" s="0" t="n">
        <v>587</v>
      </c>
      <c r="G1054" s="0" t="s">
        <v>277</v>
      </c>
      <c r="H1054" s="0" t="s">
        <v>293</v>
      </c>
      <c r="I1054" s="0" t="s">
        <v>8596</v>
      </c>
    </row>
    <row r="1055" customFormat="false" ht="15" hidden="false" customHeight="false" outlineLevel="0" collapsed="false">
      <c r="A1055" s="0" t="n">
        <v>51</v>
      </c>
      <c r="B1055" s="0" t="s">
        <v>99</v>
      </c>
      <c r="C1055" s="0" t="s">
        <v>9028</v>
      </c>
      <c r="D1055" s="0" t="s">
        <v>6425</v>
      </c>
      <c r="E1055" s="0" t="s">
        <v>9029</v>
      </c>
      <c r="F1055" s="0" t="n">
        <v>882</v>
      </c>
      <c r="G1055" s="0" t="s">
        <v>277</v>
      </c>
      <c r="H1055" s="0" t="s">
        <v>293</v>
      </c>
      <c r="I1055" s="0" t="s">
        <v>9030</v>
      </c>
    </row>
    <row r="1056" customFormat="false" ht="15" hidden="false" customHeight="false" outlineLevel="0" collapsed="false">
      <c r="A1056" s="0" t="n">
        <v>44</v>
      </c>
      <c r="B1056" s="0" t="s">
        <v>88</v>
      </c>
      <c r="C1056" s="0" t="s">
        <v>9031</v>
      </c>
      <c r="D1056" s="0" t="s">
        <v>35</v>
      </c>
      <c r="E1056" s="0" t="s">
        <v>9032</v>
      </c>
      <c r="F1056" s="0" t="n">
        <v>588</v>
      </c>
      <c r="G1056" s="0" t="s">
        <v>277</v>
      </c>
      <c r="H1056" s="0" t="s">
        <v>293</v>
      </c>
      <c r="I1056" s="0" t="s">
        <v>8596</v>
      </c>
    </row>
    <row r="1057" customFormat="false" ht="15" hidden="false" customHeight="false" outlineLevel="0" collapsed="false">
      <c r="A1057" s="0" t="n">
        <v>51</v>
      </c>
      <c r="B1057" s="0" t="s">
        <v>99</v>
      </c>
      <c r="C1057" s="0" t="s">
        <v>9033</v>
      </c>
      <c r="D1057" s="0" t="s">
        <v>6560</v>
      </c>
      <c r="F1057" s="0" t="n">
        <v>2549</v>
      </c>
      <c r="G1057" s="0" t="s">
        <v>277</v>
      </c>
      <c r="H1057" s="0" t="s">
        <v>293</v>
      </c>
      <c r="I1057" s="0" t="s">
        <v>9034</v>
      </c>
    </row>
    <row r="1058" customFormat="false" ht="15" hidden="false" customHeight="false" outlineLevel="0" collapsed="false">
      <c r="A1058" s="0" t="n">
        <v>44</v>
      </c>
      <c r="B1058" s="0" t="s">
        <v>88</v>
      </c>
      <c r="C1058" s="0" t="s">
        <v>9035</v>
      </c>
      <c r="D1058" s="0" t="s">
        <v>35</v>
      </c>
      <c r="E1058" s="0" t="s">
        <v>9036</v>
      </c>
      <c r="F1058" s="0" t="n">
        <v>588</v>
      </c>
      <c r="G1058" s="0" t="s">
        <v>277</v>
      </c>
      <c r="H1058" s="0" t="s">
        <v>293</v>
      </c>
      <c r="I1058" s="0" t="s">
        <v>8596</v>
      </c>
    </row>
    <row r="1059" customFormat="false" ht="15" hidden="false" customHeight="false" outlineLevel="0" collapsed="false">
      <c r="A1059" s="0" t="n">
        <v>51</v>
      </c>
      <c r="B1059" s="0" t="s">
        <v>99</v>
      </c>
      <c r="C1059" s="0" t="s">
        <v>9037</v>
      </c>
      <c r="D1059" s="0" t="s">
        <v>6416</v>
      </c>
      <c r="F1059" s="0" t="n">
        <v>1849</v>
      </c>
      <c r="G1059" s="0" t="s">
        <v>277</v>
      </c>
      <c r="H1059" s="0" t="s">
        <v>293</v>
      </c>
      <c r="I1059" s="0" t="s">
        <v>9038</v>
      </c>
    </row>
    <row r="1060" customFormat="false" ht="15" hidden="false" customHeight="false" outlineLevel="0" collapsed="false">
      <c r="A1060" s="0" t="n">
        <v>49</v>
      </c>
      <c r="B1060" s="0" t="s">
        <v>96</v>
      </c>
      <c r="C1060" s="0" t="s">
        <v>9039</v>
      </c>
      <c r="D1060" s="0" t="s">
        <v>6416</v>
      </c>
      <c r="E1060" s="0" t="s">
        <v>9040</v>
      </c>
      <c r="F1060" s="0" t="n">
        <v>3753</v>
      </c>
      <c r="G1060" s="0" t="s">
        <v>277</v>
      </c>
      <c r="H1060" s="0" t="s">
        <v>293</v>
      </c>
      <c r="I1060" s="0" t="s">
        <v>9041</v>
      </c>
    </row>
    <row r="1061" customFormat="false" ht="15" hidden="false" customHeight="false" outlineLevel="0" collapsed="false">
      <c r="A1061" s="0" t="n">
        <v>44</v>
      </c>
      <c r="B1061" s="0" t="s">
        <v>88</v>
      </c>
      <c r="C1061" s="0" t="s">
        <v>9042</v>
      </c>
      <c r="D1061" s="0" t="s">
        <v>35</v>
      </c>
      <c r="E1061" s="0" t="s">
        <v>9043</v>
      </c>
      <c r="F1061" s="0" t="n">
        <v>588</v>
      </c>
      <c r="G1061" s="0" t="s">
        <v>277</v>
      </c>
      <c r="H1061" s="0" t="s">
        <v>293</v>
      </c>
      <c r="I1061" s="0" t="s">
        <v>8596</v>
      </c>
    </row>
    <row r="1062" customFormat="false" ht="15" hidden="false" customHeight="false" outlineLevel="0" collapsed="false">
      <c r="A1062" s="0" t="n">
        <v>44</v>
      </c>
      <c r="B1062" s="0" t="s">
        <v>88</v>
      </c>
      <c r="C1062" s="0" t="s">
        <v>9044</v>
      </c>
      <c r="D1062" s="0" t="s">
        <v>35</v>
      </c>
      <c r="E1062" s="0" t="s">
        <v>9045</v>
      </c>
      <c r="F1062" s="0" t="n">
        <v>9586</v>
      </c>
      <c r="G1062" s="0" t="s">
        <v>277</v>
      </c>
      <c r="H1062" s="0" t="s">
        <v>293</v>
      </c>
      <c r="I1062" s="0" t="s">
        <v>8596</v>
      </c>
    </row>
    <row r="1063" customFormat="false" ht="15" hidden="false" customHeight="false" outlineLevel="0" collapsed="false">
      <c r="A1063" s="0" t="n">
        <v>51</v>
      </c>
      <c r="B1063" s="0" t="s">
        <v>99</v>
      </c>
      <c r="C1063" s="0" t="s">
        <v>9046</v>
      </c>
      <c r="D1063" s="0" t="s">
        <v>6425</v>
      </c>
      <c r="F1063" s="0" t="n">
        <v>2699</v>
      </c>
      <c r="G1063" s="0" t="s">
        <v>277</v>
      </c>
      <c r="H1063" s="0" t="s">
        <v>293</v>
      </c>
      <c r="I1063" s="0" t="s">
        <v>9047</v>
      </c>
    </row>
    <row r="1064" customFormat="false" ht="15" hidden="false" customHeight="false" outlineLevel="0" collapsed="false">
      <c r="A1064" s="0" t="n">
        <v>44</v>
      </c>
      <c r="B1064" s="0" t="s">
        <v>88</v>
      </c>
      <c r="C1064" s="0" t="s">
        <v>9048</v>
      </c>
      <c r="D1064" s="0" t="s">
        <v>35</v>
      </c>
      <c r="E1064" s="0" t="s">
        <v>9049</v>
      </c>
      <c r="F1064" s="0" t="n">
        <v>588</v>
      </c>
      <c r="G1064" s="0" t="s">
        <v>277</v>
      </c>
      <c r="H1064" s="0" t="s">
        <v>293</v>
      </c>
      <c r="I1064" s="0" t="s">
        <v>8596</v>
      </c>
    </row>
    <row r="1065" customFormat="false" ht="15" hidden="false" customHeight="false" outlineLevel="0" collapsed="false">
      <c r="A1065" s="0" t="n">
        <v>51</v>
      </c>
      <c r="B1065" s="0" t="s">
        <v>99</v>
      </c>
      <c r="C1065" s="0" t="s">
        <v>9050</v>
      </c>
      <c r="D1065" s="0" t="s">
        <v>6425</v>
      </c>
      <c r="E1065" s="0" t="s">
        <v>9051</v>
      </c>
      <c r="F1065" s="0" t="n">
        <v>925</v>
      </c>
      <c r="G1065" s="0" t="s">
        <v>277</v>
      </c>
      <c r="H1065" s="0" t="s">
        <v>293</v>
      </c>
      <c r="I1065" s="0" t="s">
        <v>9052</v>
      </c>
    </row>
    <row r="1066" customFormat="false" ht="15" hidden="false" customHeight="false" outlineLevel="0" collapsed="false">
      <c r="A1066" s="0" t="n">
        <v>44</v>
      </c>
      <c r="B1066" s="0" t="s">
        <v>88</v>
      </c>
      <c r="C1066" s="0" t="s">
        <v>9053</v>
      </c>
      <c r="D1066" s="0" t="s">
        <v>35</v>
      </c>
      <c r="E1066" s="0" t="s">
        <v>9054</v>
      </c>
      <c r="F1066" s="0" t="n">
        <v>591</v>
      </c>
      <c r="G1066" s="0" t="s">
        <v>277</v>
      </c>
      <c r="H1066" s="0" t="s">
        <v>293</v>
      </c>
      <c r="I1066" s="0" t="s">
        <v>8596</v>
      </c>
    </row>
    <row r="1067" customFormat="false" ht="15" hidden="false" customHeight="false" outlineLevel="0" collapsed="false">
      <c r="A1067" s="0" t="n">
        <v>51</v>
      </c>
      <c r="B1067" s="0" t="s">
        <v>99</v>
      </c>
      <c r="C1067" s="0" t="s">
        <v>9055</v>
      </c>
      <c r="D1067" s="0" t="s">
        <v>6560</v>
      </c>
      <c r="E1067" s="0" t="s">
        <v>9056</v>
      </c>
      <c r="F1067" s="0" t="n">
        <v>404</v>
      </c>
      <c r="G1067" s="0" t="s">
        <v>277</v>
      </c>
      <c r="H1067" s="0" t="s">
        <v>293</v>
      </c>
      <c r="I1067" s="0" t="s">
        <v>9057</v>
      </c>
    </row>
    <row r="1068" customFormat="false" ht="15" hidden="false" customHeight="false" outlineLevel="0" collapsed="false">
      <c r="A1068" s="0" t="n">
        <v>49</v>
      </c>
      <c r="B1068" s="0" t="s">
        <v>96</v>
      </c>
      <c r="C1068" s="0" t="s">
        <v>9058</v>
      </c>
      <c r="D1068" s="0" t="s">
        <v>6416</v>
      </c>
      <c r="E1068" s="0" t="s">
        <v>9059</v>
      </c>
      <c r="F1068" s="0" t="n">
        <v>2396</v>
      </c>
      <c r="G1068" s="0" t="s">
        <v>277</v>
      </c>
      <c r="H1068" s="0" t="s">
        <v>293</v>
      </c>
      <c r="I1068" s="0" t="s">
        <v>9060</v>
      </c>
    </row>
    <row r="1069" customFormat="false" ht="15" hidden="false" customHeight="false" outlineLevel="0" collapsed="false">
      <c r="A1069" s="0" t="n">
        <v>44</v>
      </c>
      <c r="B1069" s="0" t="s">
        <v>88</v>
      </c>
      <c r="C1069" s="0" t="s">
        <v>9061</v>
      </c>
      <c r="D1069" s="0" t="s">
        <v>35</v>
      </c>
      <c r="E1069" s="0" t="s">
        <v>9062</v>
      </c>
      <c r="F1069" s="0" t="n">
        <v>588</v>
      </c>
      <c r="G1069" s="0" t="s">
        <v>277</v>
      </c>
      <c r="H1069" s="0" t="s">
        <v>293</v>
      </c>
      <c r="I1069" s="0" t="s">
        <v>8596</v>
      </c>
    </row>
    <row r="1070" customFormat="false" ht="15" hidden="false" customHeight="false" outlineLevel="0" collapsed="false">
      <c r="A1070" s="0" t="n">
        <v>51</v>
      </c>
      <c r="B1070" s="0" t="s">
        <v>99</v>
      </c>
      <c r="C1070" s="0" t="s">
        <v>9063</v>
      </c>
      <c r="D1070" s="0" t="s">
        <v>278</v>
      </c>
      <c r="F1070" s="0" t="n">
        <v>2544</v>
      </c>
      <c r="G1070" s="0" t="s">
        <v>277</v>
      </c>
      <c r="H1070" s="0" t="s">
        <v>293</v>
      </c>
      <c r="I1070" s="0" t="s">
        <v>9064</v>
      </c>
    </row>
    <row r="1071" customFormat="false" ht="15" hidden="false" customHeight="false" outlineLevel="0" collapsed="false">
      <c r="A1071" s="0" t="n">
        <v>50</v>
      </c>
      <c r="B1071" s="0" t="s">
        <v>97</v>
      </c>
      <c r="C1071" s="0" t="s">
        <v>9065</v>
      </c>
      <c r="D1071" s="0" t="s">
        <v>6560</v>
      </c>
      <c r="E1071" s="0" t="s">
        <v>9066</v>
      </c>
      <c r="F1071" s="0" t="n">
        <v>481</v>
      </c>
      <c r="G1071" s="0" t="s">
        <v>277</v>
      </c>
      <c r="H1071" s="0" t="s">
        <v>293</v>
      </c>
      <c r="I1071" s="0" t="s">
        <v>9067</v>
      </c>
    </row>
    <row r="1072" customFormat="false" ht="15" hidden="false" customHeight="false" outlineLevel="0" collapsed="false">
      <c r="A1072" s="0" t="n">
        <v>44</v>
      </c>
      <c r="B1072" s="0" t="s">
        <v>88</v>
      </c>
      <c r="C1072" s="0" t="s">
        <v>9068</v>
      </c>
      <c r="D1072" s="0" t="s">
        <v>35</v>
      </c>
      <c r="E1072" s="0" t="s">
        <v>9069</v>
      </c>
      <c r="F1072" s="0" t="n">
        <v>588</v>
      </c>
      <c r="G1072" s="0" t="s">
        <v>277</v>
      </c>
      <c r="H1072" s="0" t="s">
        <v>293</v>
      </c>
      <c r="I1072" s="0" t="s">
        <v>8596</v>
      </c>
    </row>
    <row r="1073" customFormat="false" ht="15" hidden="false" customHeight="false" outlineLevel="0" collapsed="false">
      <c r="A1073" s="0" t="n">
        <v>51</v>
      </c>
      <c r="B1073" s="0" t="s">
        <v>99</v>
      </c>
      <c r="C1073" s="0" t="s">
        <v>9070</v>
      </c>
      <c r="D1073" s="0" t="s">
        <v>6560</v>
      </c>
      <c r="E1073" s="0" t="s">
        <v>9071</v>
      </c>
      <c r="F1073" s="0" t="n">
        <v>416</v>
      </c>
      <c r="G1073" s="0" t="s">
        <v>277</v>
      </c>
      <c r="H1073" s="0" t="s">
        <v>293</v>
      </c>
      <c r="I1073" s="0" t="s">
        <v>9072</v>
      </c>
    </row>
    <row r="1074" customFormat="false" ht="15" hidden="false" customHeight="false" outlineLevel="0" collapsed="false">
      <c r="A1074" s="0" t="n">
        <v>44</v>
      </c>
      <c r="B1074" s="0" t="s">
        <v>88</v>
      </c>
      <c r="C1074" s="0" t="s">
        <v>9073</v>
      </c>
      <c r="D1074" s="0" t="s">
        <v>35</v>
      </c>
      <c r="E1074" s="0" t="s">
        <v>9074</v>
      </c>
      <c r="F1074" s="0" t="n">
        <v>588</v>
      </c>
      <c r="G1074" s="0" t="s">
        <v>277</v>
      </c>
      <c r="H1074" s="0" t="s">
        <v>293</v>
      </c>
      <c r="I1074" s="0" t="s">
        <v>8596</v>
      </c>
    </row>
    <row r="1075" customFormat="false" ht="15" hidden="false" customHeight="false" outlineLevel="0" collapsed="false">
      <c r="A1075" s="0" t="n">
        <v>50</v>
      </c>
      <c r="B1075" s="0" t="s">
        <v>97</v>
      </c>
      <c r="C1075" s="0" t="s">
        <v>9075</v>
      </c>
      <c r="D1075" s="0" t="s">
        <v>6416</v>
      </c>
      <c r="E1075" s="0" t="s">
        <v>8917</v>
      </c>
      <c r="F1075" s="0" t="n">
        <v>444</v>
      </c>
      <c r="G1075" s="0" t="s">
        <v>277</v>
      </c>
      <c r="H1075" s="0" t="s">
        <v>293</v>
      </c>
      <c r="I1075" s="0" t="s">
        <v>9076</v>
      </c>
    </row>
    <row r="1076" customFormat="false" ht="15" hidden="false" customHeight="false" outlineLevel="0" collapsed="false">
      <c r="A1076" s="0" t="n">
        <v>44</v>
      </c>
      <c r="B1076" s="0" t="s">
        <v>88</v>
      </c>
      <c r="C1076" s="0" t="s">
        <v>9077</v>
      </c>
      <c r="D1076" s="0" t="s">
        <v>35</v>
      </c>
      <c r="E1076" s="0" t="s">
        <v>9078</v>
      </c>
      <c r="F1076" s="0" t="n">
        <v>598</v>
      </c>
      <c r="G1076" s="0" t="s">
        <v>277</v>
      </c>
      <c r="H1076" s="0" t="s">
        <v>293</v>
      </c>
      <c r="I1076" s="0" t="s">
        <v>8596</v>
      </c>
    </row>
    <row r="1077" customFormat="false" ht="15" hidden="false" customHeight="false" outlineLevel="0" collapsed="false">
      <c r="A1077" s="0" t="n">
        <v>49</v>
      </c>
      <c r="B1077" s="0" t="s">
        <v>96</v>
      </c>
      <c r="C1077" s="0" t="s">
        <v>9079</v>
      </c>
      <c r="D1077" s="0" t="s">
        <v>35</v>
      </c>
      <c r="E1077" s="0" t="s">
        <v>9080</v>
      </c>
      <c r="F1077" s="0" t="n">
        <v>1338</v>
      </c>
      <c r="G1077" s="0" t="s">
        <v>277</v>
      </c>
      <c r="H1077" s="0" t="s">
        <v>293</v>
      </c>
      <c r="I1077" s="0" t="s">
        <v>9081</v>
      </c>
    </row>
    <row r="1078" customFormat="false" ht="15" hidden="false" customHeight="false" outlineLevel="0" collapsed="false">
      <c r="A1078" s="0" t="n">
        <v>51</v>
      </c>
      <c r="B1078" s="0" t="s">
        <v>99</v>
      </c>
      <c r="C1078" s="0" t="s">
        <v>9082</v>
      </c>
      <c r="D1078" s="0" t="s">
        <v>6416</v>
      </c>
      <c r="F1078" s="0" t="n">
        <v>3087</v>
      </c>
      <c r="G1078" s="0" t="s">
        <v>277</v>
      </c>
      <c r="H1078" s="0" t="s">
        <v>293</v>
      </c>
      <c r="I1078" s="0" t="s">
        <v>9083</v>
      </c>
    </row>
    <row r="1079" customFormat="false" ht="15" hidden="false" customHeight="false" outlineLevel="0" collapsed="false">
      <c r="A1079" s="0" t="n">
        <v>44</v>
      </c>
      <c r="B1079" s="0" t="s">
        <v>88</v>
      </c>
      <c r="C1079" s="0" t="s">
        <v>9084</v>
      </c>
      <c r="D1079" s="0" t="s">
        <v>35</v>
      </c>
      <c r="E1079" s="0" t="s">
        <v>9085</v>
      </c>
      <c r="F1079" s="0" t="n">
        <v>588</v>
      </c>
      <c r="G1079" s="0" t="s">
        <v>277</v>
      </c>
      <c r="H1079" s="0" t="s">
        <v>293</v>
      </c>
      <c r="I1079" s="0" t="s">
        <v>8596</v>
      </c>
    </row>
    <row r="1080" customFormat="false" ht="15" hidden="false" customHeight="false" outlineLevel="0" collapsed="false">
      <c r="A1080" s="0" t="n">
        <v>51</v>
      </c>
      <c r="B1080" s="0" t="s">
        <v>99</v>
      </c>
      <c r="C1080" s="0" t="s">
        <v>9086</v>
      </c>
      <c r="D1080" s="0" t="s">
        <v>6560</v>
      </c>
      <c r="E1080" s="0" t="s">
        <v>9087</v>
      </c>
      <c r="F1080" s="0" t="n">
        <v>864</v>
      </c>
      <c r="G1080" s="0" t="s">
        <v>277</v>
      </c>
      <c r="H1080" s="0" t="s">
        <v>293</v>
      </c>
      <c r="I1080" s="0" t="s">
        <v>9088</v>
      </c>
    </row>
    <row r="1081" customFormat="false" ht="15" hidden="false" customHeight="false" outlineLevel="0" collapsed="false">
      <c r="A1081" s="0" t="n">
        <v>44</v>
      </c>
      <c r="B1081" s="0" t="s">
        <v>88</v>
      </c>
      <c r="C1081" s="0" t="s">
        <v>9089</v>
      </c>
      <c r="D1081" s="0" t="s">
        <v>35</v>
      </c>
      <c r="E1081" s="0" t="s">
        <v>9090</v>
      </c>
      <c r="F1081" s="0" t="n">
        <v>588</v>
      </c>
      <c r="G1081" s="0" t="s">
        <v>277</v>
      </c>
      <c r="H1081" s="0" t="s">
        <v>293</v>
      </c>
      <c r="I1081" s="0" t="s">
        <v>8596</v>
      </c>
    </row>
    <row r="1082" customFormat="false" ht="15" hidden="false" customHeight="false" outlineLevel="0" collapsed="false">
      <c r="A1082" s="0" t="n">
        <v>50</v>
      </c>
      <c r="B1082" s="0" t="s">
        <v>97</v>
      </c>
      <c r="C1082" s="0" t="s">
        <v>9091</v>
      </c>
      <c r="D1082" s="0" t="s">
        <v>335</v>
      </c>
      <c r="E1082" s="0" t="s">
        <v>9092</v>
      </c>
      <c r="F1082" s="0" t="n">
        <v>255</v>
      </c>
      <c r="G1082" s="0" t="s">
        <v>277</v>
      </c>
      <c r="H1082" s="0" t="s">
        <v>293</v>
      </c>
      <c r="I1082" s="0" t="s">
        <v>9093</v>
      </c>
    </row>
    <row r="1083" customFormat="false" ht="15" hidden="false" customHeight="false" outlineLevel="0" collapsed="false">
      <c r="A1083" s="0" t="n">
        <v>51</v>
      </c>
      <c r="B1083" s="0" t="s">
        <v>99</v>
      </c>
      <c r="C1083" s="0" t="s">
        <v>9094</v>
      </c>
      <c r="D1083" s="0" t="s">
        <v>500</v>
      </c>
      <c r="F1083" s="0" t="n">
        <v>2980</v>
      </c>
      <c r="G1083" s="0" t="s">
        <v>277</v>
      </c>
      <c r="H1083" s="0" t="s">
        <v>293</v>
      </c>
      <c r="I1083" s="0" t="s">
        <v>9095</v>
      </c>
    </row>
    <row r="1084" customFormat="false" ht="15" hidden="false" customHeight="false" outlineLevel="0" collapsed="false">
      <c r="A1084" s="0" t="n">
        <v>49</v>
      </c>
      <c r="B1084" s="0" t="s">
        <v>96</v>
      </c>
      <c r="C1084" s="0" t="s">
        <v>9096</v>
      </c>
      <c r="D1084" s="0" t="s">
        <v>35</v>
      </c>
      <c r="E1084" s="0" t="s">
        <v>9097</v>
      </c>
      <c r="F1084" s="0" t="n">
        <v>850</v>
      </c>
      <c r="G1084" s="0" t="s">
        <v>277</v>
      </c>
      <c r="H1084" s="0" t="s">
        <v>293</v>
      </c>
      <c r="I1084" s="0" t="s">
        <v>9098</v>
      </c>
    </row>
    <row r="1085" customFormat="false" ht="15" hidden="false" customHeight="false" outlineLevel="0" collapsed="false">
      <c r="A1085" s="0" t="n">
        <v>51</v>
      </c>
      <c r="B1085" s="0" t="s">
        <v>99</v>
      </c>
      <c r="C1085" s="0" t="s">
        <v>9099</v>
      </c>
      <c r="D1085" s="0" t="s">
        <v>6416</v>
      </c>
      <c r="F1085" s="0" t="n">
        <v>4389</v>
      </c>
      <c r="G1085" s="0" t="s">
        <v>277</v>
      </c>
      <c r="H1085" s="0" t="s">
        <v>293</v>
      </c>
      <c r="I1085" s="0" t="s">
        <v>9100</v>
      </c>
    </row>
    <row r="1086" customFormat="false" ht="15" hidden="false" customHeight="false" outlineLevel="0" collapsed="false">
      <c r="A1086" s="0" t="n">
        <v>51</v>
      </c>
      <c r="B1086" s="0" t="s">
        <v>99</v>
      </c>
      <c r="C1086" s="0" t="s">
        <v>9101</v>
      </c>
      <c r="D1086" s="0" t="s">
        <v>7622</v>
      </c>
      <c r="E1086" s="0" t="s">
        <v>9102</v>
      </c>
      <c r="F1086" s="0" t="n">
        <v>636</v>
      </c>
      <c r="G1086" s="0" t="s">
        <v>277</v>
      </c>
      <c r="H1086" s="0" t="s">
        <v>293</v>
      </c>
      <c r="I1086" s="0" t="s">
        <v>9103</v>
      </c>
    </row>
    <row r="1087" customFormat="false" ht="15" hidden="false" customHeight="false" outlineLevel="0" collapsed="false">
      <c r="A1087" s="0" t="n">
        <v>49</v>
      </c>
      <c r="B1087" s="0" t="s">
        <v>96</v>
      </c>
      <c r="C1087" s="0" t="s">
        <v>9104</v>
      </c>
      <c r="D1087" s="0" t="s">
        <v>6560</v>
      </c>
      <c r="E1087" s="0" t="s">
        <v>9105</v>
      </c>
      <c r="F1087" s="0" t="n">
        <v>3583</v>
      </c>
      <c r="G1087" s="0" t="s">
        <v>277</v>
      </c>
      <c r="H1087" s="0" t="s">
        <v>293</v>
      </c>
      <c r="I1087" s="0" t="s">
        <v>9106</v>
      </c>
    </row>
    <row r="1088" customFormat="false" ht="15" hidden="false" customHeight="false" outlineLevel="0" collapsed="false">
      <c r="A1088" s="0" t="n">
        <v>51</v>
      </c>
      <c r="B1088" s="0" t="s">
        <v>99</v>
      </c>
      <c r="C1088" s="0" t="s">
        <v>9107</v>
      </c>
      <c r="D1088" s="0" t="s">
        <v>6416</v>
      </c>
      <c r="F1088" s="0" t="n">
        <v>2175</v>
      </c>
      <c r="G1088" s="0" t="s">
        <v>277</v>
      </c>
      <c r="H1088" s="0" t="s">
        <v>293</v>
      </c>
      <c r="I1088" s="0" t="s">
        <v>9108</v>
      </c>
    </row>
    <row r="1089" customFormat="false" ht="15" hidden="false" customHeight="false" outlineLevel="0" collapsed="false">
      <c r="A1089" s="0" t="n">
        <v>51</v>
      </c>
      <c r="B1089" s="0" t="s">
        <v>99</v>
      </c>
      <c r="C1089" s="0" t="s">
        <v>9109</v>
      </c>
      <c r="D1089" s="0" t="s">
        <v>6560</v>
      </c>
      <c r="F1089" s="0" t="n">
        <v>2756</v>
      </c>
      <c r="G1089" s="0" t="s">
        <v>277</v>
      </c>
      <c r="H1089" s="0" t="s">
        <v>293</v>
      </c>
      <c r="I1089" s="0" t="s">
        <v>9110</v>
      </c>
    </row>
    <row r="1090" customFormat="false" ht="15" hidden="false" customHeight="false" outlineLevel="0" collapsed="false">
      <c r="A1090" s="0" t="n">
        <v>51</v>
      </c>
      <c r="B1090" s="0" t="s">
        <v>99</v>
      </c>
      <c r="C1090" s="0" t="s">
        <v>9111</v>
      </c>
      <c r="D1090" s="0" t="s">
        <v>6560</v>
      </c>
      <c r="E1090" s="0" t="s">
        <v>9112</v>
      </c>
      <c r="F1090" s="0" t="n">
        <v>2018</v>
      </c>
      <c r="G1090" s="0" t="s">
        <v>277</v>
      </c>
      <c r="H1090" s="0" t="s">
        <v>293</v>
      </c>
      <c r="I1090" s="0" t="s">
        <v>9113</v>
      </c>
    </row>
    <row r="1091" customFormat="false" ht="15" hidden="false" customHeight="false" outlineLevel="0" collapsed="false">
      <c r="A1091" s="0" t="n">
        <v>49</v>
      </c>
      <c r="B1091" s="0" t="s">
        <v>96</v>
      </c>
      <c r="C1091" s="0" t="s">
        <v>9114</v>
      </c>
      <c r="D1091" s="0" t="s">
        <v>6416</v>
      </c>
      <c r="E1091" s="0" t="s">
        <v>8755</v>
      </c>
      <c r="F1091" s="0" t="n">
        <v>2953</v>
      </c>
      <c r="G1091" s="0" t="s">
        <v>277</v>
      </c>
      <c r="H1091" s="0" t="s">
        <v>293</v>
      </c>
      <c r="I1091" s="0" t="s">
        <v>9115</v>
      </c>
    </row>
    <row r="1092" customFormat="false" ht="15" hidden="false" customHeight="false" outlineLevel="0" collapsed="false">
      <c r="A1092" s="0" t="n">
        <v>51</v>
      </c>
      <c r="B1092" s="0" t="s">
        <v>99</v>
      </c>
      <c r="C1092" s="0" t="s">
        <v>9116</v>
      </c>
      <c r="D1092" s="0" t="s">
        <v>7622</v>
      </c>
      <c r="F1092" s="0" t="n">
        <v>1791</v>
      </c>
      <c r="G1092" s="0" t="s">
        <v>277</v>
      </c>
      <c r="H1092" s="0" t="s">
        <v>293</v>
      </c>
      <c r="I1092" s="0" t="s">
        <v>9117</v>
      </c>
    </row>
    <row r="1093" customFormat="false" ht="15" hidden="false" customHeight="false" outlineLevel="0" collapsed="false">
      <c r="A1093" s="0" t="n">
        <v>50</v>
      </c>
      <c r="B1093" s="0" t="s">
        <v>97</v>
      </c>
      <c r="C1093" s="0" t="s">
        <v>9118</v>
      </c>
      <c r="D1093" s="0" t="s">
        <v>91</v>
      </c>
      <c r="E1093" s="0" t="s">
        <v>9119</v>
      </c>
      <c r="F1093" s="0" t="n">
        <v>902</v>
      </c>
      <c r="G1093" s="0" t="s">
        <v>277</v>
      </c>
      <c r="H1093" s="0" t="s">
        <v>293</v>
      </c>
      <c r="I1093" s="0" t="s">
        <v>9120</v>
      </c>
    </row>
    <row r="1094" customFormat="false" ht="15" hidden="false" customHeight="false" outlineLevel="0" collapsed="false">
      <c r="A1094" s="0" t="n">
        <v>51</v>
      </c>
      <c r="B1094" s="0" t="s">
        <v>99</v>
      </c>
      <c r="C1094" s="0" t="s">
        <v>9121</v>
      </c>
      <c r="D1094" s="0" t="s">
        <v>278</v>
      </c>
      <c r="F1094" s="0" t="n">
        <v>2287</v>
      </c>
      <c r="G1094" s="0" t="s">
        <v>277</v>
      </c>
      <c r="H1094" s="0" t="s">
        <v>293</v>
      </c>
      <c r="I1094" s="0" t="s">
        <v>9122</v>
      </c>
    </row>
    <row r="1095" customFormat="false" ht="15" hidden="false" customHeight="false" outlineLevel="0" collapsed="false">
      <c r="A1095" s="0" t="n">
        <v>51</v>
      </c>
      <c r="B1095" s="0" t="s">
        <v>99</v>
      </c>
      <c r="C1095" s="0" t="s">
        <v>9123</v>
      </c>
      <c r="D1095" s="0" t="s">
        <v>6416</v>
      </c>
      <c r="F1095" s="0" t="n">
        <v>7195</v>
      </c>
      <c r="G1095" s="0" t="s">
        <v>277</v>
      </c>
      <c r="H1095" s="0" t="s">
        <v>293</v>
      </c>
      <c r="I1095" s="0" t="s">
        <v>9124</v>
      </c>
    </row>
    <row r="1096" customFormat="false" ht="15" hidden="false" customHeight="false" outlineLevel="0" collapsed="false">
      <c r="A1096" s="0" t="n">
        <v>49</v>
      </c>
      <c r="B1096" s="0" t="s">
        <v>96</v>
      </c>
      <c r="C1096" s="0" t="s">
        <v>9125</v>
      </c>
      <c r="D1096" s="0" t="s">
        <v>35</v>
      </c>
      <c r="E1096" s="0" t="s">
        <v>9126</v>
      </c>
      <c r="F1096" s="0" t="n">
        <v>896</v>
      </c>
      <c r="G1096" s="0" t="s">
        <v>277</v>
      </c>
      <c r="H1096" s="0" t="s">
        <v>293</v>
      </c>
      <c r="I1096" s="0" t="s">
        <v>9127</v>
      </c>
    </row>
    <row r="1097" customFormat="false" ht="15" hidden="false" customHeight="false" outlineLevel="0" collapsed="false">
      <c r="A1097" s="0" t="n">
        <v>49</v>
      </c>
      <c r="B1097" s="0" t="s">
        <v>96</v>
      </c>
      <c r="C1097" s="0" t="s">
        <v>9128</v>
      </c>
      <c r="D1097" s="0" t="s">
        <v>6416</v>
      </c>
      <c r="E1097" s="0" t="s">
        <v>9129</v>
      </c>
      <c r="F1097" s="0" t="n">
        <v>1403</v>
      </c>
      <c r="G1097" s="0" t="s">
        <v>277</v>
      </c>
      <c r="H1097" s="0" t="s">
        <v>293</v>
      </c>
      <c r="I1097" s="0" t="s">
        <v>9130</v>
      </c>
    </row>
    <row r="1098" customFormat="false" ht="15" hidden="false" customHeight="false" outlineLevel="0" collapsed="false">
      <c r="A1098" s="0" t="n">
        <v>50</v>
      </c>
      <c r="B1098" s="0" t="s">
        <v>97</v>
      </c>
      <c r="C1098" s="0" t="s">
        <v>9131</v>
      </c>
      <c r="D1098" s="0" t="s">
        <v>6416</v>
      </c>
      <c r="E1098" s="0" t="s">
        <v>8802</v>
      </c>
      <c r="F1098" s="0" t="n">
        <v>340</v>
      </c>
      <c r="G1098" s="0" t="s">
        <v>277</v>
      </c>
      <c r="H1098" s="0" t="s">
        <v>293</v>
      </c>
      <c r="I1098" s="0" t="s">
        <v>9132</v>
      </c>
    </row>
    <row r="1099" customFormat="false" ht="15" hidden="false" customHeight="false" outlineLevel="0" collapsed="false">
      <c r="A1099" s="0" t="n">
        <v>51</v>
      </c>
      <c r="B1099" s="0" t="s">
        <v>99</v>
      </c>
      <c r="C1099" s="0" t="s">
        <v>9133</v>
      </c>
      <c r="D1099" s="0" t="s">
        <v>6560</v>
      </c>
      <c r="E1099" s="0" t="s">
        <v>9134</v>
      </c>
      <c r="F1099" s="0" t="n">
        <v>2318</v>
      </c>
      <c r="G1099" s="0" t="s">
        <v>277</v>
      </c>
      <c r="H1099" s="0" t="s">
        <v>293</v>
      </c>
      <c r="I1099" s="0" t="s">
        <v>9135</v>
      </c>
    </row>
    <row r="1100" customFormat="false" ht="15" hidden="false" customHeight="false" outlineLevel="0" collapsed="false">
      <c r="A1100" s="0" t="n">
        <v>51</v>
      </c>
      <c r="B1100" s="0" t="s">
        <v>99</v>
      </c>
      <c r="C1100" s="0" t="s">
        <v>9136</v>
      </c>
      <c r="D1100" s="0" t="s">
        <v>6416</v>
      </c>
      <c r="F1100" s="0" t="n">
        <v>3229</v>
      </c>
      <c r="G1100" s="0" t="s">
        <v>277</v>
      </c>
      <c r="H1100" s="0" t="s">
        <v>293</v>
      </c>
      <c r="I1100" s="0" t="s">
        <v>9137</v>
      </c>
    </row>
    <row r="1101" customFormat="false" ht="15" hidden="false" customHeight="false" outlineLevel="0" collapsed="false">
      <c r="A1101" s="0" t="n">
        <v>51</v>
      </c>
      <c r="B1101" s="0" t="s">
        <v>99</v>
      </c>
      <c r="C1101" s="0" t="s">
        <v>9138</v>
      </c>
      <c r="D1101" s="0" t="s">
        <v>6560</v>
      </c>
      <c r="F1101" s="0" t="n">
        <v>1735</v>
      </c>
      <c r="G1101" s="0" t="s">
        <v>277</v>
      </c>
      <c r="H1101" s="0" t="s">
        <v>293</v>
      </c>
      <c r="I1101" s="0" t="s">
        <v>9139</v>
      </c>
    </row>
    <row r="1102" customFormat="false" ht="15" hidden="false" customHeight="false" outlineLevel="0" collapsed="false">
      <c r="A1102" s="0" t="n">
        <v>49</v>
      </c>
      <c r="B1102" s="0" t="s">
        <v>96</v>
      </c>
      <c r="C1102" s="0" t="s">
        <v>9140</v>
      </c>
      <c r="D1102" s="0" t="s">
        <v>91</v>
      </c>
      <c r="E1102" s="0" t="s">
        <v>9141</v>
      </c>
      <c r="F1102" s="0" t="n">
        <v>1746</v>
      </c>
      <c r="G1102" s="0" t="s">
        <v>277</v>
      </c>
      <c r="H1102" s="0" t="s">
        <v>293</v>
      </c>
      <c r="I1102" s="0" t="s">
        <v>9142</v>
      </c>
    </row>
    <row r="1103" customFormat="false" ht="15" hidden="false" customHeight="false" outlineLevel="0" collapsed="false">
      <c r="A1103" s="0" t="n">
        <v>51</v>
      </c>
      <c r="B1103" s="0" t="s">
        <v>99</v>
      </c>
      <c r="C1103" s="0" t="s">
        <v>9143</v>
      </c>
      <c r="D1103" s="0" t="s">
        <v>6416</v>
      </c>
      <c r="F1103" s="0" t="n">
        <v>1909</v>
      </c>
      <c r="G1103" s="0" t="s">
        <v>277</v>
      </c>
      <c r="H1103" s="0" t="s">
        <v>293</v>
      </c>
      <c r="I1103" s="0" t="s">
        <v>9144</v>
      </c>
    </row>
    <row r="1104" customFormat="false" ht="15" hidden="false" customHeight="false" outlineLevel="0" collapsed="false">
      <c r="A1104" s="0" t="n">
        <v>51</v>
      </c>
      <c r="B1104" s="0" t="s">
        <v>99</v>
      </c>
      <c r="C1104" s="0" t="s">
        <v>9145</v>
      </c>
      <c r="D1104" s="0" t="s">
        <v>6560</v>
      </c>
      <c r="E1104" s="0" t="s">
        <v>9146</v>
      </c>
      <c r="F1104" s="0" t="n">
        <v>721</v>
      </c>
      <c r="G1104" s="0" t="s">
        <v>277</v>
      </c>
      <c r="H1104" s="0" t="s">
        <v>293</v>
      </c>
      <c r="I1104" s="0" t="s">
        <v>9147</v>
      </c>
    </row>
    <row r="1105" customFormat="false" ht="15" hidden="false" customHeight="false" outlineLevel="0" collapsed="false">
      <c r="A1105" s="0" t="n">
        <v>49</v>
      </c>
      <c r="B1105" s="0" t="s">
        <v>96</v>
      </c>
      <c r="C1105" s="0" t="s">
        <v>9148</v>
      </c>
      <c r="D1105" s="0" t="s">
        <v>6416</v>
      </c>
      <c r="E1105" s="0" t="s">
        <v>9149</v>
      </c>
      <c r="F1105" s="0" t="n">
        <v>4014</v>
      </c>
      <c r="G1105" s="0" t="s">
        <v>277</v>
      </c>
      <c r="H1105" s="0" t="s">
        <v>293</v>
      </c>
      <c r="I1105" s="0" t="s">
        <v>9150</v>
      </c>
    </row>
    <row r="1106" customFormat="false" ht="15" hidden="false" customHeight="false" outlineLevel="0" collapsed="false">
      <c r="A1106" s="0" t="n">
        <v>51</v>
      </c>
      <c r="B1106" s="0" t="s">
        <v>99</v>
      </c>
      <c r="C1106" s="0" t="s">
        <v>9151</v>
      </c>
      <c r="D1106" s="0" t="s">
        <v>829</v>
      </c>
      <c r="F1106" s="0" t="n">
        <v>2184</v>
      </c>
      <c r="G1106" s="0" t="s">
        <v>277</v>
      </c>
      <c r="H1106" s="0" t="s">
        <v>293</v>
      </c>
      <c r="I1106" s="0" t="s">
        <v>9152</v>
      </c>
    </row>
    <row r="1107" customFormat="false" ht="15" hidden="false" customHeight="false" outlineLevel="0" collapsed="false">
      <c r="A1107" s="0" t="n">
        <v>51</v>
      </c>
      <c r="B1107" s="0" t="s">
        <v>99</v>
      </c>
      <c r="C1107" s="0" t="s">
        <v>9153</v>
      </c>
      <c r="D1107" s="0" t="s">
        <v>6076</v>
      </c>
      <c r="F1107" s="0" t="n">
        <v>2256</v>
      </c>
      <c r="G1107" s="0" t="s">
        <v>277</v>
      </c>
      <c r="H1107" s="0" t="s">
        <v>293</v>
      </c>
      <c r="I1107" s="0" t="s">
        <v>9154</v>
      </c>
    </row>
    <row r="1108" customFormat="false" ht="15" hidden="false" customHeight="false" outlineLevel="0" collapsed="false">
      <c r="A1108" s="0" t="n">
        <v>49</v>
      </c>
      <c r="B1108" s="0" t="s">
        <v>96</v>
      </c>
      <c r="C1108" s="0" t="s">
        <v>9155</v>
      </c>
      <c r="D1108" s="0" t="s">
        <v>6416</v>
      </c>
      <c r="E1108" s="0" t="s">
        <v>8683</v>
      </c>
      <c r="F1108" s="0" t="n">
        <v>1078</v>
      </c>
      <c r="G1108" s="0" t="s">
        <v>277</v>
      </c>
      <c r="H1108" s="0" t="s">
        <v>293</v>
      </c>
      <c r="I1108" s="0" t="s">
        <v>9156</v>
      </c>
    </row>
    <row r="1109" customFormat="false" ht="15" hidden="false" customHeight="false" outlineLevel="0" collapsed="false">
      <c r="A1109" s="0" t="n">
        <v>51</v>
      </c>
      <c r="B1109" s="0" t="s">
        <v>99</v>
      </c>
      <c r="C1109" s="0" t="s">
        <v>9157</v>
      </c>
      <c r="D1109" s="0" t="s">
        <v>91</v>
      </c>
      <c r="E1109" s="0" t="s">
        <v>9158</v>
      </c>
      <c r="F1109" s="0" t="n">
        <v>773</v>
      </c>
      <c r="G1109" s="0" t="s">
        <v>277</v>
      </c>
      <c r="H1109" s="0" t="s">
        <v>293</v>
      </c>
      <c r="I1109" s="0" t="s">
        <v>9159</v>
      </c>
    </row>
    <row r="1110" customFormat="false" ht="15" hidden="false" customHeight="false" outlineLevel="0" collapsed="false">
      <c r="A1110" s="0" t="n">
        <v>49</v>
      </c>
      <c r="B1110" s="0" t="s">
        <v>96</v>
      </c>
      <c r="C1110" s="0" t="s">
        <v>9160</v>
      </c>
      <c r="D1110" s="0" t="s">
        <v>91</v>
      </c>
      <c r="E1110" s="0" t="s">
        <v>9161</v>
      </c>
      <c r="F1110" s="0" t="n">
        <v>2253</v>
      </c>
      <c r="G1110" s="0" t="s">
        <v>277</v>
      </c>
      <c r="H1110" s="0" t="s">
        <v>293</v>
      </c>
      <c r="I1110" s="0" t="s">
        <v>9162</v>
      </c>
    </row>
    <row r="1111" customFormat="false" ht="15" hidden="false" customHeight="false" outlineLevel="0" collapsed="false">
      <c r="A1111" s="0" t="n">
        <v>51</v>
      </c>
      <c r="B1111" s="0" t="s">
        <v>99</v>
      </c>
      <c r="C1111" s="0" t="s">
        <v>9163</v>
      </c>
      <c r="D1111" s="0" t="s">
        <v>6425</v>
      </c>
      <c r="E1111" s="0" t="s">
        <v>9164</v>
      </c>
      <c r="F1111" s="0" t="n">
        <v>1117</v>
      </c>
      <c r="G1111" s="0" t="s">
        <v>277</v>
      </c>
      <c r="H1111" s="0" t="s">
        <v>293</v>
      </c>
      <c r="I1111" s="0" t="s">
        <v>9165</v>
      </c>
    </row>
    <row r="1112" customFormat="false" ht="15" hidden="false" customHeight="false" outlineLevel="0" collapsed="false">
      <c r="A1112" s="0" t="n">
        <v>50</v>
      </c>
      <c r="B1112" s="0" t="s">
        <v>97</v>
      </c>
      <c r="C1112" s="0" t="s">
        <v>9166</v>
      </c>
      <c r="D1112" s="0" t="s">
        <v>6416</v>
      </c>
      <c r="E1112" s="0" t="s">
        <v>8867</v>
      </c>
      <c r="F1112" s="0" t="n">
        <v>375</v>
      </c>
      <c r="G1112" s="0" t="s">
        <v>277</v>
      </c>
      <c r="H1112" s="0" t="s">
        <v>293</v>
      </c>
      <c r="I1112" s="0" t="s">
        <v>9167</v>
      </c>
    </row>
    <row r="1113" customFormat="false" ht="15" hidden="false" customHeight="false" outlineLevel="0" collapsed="false">
      <c r="A1113" s="0" t="n">
        <v>51</v>
      </c>
      <c r="B1113" s="0" t="s">
        <v>99</v>
      </c>
      <c r="C1113" s="0" t="s">
        <v>9168</v>
      </c>
      <c r="D1113" s="0" t="s">
        <v>6560</v>
      </c>
      <c r="F1113" s="0" t="n">
        <v>4083</v>
      </c>
      <c r="G1113" s="0" t="s">
        <v>277</v>
      </c>
      <c r="H1113" s="0" t="s">
        <v>293</v>
      </c>
      <c r="I1113" s="0" t="s">
        <v>9169</v>
      </c>
    </row>
    <row r="1114" customFormat="false" ht="15" hidden="false" customHeight="false" outlineLevel="0" collapsed="false">
      <c r="A1114" s="0" t="n">
        <v>51</v>
      </c>
      <c r="B1114" s="0" t="s">
        <v>99</v>
      </c>
      <c r="C1114" s="0" t="s">
        <v>9170</v>
      </c>
      <c r="D1114" s="0" t="s">
        <v>6560</v>
      </c>
      <c r="F1114" s="0" t="n">
        <v>3598</v>
      </c>
      <c r="G1114" s="0" t="s">
        <v>277</v>
      </c>
      <c r="H1114" s="0" t="s">
        <v>293</v>
      </c>
      <c r="I1114" s="0" t="s">
        <v>9171</v>
      </c>
    </row>
    <row r="1115" customFormat="false" ht="15" hidden="false" customHeight="false" outlineLevel="0" collapsed="false">
      <c r="A1115" s="0" t="n">
        <v>50</v>
      </c>
      <c r="B1115" s="0" t="s">
        <v>97</v>
      </c>
      <c r="C1115" s="0" t="s">
        <v>9172</v>
      </c>
      <c r="D1115" s="0" t="s">
        <v>6416</v>
      </c>
      <c r="E1115" s="0" t="s">
        <v>9173</v>
      </c>
      <c r="F1115" s="0" t="n">
        <v>1840</v>
      </c>
      <c r="G1115" s="0" t="s">
        <v>277</v>
      </c>
      <c r="H1115" s="0" t="s">
        <v>293</v>
      </c>
      <c r="I1115" s="0" t="s">
        <v>9174</v>
      </c>
    </row>
    <row r="1116" customFormat="false" ht="15" hidden="false" customHeight="false" outlineLevel="0" collapsed="false">
      <c r="A1116" s="0" t="n">
        <v>51</v>
      </c>
      <c r="B1116" s="0" t="s">
        <v>99</v>
      </c>
      <c r="C1116" s="0" t="s">
        <v>9175</v>
      </c>
      <c r="D1116" s="0" t="s">
        <v>829</v>
      </c>
      <c r="F1116" s="0" t="n">
        <v>684</v>
      </c>
      <c r="G1116" s="0" t="s">
        <v>277</v>
      </c>
      <c r="H1116" s="0" t="s">
        <v>293</v>
      </c>
      <c r="I1116" s="0" t="s">
        <v>9176</v>
      </c>
    </row>
    <row r="1117" customFormat="false" ht="15" hidden="false" customHeight="false" outlineLevel="0" collapsed="false">
      <c r="A1117" s="0" t="n">
        <v>54</v>
      </c>
      <c r="B1117" s="0" t="s">
        <v>102</v>
      </c>
      <c r="C1117" s="0" t="s">
        <v>9177</v>
      </c>
      <c r="D1117" s="0" t="s">
        <v>6560</v>
      </c>
      <c r="E1117" s="0" t="s">
        <v>102</v>
      </c>
      <c r="F1117" s="0" t="n">
        <v>317</v>
      </c>
      <c r="G1117" s="0" t="s">
        <v>277</v>
      </c>
      <c r="H1117" s="0" t="s">
        <v>293</v>
      </c>
      <c r="I1117" s="0" t="s">
        <v>9178</v>
      </c>
    </row>
    <row r="1118" customFormat="false" ht="15" hidden="false" customHeight="false" outlineLevel="0" collapsed="false">
      <c r="A1118" s="0" t="n">
        <v>54</v>
      </c>
      <c r="B1118" s="0" t="s">
        <v>102</v>
      </c>
      <c r="C1118" s="0" t="s">
        <v>9179</v>
      </c>
      <c r="D1118" s="0" t="s">
        <v>6560</v>
      </c>
      <c r="E1118" s="0" t="s">
        <v>9180</v>
      </c>
      <c r="F1118" s="0" t="n">
        <v>1393</v>
      </c>
      <c r="G1118" s="0" t="s">
        <v>277</v>
      </c>
      <c r="H1118" s="0" t="s">
        <v>293</v>
      </c>
      <c r="I1118" s="0" t="s">
        <v>9181</v>
      </c>
    </row>
    <row r="1119" customFormat="false" ht="15" hidden="false" customHeight="false" outlineLevel="0" collapsed="false">
      <c r="A1119" s="0" t="n">
        <v>54</v>
      </c>
      <c r="B1119" s="0" t="s">
        <v>102</v>
      </c>
      <c r="C1119" s="0" t="s">
        <v>9182</v>
      </c>
      <c r="D1119" s="0" t="s">
        <v>6560</v>
      </c>
      <c r="E1119" s="0" t="s">
        <v>9183</v>
      </c>
      <c r="F1119" s="0" t="n">
        <v>355</v>
      </c>
      <c r="G1119" s="0" t="s">
        <v>277</v>
      </c>
      <c r="H1119" s="0" t="s">
        <v>293</v>
      </c>
      <c r="I1119" s="0" t="s">
        <v>9184</v>
      </c>
    </row>
    <row r="1120" customFormat="false" ht="15" hidden="false" customHeight="false" outlineLevel="0" collapsed="false">
      <c r="A1120" s="0" t="n">
        <v>54</v>
      </c>
      <c r="B1120" s="0" t="s">
        <v>102</v>
      </c>
      <c r="C1120" s="0" t="s">
        <v>9185</v>
      </c>
      <c r="D1120" s="0" t="s">
        <v>6560</v>
      </c>
      <c r="E1120" s="0" t="s">
        <v>102</v>
      </c>
      <c r="F1120" s="0" t="n">
        <v>317</v>
      </c>
      <c r="G1120" s="0" t="s">
        <v>277</v>
      </c>
      <c r="H1120" s="0" t="s">
        <v>293</v>
      </c>
      <c r="I1120" s="0" t="s">
        <v>9178</v>
      </c>
    </row>
    <row r="1121" customFormat="false" ht="15" hidden="false" customHeight="false" outlineLevel="0" collapsed="false">
      <c r="A1121" s="0" t="n">
        <v>54</v>
      </c>
      <c r="B1121" s="0" t="s">
        <v>102</v>
      </c>
      <c r="C1121" s="0" t="s">
        <v>9186</v>
      </c>
      <c r="D1121" s="0" t="s">
        <v>6560</v>
      </c>
      <c r="E1121" s="0" t="s">
        <v>9187</v>
      </c>
      <c r="F1121" s="0" t="n">
        <v>713</v>
      </c>
      <c r="G1121" s="0" t="s">
        <v>277</v>
      </c>
      <c r="H1121" s="0" t="s">
        <v>293</v>
      </c>
      <c r="I1121" s="0" t="s">
        <v>9188</v>
      </c>
    </row>
    <row r="1122" customFormat="false" ht="15" hidden="false" customHeight="false" outlineLevel="0" collapsed="false">
      <c r="A1122" s="0" t="n">
        <v>52</v>
      </c>
      <c r="B1122" s="0" t="s">
        <v>100</v>
      </c>
      <c r="C1122" s="0" t="s">
        <v>9189</v>
      </c>
      <c r="D1122" s="0" t="s">
        <v>6416</v>
      </c>
      <c r="E1122" s="0" t="s">
        <v>9190</v>
      </c>
      <c r="F1122" s="0" t="n">
        <v>691</v>
      </c>
      <c r="G1122" s="0" t="s">
        <v>277</v>
      </c>
      <c r="H1122" s="0" t="s">
        <v>293</v>
      </c>
      <c r="I1122" s="0" t="s">
        <v>9191</v>
      </c>
    </row>
    <row r="1123" customFormat="false" ht="15" hidden="false" customHeight="false" outlineLevel="0" collapsed="false">
      <c r="A1123" s="0" t="n">
        <v>54</v>
      </c>
      <c r="B1123" s="0" t="s">
        <v>102</v>
      </c>
      <c r="C1123" s="0" t="s">
        <v>9192</v>
      </c>
      <c r="D1123" s="0" t="s">
        <v>6425</v>
      </c>
      <c r="E1123" s="0" t="s">
        <v>9193</v>
      </c>
      <c r="F1123" s="0" t="n">
        <v>662</v>
      </c>
      <c r="G1123" s="0" t="s">
        <v>277</v>
      </c>
      <c r="H1123" s="0" t="s">
        <v>293</v>
      </c>
      <c r="I1123" s="0" t="s">
        <v>9194</v>
      </c>
    </row>
    <row r="1124" customFormat="false" ht="15" hidden="false" customHeight="false" outlineLevel="0" collapsed="false">
      <c r="A1124" s="0" t="n">
        <v>54</v>
      </c>
      <c r="B1124" s="0" t="s">
        <v>102</v>
      </c>
      <c r="C1124" s="0" t="s">
        <v>9195</v>
      </c>
      <c r="D1124" s="0" t="s">
        <v>6425</v>
      </c>
      <c r="E1124" s="0" t="s">
        <v>9196</v>
      </c>
      <c r="F1124" s="0" t="n">
        <v>808</v>
      </c>
      <c r="G1124" s="0" t="s">
        <v>277</v>
      </c>
      <c r="H1124" s="0" t="s">
        <v>293</v>
      </c>
      <c r="I1124" s="0" t="s">
        <v>9197</v>
      </c>
    </row>
    <row r="1125" customFormat="false" ht="15" hidden="false" customHeight="false" outlineLevel="0" collapsed="false">
      <c r="A1125" s="0" t="n">
        <v>54</v>
      </c>
      <c r="B1125" s="0" t="s">
        <v>102</v>
      </c>
      <c r="C1125" s="0" t="s">
        <v>9198</v>
      </c>
      <c r="D1125" s="0" t="s">
        <v>6425</v>
      </c>
      <c r="E1125" s="0" t="s">
        <v>9199</v>
      </c>
      <c r="F1125" s="0" t="n">
        <v>785</v>
      </c>
      <c r="G1125" s="0" t="s">
        <v>277</v>
      </c>
      <c r="H1125" s="0" t="s">
        <v>293</v>
      </c>
      <c r="I1125" s="0" t="s">
        <v>9200</v>
      </c>
    </row>
    <row r="1126" customFormat="false" ht="15" hidden="false" customHeight="false" outlineLevel="0" collapsed="false">
      <c r="A1126" s="0" t="n">
        <v>52</v>
      </c>
      <c r="B1126" s="0" t="s">
        <v>100</v>
      </c>
      <c r="C1126" s="0" t="s">
        <v>9201</v>
      </c>
      <c r="D1126" s="0" t="s">
        <v>6416</v>
      </c>
      <c r="E1126" s="0" t="s">
        <v>9202</v>
      </c>
      <c r="F1126" s="0" t="n">
        <v>2657</v>
      </c>
      <c r="G1126" s="0" t="s">
        <v>277</v>
      </c>
      <c r="H1126" s="0" t="s">
        <v>293</v>
      </c>
      <c r="I1126" s="0" t="s">
        <v>9203</v>
      </c>
    </row>
    <row r="1127" customFormat="false" ht="15" hidden="false" customHeight="false" outlineLevel="0" collapsed="false">
      <c r="A1127" s="0" t="n">
        <v>54</v>
      </c>
      <c r="B1127" s="0" t="s">
        <v>102</v>
      </c>
      <c r="C1127" s="0" t="s">
        <v>9204</v>
      </c>
      <c r="D1127" s="0" t="s">
        <v>6560</v>
      </c>
      <c r="E1127" s="0" t="s">
        <v>9205</v>
      </c>
      <c r="F1127" s="0" t="n">
        <v>661</v>
      </c>
      <c r="G1127" s="0" t="s">
        <v>277</v>
      </c>
      <c r="H1127" s="0" t="s">
        <v>293</v>
      </c>
      <c r="I1127" s="0" t="s">
        <v>9206</v>
      </c>
    </row>
    <row r="1128" customFormat="false" ht="15" hidden="false" customHeight="false" outlineLevel="0" collapsed="false">
      <c r="A1128" s="0" t="n">
        <v>54</v>
      </c>
      <c r="B1128" s="0" t="s">
        <v>102</v>
      </c>
      <c r="C1128" s="0" t="s">
        <v>9207</v>
      </c>
      <c r="D1128" s="0" t="s">
        <v>829</v>
      </c>
      <c r="E1128" s="0" t="s">
        <v>9208</v>
      </c>
      <c r="F1128" s="0" t="n">
        <v>5137</v>
      </c>
      <c r="G1128" s="0" t="s">
        <v>277</v>
      </c>
      <c r="H1128" s="0" t="s">
        <v>293</v>
      </c>
      <c r="I1128" s="0" t="s">
        <v>9209</v>
      </c>
    </row>
    <row r="1129" customFormat="false" ht="15" hidden="false" customHeight="false" outlineLevel="0" collapsed="false">
      <c r="A1129" s="0" t="n">
        <v>54</v>
      </c>
      <c r="B1129" s="0" t="s">
        <v>102</v>
      </c>
      <c r="C1129" s="0" t="s">
        <v>9210</v>
      </c>
      <c r="D1129" s="0" t="s">
        <v>6425</v>
      </c>
      <c r="E1129" s="0" t="s">
        <v>9211</v>
      </c>
      <c r="F1129" s="0" t="n">
        <v>701</v>
      </c>
      <c r="G1129" s="0" t="s">
        <v>277</v>
      </c>
      <c r="H1129" s="0" t="s">
        <v>293</v>
      </c>
      <c r="I1129" s="0" t="s">
        <v>9212</v>
      </c>
    </row>
    <row r="1130" customFormat="false" ht="15" hidden="false" customHeight="false" outlineLevel="0" collapsed="false">
      <c r="A1130" s="0" t="n">
        <v>52</v>
      </c>
      <c r="B1130" s="0" t="s">
        <v>100</v>
      </c>
      <c r="C1130" s="0" t="s">
        <v>9213</v>
      </c>
      <c r="D1130" s="0" t="s">
        <v>6416</v>
      </c>
      <c r="E1130" s="0" t="s">
        <v>9214</v>
      </c>
      <c r="F1130" s="0" t="n">
        <v>691</v>
      </c>
      <c r="G1130" s="0" t="s">
        <v>277</v>
      </c>
      <c r="H1130" s="0" t="s">
        <v>293</v>
      </c>
      <c r="I1130" s="0" t="s">
        <v>9215</v>
      </c>
    </row>
    <row r="1131" customFormat="false" ht="15" hidden="false" customHeight="false" outlineLevel="0" collapsed="false">
      <c r="A1131" s="0" t="n">
        <v>54</v>
      </c>
      <c r="B1131" s="0" t="s">
        <v>102</v>
      </c>
      <c r="C1131" s="0" t="s">
        <v>9216</v>
      </c>
      <c r="D1131" s="0" t="s">
        <v>6425</v>
      </c>
      <c r="E1131" s="0" t="s">
        <v>9217</v>
      </c>
      <c r="F1131" s="0" t="n">
        <v>988</v>
      </c>
      <c r="G1131" s="0" t="s">
        <v>277</v>
      </c>
      <c r="H1131" s="0" t="s">
        <v>293</v>
      </c>
      <c r="I1131" s="0" t="s">
        <v>9218</v>
      </c>
    </row>
    <row r="1132" customFormat="false" ht="15" hidden="false" customHeight="false" outlineLevel="0" collapsed="false">
      <c r="A1132" s="0" t="n">
        <v>53</v>
      </c>
      <c r="B1132" s="0" t="s">
        <v>101</v>
      </c>
      <c r="C1132" s="0" t="s">
        <v>9219</v>
      </c>
      <c r="D1132" s="0" t="s">
        <v>6076</v>
      </c>
      <c r="E1132" s="0" t="s">
        <v>9220</v>
      </c>
      <c r="F1132" s="0" t="n">
        <v>1638</v>
      </c>
      <c r="G1132" s="0" t="s">
        <v>277</v>
      </c>
      <c r="H1132" s="0" t="s">
        <v>293</v>
      </c>
      <c r="I1132" s="0" t="s">
        <v>9221</v>
      </c>
    </row>
    <row r="1133" customFormat="false" ht="15" hidden="false" customHeight="false" outlineLevel="0" collapsed="false">
      <c r="A1133" s="0" t="n">
        <v>54</v>
      </c>
      <c r="B1133" s="0" t="s">
        <v>102</v>
      </c>
      <c r="C1133" s="0" t="s">
        <v>9222</v>
      </c>
      <c r="D1133" s="0" t="s">
        <v>6560</v>
      </c>
      <c r="E1133" s="0" t="s">
        <v>9223</v>
      </c>
      <c r="F1133" s="0" t="n">
        <v>721</v>
      </c>
      <c r="G1133" s="0" t="s">
        <v>277</v>
      </c>
      <c r="H1133" s="0" t="s">
        <v>293</v>
      </c>
      <c r="I1133" s="0" t="s">
        <v>9224</v>
      </c>
    </row>
    <row r="1134" customFormat="false" ht="15" hidden="false" customHeight="false" outlineLevel="0" collapsed="false">
      <c r="A1134" s="0" t="n">
        <v>52</v>
      </c>
      <c r="B1134" s="0" t="s">
        <v>100</v>
      </c>
      <c r="C1134" s="0" t="s">
        <v>9225</v>
      </c>
      <c r="D1134" s="0" t="s">
        <v>6416</v>
      </c>
      <c r="E1134" s="0" t="s">
        <v>9226</v>
      </c>
      <c r="F1134" s="0" t="n">
        <v>691</v>
      </c>
      <c r="G1134" s="0" t="s">
        <v>277</v>
      </c>
      <c r="H1134" s="0" t="s">
        <v>293</v>
      </c>
      <c r="I1134" s="0" t="s">
        <v>9227</v>
      </c>
    </row>
    <row r="1135" customFormat="false" ht="15" hidden="false" customHeight="false" outlineLevel="0" collapsed="false">
      <c r="A1135" s="0" t="n">
        <v>54</v>
      </c>
      <c r="B1135" s="0" t="s">
        <v>102</v>
      </c>
      <c r="C1135" s="0" t="s">
        <v>9228</v>
      </c>
      <c r="D1135" s="0" t="s">
        <v>6560</v>
      </c>
      <c r="E1135" s="0" t="s">
        <v>9229</v>
      </c>
      <c r="F1135" s="0" t="n">
        <v>686</v>
      </c>
      <c r="G1135" s="0" t="s">
        <v>277</v>
      </c>
      <c r="H1135" s="0" t="s">
        <v>293</v>
      </c>
      <c r="I1135" s="0" t="s">
        <v>9230</v>
      </c>
    </row>
    <row r="1136" customFormat="false" ht="15" hidden="false" customHeight="false" outlineLevel="0" collapsed="false">
      <c r="A1136" s="0" t="n">
        <v>54</v>
      </c>
      <c r="B1136" s="0" t="s">
        <v>102</v>
      </c>
      <c r="C1136" s="0" t="s">
        <v>9231</v>
      </c>
      <c r="D1136" s="0" t="s">
        <v>6560</v>
      </c>
      <c r="E1136" s="0" t="s">
        <v>9232</v>
      </c>
      <c r="F1136" s="0" t="n">
        <v>721</v>
      </c>
      <c r="G1136" s="0" t="s">
        <v>277</v>
      </c>
      <c r="H1136" s="0" t="s">
        <v>293</v>
      </c>
      <c r="I1136" s="0" t="s">
        <v>9233</v>
      </c>
    </row>
    <row r="1137" customFormat="false" ht="15" hidden="false" customHeight="false" outlineLevel="0" collapsed="false">
      <c r="A1137" s="0" t="n">
        <v>54</v>
      </c>
      <c r="B1137" s="0" t="s">
        <v>102</v>
      </c>
      <c r="C1137" s="0" t="s">
        <v>9234</v>
      </c>
      <c r="D1137" s="0" t="s">
        <v>91</v>
      </c>
      <c r="F1137" s="0" t="n">
        <v>1116</v>
      </c>
      <c r="G1137" s="0" t="s">
        <v>277</v>
      </c>
      <c r="H1137" s="0" t="s">
        <v>293</v>
      </c>
      <c r="I1137" s="0" t="s">
        <v>9235</v>
      </c>
    </row>
    <row r="1138" customFormat="false" ht="15" hidden="false" customHeight="false" outlineLevel="0" collapsed="false">
      <c r="A1138" s="0" t="n">
        <v>52</v>
      </c>
      <c r="B1138" s="0" t="s">
        <v>100</v>
      </c>
      <c r="C1138" s="0" t="s">
        <v>9236</v>
      </c>
      <c r="D1138" s="0" t="s">
        <v>6416</v>
      </c>
      <c r="E1138" s="0" t="s">
        <v>9237</v>
      </c>
      <c r="F1138" s="0" t="n">
        <v>3839</v>
      </c>
      <c r="G1138" s="0" t="s">
        <v>277</v>
      </c>
      <c r="H1138" s="0" t="s">
        <v>293</v>
      </c>
      <c r="I1138" s="0" t="s">
        <v>9238</v>
      </c>
    </row>
    <row r="1139" customFormat="false" ht="15" hidden="false" customHeight="false" outlineLevel="0" collapsed="false">
      <c r="A1139" s="0" t="n">
        <v>54</v>
      </c>
      <c r="B1139" s="0" t="s">
        <v>102</v>
      </c>
      <c r="C1139" s="0" t="s">
        <v>9239</v>
      </c>
      <c r="D1139" s="0" t="s">
        <v>6560</v>
      </c>
      <c r="E1139" s="0" t="s">
        <v>9240</v>
      </c>
      <c r="F1139" s="0" t="n">
        <v>3231</v>
      </c>
      <c r="G1139" s="0" t="s">
        <v>277</v>
      </c>
      <c r="H1139" s="0" t="s">
        <v>293</v>
      </c>
      <c r="I1139" s="0" t="s">
        <v>9241</v>
      </c>
    </row>
    <row r="1140" customFormat="false" ht="15" hidden="false" customHeight="false" outlineLevel="0" collapsed="false">
      <c r="A1140" s="0" t="n">
        <v>54</v>
      </c>
      <c r="B1140" s="0" t="s">
        <v>102</v>
      </c>
      <c r="C1140" s="0" t="s">
        <v>9242</v>
      </c>
      <c r="D1140" s="0" t="s">
        <v>6560</v>
      </c>
      <c r="E1140" s="0" t="s">
        <v>9243</v>
      </c>
      <c r="F1140" s="0" t="n">
        <v>2261</v>
      </c>
      <c r="G1140" s="0" t="s">
        <v>277</v>
      </c>
      <c r="H1140" s="0" t="s">
        <v>293</v>
      </c>
      <c r="I1140" s="0" t="s">
        <v>9244</v>
      </c>
    </row>
    <row r="1141" customFormat="false" ht="15" hidden="false" customHeight="false" outlineLevel="0" collapsed="false">
      <c r="A1141" s="0" t="n">
        <v>54</v>
      </c>
      <c r="B1141" s="0" t="s">
        <v>102</v>
      </c>
      <c r="C1141" s="0" t="s">
        <v>9245</v>
      </c>
      <c r="D1141" s="0" t="s">
        <v>6425</v>
      </c>
      <c r="E1141" s="0" t="s">
        <v>9246</v>
      </c>
      <c r="F1141" s="0" t="n">
        <v>708</v>
      </c>
      <c r="G1141" s="0" t="s">
        <v>277</v>
      </c>
      <c r="H1141" s="0" t="s">
        <v>293</v>
      </c>
      <c r="I1141" s="0" t="s">
        <v>9247</v>
      </c>
    </row>
    <row r="1142" customFormat="false" ht="15" hidden="false" customHeight="false" outlineLevel="0" collapsed="false">
      <c r="A1142" s="0" t="n">
        <v>52</v>
      </c>
      <c r="B1142" s="0" t="s">
        <v>100</v>
      </c>
      <c r="C1142" s="0" t="s">
        <v>9248</v>
      </c>
      <c r="D1142" s="0" t="s">
        <v>6416</v>
      </c>
      <c r="E1142" s="0" t="s">
        <v>9249</v>
      </c>
      <c r="F1142" s="0" t="n">
        <v>691</v>
      </c>
      <c r="G1142" s="0" t="s">
        <v>277</v>
      </c>
      <c r="H1142" s="0" t="s">
        <v>293</v>
      </c>
      <c r="I1142" s="0" t="s">
        <v>9250</v>
      </c>
    </row>
    <row r="1143" customFormat="false" ht="15" hidden="false" customHeight="false" outlineLevel="0" collapsed="false">
      <c r="A1143" s="0" t="n">
        <v>54</v>
      </c>
      <c r="B1143" s="0" t="s">
        <v>102</v>
      </c>
      <c r="C1143" s="0" t="s">
        <v>9251</v>
      </c>
      <c r="D1143" s="0" t="s">
        <v>6560</v>
      </c>
      <c r="E1143" s="0" t="s">
        <v>9252</v>
      </c>
      <c r="F1143" s="0" t="n">
        <v>577</v>
      </c>
      <c r="G1143" s="0" t="s">
        <v>277</v>
      </c>
      <c r="H1143" s="0" t="s">
        <v>293</v>
      </c>
      <c r="I1143" s="0" t="s">
        <v>9253</v>
      </c>
    </row>
    <row r="1144" customFormat="false" ht="15" hidden="false" customHeight="false" outlineLevel="0" collapsed="false">
      <c r="A1144" s="0" t="n">
        <v>54</v>
      </c>
      <c r="B1144" s="0" t="s">
        <v>102</v>
      </c>
      <c r="C1144" s="0" t="s">
        <v>9254</v>
      </c>
      <c r="D1144" s="0" t="s">
        <v>6560</v>
      </c>
      <c r="E1144" s="0" t="s">
        <v>9255</v>
      </c>
      <c r="F1144" s="0" t="n">
        <v>1901</v>
      </c>
      <c r="G1144" s="0" t="s">
        <v>277</v>
      </c>
      <c r="H1144" s="0" t="s">
        <v>293</v>
      </c>
      <c r="I1144" s="0" t="s">
        <v>9256</v>
      </c>
    </row>
    <row r="1145" customFormat="false" ht="15" hidden="false" customHeight="false" outlineLevel="0" collapsed="false">
      <c r="A1145" s="0" t="n">
        <v>52</v>
      </c>
      <c r="B1145" s="0" t="s">
        <v>100</v>
      </c>
      <c r="C1145" s="0" t="s">
        <v>9257</v>
      </c>
      <c r="D1145" s="0" t="s">
        <v>6416</v>
      </c>
      <c r="E1145" s="0" t="s">
        <v>9258</v>
      </c>
      <c r="F1145" s="0" t="n">
        <v>691</v>
      </c>
      <c r="G1145" s="0" t="s">
        <v>277</v>
      </c>
      <c r="H1145" s="0" t="s">
        <v>293</v>
      </c>
      <c r="I1145" s="0" t="s">
        <v>9259</v>
      </c>
    </row>
    <row r="1146" customFormat="false" ht="15" hidden="false" customHeight="false" outlineLevel="0" collapsed="false">
      <c r="A1146" s="0" t="n">
        <v>54</v>
      </c>
      <c r="B1146" s="0" t="s">
        <v>102</v>
      </c>
      <c r="C1146" s="0" t="s">
        <v>9260</v>
      </c>
      <c r="D1146" s="0" t="s">
        <v>6425</v>
      </c>
      <c r="E1146" s="0" t="s">
        <v>9261</v>
      </c>
      <c r="F1146" s="0" t="n">
        <v>1952</v>
      </c>
      <c r="G1146" s="0" t="s">
        <v>277</v>
      </c>
      <c r="H1146" s="0" t="s">
        <v>293</v>
      </c>
      <c r="I1146" s="0" t="s">
        <v>9262</v>
      </c>
    </row>
    <row r="1147" customFormat="false" ht="15" hidden="false" customHeight="false" outlineLevel="0" collapsed="false">
      <c r="A1147" s="0" t="n">
        <v>54</v>
      </c>
      <c r="B1147" s="0" t="s">
        <v>102</v>
      </c>
      <c r="C1147" s="0" t="s">
        <v>9263</v>
      </c>
      <c r="D1147" s="0" t="s">
        <v>6560</v>
      </c>
      <c r="E1147" s="0" t="s">
        <v>9264</v>
      </c>
      <c r="F1147" s="0" t="n">
        <v>498</v>
      </c>
      <c r="G1147" s="0" t="s">
        <v>277</v>
      </c>
      <c r="H1147" s="0" t="s">
        <v>293</v>
      </c>
      <c r="I1147" s="0" t="s">
        <v>9265</v>
      </c>
    </row>
    <row r="1148" customFormat="false" ht="15" hidden="false" customHeight="false" outlineLevel="0" collapsed="false">
      <c r="A1148" s="0" t="n">
        <v>54</v>
      </c>
      <c r="B1148" s="0" t="s">
        <v>102</v>
      </c>
      <c r="C1148" s="0" t="s">
        <v>9266</v>
      </c>
      <c r="D1148" s="0" t="s">
        <v>6560</v>
      </c>
      <c r="E1148" s="0" t="s">
        <v>9267</v>
      </c>
      <c r="F1148" s="0" t="n">
        <v>1115</v>
      </c>
      <c r="G1148" s="0" t="s">
        <v>277</v>
      </c>
      <c r="H1148" s="0" t="s">
        <v>293</v>
      </c>
      <c r="I1148" s="0" t="s">
        <v>9268</v>
      </c>
    </row>
    <row r="1149" customFormat="false" ht="15" hidden="false" customHeight="false" outlineLevel="0" collapsed="false">
      <c r="A1149" s="0" t="n">
        <v>52</v>
      </c>
      <c r="B1149" s="0" t="s">
        <v>100</v>
      </c>
      <c r="C1149" s="0" t="s">
        <v>9269</v>
      </c>
      <c r="D1149" s="0" t="s">
        <v>6416</v>
      </c>
      <c r="E1149" s="0" t="s">
        <v>9270</v>
      </c>
      <c r="F1149" s="0" t="n">
        <v>691</v>
      </c>
      <c r="G1149" s="0" t="s">
        <v>277</v>
      </c>
      <c r="H1149" s="0" t="s">
        <v>293</v>
      </c>
      <c r="I1149" s="0" t="s">
        <v>9271</v>
      </c>
    </row>
    <row r="1150" customFormat="false" ht="15" hidden="false" customHeight="false" outlineLevel="0" collapsed="false">
      <c r="A1150" s="0" t="n">
        <v>54</v>
      </c>
      <c r="B1150" s="0" t="s">
        <v>102</v>
      </c>
      <c r="C1150" s="0" t="s">
        <v>9272</v>
      </c>
      <c r="D1150" s="0" t="s">
        <v>6560</v>
      </c>
      <c r="E1150" s="0" t="s">
        <v>9273</v>
      </c>
      <c r="F1150" s="0" t="n">
        <v>1696</v>
      </c>
      <c r="G1150" s="0" t="s">
        <v>277</v>
      </c>
      <c r="H1150" s="0" t="s">
        <v>293</v>
      </c>
      <c r="I1150" s="0" t="s">
        <v>9274</v>
      </c>
    </row>
    <row r="1151" customFormat="false" ht="15" hidden="false" customHeight="false" outlineLevel="0" collapsed="false">
      <c r="A1151" s="0" t="n">
        <v>54</v>
      </c>
      <c r="B1151" s="0" t="s">
        <v>102</v>
      </c>
      <c r="C1151" s="0" t="s">
        <v>9275</v>
      </c>
      <c r="D1151" s="0" t="s">
        <v>6560</v>
      </c>
      <c r="E1151" s="0" t="s">
        <v>9276</v>
      </c>
      <c r="F1151" s="0" t="n">
        <v>200</v>
      </c>
      <c r="G1151" s="0" t="s">
        <v>277</v>
      </c>
      <c r="H1151" s="0" t="s">
        <v>293</v>
      </c>
      <c r="I1151" s="0" t="s">
        <v>9277</v>
      </c>
    </row>
    <row r="1152" customFormat="false" ht="15" hidden="false" customHeight="false" outlineLevel="0" collapsed="false">
      <c r="A1152" s="0" t="n">
        <v>54</v>
      </c>
      <c r="B1152" s="0" t="s">
        <v>102</v>
      </c>
      <c r="C1152" s="0" t="s">
        <v>9278</v>
      </c>
      <c r="D1152" s="0" t="s">
        <v>6560</v>
      </c>
      <c r="E1152" s="0" t="s">
        <v>9279</v>
      </c>
      <c r="F1152" s="0" t="n">
        <v>902</v>
      </c>
      <c r="G1152" s="0" t="s">
        <v>277</v>
      </c>
      <c r="H1152" s="0" t="s">
        <v>293</v>
      </c>
      <c r="I1152" s="0" t="s">
        <v>9280</v>
      </c>
    </row>
    <row r="1153" customFormat="false" ht="15" hidden="false" customHeight="false" outlineLevel="0" collapsed="false">
      <c r="A1153" s="0" t="n">
        <v>52</v>
      </c>
      <c r="B1153" s="0" t="s">
        <v>100</v>
      </c>
      <c r="C1153" s="0" t="s">
        <v>9281</v>
      </c>
      <c r="D1153" s="0" t="s">
        <v>91</v>
      </c>
      <c r="E1153" s="0" t="s">
        <v>9282</v>
      </c>
      <c r="F1153" s="0" t="n">
        <v>691</v>
      </c>
      <c r="G1153" s="0" t="s">
        <v>277</v>
      </c>
      <c r="H1153" s="0" t="s">
        <v>293</v>
      </c>
      <c r="I1153" s="0" t="s">
        <v>9283</v>
      </c>
    </row>
    <row r="1154" customFormat="false" ht="15" hidden="false" customHeight="false" outlineLevel="0" collapsed="false">
      <c r="A1154" s="0" t="n">
        <v>54</v>
      </c>
      <c r="B1154" s="0" t="s">
        <v>102</v>
      </c>
      <c r="C1154" s="0" t="s">
        <v>9284</v>
      </c>
      <c r="D1154" s="0" t="s">
        <v>6416</v>
      </c>
      <c r="F1154" s="0" t="n">
        <v>1695</v>
      </c>
      <c r="G1154" s="0" t="s">
        <v>277</v>
      </c>
      <c r="H1154" s="0" t="s">
        <v>293</v>
      </c>
      <c r="I1154" s="0" t="s">
        <v>9285</v>
      </c>
    </row>
    <row r="1155" customFormat="false" ht="15" hidden="false" customHeight="false" outlineLevel="0" collapsed="false">
      <c r="A1155" s="0" t="n">
        <v>54</v>
      </c>
      <c r="B1155" s="0" t="s">
        <v>102</v>
      </c>
      <c r="C1155" s="0" t="s">
        <v>9286</v>
      </c>
      <c r="D1155" s="0" t="s">
        <v>6560</v>
      </c>
      <c r="E1155" s="0" t="s">
        <v>9287</v>
      </c>
      <c r="F1155" s="0" t="n">
        <v>1303</v>
      </c>
      <c r="G1155" s="0" t="s">
        <v>277</v>
      </c>
      <c r="H1155" s="0" t="s">
        <v>293</v>
      </c>
      <c r="I1155" s="0" t="s">
        <v>9288</v>
      </c>
    </row>
    <row r="1156" customFormat="false" ht="15" hidden="false" customHeight="false" outlineLevel="0" collapsed="false">
      <c r="A1156" s="0" t="n">
        <v>57</v>
      </c>
      <c r="B1156" s="0" t="s">
        <v>105</v>
      </c>
      <c r="C1156" s="0" t="s">
        <v>9289</v>
      </c>
      <c r="D1156" s="0" t="s">
        <v>6416</v>
      </c>
      <c r="E1156" s="0" t="s">
        <v>9290</v>
      </c>
      <c r="F1156" s="0" t="n">
        <v>4022</v>
      </c>
      <c r="G1156" s="0" t="s">
        <v>277</v>
      </c>
      <c r="H1156" s="0" t="s">
        <v>293</v>
      </c>
      <c r="I1156" s="0" t="s">
        <v>9291</v>
      </c>
    </row>
    <row r="1157" customFormat="false" ht="15" hidden="false" customHeight="false" outlineLevel="0" collapsed="false">
      <c r="A1157" s="0" t="n">
        <v>54</v>
      </c>
      <c r="B1157" s="0" t="s">
        <v>102</v>
      </c>
      <c r="C1157" s="0" t="s">
        <v>9292</v>
      </c>
      <c r="D1157" s="0" t="s">
        <v>6560</v>
      </c>
      <c r="E1157" s="0" t="s">
        <v>9293</v>
      </c>
      <c r="F1157" s="0" t="n">
        <v>875</v>
      </c>
      <c r="G1157" s="0" t="s">
        <v>277</v>
      </c>
      <c r="H1157" s="0" t="s">
        <v>293</v>
      </c>
      <c r="I1157" s="0" t="s">
        <v>9294</v>
      </c>
    </row>
    <row r="1158" customFormat="false" ht="15" hidden="false" customHeight="false" outlineLevel="0" collapsed="false">
      <c r="A1158" s="0" t="n">
        <v>52</v>
      </c>
      <c r="B1158" s="0" t="s">
        <v>100</v>
      </c>
      <c r="C1158" s="0" t="s">
        <v>9295</v>
      </c>
      <c r="D1158" s="0" t="s">
        <v>6416</v>
      </c>
      <c r="E1158" s="0" t="s">
        <v>9296</v>
      </c>
      <c r="F1158" s="0" t="n">
        <v>3022</v>
      </c>
      <c r="G1158" s="0" t="s">
        <v>277</v>
      </c>
      <c r="H1158" s="0" t="s">
        <v>293</v>
      </c>
      <c r="I1158" s="0" t="s">
        <v>9297</v>
      </c>
    </row>
    <row r="1159" customFormat="false" ht="15" hidden="false" customHeight="false" outlineLevel="0" collapsed="false">
      <c r="A1159" s="0" t="n">
        <v>54</v>
      </c>
      <c r="B1159" s="0" t="s">
        <v>102</v>
      </c>
      <c r="C1159" s="0" t="s">
        <v>9298</v>
      </c>
      <c r="D1159" s="0" t="s">
        <v>6560</v>
      </c>
      <c r="E1159" s="0" t="s">
        <v>9299</v>
      </c>
      <c r="F1159" s="0" t="n">
        <v>1114</v>
      </c>
      <c r="G1159" s="0" t="s">
        <v>277</v>
      </c>
      <c r="H1159" s="0" t="s">
        <v>293</v>
      </c>
      <c r="I1159" s="0" t="s">
        <v>9300</v>
      </c>
    </row>
    <row r="1160" customFormat="false" ht="15" hidden="false" customHeight="false" outlineLevel="0" collapsed="false">
      <c r="A1160" s="0" t="n">
        <v>57</v>
      </c>
      <c r="B1160" s="0" t="s">
        <v>105</v>
      </c>
      <c r="C1160" s="0" t="s">
        <v>9301</v>
      </c>
      <c r="D1160" s="0" t="s">
        <v>91</v>
      </c>
      <c r="E1160" s="0" t="s">
        <v>9302</v>
      </c>
      <c r="F1160" s="0" t="n">
        <v>6106</v>
      </c>
      <c r="G1160" s="0" t="s">
        <v>277</v>
      </c>
      <c r="H1160" s="0" t="s">
        <v>293</v>
      </c>
      <c r="I1160" s="0" t="s">
        <v>9303</v>
      </c>
    </row>
    <row r="1161" customFormat="false" ht="15" hidden="false" customHeight="false" outlineLevel="0" collapsed="false">
      <c r="A1161" s="0" t="n">
        <v>54</v>
      </c>
      <c r="B1161" s="0" t="s">
        <v>102</v>
      </c>
      <c r="C1161" s="0" t="s">
        <v>9304</v>
      </c>
      <c r="D1161" s="0" t="s">
        <v>6560</v>
      </c>
      <c r="E1161" s="0" t="s">
        <v>9305</v>
      </c>
      <c r="F1161" s="0" t="n">
        <v>726</v>
      </c>
      <c r="G1161" s="0" t="s">
        <v>277</v>
      </c>
      <c r="H1161" s="0" t="s">
        <v>293</v>
      </c>
      <c r="I1161" s="0" t="s">
        <v>9306</v>
      </c>
    </row>
    <row r="1162" customFormat="false" ht="15" hidden="false" customHeight="false" outlineLevel="0" collapsed="false">
      <c r="A1162" s="0" t="n">
        <v>57</v>
      </c>
      <c r="B1162" s="0" t="s">
        <v>105</v>
      </c>
      <c r="C1162" s="0" t="s">
        <v>9307</v>
      </c>
      <c r="D1162" s="0" t="s">
        <v>6416</v>
      </c>
      <c r="E1162" s="0" t="s">
        <v>9308</v>
      </c>
      <c r="F1162" s="0" t="n">
        <v>550</v>
      </c>
      <c r="G1162" s="0" t="s">
        <v>277</v>
      </c>
      <c r="H1162" s="0" t="s">
        <v>293</v>
      </c>
      <c r="I1162" s="0" t="s">
        <v>9309</v>
      </c>
    </row>
    <row r="1163" customFormat="false" ht="15" hidden="false" customHeight="false" outlineLevel="0" collapsed="false">
      <c r="A1163" s="0" t="n">
        <v>54</v>
      </c>
      <c r="B1163" s="0" t="s">
        <v>102</v>
      </c>
      <c r="C1163" s="0" t="s">
        <v>9310</v>
      </c>
      <c r="D1163" s="0" t="s">
        <v>7622</v>
      </c>
      <c r="F1163" s="0" t="n">
        <v>925</v>
      </c>
      <c r="G1163" s="0" t="s">
        <v>277</v>
      </c>
      <c r="H1163" s="0" t="s">
        <v>293</v>
      </c>
      <c r="I1163" s="0" t="s">
        <v>9311</v>
      </c>
    </row>
    <row r="1164" customFormat="false" ht="15" hidden="false" customHeight="false" outlineLevel="0" collapsed="false">
      <c r="A1164" s="0" t="n">
        <v>52</v>
      </c>
      <c r="B1164" s="0" t="s">
        <v>100</v>
      </c>
      <c r="C1164" s="0" t="s">
        <v>9312</v>
      </c>
      <c r="D1164" s="0" t="s">
        <v>6416</v>
      </c>
      <c r="E1164" s="0" t="s">
        <v>9313</v>
      </c>
      <c r="F1164" s="0" t="n">
        <v>4337</v>
      </c>
      <c r="G1164" s="0" t="s">
        <v>277</v>
      </c>
      <c r="H1164" s="0" t="s">
        <v>293</v>
      </c>
      <c r="I1164" s="0" t="s">
        <v>9314</v>
      </c>
    </row>
    <row r="1165" customFormat="false" ht="15" hidden="false" customHeight="false" outlineLevel="0" collapsed="false">
      <c r="A1165" s="0" t="n">
        <v>57</v>
      </c>
      <c r="B1165" s="0" t="s">
        <v>105</v>
      </c>
      <c r="C1165" s="0" t="s">
        <v>9315</v>
      </c>
      <c r="D1165" s="0" t="s">
        <v>6416</v>
      </c>
      <c r="E1165" s="0" t="s">
        <v>9316</v>
      </c>
      <c r="F1165" s="0" t="n">
        <v>1445</v>
      </c>
      <c r="G1165" s="0" t="s">
        <v>277</v>
      </c>
      <c r="H1165" s="0" t="s">
        <v>293</v>
      </c>
      <c r="I1165" s="0" t="s">
        <v>9317</v>
      </c>
    </row>
    <row r="1166" customFormat="false" ht="15" hidden="false" customHeight="false" outlineLevel="0" collapsed="false">
      <c r="A1166" s="0" t="n">
        <v>54</v>
      </c>
      <c r="B1166" s="0" t="s">
        <v>102</v>
      </c>
      <c r="C1166" s="0" t="s">
        <v>9318</v>
      </c>
      <c r="D1166" s="0" t="s">
        <v>6560</v>
      </c>
      <c r="E1166" s="0" t="s">
        <v>9319</v>
      </c>
      <c r="F1166" s="0" t="n">
        <v>660</v>
      </c>
      <c r="G1166" s="0" t="s">
        <v>277</v>
      </c>
      <c r="H1166" s="0" t="s">
        <v>293</v>
      </c>
      <c r="I1166" s="0" t="s">
        <v>9320</v>
      </c>
    </row>
    <row r="1167" customFormat="false" ht="15" hidden="false" customHeight="false" outlineLevel="0" collapsed="false">
      <c r="A1167" s="0" t="n">
        <v>54</v>
      </c>
      <c r="B1167" s="0" t="s">
        <v>102</v>
      </c>
      <c r="C1167" s="0" t="s">
        <v>9321</v>
      </c>
      <c r="D1167" s="0" t="s">
        <v>6425</v>
      </c>
      <c r="E1167" s="0" t="s">
        <v>9322</v>
      </c>
      <c r="F1167" s="0" t="n">
        <v>659</v>
      </c>
      <c r="G1167" s="0" t="s">
        <v>277</v>
      </c>
      <c r="H1167" s="0" t="s">
        <v>293</v>
      </c>
      <c r="I1167" s="0" t="s">
        <v>9323</v>
      </c>
    </row>
    <row r="1168" customFormat="false" ht="15" hidden="false" customHeight="false" outlineLevel="0" collapsed="false">
      <c r="A1168" s="0" t="n">
        <v>52</v>
      </c>
      <c r="B1168" s="0" t="s">
        <v>100</v>
      </c>
      <c r="C1168" s="0" t="s">
        <v>9324</v>
      </c>
      <c r="D1168" s="0" t="s">
        <v>6416</v>
      </c>
      <c r="E1168" s="0" t="s">
        <v>9325</v>
      </c>
      <c r="F1168" s="0" t="n">
        <v>691</v>
      </c>
      <c r="G1168" s="0" t="s">
        <v>277</v>
      </c>
      <c r="H1168" s="0" t="s">
        <v>293</v>
      </c>
      <c r="I1168" s="0" t="s">
        <v>9326</v>
      </c>
    </row>
    <row r="1169" customFormat="false" ht="15" hidden="false" customHeight="false" outlineLevel="0" collapsed="false">
      <c r="A1169" s="0" t="n">
        <v>54</v>
      </c>
      <c r="B1169" s="0" t="s">
        <v>102</v>
      </c>
      <c r="C1169" s="0" t="s">
        <v>9327</v>
      </c>
      <c r="D1169" s="0" t="s">
        <v>6560</v>
      </c>
      <c r="E1169" s="0" t="s">
        <v>9273</v>
      </c>
      <c r="F1169" s="0" t="n">
        <v>1696</v>
      </c>
      <c r="G1169" s="0" t="s">
        <v>277</v>
      </c>
      <c r="H1169" s="0" t="s">
        <v>293</v>
      </c>
      <c r="I1169" s="0" t="s">
        <v>9274</v>
      </c>
    </row>
    <row r="1170" customFormat="false" ht="15" hidden="false" customHeight="false" outlineLevel="0" collapsed="false">
      <c r="A1170" s="0" t="n">
        <v>57</v>
      </c>
      <c r="B1170" s="0" t="s">
        <v>105</v>
      </c>
      <c r="C1170" s="0" t="s">
        <v>9328</v>
      </c>
      <c r="D1170" s="0" t="s">
        <v>6416</v>
      </c>
      <c r="E1170" s="0" t="s">
        <v>9329</v>
      </c>
      <c r="F1170" s="0" t="n">
        <v>4532</v>
      </c>
      <c r="G1170" s="0" t="s">
        <v>277</v>
      </c>
      <c r="H1170" s="0" t="s">
        <v>293</v>
      </c>
      <c r="I1170" s="0" t="s">
        <v>9330</v>
      </c>
    </row>
    <row r="1171" customFormat="false" ht="15" hidden="false" customHeight="false" outlineLevel="0" collapsed="false">
      <c r="A1171" s="0" t="n">
        <v>54</v>
      </c>
      <c r="B1171" s="0" t="s">
        <v>102</v>
      </c>
      <c r="C1171" s="0" t="s">
        <v>9331</v>
      </c>
      <c r="D1171" s="0" t="s">
        <v>6560</v>
      </c>
      <c r="E1171" s="0" t="s">
        <v>9305</v>
      </c>
      <c r="F1171" s="0" t="n">
        <v>726</v>
      </c>
      <c r="G1171" s="0" t="s">
        <v>277</v>
      </c>
      <c r="H1171" s="0" t="s">
        <v>293</v>
      </c>
      <c r="I1171" s="0" t="s">
        <v>9306</v>
      </c>
    </row>
    <row r="1172" customFormat="false" ht="15" hidden="false" customHeight="false" outlineLevel="0" collapsed="false">
      <c r="A1172" s="0" t="n">
        <v>57</v>
      </c>
      <c r="B1172" s="0" t="s">
        <v>105</v>
      </c>
      <c r="C1172" s="0" t="s">
        <v>9332</v>
      </c>
      <c r="D1172" s="0" t="s">
        <v>6416</v>
      </c>
      <c r="E1172" s="0" t="s">
        <v>9333</v>
      </c>
      <c r="F1172" s="0" t="n">
        <v>1696</v>
      </c>
      <c r="G1172" s="0" t="s">
        <v>277</v>
      </c>
      <c r="H1172" s="0" t="s">
        <v>293</v>
      </c>
      <c r="I1172" s="0" t="s">
        <v>9334</v>
      </c>
    </row>
    <row r="1173" customFormat="false" ht="15" hidden="false" customHeight="false" outlineLevel="0" collapsed="false">
      <c r="A1173" s="0" t="n">
        <v>52</v>
      </c>
      <c r="B1173" s="0" t="s">
        <v>100</v>
      </c>
      <c r="C1173" s="0" t="s">
        <v>9335</v>
      </c>
      <c r="D1173" s="0" t="s">
        <v>6425</v>
      </c>
      <c r="E1173" s="0" t="s">
        <v>9336</v>
      </c>
      <c r="F1173" s="0" t="n">
        <v>691</v>
      </c>
      <c r="G1173" s="0" t="s">
        <v>277</v>
      </c>
      <c r="H1173" s="0" t="s">
        <v>293</v>
      </c>
      <c r="I1173" s="0" t="s">
        <v>9337</v>
      </c>
    </row>
    <row r="1174" customFormat="false" ht="15" hidden="false" customHeight="false" outlineLevel="0" collapsed="false">
      <c r="A1174" s="0" t="n">
        <v>54</v>
      </c>
      <c r="B1174" s="0" t="s">
        <v>102</v>
      </c>
      <c r="C1174" s="0" t="s">
        <v>9338</v>
      </c>
      <c r="D1174" s="0" t="s">
        <v>6560</v>
      </c>
      <c r="E1174" s="0" t="s">
        <v>9180</v>
      </c>
      <c r="F1174" s="0" t="n">
        <v>1393</v>
      </c>
      <c r="G1174" s="0" t="s">
        <v>277</v>
      </c>
      <c r="H1174" s="0" t="s">
        <v>293</v>
      </c>
      <c r="I1174" s="0" t="s">
        <v>9181</v>
      </c>
    </row>
    <row r="1175" customFormat="false" ht="15" hidden="false" customHeight="false" outlineLevel="0" collapsed="false">
      <c r="A1175" s="0" t="n">
        <v>52</v>
      </c>
      <c r="B1175" s="0" t="s">
        <v>100</v>
      </c>
      <c r="C1175" s="0" t="s">
        <v>9339</v>
      </c>
      <c r="D1175" s="0" t="s">
        <v>6416</v>
      </c>
      <c r="E1175" s="0" t="s">
        <v>9340</v>
      </c>
      <c r="F1175" s="0" t="n">
        <v>691</v>
      </c>
      <c r="G1175" s="0" t="s">
        <v>277</v>
      </c>
      <c r="H1175" s="0" t="s">
        <v>293</v>
      </c>
      <c r="I1175" s="0" t="s">
        <v>9341</v>
      </c>
    </row>
    <row r="1176" customFormat="false" ht="15" hidden="false" customHeight="false" outlineLevel="0" collapsed="false">
      <c r="A1176" s="0" t="n">
        <v>54</v>
      </c>
      <c r="B1176" s="0" t="s">
        <v>102</v>
      </c>
      <c r="C1176" s="0" t="s">
        <v>9342</v>
      </c>
      <c r="D1176" s="0" t="s">
        <v>6560</v>
      </c>
      <c r="E1176" s="0" t="s">
        <v>9255</v>
      </c>
      <c r="F1176" s="0" t="n">
        <v>1901</v>
      </c>
      <c r="G1176" s="0" t="s">
        <v>277</v>
      </c>
      <c r="H1176" s="0" t="s">
        <v>293</v>
      </c>
      <c r="I1176" s="0" t="s">
        <v>9256</v>
      </c>
    </row>
    <row r="1177" customFormat="false" ht="15" hidden="false" customHeight="false" outlineLevel="0" collapsed="false">
      <c r="A1177" s="0" t="n">
        <v>54</v>
      </c>
      <c r="B1177" s="0" t="s">
        <v>102</v>
      </c>
      <c r="C1177" s="0" t="s">
        <v>9343</v>
      </c>
      <c r="D1177" s="0" t="s">
        <v>6560</v>
      </c>
      <c r="E1177" s="0" t="s">
        <v>9183</v>
      </c>
      <c r="F1177" s="0" t="n">
        <v>355</v>
      </c>
      <c r="G1177" s="0" t="s">
        <v>277</v>
      </c>
      <c r="H1177" s="0" t="s">
        <v>293</v>
      </c>
      <c r="I1177" s="0" t="s">
        <v>9184</v>
      </c>
    </row>
    <row r="1178" customFormat="false" ht="15" hidden="false" customHeight="false" outlineLevel="0" collapsed="false">
      <c r="A1178" s="0" t="n">
        <v>57</v>
      </c>
      <c r="B1178" s="0" t="s">
        <v>105</v>
      </c>
      <c r="C1178" s="0" t="s">
        <v>9344</v>
      </c>
      <c r="D1178" s="0" t="s">
        <v>6416</v>
      </c>
      <c r="E1178" s="0" t="s">
        <v>9345</v>
      </c>
      <c r="F1178" s="0" t="n">
        <v>909</v>
      </c>
      <c r="G1178" s="0" t="s">
        <v>277</v>
      </c>
      <c r="H1178" s="0" t="s">
        <v>293</v>
      </c>
      <c r="I1178" s="0" t="s">
        <v>9346</v>
      </c>
    </row>
    <row r="1179" customFormat="false" ht="15" hidden="false" customHeight="false" outlineLevel="0" collapsed="false">
      <c r="A1179" s="0" t="n">
        <v>54</v>
      </c>
      <c r="B1179" s="0" t="s">
        <v>102</v>
      </c>
      <c r="C1179" s="0" t="s">
        <v>9347</v>
      </c>
      <c r="D1179" s="0" t="s">
        <v>6425</v>
      </c>
      <c r="E1179" s="0" t="s">
        <v>9261</v>
      </c>
      <c r="F1179" s="0" t="n">
        <v>1952</v>
      </c>
      <c r="G1179" s="0" t="s">
        <v>277</v>
      </c>
      <c r="H1179" s="0" t="s">
        <v>293</v>
      </c>
      <c r="I1179" s="0" t="s">
        <v>9262</v>
      </c>
    </row>
    <row r="1180" customFormat="false" ht="15" hidden="false" customHeight="false" outlineLevel="0" collapsed="false">
      <c r="A1180" s="0" t="n">
        <v>52</v>
      </c>
      <c r="B1180" s="0" t="s">
        <v>100</v>
      </c>
      <c r="C1180" s="0" t="s">
        <v>9348</v>
      </c>
      <c r="D1180" s="0" t="s">
        <v>6416</v>
      </c>
      <c r="E1180" s="0" t="s">
        <v>9349</v>
      </c>
      <c r="F1180" s="0" t="n">
        <v>691</v>
      </c>
      <c r="G1180" s="0" t="s">
        <v>277</v>
      </c>
      <c r="H1180" s="0" t="s">
        <v>293</v>
      </c>
      <c r="I1180" s="0" t="s">
        <v>9350</v>
      </c>
    </row>
    <row r="1181" customFormat="false" ht="15" hidden="false" customHeight="false" outlineLevel="0" collapsed="false">
      <c r="A1181" s="0" t="n">
        <v>54</v>
      </c>
      <c r="B1181" s="0" t="s">
        <v>102</v>
      </c>
      <c r="C1181" s="0" t="s">
        <v>9351</v>
      </c>
      <c r="D1181" s="0" t="s">
        <v>6560</v>
      </c>
      <c r="E1181" s="0" t="s">
        <v>9243</v>
      </c>
      <c r="F1181" s="0" t="n">
        <v>2261</v>
      </c>
      <c r="G1181" s="0" t="s">
        <v>277</v>
      </c>
      <c r="H1181" s="0" t="s">
        <v>293</v>
      </c>
      <c r="I1181" s="0" t="s">
        <v>9244</v>
      </c>
    </row>
    <row r="1182" customFormat="false" ht="15" hidden="false" customHeight="false" outlineLevel="0" collapsed="false">
      <c r="A1182" s="0" t="n">
        <v>57</v>
      </c>
      <c r="B1182" s="0" t="s">
        <v>105</v>
      </c>
      <c r="C1182" s="0" t="s">
        <v>9352</v>
      </c>
      <c r="D1182" s="0" t="s">
        <v>6416</v>
      </c>
      <c r="E1182" s="0" t="s">
        <v>9353</v>
      </c>
      <c r="F1182" s="0" t="n">
        <v>206</v>
      </c>
      <c r="G1182" s="0" t="s">
        <v>277</v>
      </c>
      <c r="H1182" s="0" t="s">
        <v>293</v>
      </c>
      <c r="I1182" s="0" t="s">
        <v>9354</v>
      </c>
    </row>
    <row r="1183" customFormat="false" ht="15" hidden="false" customHeight="false" outlineLevel="0" collapsed="false">
      <c r="A1183" s="0" t="n">
        <v>54</v>
      </c>
      <c r="B1183" s="0" t="s">
        <v>102</v>
      </c>
      <c r="C1183" s="0" t="s">
        <v>9355</v>
      </c>
      <c r="D1183" s="0" t="s">
        <v>6560</v>
      </c>
      <c r="E1183" s="0" t="s">
        <v>9319</v>
      </c>
      <c r="F1183" s="0" t="n">
        <v>660</v>
      </c>
      <c r="G1183" s="0" t="s">
        <v>277</v>
      </c>
      <c r="H1183" s="0" t="s">
        <v>293</v>
      </c>
      <c r="I1183" s="0" t="s">
        <v>9320</v>
      </c>
    </row>
    <row r="1184" customFormat="false" ht="15" hidden="false" customHeight="false" outlineLevel="0" collapsed="false">
      <c r="A1184" s="0" t="n">
        <v>54</v>
      </c>
      <c r="B1184" s="0" t="s">
        <v>102</v>
      </c>
      <c r="C1184" s="0" t="s">
        <v>9356</v>
      </c>
      <c r="D1184" s="0" t="s">
        <v>6560</v>
      </c>
      <c r="E1184" s="0" t="s">
        <v>102</v>
      </c>
      <c r="F1184" s="0" t="n">
        <v>317</v>
      </c>
      <c r="G1184" s="0" t="s">
        <v>277</v>
      </c>
      <c r="H1184" s="0" t="s">
        <v>293</v>
      </c>
      <c r="I1184" s="0" t="s">
        <v>9178</v>
      </c>
    </row>
    <row r="1185" customFormat="false" ht="15" hidden="false" customHeight="false" outlineLevel="0" collapsed="false">
      <c r="A1185" s="0" t="n">
        <v>57</v>
      </c>
      <c r="B1185" s="0" t="s">
        <v>105</v>
      </c>
      <c r="C1185" s="0" t="s">
        <v>9357</v>
      </c>
      <c r="D1185" s="0" t="s">
        <v>6416</v>
      </c>
      <c r="E1185" s="0" t="s">
        <v>9358</v>
      </c>
      <c r="F1185" s="0" t="n">
        <v>414</v>
      </c>
      <c r="G1185" s="0" t="s">
        <v>277</v>
      </c>
      <c r="H1185" s="0" t="s">
        <v>293</v>
      </c>
      <c r="I1185" s="0" t="s">
        <v>9359</v>
      </c>
    </row>
    <row r="1186" customFormat="false" ht="15" hidden="false" customHeight="false" outlineLevel="0" collapsed="false">
      <c r="A1186" s="0" t="n">
        <v>52</v>
      </c>
      <c r="B1186" s="0" t="s">
        <v>100</v>
      </c>
      <c r="C1186" s="0" t="s">
        <v>9360</v>
      </c>
      <c r="D1186" s="0" t="s">
        <v>6416</v>
      </c>
      <c r="E1186" s="0" t="s">
        <v>9361</v>
      </c>
      <c r="F1186" s="0" t="n">
        <v>691</v>
      </c>
      <c r="G1186" s="0" t="s">
        <v>277</v>
      </c>
      <c r="H1186" s="0" t="s">
        <v>293</v>
      </c>
      <c r="I1186" s="0" t="s">
        <v>9362</v>
      </c>
    </row>
    <row r="1187" customFormat="false" ht="15" hidden="false" customHeight="false" outlineLevel="0" collapsed="false">
      <c r="A1187" s="0" t="n">
        <v>54</v>
      </c>
      <c r="B1187" s="0" t="s">
        <v>102</v>
      </c>
      <c r="C1187" s="0" t="s">
        <v>9363</v>
      </c>
      <c r="D1187" s="0" t="s">
        <v>6425</v>
      </c>
      <c r="E1187" s="0" t="s">
        <v>9217</v>
      </c>
      <c r="F1187" s="0" t="n">
        <v>988</v>
      </c>
      <c r="G1187" s="0" t="s">
        <v>277</v>
      </c>
      <c r="H1187" s="0" t="s">
        <v>293</v>
      </c>
      <c r="I1187" s="0" t="s">
        <v>9218</v>
      </c>
    </row>
    <row r="1188" customFormat="false" ht="15" hidden="false" customHeight="false" outlineLevel="0" collapsed="false">
      <c r="A1188" s="0" t="n">
        <v>54</v>
      </c>
      <c r="B1188" s="0" t="s">
        <v>102</v>
      </c>
      <c r="C1188" s="0" t="s">
        <v>9364</v>
      </c>
      <c r="D1188" s="0" t="s">
        <v>6425</v>
      </c>
      <c r="E1188" s="0" t="s">
        <v>9196</v>
      </c>
      <c r="F1188" s="0" t="n">
        <v>808</v>
      </c>
      <c r="G1188" s="0" t="s">
        <v>277</v>
      </c>
      <c r="H1188" s="0" t="s">
        <v>293</v>
      </c>
      <c r="I1188" s="0" t="s">
        <v>9197</v>
      </c>
    </row>
    <row r="1189" customFormat="false" ht="15" hidden="false" customHeight="false" outlineLevel="0" collapsed="false">
      <c r="A1189" s="0" t="n">
        <v>57</v>
      </c>
      <c r="B1189" s="0" t="s">
        <v>105</v>
      </c>
      <c r="C1189" s="0" t="s">
        <v>9365</v>
      </c>
      <c r="D1189" s="0" t="s">
        <v>91</v>
      </c>
      <c r="E1189" s="0" t="s">
        <v>9366</v>
      </c>
      <c r="F1189" s="0" t="n">
        <v>3177</v>
      </c>
      <c r="G1189" s="0" t="s">
        <v>277</v>
      </c>
      <c r="H1189" s="0" t="s">
        <v>293</v>
      </c>
      <c r="I1189" s="0" t="s">
        <v>9367</v>
      </c>
    </row>
    <row r="1190" customFormat="false" ht="15" hidden="false" customHeight="false" outlineLevel="0" collapsed="false">
      <c r="A1190" s="0" t="n">
        <v>57</v>
      </c>
      <c r="B1190" s="0" t="s">
        <v>105</v>
      </c>
      <c r="C1190" s="0" t="s">
        <v>9368</v>
      </c>
      <c r="D1190" s="0" t="s">
        <v>6416</v>
      </c>
      <c r="E1190" s="0" t="s">
        <v>9369</v>
      </c>
      <c r="F1190" s="0" t="n">
        <v>1779</v>
      </c>
      <c r="G1190" s="0" t="s">
        <v>277</v>
      </c>
      <c r="H1190" s="0" t="s">
        <v>293</v>
      </c>
      <c r="I1190" s="0" t="s">
        <v>9370</v>
      </c>
    </row>
    <row r="1191" customFormat="false" ht="15" hidden="false" customHeight="false" outlineLevel="0" collapsed="false">
      <c r="A1191" s="0" t="n">
        <v>54</v>
      </c>
      <c r="B1191" s="0" t="s">
        <v>102</v>
      </c>
      <c r="C1191" s="0" t="s">
        <v>9371</v>
      </c>
      <c r="D1191" s="0" t="s">
        <v>6425</v>
      </c>
      <c r="E1191" s="0" t="s">
        <v>9246</v>
      </c>
      <c r="F1191" s="0" t="n">
        <v>708</v>
      </c>
      <c r="G1191" s="0" t="s">
        <v>277</v>
      </c>
      <c r="H1191" s="0" t="s">
        <v>293</v>
      </c>
      <c r="I1191" s="0" t="s">
        <v>9247</v>
      </c>
    </row>
    <row r="1192" customFormat="false" ht="15" hidden="false" customHeight="false" outlineLevel="0" collapsed="false">
      <c r="A1192" s="0" t="n">
        <v>52</v>
      </c>
      <c r="B1192" s="0" t="s">
        <v>100</v>
      </c>
      <c r="C1192" s="0" t="s">
        <v>9372</v>
      </c>
      <c r="D1192" s="0" t="s">
        <v>6416</v>
      </c>
      <c r="E1192" s="0" t="s">
        <v>9373</v>
      </c>
      <c r="F1192" s="0" t="n">
        <v>691</v>
      </c>
      <c r="G1192" s="0" t="s">
        <v>277</v>
      </c>
      <c r="H1192" s="0" t="s">
        <v>293</v>
      </c>
      <c r="I1192" s="0" t="s">
        <v>9374</v>
      </c>
    </row>
    <row r="1193" customFormat="false" ht="15" hidden="false" customHeight="false" outlineLevel="0" collapsed="false">
      <c r="A1193" s="0" t="n">
        <v>54</v>
      </c>
      <c r="B1193" s="0" t="s">
        <v>102</v>
      </c>
      <c r="C1193" s="0" t="s">
        <v>9375</v>
      </c>
      <c r="D1193" s="0" t="s">
        <v>6425</v>
      </c>
      <c r="E1193" s="0" t="s">
        <v>9211</v>
      </c>
      <c r="F1193" s="0" t="n">
        <v>701</v>
      </c>
      <c r="G1193" s="0" t="s">
        <v>277</v>
      </c>
      <c r="H1193" s="0" t="s">
        <v>293</v>
      </c>
      <c r="I1193" s="0" t="s">
        <v>9212</v>
      </c>
    </row>
    <row r="1194" customFormat="false" ht="15" hidden="false" customHeight="false" outlineLevel="0" collapsed="false">
      <c r="A1194" s="0" t="n">
        <v>57</v>
      </c>
      <c r="B1194" s="0" t="s">
        <v>105</v>
      </c>
      <c r="C1194" s="0" t="s">
        <v>9376</v>
      </c>
      <c r="D1194" s="0" t="s">
        <v>6416</v>
      </c>
      <c r="E1194" s="0" t="s">
        <v>9377</v>
      </c>
      <c r="F1194" s="0" t="n">
        <v>3995</v>
      </c>
      <c r="G1194" s="0" t="s">
        <v>277</v>
      </c>
      <c r="H1194" s="0" t="s">
        <v>293</v>
      </c>
      <c r="I1194" s="0" t="s">
        <v>9378</v>
      </c>
    </row>
    <row r="1195" customFormat="false" ht="15" hidden="false" customHeight="false" outlineLevel="0" collapsed="false">
      <c r="A1195" s="0" t="n">
        <v>54</v>
      </c>
      <c r="B1195" s="0" t="s">
        <v>102</v>
      </c>
      <c r="C1195" s="0" t="s">
        <v>9379</v>
      </c>
      <c r="D1195" s="0" t="s">
        <v>6425</v>
      </c>
      <c r="E1195" s="0" t="s">
        <v>9193</v>
      </c>
      <c r="F1195" s="0" t="n">
        <v>662</v>
      </c>
      <c r="G1195" s="0" t="s">
        <v>277</v>
      </c>
      <c r="H1195" s="0" t="s">
        <v>293</v>
      </c>
      <c r="I1195" s="0" t="s">
        <v>9194</v>
      </c>
    </row>
    <row r="1196" customFormat="false" ht="15" hidden="false" customHeight="false" outlineLevel="0" collapsed="false">
      <c r="A1196" s="0" t="n">
        <v>54</v>
      </c>
      <c r="B1196" s="0" t="s">
        <v>102</v>
      </c>
      <c r="C1196" s="0" t="s">
        <v>9380</v>
      </c>
      <c r="D1196" s="0" t="s">
        <v>6425</v>
      </c>
      <c r="E1196" s="0" t="s">
        <v>9199</v>
      </c>
      <c r="F1196" s="0" t="n">
        <v>785</v>
      </c>
      <c r="G1196" s="0" t="s">
        <v>277</v>
      </c>
      <c r="H1196" s="0" t="s">
        <v>293</v>
      </c>
      <c r="I1196" s="0" t="s">
        <v>9200</v>
      </c>
    </row>
    <row r="1197" customFormat="false" ht="15" hidden="false" customHeight="false" outlineLevel="0" collapsed="false">
      <c r="A1197" s="0" t="n">
        <v>52</v>
      </c>
      <c r="B1197" s="0" t="s">
        <v>100</v>
      </c>
      <c r="C1197" s="0" t="s">
        <v>9381</v>
      </c>
      <c r="D1197" s="0" t="s">
        <v>6416</v>
      </c>
      <c r="E1197" s="0" t="s">
        <v>9382</v>
      </c>
      <c r="F1197" s="0" t="n">
        <v>2883</v>
      </c>
      <c r="G1197" s="0" t="s">
        <v>277</v>
      </c>
      <c r="H1197" s="0" t="s">
        <v>293</v>
      </c>
      <c r="I1197" s="0" t="s">
        <v>9383</v>
      </c>
    </row>
    <row r="1198" customFormat="false" ht="15" hidden="false" customHeight="false" outlineLevel="0" collapsed="false">
      <c r="A1198" s="0" t="n">
        <v>54</v>
      </c>
      <c r="B1198" s="0" t="s">
        <v>102</v>
      </c>
      <c r="C1198" s="0" t="s">
        <v>9384</v>
      </c>
      <c r="D1198" s="0" t="s">
        <v>6425</v>
      </c>
      <c r="E1198" s="0" t="s">
        <v>9322</v>
      </c>
      <c r="F1198" s="0" t="n">
        <v>659</v>
      </c>
      <c r="G1198" s="0" t="s">
        <v>277</v>
      </c>
      <c r="H1198" s="0" t="s">
        <v>293</v>
      </c>
      <c r="I1198" s="0" t="s">
        <v>9323</v>
      </c>
    </row>
    <row r="1199" customFormat="false" ht="15" hidden="false" customHeight="false" outlineLevel="0" collapsed="false">
      <c r="A1199" s="0" t="n">
        <v>54</v>
      </c>
      <c r="B1199" s="0" t="s">
        <v>102</v>
      </c>
      <c r="C1199" s="0" t="s">
        <v>9385</v>
      </c>
      <c r="D1199" s="0" t="s">
        <v>7622</v>
      </c>
      <c r="F1199" s="0" t="n">
        <v>925</v>
      </c>
      <c r="G1199" s="0" t="s">
        <v>277</v>
      </c>
      <c r="H1199" s="0" t="s">
        <v>293</v>
      </c>
      <c r="I1199" s="0" t="s">
        <v>9311</v>
      </c>
    </row>
    <row r="1200" customFormat="false" ht="15" hidden="false" customHeight="false" outlineLevel="0" collapsed="false">
      <c r="A1200" s="0" t="n">
        <v>54</v>
      </c>
      <c r="B1200" s="0" t="s">
        <v>102</v>
      </c>
      <c r="C1200" s="0" t="s">
        <v>9386</v>
      </c>
      <c r="D1200" s="0" t="s">
        <v>6416</v>
      </c>
      <c r="F1200" s="0" t="n">
        <v>1695</v>
      </c>
      <c r="G1200" s="0" t="s">
        <v>277</v>
      </c>
      <c r="H1200" s="0" t="s">
        <v>293</v>
      </c>
      <c r="I1200" s="0" t="s">
        <v>9285</v>
      </c>
    </row>
    <row r="1201" customFormat="false" ht="15" hidden="false" customHeight="false" outlineLevel="0" collapsed="false">
      <c r="A1201" s="0" t="n">
        <v>57</v>
      </c>
      <c r="B1201" s="0" t="s">
        <v>105</v>
      </c>
      <c r="C1201" s="0" t="s">
        <v>9387</v>
      </c>
      <c r="D1201" s="0" t="s">
        <v>6416</v>
      </c>
      <c r="E1201" s="0" t="s">
        <v>9388</v>
      </c>
      <c r="F1201" s="0" t="n">
        <v>601</v>
      </c>
      <c r="G1201" s="0" t="s">
        <v>277</v>
      </c>
      <c r="H1201" s="0" t="s">
        <v>293</v>
      </c>
      <c r="I1201" s="0" t="s">
        <v>9389</v>
      </c>
    </row>
    <row r="1202" customFormat="false" ht="15" hidden="false" customHeight="false" outlineLevel="0" collapsed="false">
      <c r="A1202" s="0" t="n">
        <v>52</v>
      </c>
      <c r="B1202" s="0" t="s">
        <v>100</v>
      </c>
      <c r="C1202" s="0" t="s">
        <v>9390</v>
      </c>
      <c r="D1202" s="0" t="s">
        <v>6416</v>
      </c>
      <c r="E1202" s="0" t="s">
        <v>9391</v>
      </c>
      <c r="F1202" s="0" t="n">
        <v>3723</v>
      </c>
      <c r="G1202" s="0" t="s">
        <v>277</v>
      </c>
      <c r="H1202" s="0" t="s">
        <v>293</v>
      </c>
      <c r="I1202" s="0" t="s">
        <v>9392</v>
      </c>
    </row>
    <row r="1203" customFormat="false" ht="15" hidden="false" customHeight="false" outlineLevel="0" collapsed="false">
      <c r="A1203" s="0" t="n">
        <v>54</v>
      </c>
      <c r="B1203" s="0" t="s">
        <v>102</v>
      </c>
      <c r="C1203" s="0" t="s">
        <v>9393</v>
      </c>
      <c r="D1203" s="0" t="s">
        <v>91</v>
      </c>
      <c r="F1203" s="0" t="n">
        <v>1116</v>
      </c>
      <c r="G1203" s="0" t="s">
        <v>277</v>
      </c>
      <c r="H1203" s="0" t="s">
        <v>293</v>
      </c>
      <c r="I1203" s="0" t="s">
        <v>9235</v>
      </c>
    </row>
    <row r="1204" customFormat="false" ht="15" hidden="false" customHeight="false" outlineLevel="0" collapsed="false">
      <c r="A1204" s="0" t="n">
        <v>54</v>
      </c>
      <c r="B1204" s="0" t="s">
        <v>102</v>
      </c>
      <c r="C1204" s="0" t="s">
        <v>9394</v>
      </c>
      <c r="D1204" s="0" t="s">
        <v>6560</v>
      </c>
      <c r="E1204" s="0" t="s">
        <v>9279</v>
      </c>
      <c r="F1204" s="0" t="n">
        <v>902</v>
      </c>
      <c r="G1204" s="0" t="s">
        <v>277</v>
      </c>
      <c r="H1204" s="0" t="s">
        <v>293</v>
      </c>
      <c r="I1204" s="0" t="s">
        <v>9280</v>
      </c>
    </row>
    <row r="1205" customFormat="false" ht="15" hidden="false" customHeight="false" outlineLevel="0" collapsed="false">
      <c r="A1205" s="0" t="n">
        <v>57</v>
      </c>
      <c r="B1205" s="0" t="s">
        <v>105</v>
      </c>
      <c r="C1205" s="0" t="s">
        <v>9395</v>
      </c>
      <c r="D1205" s="0" t="s">
        <v>6425</v>
      </c>
      <c r="E1205" s="0" t="s">
        <v>9396</v>
      </c>
      <c r="F1205" s="0" t="n">
        <v>215</v>
      </c>
      <c r="G1205" s="0" t="s">
        <v>277</v>
      </c>
      <c r="H1205" s="0" t="s">
        <v>293</v>
      </c>
      <c r="I1205" s="0" t="s">
        <v>9397</v>
      </c>
    </row>
    <row r="1206" customFormat="false" ht="15" hidden="false" customHeight="false" outlineLevel="0" collapsed="false">
      <c r="A1206" s="0" t="n">
        <v>54</v>
      </c>
      <c r="B1206" s="0" t="s">
        <v>102</v>
      </c>
      <c r="C1206" s="0" t="s">
        <v>9398</v>
      </c>
      <c r="D1206" s="0" t="s">
        <v>6560</v>
      </c>
      <c r="E1206" s="0" t="s">
        <v>9223</v>
      </c>
      <c r="F1206" s="0" t="n">
        <v>721</v>
      </c>
      <c r="G1206" s="0" t="s">
        <v>277</v>
      </c>
      <c r="H1206" s="0" t="s">
        <v>293</v>
      </c>
      <c r="I1206" s="0" t="s">
        <v>9224</v>
      </c>
    </row>
    <row r="1207" customFormat="false" ht="15" hidden="false" customHeight="false" outlineLevel="0" collapsed="false">
      <c r="A1207" s="0" t="n">
        <v>54</v>
      </c>
      <c r="B1207" s="0" t="s">
        <v>102</v>
      </c>
      <c r="C1207" s="0" t="s">
        <v>9399</v>
      </c>
      <c r="D1207" s="0" t="s">
        <v>6560</v>
      </c>
      <c r="E1207" s="0" t="s">
        <v>9187</v>
      </c>
      <c r="F1207" s="0" t="n">
        <v>713</v>
      </c>
      <c r="G1207" s="0" t="s">
        <v>277</v>
      </c>
      <c r="H1207" s="0" t="s">
        <v>293</v>
      </c>
      <c r="I1207" s="0" t="s">
        <v>9188</v>
      </c>
    </row>
    <row r="1208" customFormat="false" ht="15" hidden="false" customHeight="false" outlineLevel="0" collapsed="false">
      <c r="A1208" s="0" t="n">
        <v>54</v>
      </c>
      <c r="B1208" s="0" t="s">
        <v>102</v>
      </c>
      <c r="C1208" s="0" t="s">
        <v>9400</v>
      </c>
      <c r="D1208" s="0" t="s">
        <v>6560</v>
      </c>
      <c r="E1208" s="0" t="s">
        <v>9293</v>
      </c>
      <c r="F1208" s="0" t="n">
        <v>875</v>
      </c>
      <c r="G1208" s="0" t="s">
        <v>277</v>
      </c>
      <c r="H1208" s="0" t="s">
        <v>293</v>
      </c>
      <c r="I1208" s="0" t="s">
        <v>9294</v>
      </c>
    </row>
    <row r="1209" customFormat="false" ht="15" hidden="false" customHeight="false" outlineLevel="0" collapsed="false">
      <c r="A1209" s="0" t="n">
        <v>52</v>
      </c>
      <c r="B1209" s="0" t="s">
        <v>100</v>
      </c>
      <c r="C1209" s="0" t="s">
        <v>9401</v>
      </c>
      <c r="D1209" s="0" t="s">
        <v>6416</v>
      </c>
      <c r="E1209" s="0" t="s">
        <v>9325</v>
      </c>
      <c r="F1209" s="0" t="n">
        <v>691</v>
      </c>
      <c r="G1209" s="0" t="s">
        <v>277</v>
      </c>
      <c r="H1209" s="0" t="s">
        <v>293</v>
      </c>
      <c r="I1209" s="0" t="s">
        <v>9402</v>
      </c>
    </row>
    <row r="1210" customFormat="false" ht="15" hidden="false" customHeight="false" outlineLevel="0" collapsed="false">
      <c r="A1210" s="0" t="n">
        <v>54</v>
      </c>
      <c r="B1210" s="0" t="s">
        <v>102</v>
      </c>
      <c r="C1210" s="0" t="s">
        <v>9403</v>
      </c>
      <c r="D1210" s="0" t="s">
        <v>6560</v>
      </c>
      <c r="E1210" s="0" t="s">
        <v>9267</v>
      </c>
      <c r="F1210" s="0" t="n">
        <v>1115</v>
      </c>
      <c r="G1210" s="0" t="s">
        <v>277</v>
      </c>
      <c r="H1210" s="0" t="s">
        <v>293</v>
      </c>
      <c r="I1210" s="0" t="s">
        <v>9268</v>
      </c>
    </row>
    <row r="1211" customFormat="false" ht="15" hidden="false" customHeight="false" outlineLevel="0" collapsed="false">
      <c r="A1211" s="0" t="n">
        <v>54</v>
      </c>
      <c r="B1211" s="0" t="s">
        <v>102</v>
      </c>
      <c r="C1211" s="0" t="s">
        <v>9404</v>
      </c>
      <c r="D1211" s="0" t="s">
        <v>6560</v>
      </c>
      <c r="E1211" s="0" t="s">
        <v>9299</v>
      </c>
      <c r="F1211" s="0" t="n">
        <v>1114</v>
      </c>
      <c r="G1211" s="0" t="s">
        <v>277</v>
      </c>
      <c r="H1211" s="0" t="s">
        <v>293</v>
      </c>
      <c r="I1211" s="0" t="s">
        <v>9300</v>
      </c>
    </row>
    <row r="1212" customFormat="false" ht="15" hidden="false" customHeight="false" outlineLevel="0" collapsed="false">
      <c r="A1212" s="0" t="n">
        <v>54</v>
      </c>
      <c r="B1212" s="0" t="s">
        <v>102</v>
      </c>
      <c r="C1212" s="0" t="s">
        <v>9405</v>
      </c>
      <c r="D1212" s="0" t="s">
        <v>6560</v>
      </c>
      <c r="E1212" s="0" t="s">
        <v>9205</v>
      </c>
      <c r="F1212" s="0" t="n">
        <v>661</v>
      </c>
      <c r="G1212" s="0" t="s">
        <v>277</v>
      </c>
      <c r="H1212" s="0" t="s">
        <v>293</v>
      </c>
      <c r="I1212" s="0" t="s">
        <v>9206</v>
      </c>
    </row>
    <row r="1213" customFormat="false" ht="15" hidden="false" customHeight="false" outlineLevel="0" collapsed="false">
      <c r="A1213" s="0" t="n">
        <v>54</v>
      </c>
      <c r="B1213" s="0" t="s">
        <v>102</v>
      </c>
      <c r="C1213" s="0" t="s">
        <v>9406</v>
      </c>
      <c r="D1213" s="0" t="s">
        <v>6560</v>
      </c>
      <c r="E1213" s="0" t="s">
        <v>9229</v>
      </c>
      <c r="F1213" s="0" t="n">
        <v>686</v>
      </c>
      <c r="G1213" s="0" t="s">
        <v>277</v>
      </c>
      <c r="H1213" s="0" t="s">
        <v>293</v>
      </c>
      <c r="I1213" s="0" t="s">
        <v>9230</v>
      </c>
    </row>
    <row r="1214" customFormat="false" ht="15" hidden="false" customHeight="false" outlineLevel="0" collapsed="false">
      <c r="A1214" s="0" t="n">
        <v>52</v>
      </c>
      <c r="B1214" s="0" t="s">
        <v>100</v>
      </c>
      <c r="C1214" s="0" t="s">
        <v>9407</v>
      </c>
      <c r="D1214" s="0" t="s">
        <v>6416</v>
      </c>
      <c r="E1214" s="0" t="s">
        <v>9408</v>
      </c>
      <c r="F1214" s="0" t="n">
        <v>5537</v>
      </c>
      <c r="G1214" s="0" t="s">
        <v>277</v>
      </c>
      <c r="H1214" s="0" t="s">
        <v>293</v>
      </c>
      <c r="I1214" s="0" t="s">
        <v>9409</v>
      </c>
    </row>
    <row r="1215" customFormat="false" ht="15" hidden="false" customHeight="false" outlineLevel="0" collapsed="false">
      <c r="A1215" s="0" t="n">
        <v>54</v>
      </c>
      <c r="B1215" s="0" t="s">
        <v>102</v>
      </c>
      <c r="C1215" s="0" t="s">
        <v>9410</v>
      </c>
      <c r="D1215" s="0" t="s">
        <v>6560</v>
      </c>
      <c r="E1215" s="0" t="s">
        <v>9252</v>
      </c>
      <c r="F1215" s="0" t="n">
        <v>577</v>
      </c>
      <c r="G1215" s="0" t="s">
        <v>277</v>
      </c>
      <c r="H1215" s="0" t="s">
        <v>293</v>
      </c>
      <c r="I1215" s="0" t="s">
        <v>9253</v>
      </c>
    </row>
    <row r="1216" customFormat="false" ht="15" hidden="false" customHeight="false" outlineLevel="0" collapsed="false">
      <c r="A1216" s="0" t="n">
        <v>54</v>
      </c>
      <c r="B1216" s="0" t="s">
        <v>102</v>
      </c>
      <c r="C1216" s="0" t="s">
        <v>9411</v>
      </c>
      <c r="D1216" s="0" t="s">
        <v>6560</v>
      </c>
      <c r="E1216" s="0" t="s">
        <v>9287</v>
      </c>
      <c r="F1216" s="0" t="n">
        <v>1303</v>
      </c>
      <c r="G1216" s="0" t="s">
        <v>277</v>
      </c>
      <c r="H1216" s="0" t="s">
        <v>293</v>
      </c>
      <c r="I1216" s="0" t="s">
        <v>9288</v>
      </c>
    </row>
    <row r="1217" customFormat="false" ht="15" hidden="false" customHeight="false" outlineLevel="0" collapsed="false">
      <c r="A1217" s="0" t="n">
        <v>52</v>
      </c>
      <c r="B1217" s="0" t="s">
        <v>100</v>
      </c>
      <c r="C1217" s="0" t="s">
        <v>9412</v>
      </c>
      <c r="D1217" s="0" t="s">
        <v>6416</v>
      </c>
      <c r="E1217" s="0" t="s">
        <v>9413</v>
      </c>
      <c r="F1217" s="0" t="n">
        <v>3344</v>
      </c>
      <c r="G1217" s="0" t="s">
        <v>277</v>
      </c>
      <c r="H1217" s="0" t="s">
        <v>293</v>
      </c>
      <c r="I1217" s="0" t="s">
        <v>9414</v>
      </c>
    </row>
    <row r="1218" customFormat="false" ht="15" hidden="false" customHeight="false" outlineLevel="0" collapsed="false">
      <c r="A1218" s="0" t="n">
        <v>59</v>
      </c>
      <c r="B1218" s="0" t="s">
        <v>109</v>
      </c>
      <c r="C1218" s="0" t="s">
        <v>9415</v>
      </c>
      <c r="D1218" s="0" t="s">
        <v>6416</v>
      </c>
      <c r="E1218" s="0" t="s">
        <v>9416</v>
      </c>
      <c r="F1218" s="0" t="n">
        <v>757</v>
      </c>
      <c r="G1218" s="0" t="s">
        <v>277</v>
      </c>
      <c r="H1218" s="0" t="s">
        <v>293</v>
      </c>
      <c r="I1218" s="0" t="s">
        <v>9417</v>
      </c>
    </row>
    <row r="1219" customFormat="false" ht="15" hidden="false" customHeight="false" outlineLevel="0" collapsed="false">
      <c r="A1219" s="0" t="n">
        <v>57</v>
      </c>
      <c r="B1219" s="0" t="s">
        <v>105</v>
      </c>
      <c r="C1219" s="0" t="s">
        <v>9418</v>
      </c>
      <c r="D1219" s="0" t="s">
        <v>6416</v>
      </c>
      <c r="E1219" s="0" t="s">
        <v>9419</v>
      </c>
      <c r="F1219" s="0" t="n">
        <v>828</v>
      </c>
      <c r="G1219" s="0" t="s">
        <v>277</v>
      </c>
      <c r="H1219" s="0" t="s">
        <v>293</v>
      </c>
      <c r="I1219" s="0" t="s">
        <v>9420</v>
      </c>
    </row>
    <row r="1220" customFormat="false" ht="15" hidden="false" customHeight="false" outlineLevel="0" collapsed="false">
      <c r="A1220" s="0" t="n">
        <v>57</v>
      </c>
      <c r="B1220" s="0" t="s">
        <v>105</v>
      </c>
      <c r="C1220" s="0" t="s">
        <v>9421</v>
      </c>
      <c r="D1220" s="0" t="s">
        <v>6416</v>
      </c>
      <c r="E1220" s="0" t="s">
        <v>9422</v>
      </c>
      <c r="F1220" s="0" t="n">
        <v>5455</v>
      </c>
      <c r="G1220" s="0" t="s">
        <v>277</v>
      </c>
      <c r="H1220" s="0" t="s">
        <v>293</v>
      </c>
      <c r="I1220" s="0" t="s">
        <v>9423</v>
      </c>
    </row>
    <row r="1221" customFormat="false" ht="15" hidden="false" customHeight="false" outlineLevel="0" collapsed="false">
      <c r="A1221" s="0" t="n">
        <v>52</v>
      </c>
      <c r="B1221" s="0" t="s">
        <v>100</v>
      </c>
      <c r="C1221" s="0" t="s">
        <v>9424</v>
      </c>
      <c r="D1221" s="0" t="s">
        <v>6416</v>
      </c>
      <c r="E1221" s="0" t="s">
        <v>9425</v>
      </c>
      <c r="F1221" s="0" t="n">
        <v>3007</v>
      </c>
      <c r="G1221" s="0" t="s">
        <v>277</v>
      </c>
      <c r="H1221" s="0" t="s">
        <v>293</v>
      </c>
      <c r="I1221" s="0" t="s">
        <v>9426</v>
      </c>
    </row>
    <row r="1222" customFormat="false" ht="15" hidden="false" customHeight="false" outlineLevel="0" collapsed="false">
      <c r="A1222" s="0" t="n">
        <v>52</v>
      </c>
      <c r="B1222" s="0" t="s">
        <v>100</v>
      </c>
      <c r="C1222" s="0" t="s">
        <v>9427</v>
      </c>
      <c r="D1222" s="0" t="s">
        <v>6416</v>
      </c>
      <c r="E1222" s="0" t="s">
        <v>9428</v>
      </c>
      <c r="F1222" s="0" t="n">
        <v>691</v>
      </c>
      <c r="G1222" s="0" t="s">
        <v>277</v>
      </c>
      <c r="H1222" s="0" t="s">
        <v>293</v>
      </c>
      <c r="I1222" s="0" t="s">
        <v>9429</v>
      </c>
    </row>
    <row r="1223" customFormat="false" ht="15" hidden="false" customHeight="false" outlineLevel="0" collapsed="false">
      <c r="A1223" s="0" t="n">
        <v>57</v>
      </c>
      <c r="B1223" s="0" t="s">
        <v>105</v>
      </c>
      <c r="C1223" s="0" t="s">
        <v>9430</v>
      </c>
      <c r="D1223" s="0" t="s">
        <v>6560</v>
      </c>
      <c r="E1223" s="0" t="s">
        <v>9431</v>
      </c>
      <c r="F1223" s="0" t="n">
        <v>203</v>
      </c>
      <c r="G1223" s="0" t="s">
        <v>277</v>
      </c>
      <c r="H1223" s="0" t="s">
        <v>293</v>
      </c>
      <c r="I1223" s="0" t="s">
        <v>9432</v>
      </c>
    </row>
    <row r="1224" customFormat="false" ht="15" hidden="false" customHeight="false" outlineLevel="0" collapsed="false">
      <c r="A1224" s="0" t="n">
        <v>52</v>
      </c>
      <c r="B1224" s="0" t="s">
        <v>100</v>
      </c>
      <c r="C1224" s="0" t="s">
        <v>9433</v>
      </c>
      <c r="D1224" s="0" t="s">
        <v>6416</v>
      </c>
      <c r="E1224" s="0" t="s">
        <v>9434</v>
      </c>
      <c r="F1224" s="0" t="n">
        <v>2968</v>
      </c>
      <c r="G1224" s="0" t="s">
        <v>277</v>
      </c>
      <c r="H1224" s="0" t="s">
        <v>293</v>
      </c>
      <c r="I1224" s="0" t="s">
        <v>9435</v>
      </c>
    </row>
    <row r="1225" customFormat="false" ht="15" hidden="false" customHeight="false" outlineLevel="0" collapsed="false">
      <c r="A1225" s="0" t="n">
        <v>57</v>
      </c>
      <c r="B1225" s="0" t="s">
        <v>105</v>
      </c>
      <c r="C1225" s="0" t="s">
        <v>9436</v>
      </c>
      <c r="D1225" s="0" t="s">
        <v>6560</v>
      </c>
      <c r="E1225" s="0" t="s">
        <v>9437</v>
      </c>
      <c r="F1225" s="0" t="n">
        <v>414</v>
      </c>
      <c r="G1225" s="0" t="s">
        <v>277</v>
      </c>
      <c r="H1225" s="0" t="s">
        <v>293</v>
      </c>
      <c r="I1225" s="0" t="s">
        <v>9438</v>
      </c>
    </row>
    <row r="1226" customFormat="false" ht="15" hidden="false" customHeight="false" outlineLevel="0" collapsed="false">
      <c r="A1226" s="0" t="n">
        <v>57</v>
      </c>
      <c r="B1226" s="0" t="s">
        <v>105</v>
      </c>
      <c r="C1226" s="0" t="s">
        <v>9439</v>
      </c>
      <c r="D1226" s="0" t="s">
        <v>6416</v>
      </c>
      <c r="E1226" s="0" t="s">
        <v>9440</v>
      </c>
      <c r="F1226" s="0" t="n">
        <v>3152</v>
      </c>
      <c r="G1226" s="0" t="s">
        <v>277</v>
      </c>
      <c r="H1226" s="0" t="s">
        <v>293</v>
      </c>
      <c r="I1226" s="0" t="s">
        <v>9441</v>
      </c>
    </row>
    <row r="1227" customFormat="false" ht="15" hidden="false" customHeight="false" outlineLevel="0" collapsed="false">
      <c r="A1227" s="0" t="n">
        <v>52</v>
      </c>
      <c r="B1227" s="0" t="s">
        <v>100</v>
      </c>
      <c r="C1227" s="0" t="s">
        <v>9442</v>
      </c>
      <c r="D1227" s="0" t="s">
        <v>6416</v>
      </c>
      <c r="E1227" s="0" t="s">
        <v>9443</v>
      </c>
      <c r="F1227" s="0" t="n">
        <v>691</v>
      </c>
      <c r="G1227" s="0" t="s">
        <v>277</v>
      </c>
      <c r="H1227" s="0" t="s">
        <v>293</v>
      </c>
      <c r="I1227" s="0" t="s">
        <v>9444</v>
      </c>
    </row>
    <row r="1228" customFormat="false" ht="15" hidden="false" customHeight="false" outlineLevel="0" collapsed="false">
      <c r="A1228" s="0" t="n">
        <v>57</v>
      </c>
      <c r="B1228" s="0" t="s">
        <v>105</v>
      </c>
      <c r="C1228" s="0" t="s">
        <v>9445</v>
      </c>
      <c r="D1228" s="0" t="s">
        <v>6416</v>
      </c>
      <c r="E1228" s="0" t="s">
        <v>9446</v>
      </c>
      <c r="F1228" s="0" t="n">
        <v>2180</v>
      </c>
      <c r="G1228" s="0" t="s">
        <v>277</v>
      </c>
      <c r="H1228" s="0" t="s">
        <v>293</v>
      </c>
      <c r="I1228" s="0" t="s">
        <v>9447</v>
      </c>
    </row>
    <row r="1229" customFormat="false" ht="15" hidden="false" customHeight="false" outlineLevel="0" collapsed="false">
      <c r="A1229" s="0" t="n">
        <v>52</v>
      </c>
      <c r="B1229" s="0" t="s">
        <v>100</v>
      </c>
      <c r="C1229" s="0" t="s">
        <v>9448</v>
      </c>
      <c r="D1229" s="0" t="s">
        <v>6416</v>
      </c>
      <c r="E1229" s="0" t="s">
        <v>9449</v>
      </c>
      <c r="F1229" s="0" t="n">
        <v>691</v>
      </c>
      <c r="G1229" s="0" t="s">
        <v>277</v>
      </c>
      <c r="H1229" s="0" t="s">
        <v>293</v>
      </c>
      <c r="I1229" s="0" t="s">
        <v>9450</v>
      </c>
    </row>
    <row r="1230" customFormat="false" ht="15" hidden="false" customHeight="false" outlineLevel="0" collapsed="false">
      <c r="A1230" s="0" t="n">
        <v>52</v>
      </c>
      <c r="B1230" s="0" t="s">
        <v>100</v>
      </c>
      <c r="C1230" s="0" t="s">
        <v>9451</v>
      </c>
      <c r="D1230" s="0" t="s">
        <v>6416</v>
      </c>
      <c r="E1230" s="0" t="s">
        <v>9452</v>
      </c>
      <c r="F1230" s="0" t="n">
        <v>2183</v>
      </c>
      <c r="G1230" s="0" t="s">
        <v>277</v>
      </c>
      <c r="H1230" s="0" t="s">
        <v>293</v>
      </c>
      <c r="I1230" s="0" t="s">
        <v>9453</v>
      </c>
    </row>
    <row r="1231" customFormat="false" ht="15" hidden="false" customHeight="false" outlineLevel="0" collapsed="false">
      <c r="A1231" s="0" t="n">
        <v>52</v>
      </c>
      <c r="B1231" s="0" t="s">
        <v>100</v>
      </c>
      <c r="C1231" s="0" t="s">
        <v>9454</v>
      </c>
      <c r="D1231" s="0" t="s">
        <v>6425</v>
      </c>
      <c r="E1231" s="0" t="s">
        <v>9455</v>
      </c>
      <c r="F1231" s="0" t="n">
        <v>691</v>
      </c>
      <c r="G1231" s="0" t="s">
        <v>277</v>
      </c>
      <c r="H1231" s="0" t="s">
        <v>293</v>
      </c>
      <c r="I1231" s="0" t="s">
        <v>9456</v>
      </c>
    </row>
    <row r="1232" customFormat="false" ht="15" hidden="false" customHeight="false" outlineLevel="0" collapsed="false">
      <c r="A1232" s="0" t="n">
        <v>52</v>
      </c>
      <c r="B1232" s="0" t="s">
        <v>100</v>
      </c>
      <c r="C1232" s="0" t="s">
        <v>9457</v>
      </c>
      <c r="D1232" s="0" t="s">
        <v>6416</v>
      </c>
      <c r="E1232" s="0" t="s">
        <v>9458</v>
      </c>
      <c r="F1232" s="0" t="n">
        <v>3465</v>
      </c>
      <c r="G1232" s="0" t="s">
        <v>277</v>
      </c>
      <c r="H1232" s="0" t="s">
        <v>293</v>
      </c>
      <c r="I1232" s="0" t="s">
        <v>9459</v>
      </c>
    </row>
    <row r="1233" customFormat="false" ht="15" hidden="false" customHeight="false" outlineLevel="0" collapsed="false">
      <c r="A1233" s="0" t="n">
        <v>52</v>
      </c>
      <c r="B1233" s="0" t="s">
        <v>100</v>
      </c>
      <c r="C1233" s="0" t="s">
        <v>9460</v>
      </c>
      <c r="D1233" s="0" t="s">
        <v>6416</v>
      </c>
      <c r="E1233" s="0" t="s">
        <v>9461</v>
      </c>
      <c r="F1233" s="0" t="n">
        <v>691</v>
      </c>
      <c r="G1233" s="0" t="s">
        <v>277</v>
      </c>
      <c r="H1233" s="0" t="s">
        <v>293</v>
      </c>
      <c r="I1233" s="0" t="s">
        <v>9462</v>
      </c>
    </row>
    <row r="1234" customFormat="false" ht="15" hidden="false" customHeight="false" outlineLevel="0" collapsed="false">
      <c r="A1234" s="0" t="n">
        <v>52</v>
      </c>
      <c r="B1234" s="0" t="s">
        <v>100</v>
      </c>
      <c r="C1234" s="0" t="s">
        <v>9463</v>
      </c>
      <c r="D1234" s="0" t="s">
        <v>6416</v>
      </c>
      <c r="E1234" s="0" t="s">
        <v>9464</v>
      </c>
      <c r="F1234" s="0" t="n">
        <v>2730</v>
      </c>
      <c r="G1234" s="0" t="s">
        <v>277</v>
      </c>
      <c r="H1234" s="0" t="s">
        <v>293</v>
      </c>
      <c r="I1234" s="0" t="s">
        <v>9465</v>
      </c>
    </row>
    <row r="1235" customFormat="false" ht="15" hidden="false" customHeight="false" outlineLevel="0" collapsed="false">
      <c r="A1235" s="0" t="n">
        <v>52</v>
      </c>
      <c r="B1235" s="0" t="s">
        <v>100</v>
      </c>
      <c r="C1235" s="0" t="s">
        <v>9466</v>
      </c>
      <c r="D1235" s="0" t="s">
        <v>6425</v>
      </c>
      <c r="E1235" s="0" t="s">
        <v>9467</v>
      </c>
      <c r="F1235" s="0" t="n">
        <v>691</v>
      </c>
      <c r="G1235" s="0" t="s">
        <v>277</v>
      </c>
      <c r="H1235" s="0" t="s">
        <v>293</v>
      </c>
      <c r="I1235" s="0" t="s">
        <v>9468</v>
      </c>
    </row>
    <row r="1236" customFormat="false" ht="15" hidden="false" customHeight="false" outlineLevel="0" collapsed="false">
      <c r="A1236" s="0" t="n">
        <v>52</v>
      </c>
      <c r="B1236" s="0" t="s">
        <v>100</v>
      </c>
      <c r="C1236" s="0" t="s">
        <v>9469</v>
      </c>
      <c r="D1236" s="0" t="s">
        <v>6416</v>
      </c>
      <c r="E1236" s="0" t="s">
        <v>9470</v>
      </c>
      <c r="F1236" s="0" t="n">
        <v>2157</v>
      </c>
      <c r="G1236" s="0" t="s">
        <v>277</v>
      </c>
      <c r="H1236" s="0" t="s">
        <v>293</v>
      </c>
      <c r="I1236" s="0" t="s">
        <v>9471</v>
      </c>
    </row>
    <row r="1237" customFormat="false" ht="15" hidden="false" customHeight="false" outlineLevel="0" collapsed="false">
      <c r="A1237" s="0" t="n">
        <v>52</v>
      </c>
      <c r="B1237" s="0" t="s">
        <v>100</v>
      </c>
      <c r="C1237" s="0" t="s">
        <v>9472</v>
      </c>
      <c r="D1237" s="0" t="s">
        <v>6560</v>
      </c>
      <c r="E1237" s="0" t="s">
        <v>9473</v>
      </c>
      <c r="F1237" s="0" t="n">
        <v>2255</v>
      </c>
      <c r="G1237" s="0" t="s">
        <v>277</v>
      </c>
      <c r="H1237" s="0" t="s">
        <v>293</v>
      </c>
      <c r="I1237" s="0" t="s">
        <v>9474</v>
      </c>
    </row>
    <row r="1238" customFormat="false" ht="15" hidden="false" customHeight="false" outlineLevel="0" collapsed="false">
      <c r="A1238" s="0" t="n">
        <v>52</v>
      </c>
      <c r="B1238" s="0" t="s">
        <v>100</v>
      </c>
      <c r="C1238" s="0" t="s">
        <v>9475</v>
      </c>
      <c r="D1238" s="0" t="s">
        <v>6416</v>
      </c>
      <c r="E1238" s="0" t="s">
        <v>9476</v>
      </c>
      <c r="F1238" s="0" t="n">
        <v>3731</v>
      </c>
      <c r="G1238" s="0" t="s">
        <v>277</v>
      </c>
      <c r="H1238" s="0" t="s">
        <v>293</v>
      </c>
      <c r="I1238" s="0" t="s">
        <v>9477</v>
      </c>
    </row>
    <row r="1239" customFormat="false" ht="15" hidden="false" customHeight="false" outlineLevel="0" collapsed="false">
      <c r="A1239" s="0" t="n">
        <v>52</v>
      </c>
      <c r="B1239" s="0" t="s">
        <v>100</v>
      </c>
      <c r="C1239" s="0" t="s">
        <v>9478</v>
      </c>
      <c r="D1239" s="0" t="s">
        <v>6416</v>
      </c>
      <c r="E1239" s="0" t="s">
        <v>9479</v>
      </c>
      <c r="F1239" s="0" t="n">
        <v>4350</v>
      </c>
      <c r="G1239" s="0" t="s">
        <v>277</v>
      </c>
      <c r="H1239" s="0" t="s">
        <v>293</v>
      </c>
      <c r="I1239" s="0" t="s">
        <v>9480</v>
      </c>
    </row>
    <row r="1240" customFormat="false" ht="15" hidden="false" customHeight="false" outlineLevel="0" collapsed="false">
      <c r="A1240" s="0" t="n">
        <v>52</v>
      </c>
      <c r="B1240" s="0" t="s">
        <v>100</v>
      </c>
      <c r="C1240" s="0" t="s">
        <v>9481</v>
      </c>
      <c r="D1240" s="0" t="s">
        <v>6416</v>
      </c>
      <c r="E1240" s="0" t="s">
        <v>9482</v>
      </c>
      <c r="F1240" s="0" t="n">
        <v>765</v>
      </c>
      <c r="G1240" s="0" t="s">
        <v>277</v>
      </c>
      <c r="H1240" s="0" t="s">
        <v>293</v>
      </c>
      <c r="I1240" s="0" t="s">
        <v>9483</v>
      </c>
    </row>
    <row r="1241" customFormat="false" ht="15" hidden="false" customHeight="false" outlineLevel="0" collapsed="false">
      <c r="A1241" s="0" t="n">
        <v>52</v>
      </c>
      <c r="B1241" s="0" t="s">
        <v>100</v>
      </c>
      <c r="C1241" s="0" t="s">
        <v>9484</v>
      </c>
      <c r="D1241" s="0" t="s">
        <v>6425</v>
      </c>
      <c r="E1241" s="0" t="s">
        <v>9485</v>
      </c>
      <c r="F1241" s="0" t="n">
        <v>2891</v>
      </c>
      <c r="G1241" s="0" t="s">
        <v>277</v>
      </c>
      <c r="H1241" s="0" t="s">
        <v>293</v>
      </c>
      <c r="I1241" s="0" t="s">
        <v>9486</v>
      </c>
    </row>
    <row r="1242" customFormat="false" ht="15" hidden="false" customHeight="false" outlineLevel="0" collapsed="false">
      <c r="A1242" s="0" t="n">
        <v>52</v>
      </c>
      <c r="B1242" s="0" t="s">
        <v>100</v>
      </c>
      <c r="C1242" s="0" t="s">
        <v>9487</v>
      </c>
      <c r="D1242" s="0" t="s">
        <v>6416</v>
      </c>
      <c r="E1242" s="0" t="s">
        <v>9488</v>
      </c>
      <c r="F1242" s="0" t="n">
        <v>691</v>
      </c>
      <c r="G1242" s="0" t="s">
        <v>277</v>
      </c>
      <c r="H1242" s="0" t="s">
        <v>293</v>
      </c>
      <c r="I1242" s="0" t="s">
        <v>9489</v>
      </c>
    </row>
    <row r="1243" customFormat="false" ht="15" hidden="false" customHeight="false" outlineLevel="0" collapsed="false">
      <c r="A1243" s="0" t="n">
        <v>52</v>
      </c>
      <c r="B1243" s="0" t="s">
        <v>100</v>
      </c>
      <c r="C1243" s="0" t="s">
        <v>9490</v>
      </c>
      <c r="D1243" s="0" t="s">
        <v>6416</v>
      </c>
      <c r="E1243" s="0" t="s">
        <v>9491</v>
      </c>
      <c r="F1243" s="0" t="n">
        <v>4356</v>
      </c>
      <c r="G1243" s="0" t="s">
        <v>277</v>
      </c>
      <c r="H1243" s="0" t="s">
        <v>293</v>
      </c>
      <c r="I1243" s="0" t="s">
        <v>9492</v>
      </c>
    </row>
    <row r="1244" customFormat="false" ht="15" hidden="false" customHeight="false" outlineLevel="0" collapsed="false">
      <c r="A1244" s="0" t="n">
        <v>52</v>
      </c>
      <c r="B1244" s="0" t="s">
        <v>100</v>
      </c>
      <c r="C1244" s="0" t="s">
        <v>9493</v>
      </c>
      <c r="D1244" s="0" t="s">
        <v>6416</v>
      </c>
      <c r="E1244" s="0" t="s">
        <v>9494</v>
      </c>
      <c r="F1244" s="0" t="n">
        <v>2705</v>
      </c>
      <c r="G1244" s="0" t="s">
        <v>277</v>
      </c>
      <c r="H1244" s="0" t="s">
        <v>293</v>
      </c>
      <c r="I1244" s="0" t="s">
        <v>9495</v>
      </c>
    </row>
    <row r="1245" customFormat="false" ht="15" hidden="false" customHeight="false" outlineLevel="0" collapsed="false">
      <c r="A1245" s="0" t="n">
        <v>52</v>
      </c>
      <c r="B1245" s="0" t="s">
        <v>100</v>
      </c>
      <c r="C1245" s="0" t="s">
        <v>9496</v>
      </c>
      <c r="D1245" s="0" t="s">
        <v>6425</v>
      </c>
      <c r="E1245" s="0" t="s">
        <v>9482</v>
      </c>
      <c r="F1245" s="0" t="n">
        <v>765</v>
      </c>
      <c r="G1245" s="0" t="s">
        <v>277</v>
      </c>
      <c r="H1245" s="0" t="s">
        <v>293</v>
      </c>
      <c r="I1245" s="0" t="s">
        <v>9497</v>
      </c>
    </row>
    <row r="1246" customFormat="false" ht="15" hidden="false" customHeight="false" outlineLevel="0" collapsed="false">
      <c r="A1246" s="0" t="n">
        <v>52</v>
      </c>
      <c r="B1246" s="0" t="s">
        <v>100</v>
      </c>
      <c r="C1246" s="0" t="s">
        <v>9498</v>
      </c>
      <c r="D1246" s="0" t="s">
        <v>6416</v>
      </c>
      <c r="E1246" s="0" t="s">
        <v>9499</v>
      </c>
      <c r="F1246" s="0" t="n">
        <v>3063</v>
      </c>
      <c r="G1246" s="0" t="s">
        <v>277</v>
      </c>
      <c r="H1246" s="0" t="s">
        <v>293</v>
      </c>
      <c r="I1246" s="0" t="s">
        <v>9500</v>
      </c>
    </row>
    <row r="1247" customFormat="false" ht="15" hidden="false" customHeight="false" outlineLevel="0" collapsed="false">
      <c r="A1247" s="0" t="n">
        <v>52</v>
      </c>
      <c r="B1247" s="0" t="s">
        <v>100</v>
      </c>
      <c r="C1247" s="0" t="s">
        <v>9501</v>
      </c>
      <c r="D1247" s="0" t="s">
        <v>6560</v>
      </c>
      <c r="E1247" s="0" t="s">
        <v>9502</v>
      </c>
      <c r="F1247" s="0" t="n">
        <v>5547</v>
      </c>
      <c r="G1247" s="0" t="s">
        <v>277</v>
      </c>
      <c r="H1247" s="0" t="s">
        <v>293</v>
      </c>
      <c r="I1247" s="0" t="s">
        <v>9503</v>
      </c>
    </row>
    <row r="1248" customFormat="false" ht="15" hidden="false" customHeight="false" outlineLevel="0" collapsed="false">
      <c r="A1248" s="0" t="n">
        <v>52</v>
      </c>
      <c r="B1248" s="0" t="s">
        <v>100</v>
      </c>
      <c r="C1248" s="0" t="s">
        <v>9504</v>
      </c>
      <c r="D1248" s="0" t="s">
        <v>6560</v>
      </c>
      <c r="E1248" s="0" t="s">
        <v>9505</v>
      </c>
      <c r="F1248" s="0" t="n">
        <v>691</v>
      </c>
      <c r="G1248" s="0" t="s">
        <v>277</v>
      </c>
      <c r="H1248" s="0" t="s">
        <v>293</v>
      </c>
      <c r="I1248" s="0" t="s">
        <v>9506</v>
      </c>
    </row>
    <row r="1249" customFormat="false" ht="15" hidden="false" customHeight="false" outlineLevel="0" collapsed="false">
      <c r="A1249" s="0" t="n">
        <v>52</v>
      </c>
      <c r="B1249" s="0" t="s">
        <v>100</v>
      </c>
      <c r="C1249" s="0" t="s">
        <v>9507</v>
      </c>
      <c r="D1249" s="0" t="s">
        <v>6416</v>
      </c>
      <c r="E1249" s="0" t="s">
        <v>9508</v>
      </c>
      <c r="F1249" s="0" t="n">
        <v>2917</v>
      </c>
      <c r="G1249" s="0" t="s">
        <v>277</v>
      </c>
      <c r="H1249" s="0" t="s">
        <v>293</v>
      </c>
      <c r="I1249" s="0" t="s">
        <v>9509</v>
      </c>
    </row>
    <row r="1250" customFormat="false" ht="15" hidden="false" customHeight="false" outlineLevel="0" collapsed="false">
      <c r="A1250" s="0" t="n">
        <v>52</v>
      </c>
      <c r="B1250" s="0" t="s">
        <v>100</v>
      </c>
      <c r="C1250" s="0" t="s">
        <v>9510</v>
      </c>
      <c r="D1250" s="0" t="s">
        <v>6416</v>
      </c>
      <c r="E1250" s="0" t="s">
        <v>9511</v>
      </c>
      <c r="F1250" s="0" t="n">
        <v>691</v>
      </c>
      <c r="G1250" s="0" t="s">
        <v>277</v>
      </c>
      <c r="H1250" s="0" t="s">
        <v>293</v>
      </c>
      <c r="I1250" s="0" t="s">
        <v>9512</v>
      </c>
    </row>
    <row r="1251" customFormat="false" ht="15" hidden="false" customHeight="false" outlineLevel="0" collapsed="false">
      <c r="A1251" s="0" t="n">
        <v>52</v>
      </c>
      <c r="B1251" s="0" t="s">
        <v>100</v>
      </c>
      <c r="C1251" s="0" t="s">
        <v>9513</v>
      </c>
      <c r="D1251" s="0" t="s">
        <v>6416</v>
      </c>
      <c r="E1251" s="0" t="s">
        <v>9514</v>
      </c>
      <c r="F1251" s="0" t="n">
        <v>3491</v>
      </c>
      <c r="G1251" s="0" t="s">
        <v>277</v>
      </c>
      <c r="H1251" s="0" t="s">
        <v>293</v>
      </c>
      <c r="I1251" s="0" t="s">
        <v>9515</v>
      </c>
    </row>
    <row r="1252" customFormat="false" ht="15" hidden="false" customHeight="false" outlineLevel="0" collapsed="false">
      <c r="A1252" s="0" t="n">
        <v>52</v>
      </c>
      <c r="B1252" s="0" t="s">
        <v>100</v>
      </c>
      <c r="C1252" s="0" t="s">
        <v>9516</v>
      </c>
      <c r="D1252" s="0" t="s">
        <v>6416</v>
      </c>
      <c r="E1252" s="0" t="s">
        <v>9517</v>
      </c>
      <c r="F1252" s="0" t="n">
        <v>4265</v>
      </c>
      <c r="G1252" s="0" t="s">
        <v>277</v>
      </c>
      <c r="H1252" s="0" t="s">
        <v>293</v>
      </c>
      <c r="I1252" s="0" t="s">
        <v>9518</v>
      </c>
    </row>
    <row r="1253" customFormat="false" ht="15" hidden="false" customHeight="false" outlineLevel="0" collapsed="false">
      <c r="A1253" s="0" t="n">
        <v>52</v>
      </c>
      <c r="B1253" s="0" t="s">
        <v>100</v>
      </c>
      <c r="C1253" s="0" t="s">
        <v>9519</v>
      </c>
      <c r="D1253" s="0" t="s">
        <v>6416</v>
      </c>
      <c r="E1253" s="0" t="s">
        <v>9520</v>
      </c>
      <c r="F1253" s="0" t="n">
        <v>691</v>
      </c>
      <c r="G1253" s="0" t="s">
        <v>277</v>
      </c>
      <c r="H1253" s="0" t="s">
        <v>293</v>
      </c>
      <c r="I1253" s="0" t="s">
        <v>9521</v>
      </c>
    </row>
    <row r="1254" customFormat="false" ht="15" hidden="false" customHeight="false" outlineLevel="0" collapsed="false">
      <c r="A1254" s="0" t="n">
        <v>52</v>
      </c>
      <c r="B1254" s="0" t="s">
        <v>100</v>
      </c>
      <c r="C1254" s="0" t="s">
        <v>9522</v>
      </c>
      <c r="D1254" s="0" t="s">
        <v>6416</v>
      </c>
      <c r="E1254" s="0" t="s">
        <v>9523</v>
      </c>
      <c r="F1254" s="0" t="n">
        <v>691</v>
      </c>
      <c r="G1254" s="0" t="s">
        <v>277</v>
      </c>
      <c r="H1254" s="0" t="s">
        <v>293</v>
      </c>
      <c r="I1254" s="0" t="s">
        <v>9524</v>
      </c>
    </row>
    <row r="1255" customFormat="false" ht="15" hidden="false" customHeight="false" outlineLevel="0" collapsed="false">
      <c r="A1255" s="0" t="n">
        <v>52</v>
      </c>
      <c r="B1255" s="0" t="s">
        <v>100</v>
      </c>
      <c r="C1255" s="0" t="s">
        <v>9525</v>
      </c>
      <c r="D1255" s="0" t="s">
        <v>6425</v>
      </c>
      <c r="E1255" s="0" t="s">
        <v>9526</v>
      </c>
      <c r="F1255" s="0" t="n">
        <v>691</v>
      </c>
      <c r="G1255" s="0" t="s">
        <v>277</v>
      </c>
      <c r="H1255" s="0" t="s">
        <v>293</v>
      </c>
      <c r="I1255" s="0" t="s">
        <v>9527</v>
      </c>
    </row>
    <row r="1256" customFormat="false" ht="15" hidden="false" customHeight="false" outlineLevel="0" collapsed="false">
      <c r="A1256" s="0" t="n">
        <v>52</v>
      </c>
      <c r="B1256" s="0" t="s">
        <v>100</v>
      </c>
      <c r="C1256" s="0" t="s">
        <v>9528</v>
      </c>
      <c r="D1256" s="0" t="s">
        <v>6416</v>
      </c>
      <c r="E1256" s="0" t="s">
        <v>9529</v>
      </c>
      <c r="F1256" s="0" t="n">
        <v>4554</v>
      </c>
      <c r="G1256" s="0" t="s">
        <v>277</v>
      </c>
      <c r="H1256" s="0" t="s">
        <v>293</v>
      </c>
      <c r="I1256" s="0" t="s">
        <v>9530</v>
      </c>
    </row>
    <row r="1257" customFormat="false" ht="15" hidden="false" customHeight="false" outlineLevel="0" collapsed="false">
      <c r="A1257" s="0" t="n">
        <v>52</v>
      </c>
      <c r="B1257" s="0" t="s">
        <v>100</v>
      </c>
      <c r="C1257" s="0" t="s">
        <v>9531</v>
      </c>
      <c r="D1257" s="0" t="s">
        <v>6416</v>
      </c>
      <c r="E1257" s="0" t="s">
        <v>9532</v>
      </c>
      <c r="F1257" s="0" t="n">
        <v>5429</v>
      </c>
      <c r="G1257" s="0" t="s">
        <v>277</v>
      </c>
      <c r="H1257" s="0" t="s">
        <v>293</v>
      </c>
      <c r="I1257" s="0" t="s">
        <v>9533</v>
      </c>
    </row>
    <row r="1258" customFormat="false" ht="15" hidden="false" customHeight="false" outlineLevel="0" collapsed="false">
      <c r="A1258" s="0" t="n">
        <v>52</v>
      </c>
      <c r="B1258" s="0" t="s">
        <v>100</v>
      </c>
      <c r="C1258" s="0" t="s">
        <v>9534</v>
      </c>
      <c r="D1258" s="0" t="s">
        <v>6416</v>
      </c>
      <c r="E1258" s="0" t="s">
        <v>9535</v>
      </c>
      <c r="F1258" s="0" t="n">
        <v>2960</v>
      </c>
      <c r="G1258" s="0" t="s">
        <v>277</v>
      </c>
      <c r="H1258" s="0" t="s">
        <v>293</v>
      </c>
      <c r="I1258" s="0" t="s">
        <v>9536</v>
      </c>
    </row>
    <row r="1259" customFormat="false" ht="15" hidden="false" customHeight="false" outlineLevel="0" collapsed="false">
      <c r="A1259" s="0" t="n">
        <v>52</v>
      </c>
      <c r="B1259" s="0" t="s">
        <v>100</v>
      </c>
      <c r="C1259" s="0" t="s">
        <v>9537</v>
      </c>
      <c r="D1259" s="0" t="s">
        <v>6416</v>
      </c>
      <c r="E1259" s="0" t="s">
        <v>9538</v>
      </c>
      <c r="F1259" s="0" t="n">
        <v>1170</v>
      </c>
      <c r="G1259" s="0" t="s">
        <v>277</v>
      </c>
      <c r="H1259" s="0" t="s">
        <v>293</v>
      </c>
      <c r="I1259" s="0" t="s">
        <v>9539</v>
      </c>
    </row>
    <row r="1260" customFormat="false" ht="15" hidden="false" customHeight="false" outlineLevel="0" collapsed="false">
      <c r="A1260" s="0" t="n">
        <v>52</v>
      </c>
      <c r="B1260" s="0" t="s">
        <v>100</v>
      </c>
      <c r="C1260" s="0" t="s">
        <v>9540</v>
      </c>
      <c r="D1260" s="0" t="s">
        <v>6425</v>
      </c>
      <c r="E1260" s="0" t="s">
        <v>9541</v>
      </c>
      <c r="F1260" s="0" t="n">
        <v>2971</v>
      </c>
      <c r="G1260" s="0" t="s">
        <v>277</v>
      </c>
      <c r="H1260" s="0" t="s">
        <v>293</v>
      </c>
      <c r="I1260" s="0" t="s">
        <v>9542</v>
      </c>
    </row>
    <row r="1261" customFormat="false" ht="15" hidden="false" customHeight="false" outlineLevel="0" collapsed="false">
      <c r="A1261" s="0" t="n">
        <v>52</v>
      </c>
      <c r="B1261" s="0" t="s">
        <v>100</v>
      </c>
      <c r="C1261" s="0" t="s">
        <v>9543</v>
      </c>
      <c r="D1261" s="0" t="s">
        <v>6416</v>
      </c>
      <c r="E1261" s="0" t="s">
        <v>9544</v>
      </c>
      <c r="F1261" s="0" t="n">
        <v>2644</v>
      </c>
      <c r="G1261" s="0" t="s">
        <v>277</v>
      </c>
      <c r="H1261" s="0" t="s">
        <v>293</v>
      </c>
      <c r="I1261" s="0" t="s">
        <v>9545</v>
      </c>
    </row>
    <row r="1262" customFormat="false" ht="15" hidden="false" customHeight="false" outlineLevel="0" collapsed="false">
      <c r="A1262" s="0" t="n">
        <v>52</v>
      </c>
      <c r="B1262" s="0" t="s">
        <v>100</v>
      </c>
      <c r="C1262" s="0" t="s">
        <v>9546</v>
      </c>
      <c r="D1262" s="0" t="s">
        <v>6416</v>
      </c>
      <c r="E1262" s="0" t="s">
        <v>9547</v>
      </c>
      <c r="F1262" s="0" t="n">
        <v>4571</v>
      </c>
      <c r="G1262" s="0" t="s">
        <v>277</v>
      </c>
      <c r="H1262" s="0" t="s">
        <v>293</v>
      </c>
      <c r="I1262" s="0" t="s">
        <v>9548</v>
      </c>
    </row>
    <row r="1263" customFormat="false" ht="15" hidden="false" customHeight="false" outlineLevel="0" collapsed="false">
      <c r="A1263" s="0" t="n">
        <v>52</v>
      </c>
      <c r="B1263" s="0" t="s">
        <v>100</v>
      </c>
      <c r="C1263" s="0" t="s">
        <v>9549</v>
      </c>
      <c r="D1263" s="0" t="s">
        <v>6416</v>
      </c>
      <c r="E1263" s="0" t="s">
        <v>9550</v>
      </c>
      <c r="F1263" s="0" t="n">
        <v>3099</v>
      </c>
      <c r="G1263" s="0" t="s">
        <v>277</v>
      </c>
      <c r="H1263" s="0" t="s">
        <v>293</v>
      </c>
      <c r="I1263" s="0" t="s">
        <v>9551</v>
      </c>
    </row>
    <row r="1264" customFormat="false" ht="15" hidden="false" customHeight="false" outlineLevel="0" collapsed="false">
      <c r="A1264" s="0" t="n">
        <v>52</v>
      </c>
      <c r="B1264" s="0" t="s">
        <v>100</v>
      </c>
      <c r="C1264" s="0" t="s">
        <v>9552</v>
      </c>
      <c r="D1264" s="0" t="s">
        <v>6416</v>
      </c>
      <c r="E1264" s="0" t="s">
        <v>9553</v>
      </c>
      <c r="F1264" s="0" t="n">
        <v>652</v>
      </c>
      <c r="G1264" s="0" t="s">
        <v>277</v>
      </c>
      <c r="H1264" s="0" t="s">
        <v>293</v>
      </c>
      <c r="I1264" s="0" t="s">
        <v>9554</v>
      </c>
    </row>
    <row r="1265" customFormat="false" ht="15" hidden="false" customHeight="false" outlineLevel="0" collapsed="false">
      <c r="A1265" s="0" t="n">
        <v>52</v>
      </c>
      <c r="B1265" s="0" t="s">
        <v>100</v>
      </c>
      <c r="C1265" s="0" t="s">
        <v>9555</v>
      </c>
      <c r="D1265" s="0" t="s">
        <v>6416</v>
      </c>
      <c r="E1265" s="0" t="s">
        <v>9556</v>
      </c>
      <c r="F1265" s="0" t="n">
        <v>2479</v>
      </c>
      <c r="G1265" s="0" t="s">
        <v>277</v>
      </c>
      <c r="H1265" s="0" t="s">
        <v>293</v>
      </c>
      <c r="I1265" s="0" t="s">
        <v>9557</v>
      </c>
    </row>
    <row r="1266" customFormat="false" ht="15" hidden="false" customHeight="false" outlineLevel="0" collapsed="false">
      <c r="A1266" s="0" t="n">
        <v>52</v>
      </c>
      <c r="B1266" s="0" t="s">
        <v>100</v>
      </c>
      <c r="C1266" s="0" t="s">
        <v>9558</v>
      </c>
      <c r="D1266" s="0" t="s">
        <v>6416</v>
      </c>
      <c r="E1266" s="0" t="s">
        <v>9559</v>
      </c>
      <c r="F1266" s="0" t="n">
        <v>2882</v>
      </c>
      <c r="G1266" s="0" t="s">
        <v>277</v>
      </c>
      <c r="H1266" s="0" t="s">
        <v>293</v>
      </c>
      <c r="I1266" s="0" t="s">
        <v>9560</v>
      </c>
    </row>
    <row r="1267" customFormat="false" ht="15" hidden="false" customHeight="false" outlineLevel="0" collapsed="false">
      <c r="A1267" s="0" t="n">
        <v>52</v>
      </c>
      <c r="B1267" s="0" t="s">
        <v>100</v>
      </c>
      <c r="C1267" s="0" t="s">
        <v>9561</v>
      </c>
      <c r="D1267" s="0" t="s">
        <v>6416</v>
      </c>
      <c r="E1267" s="0" t="s">
        <v>9562</v>
      </c>
      <c r="F1267" s="0" t="n">
        <v>2780</v>
      </c>
      <c r="G1267" s="0" t="s">
        <v>277</v>
      </c>
      <c r="H1267" s="0" t="s">
        <v>293</v>
      </c>
      <c r="I1267" s="0" t="s">
        <v>9563</v>
      </c>
    </row>
    <row r="1268" customFormat="false" ht="15" hidden="false" customHeight="false" outlineLevel="0" collapsed="false">
      <c r="A1268" s="0" t="n">
        <v>52</v>
      </c>
      <c r="B1268" s="0" t="s">
        <v>100</v>
      </c>
      <c r="C1268" s="0" t="s">
        <v>9564</v>
      </c>
      <c r="D1268" s="0" t="s">
        <v>6425</v>
      </c>
      <c r="E1268" s="0" t="s">
        <v>9565</v>
      </c>
      <c r="F1268" s="0" t="n">
        <v>682</v>
      </c>
      <c r="G1268" s="0" t="s">
        <v>277</v>
      </c>
      <c r="H1268" s="0" t="s">
        <v>293</v>
      </c>
      <c r="I1268" s="0" t="s">
        <v>9566</v>
      </c>
    </row>
    <row r="1269" customFormat="false" ht="15" hidden="false" customHeight="false" outlineLevel="0" collapsed="false">
      <c r="A1269" s="0" t="n">
        <v>52</v>
      </c>
      <c r="B1269" s="0" t="s">
        <v>100</v>
      </c>
      <c r="C1269" s="0" t="s">
        <v>9567</v>
      </c>
      <c r="D1269" s="0" t="s">
        <v>35</v>
      </c>
      <c r="E1269" s="0" t="s">
        <v>9568</v>
      </c>
      <c r="F1269" s="0" t="n">
        <v>2231</v>
      </c>
      <c r="G1269" s="0" t="s">
        <v>277</v>
      </c>
      <c r="H1269" s="0" t="s">
        <v>293</v>
      </c>
      <c r="I1269" s="0" t="s">
        <v>9569</v>
      </c>
    </row>
    <row r="1270" customFormat="false" ht="15" hidden="false" customHeight="false" outlineLevel="0" collapsed="false">
      <c r="A1270" s="0" t="n">
        <v>52</v>
      </c>
      <c r="B1270" s="0" t="s">
        <v>100</v>
      </c>
      <c r="C1270" s="0" t="s">
        <v>9570</v>
      </c>
      <c r="D1270" s="0" t="s">
        <v>6416</v>
      </c>
      <c r="E1270" s="0" t="s">
        <v>9571</v>
      </c>
      <c r="F1270" s="0" t="n">
        <v>691</v>
      </c>
      <c r="G1270" s="0" t="s">
        <v>277</v>
      </c>
      <c r="H1270" s="0" t="s">
        <v>293</v>
      </c>
      <c r="I1270" s="0" t="s">
        <v>9572</v>
      </c>
    </row>
    <row r="1271" customFormat="false" ht="15" hidden="false" customHeight="false" outlineLevel="0" collapsed="false">
      <c r="A1271" s="0" t="n">
        <v>52</v>
      </c>
      <c r="B1271" s="0" t="s">
        <v>100</v>
      </c>
      <c r="C1271" s="0" t="s">
        <v>9573</v>
      </c>
      <c r="D1271" s="0" t="s">
        <v>6416</v>
      </c>
      <c r="E1271" s="0" t="s">
        <v>9574</v>
      </c>
      <c r="F1271" s="0" t="n">
        <v>691</v>
      </c>
      <c r="G1271" s="0" t="s">
        <v>277</v>
      </c>
      <c r="H1271" s="0" t="s">
        <v>293</v>
      </c>
      <c r="I1271" s="0" t="s">
        <v>9575</v>
      </c>
    </row>
    <row r="1272" customFormat="false" ht="15" hidden="false" customHeight="false" outlineLevel="0" collapsed="false">
      <c r="A1272" s="0" t="n">
        <v>52</v>
      </c>
      <c r="B1272" s="0" t="s">
        <v>100</v>
      </c>
      <c r="C1272" s="0" t="s">
        <v>9576</v>
      </c>
      <c r="D1272" s="0" t="s">
        <v>6416</v>
      </c>
      <c r="E1272" s="0" t="s">
        <v>9577</v>
      </c>
      <c r="F1272" s="0" t="n">
        <v>3982</v>
      </c>
      <c r="G1272" s="0" t="s">
        <v>277</v>
      </c>
      <c r="H1272" s="0" t="s">
        <v>293</v>
      </c>
      <c r="I1272" s="0" t="s">
        <v>9578</v>
      </c>
    </row>
    <row r="1273" customFormat="false" ht="15" hidden="false" customHeight="false" outlineLevel="0" collapsed="false">
      <c r="A1273" s="0" t="n">
        <v>123</v>
      </c>
      <c r="B1273" s="0" t="s">
        <v>178</v>
      </c>
      <c r="C1273" s="0" t="s">
        <v>9579</v>
      </c>
      <c r="D1273" s="0" t="s">
        <v>6416</v>
      </c>
      <c r="E1273" s="0" t="s">
        <v>9580</v>
      </c>
      <c r="F1273" s="0" t="n">
        <v>332</v>
      </c>
      <c r="G1273" s="0" t="s">
        <v>277</v>
      </c>
      <c r="H1273" s="0" t="s">
        <v>270</v>
      </c>
      <c r="I1273" s="0" t="s">
        <v>9581</v>
      </c>
    </row>
    <row r="1274" customFormat="false" ht="15" hidden="false" customHeight="false" outlineLevel="0" collapsed="false">
      <c r="A1274" s="0" t="n">
        <v>11</v>
      </c>
      <c r="B1274" s="0" t="s">
        <v>44</v>
      </c>
      <c r="C1274" s="0" t="s">
        <v>9582</v>
      </c>
      <c r="D1274" s="0" t="s">
        <v>6416</v>
      </c>
      <c r="E1274" s="0" t="s">
        <v>9583</v>
      </c>
      <c r="F1274" s="0" t="n">
        <v>3537</v>
      </c>
      <c r="G1274" s="0" t="s">
        <v>277</v>
      </c>
      <c r="H1274" s="0" t="s">
        <v>270</v>
      </c>
      <c r="I1274" s="0" t="s">
        <v>9584</v>
      </c>
    </row>
    <row r="1275" customFormat="false" ht="15" hidden="false" customHeight="false" outlineLevel="0" collapsed="false">
      <c r="A1275" s="0" t="n">
        <v>93</v>
      </c>
      <c r="B1275" s="0" t="s">
        <v>146</v>
      </c>
      <c r="C1275" s="0" t="s">
        <v>9585</v>
      </c>
      <c r="D1275" s="0" t="s">
        <v>6416</v>
      </c>
      <c r="E1275" s="0" t="s">
        <v>9586</v>
      </c>
      <c r="F1275" s="0" t="n">
        <v>2397</v>
      </c>
      <c r="G1275" s="0" t="s">
        <v>277</v>
      </c>
      <c r="H1275" s="0" t="s">
        <v>270</v>
      </c>
      <c r="I1275" s="0" t="s">
        <v>9587</v>
      </c>
    </row>
    <row r="1276" customFormat="false" ht="15" hidden="false" customHeight="false" outlineLevel="0" collapsed="false">
      <c r="A1276" s="0" t="n">
        <v>97</v>
      </c>
      <c r="B1276" s="0" t="s">
        <v>151</v>
      </c>
      <c r="C1276" s="0" t="s">
        <v>9588</v>
      </c>
      <c r="D1276" s="0" t="s">
        <v>6416</v>
      </c>
      <c r="E1276" s="0" t="s">
        <v>9589</v>
      </c>
      <c r="F1276" s="0" t="n">
        <v>2453</v>
      </c>
      <c r="G1276" s="0" t="s">
        <v>277</v>
      </c>
      <c r="H1276" s="0" t="s">
        <v>270</v>
      </c>
      <c r="I1276" s="0" t="s">
        <v>9590</v>
      </c>
    </row>
    <row r="1277" customFormat="false" ht="15" hidden="false" customHeight="false" outlineLevel="0" collapsed="false">
      <c r="A1277" s="0" t="n">
        <v>152</v>
      </c>
      <c r="B1277" s="0" t="s">
        <v>209</v>
      </c>
      <c r="C1277" s="0" t="s">
        <v>9591</v>
      </c>
      <c r="D1277" s="0" t="s">
        <v>6416</v>
      </c>
      <c r="E1277" s="0" t="s">
        <v>9592</v>
      </c>
      <c r="F1277" s="0" t="n">
        <v>2809</v>
      </c>
      <c r="G1277" s="0" t="s">
        <v>277</v>
      </c>
      <c r="H1277" s="0" t="s">
        <v>270</v>
      </c>
      <c r="I1277" s="0" t="s">
        <v>9593</v>
      </c>
    </row>
    <row r="1278" customFormat="false" ht="15" hidden="false" customHeight="false" outlineLevel="0" collapsed="false">
      <c r="A1278" s="0" t="n">
        <v>12</v>
      </c>
      <c r="B1278" s="0" t="s">
        <v>45</v>
      </c>
      <c r="C1278" s="0" t="s">
        <v>9594</v>
      </c>
      <c r="D1278" s="0" t="s">
        <v>6416</v>
      </c>
      <c r="E1278" s="0" t="s">
        <v>9595</v>
      </c>
      <c r="F1278" s="0" t="n">
        <v>2024</v>
      </c>
      <c r="G1278" s="0" t="s">
        <v>277</v>
      </c>
      <c r="H1278" s="0" t="s">
        <v>270</v>
      </c>
      <c r="I1278" s="0" t="s">
        <v>9596</v>
      </c>
    </row>
    <row r="1279" customFormat="false" ht="15" hidden="false" customHeight="false" outlineLevel="0" collapsed="false">
      <c r="A1279" s="0" t="n">
        <v>93</v>
      </c>
      <c r="B1279" s="0" t="s">
        <v>146</v>
      </c>
      <c r="C1279" s="0" t="s">
        <v>9597</v>
      </c>
      <c r="D1279" s="0" t="s">
        <v>6416</v>
      </c>
      <c r="E1279" s="0" t="s">
        <v>9598</v>
      </c>
      <c r="F1279" s="0" t="n">
        <v>2303</v>
      </c>
      <c r="G1279" s="0" t="s">
        <v>277</v>
      </c>
      <c r="H1279" s="0" t="s">
        <v>270</v>
      </c>
      <c r="I1279" s="0" t="s">
        <v>9599</v>
      </c>
    </row>
    <row r="1280" customFormat="false" ht="15" hidden="false" customHeight="false" outlineLevel="0" collapsed="false">
      <c r="A1280" s="0" t="n">
        <v>74</v>
      </c>
      <c r="B1280" s="0" t="s">
        <v>125</v>
      </c>
      <c r="C1280" s="0" t="s">
        <v>9600</v>
      </c>
      <c r="D1280" s="0" t="s">
        <v>6416</v>
      </c>
      <c r="E1280" s="0" t="s">
        <v>9601</v>
      </c>
      <c r="F1280" s="0" t="n">
        <v>276</v>
      </c>
      <c r="G1280" s="0" t="s">
        <v>277</v>
      </c>
      <c r="H1280" s="0" t="s">
        <v>270</v>
      </c>
      <c r="I1280" s="0" t="s">
        <v>9602</v>
      </c>
    </row>
    <row r="1281" customFormat="false" ht="15" hidden="false" customHeight="false" outlineLevel="0" collapsed="false">
      <c r="A1281" s="0" t="n">
        <v>91</v>
      </c>
      <c r="B1281" s="0" t="s">
        <v>143</v>
      </c>
      <c r="C1281" s="0" t="s">
        <v>9603</v>
      </c>
      <c r="D1281" s="0" t="s">
        <v>6416</v>
      </c>
      <c r="E1281" s="0" t="s">
        <v>9604</v>
      </c>
      <c r="F1281" s="0" t="n">
        <v>2125</v>
      </c>
      <c r="G1281" s="0" t="s">
        <v>277</v>
      </c>
      <c r="H1281" s="0" t="s">
        <v>270</v>
      </c>
      <c r="I1281" s="0" t="s">
        <v>9605</v>
      </c>
    </row>
    <row r="1282" customFormat="false" ht="15" hidden="false" customHeight="false" outlineLevel="0" collapsed="false">
      <c r="A1282" s="0" t="n">
        <v>174</v>
      </c>
      <c r="B1282" s="0" t="s">
        <v>234</v>
      </c>
      <c r="C1282" s="0" t="s">
        <v>9606</v>
      </c>
      <c r="D1282" s="0" t="s">
        <v>6416</v>
      </c>
      <c r="E1282" s="0" t="s">
        <v>9607</v>
      </c>
      <c r="F1282" s="0" t="n">
        <v>3205</v>
      </c>
      <c r="G1282" s="0" t="s">
        <v>277</v>
      </c>
      <c r="H1282" s="0" t="s">
        <v>270</v>
      </c>
      <c r="I1282" s="0" t="s">
        <v>9608</v>
      </c>
    </row>
    <row r="1283" customFormat="false" ht="15" hidden="false" customHeight="false" outlineLevel="0" collapsed="false">
      <c r="A1283" s="0" t="n">
        <v>67</v>
      </c>
      <c r="B1283" s="0" t="s">
        <v>118</v>
      </c>
      <c r="C1283" s="0" t="s">
        <v>9609</v>
      </c>
      <c r="D1283" s="0" t="s">
        <v>6416</v>
      </c>
      <c r="E1283" s="0" t="s">
        <v>9610</v>
      </c>
      <c r="F1283" s="0" t="n">
        <v>387</v>
      </c>
      <c r="G1283" s="0" t="s">
        <v>277</v>
      </c>
      <c r="H1283" s="0" t="s">
        <v>270</v>
      </c>
      <c r="I1283" s="0" t="s">
        <v>9611</v>
      </c>
    </row>
    <row r="1284" customFormat="false" ht="15" hidden="false" customHeight="false" outlineLevel="0" collapsed="false">
      <c r="A1284" s="0" t="n">
        <v>94</v>
      </c>
      <c r="B1284" s="0" t="s">
        <v>147</v>
      </c>
      <c r="C1284" s="0" t="s">
        <v>9612</v>
      </c>
      <c r="D1284" s="0" t="s">
        <v>6416</v>
      </c>
      <c r="E1284" s="0" t="s">
        <v>9613</v>
      </c>
      <c r="F1284" s="0" t="n">
        <v>280</v>
      </c>
      <c r="G1284" s="0" t="s">
        <v>277</v>
      </c>
      <c r="H1284" s="0" t="s">
        <v>270</v>
      </c>
      <c r="I1284" s="0" t="s">
        <v>9614</v>
      </c>
    </row>
    <row r="1285" customFormat="false" ht="15" hidden="false" customHeight="false" outlineLevel="0" collapsed="false">
      <c r="A1285" s="0" t="n">
        <v>12</v>
      </c>
      <c r="B1285" s="0" t="s">
        <v>45</v>
      </c>
      <c r="C1285" s="0" t="s">
        <v>9615</v>
      </c>
      <c r="D1285" s="0" t="s">
        <v>6416</v>
      </c>
      <c r="E1285" s="0" t="s">
        <v>9616</v>
      </c>
      <c r="F1285" s="0" t="n">
        <v>3392</v>
      </c>
      <c r="G1285" s="0" t="s">
        <v>277</v>
      </c>
      <c r="H1285" s="0" t="s">
        <v>270</v>
      </c>
      <c r="I1285" s="0" t="s">
        <v>9617</v>
      </c>
    </row>
    <row r="1286" customFormat="false" ht="15" hidden="false" customHeight="false" outlineLevel="0" collapsed="false">
      <c r="A1286" s="0" t="n">
        <v>11</v>
      </c>
      <c r="B1286" s="0" t="s">
        <v>44</v>
      </c>
      <c r="C1286" s="0" t="s">
        <v>9618</v>
      </c>
      <c r="D1286" s="0" t="s">
        <v>6416</v>
      </c>
      <c r="E1286" s="0" t="s">
        <v>9619</v>
      </c>
      <c r="F1286" s="0" t="n">
        <v>2913</v>
      </c>
      <c r="G1286" s="0" t="s">
        <v>277</v>
      </c>
      <c r="H1286" s="0" t="s">
        <v>270</v>
      </c>
      <c r="I1286" s="0" t="s">
        <v>9620</v>
      </c>
    </row>
    <row r="1287" customFormat="false" ht="15" hidden="false" customHeight="false" outlineLevel="0" collapsed="false">
      <c r="A1287" s="0" t="n">
        <v>93</v>
      </c>
      <c r="B1287" s="0" t="s">
        <v>146</v>
      </c>
      <c r="C1287" s="0" t="s">
        <v>9621</v>
      </c>
      <c r="D1287" s="0" t="s">
        <v>6416</v>
      </c>
      <c r="E1287" s="0" t="s">
        <v>9622</v>
      </c>
      <c r="F1287" s="0" t="n">
        <v>2603</v>
      </c>
      <c r="G1287" s="0" t="s">
        <v>277</v>
      </c>
      <c r="H1287" s="0" t="s">
        <v>270</v>
      </c>
      <c r="I1287" s="0" t="s">
        <v>9623</v>
      </c>
    </row>
    <row r="1288" customFormat="false" ht="15" hidden="false" customHeight="false" outlineLevel="0" collapsed="false">
      <c r="A1288" s="0" t="n">
        <v>84</v>
      </c>
      <c r="B1288" s="0" t="s">
        <v>135</v>
      </c>
      <c r="C1288" s="0" t="s">
        <v>9624</v>
      </c>
      <c r="D1288" s="0" t="s">
        <v>6416</v>
      </c>
      <c r="E1288" s="0" t="s">
        <v>9625</v>
      </c>
      <c r="F1288" s="0" t="n">
        <v>3956</v>
      </c>
      <c r="G1288" s="0" t="s">
        <v>277</v>
      </c>
      <c r="H1288" s="0" t="s">
        <v>270</v>
      </c>
      <c r="I1288" s="0" t="s">
        <v>9626</v>
      </c>
    </row>
    <row r="1289" customFormat="false" ht="15" hidden="false" customHeight="false" outlineLevel="0" collapsed="false">
      <c r="A1289" s="0" t="n">
        <v>47</v>
      </c>
      <c r="B1289" s="0" t="s">
        <v>94</v>
      </c>
      <c r="C1289" s="0" t="s">
        <v>9627</v>
      </c>
      <c r="D1289" s="0" t="s">
        <v>6416</v>
      </c>
      <c r="E1289" s="0" t="s">
        <v>9628</v>
      </c>
      <c r="F1289" s="0" t="n">
        <v>287</v>
      </c>
      <c r="G1289" s="0" t="s">
        <v>277</v>
      </c>
      <c r="H1289" s="0" t="s">
        <v>270</v>
      </c>
      <c r="I1289" s="0" t="s">
        <v>9629</v>
      </c>
    </row>
    <row r="1290" customFormat="false" ht="15" hidden="false" customHeight="false" outlineLevel="0" collapsed="false">
      <c r="A1290" s="0" t="n">
        <v>11</v>
      </c>
      <c r="B1290" s="0" t="s">
        <v>44</v>
      </c>
      <c r="C1290" s="0" t="s">
        <v>9630</v>
      </c>
      <c r="D1290" s="0" t="s">
        <v>6416</v>
      </c>
      <c r="E1290" s="0" t="s">
        <v>9631</v>
      </c>
      <c r="F1290" s="0" t="n">
        <v>2334</v>
      </c>
      <c r="G1290" s="0" t="s">
        <v>277</v>
      </c>
      <c r="H1290" s="0" t="s">
        <v>270</v>
      </c>
      <c r="I1290" s="0" t="s">
        <v>9632</v>
      </c>
    </row>
    <row r="1291" customFormat="false" ht="15" hidden="false" customHeight="false" outlineLevel="0" collapsed="false">
      <c r="A1291" s="0" t="n">
        <v>129</v>
      </c>
      <c r="B1291" s="0" t="s">
        <v>184</v>
      </c>
      <c r="C1291" s="0" t="s">
        <v>9633</v>
      </c>
      <c r="D1291" s="0" t="s">
        <v>6416</v>
      </c>
      <c r="E1291" s="0" t="s">
        <v>9634</v>
      </c>
      <c r="F1291" s="0" t="n">
        <v>688</v>
      </c>
      <c r="G1291" s="0" t="s">
        <v>277</v>
      </c>
      <c r="H1291" s="0" t="s">
        <v>270</v>
      </c>
      <c r="I1291" s="0" t="s">
        <v>9635</v>
      </c>
    </row>
    <row r="1292" customFormat="false" ht="15" hidden="false" customHeight="false" outlineLevel="0" collapsed="false">
      <c r="A1292" s="0" t="n">
        <v>93</v>
      </c>
      <c r="B1292" s="0" t="s">
        <v>146</v>
      </c>
      <c r="C1292" s="0" t="s">
        <v>9636</v>
      </c>
      <c r="D1292" s="0" t="s">
        <v>6416</v>
      </c>
      <c r="E1292" s="0" t="s">
        <v>9637</v>
      </c>
      <c r="F1292" s="0" t="n">
        <v>2437</v>
      </c>
      <c r="G1292" s="0" t="s">
        <v>277</v>
      </c>
      <c r="H1292" s="0" t="s">
        <v>270</v>
      </c>
      <c r="I1292" s="0" t="s">
        <v>9638</v>
      </c>
    </row>
    <row r="1293" customFormat="false" ht="15" hidden="false" customHeight="false" outlineLevel="0" collapsed="false">
      <c r="A1293" s="0" t="n">
        <v>42</v>
      </c>
      <c r="B1293" s="0" t="s">
        <v>86</v>
      </c>
      <c r="C1293" s="0" t="s">
        <v>9639</v>
      </c>
      <c r="D1293" s="0" t="s">
        <v>6416</v>
      </c>
      <c r="E1293" s="0" t="s">
        <v>9640</v>
      </c>
      <c r="F1293" s="0" t="n">
        <v>2212</v>
      </c>
      <c r="G1293" s="0" t="s">
        <v>277</v>
      </c>
      <c r="H1293" s="0" t="s">
        <v>270</v>
      </c>
      <c r="I1293" s="0" t="s">
        <v>9641</v>
      </c>
    </row>
    <row r="1294" customFormat="false" ht="15" hidden="false" customHeight="false" outlineLevel="0" collapsed="false">
      <c r="A1294" s="0" t="n">
        <v>93</v>
      </c>
      <c r="B1294" s="0" t="s">
        <v>146</v>
      </c>
      <c r="C1294" s="0" t="s">
        <v>9642</v>
      </c>
      <c r="D1294" s="0" t="s">
        <v>6416</v>
      </c>
      <c r="E1294" s="0" t="s">
        <v>9643</v>
      </c>
      <c r="F1294" s="0" t="n">
        <v>2664</v>
      </c>
      <c r="G1294" s="0" t="s">
        <v>277</v>
      </c>
      <c r="H1294" s="0" t="s">
        <v>270</v>
      </c>
      <c r="I1294" s="0" t="s">
        <v>9644</v>
      </c>
    </row>
    <row r="1295" customFormat="false" ht="15" hidden="false" customHeight="false" outlineLevel="0" collapsed="false">
      <c r="A1295" s="0" t="n">
        <v>27</v>
      </c>
      <c r="B1295" s="0" t="s">
        <v>66</v>
      </c>
      <c r="C1295" s="0" t="s">
        <v>9645</v>
      </c>
      <c r="D1295" s="0" t="s">
        <v>6416</v>
      </c>
      <c r="E1295" s="0" t="s">
        <v>9646</v>
      </c>
      <c r="F1295" s="0" t="n">
        <v>344</v>
      </c>
      <c r="G1295" s="0" t="s">
        <v>277</v>
      </c>
      <c r="H1295" s="0" t="s">
        <v>270</v>
      </c>
      <c r="I1295" s="0" t="s">
        <v>9647</v>
      </c>
    </row>
    <row r="1296" customFormat="false" ht="15" hidden="false" customHeight="false" outlineLevel="0" collapsed="false">
      <c r="A1296" s="0" t="n">
        <v>117</v>
      </c>
      <c r="B1296" s="0" t="s">
        <v>171</v>
      </c>
      <c r="C1296" s="0" t="s">
        <v>9648</v>
      </c>
      <c r="D1296" s="0" t="s">
        <v>6416</v>
      </c>
      <c r="E1296" s="0" t="s">
        <v>9649</v>
      </c>
      <c r="F1296" s="0" t="n">
        <v>5148</v>
      </c>
      <c r="G1296" s="0" t="s">
        <v>277</v>
      </c>
      <c r="H1296" s="0" t="s">
        <v>270</v>
      </c>
      <c r="I1296" s="0" t="s">
        <v>9650</v>
      </c>
    </row>
    <row r="1297" customFormat="false" ht="15" hidden="false" customHeight="false" outlineLevel="0" collapsed="false">
      <c r="A1297" s="0" t="n">
        <v>159</v>
      </c>
      <c r="B1297" s="0" t="s">
        <v>217</v>
      </c>
      <c r="C1297" s="0" t="s">
        <v>9651</v>
      </c>
      <c r="D1297" s="0" t="s">
        <v>6416</v>
      </c>
      <c r="E1297" s="0" t="s">
        <v>9652</v>
      </c>
      <c r="F1297" s="0" t="n">
        <v>16404</v>
      </c>
      <c r="G1297" s="0" t="s">
        <v>277</v>
      </c>
      <c r="H1297" s="0" t="s">
        <v>270</v>
      </c>
      <c r="I1297" s="0" t="s">
        <v>9653</v>
      </c>
    </row>
    <row r="1298" customFormat="false" ht="15" hidden="false" customHeight="false" outlineLevel="0" collapsed="false">
      <c r="A1298" s="0" t="n">
        <v>75</v>
      </c>
      <c r="B1298" s="0" t="s">
        <v>126</v>
      </c>
      <c r="C1298" s="0" t="s">
        <v>9654</v>
      </c>
      <c r="D1298" s="0" t="s">
        <v>91</v>
      </c>
      <c r="E1298" s="0" t="s">
        <v>9655</v>
      </c>
      <c r="F1298" s="0" t="n">
        <v>2190</v>
      </c>
      <c r="G1298" s="0" t="s">
        <v>277</v>
      </c>
      <c r="H1298" s="0" t="s">
        <v>270</v>
      </c>
      <c r="I1298" s="0" t="s">
        <v>9656</v>
      </c>
    </row>
    <row r="1299" customFormat="false" ht="15" hidden="false" customHeight="false" outlineLevel="0" collapsed="false">
      <c r="A1299" s="0" t="n">
        <v>105</v>
      </c>
      <c r="B1299" s="0" t="s">
        <v>159</v>
      </c>
      <c r="C1299" s="0" t="s">
        <v>9657</v>
      </c>
      <c r="D1299" s="0" t="s">
        <v>6560</v>
      </c>
      <c r="E1299" s="0" t="s">
        <v>9658</v>
      </c>
      <c r="F1299" s="0" t="n">
        <v>2501</v>
      </c>
      <c r="G1299" s="0" t="s">
        <v>277</v>
      </c>
      <c r="H1299" s="0" t="s">
        <v>270</v>
      </c>
      <c r="I1299" s="0" t="s">
        <v>9659</v>
      </c>
    </row>
    <row r="1300" customFormat="false" ht="15" hidden="false" customHeight="false" outlineLevel="0" collapsed="false">
      <c r="A1300" s="0" t="n">
        <v>157</v>
      </c>
      <c r="B1300" s="0" t="s">
        <v>215</v>
      </c>
      <c r="C1300" s="0" t="s">
        <v>9660</v>
      </c>
      <c r="D1300" s="0" t="s">
        <v>6416</v>
      </c>
      <c r="E1300" s="0" t="s">
        <v>9661</v>
      </c>
      <c r="F1300" s="0" t="n">
        <v>1457</v>
      </c>
      <c r="G1300" s="0" t="s">
        <v>277</v>
      </c>
      <c r="H1300" s="0" t="s">
        <v>270</v>
      </c>
      <c r="I1300" s="0" t="s">
        <v>9662</v>
      </c>
    </row>
    <row r="1301" customFormat="false" ht="15" hidden="false" customHeight="false" outlineLevel="0" collapsed="false">
      <c r="A1301" s="0" t="n">
        <v>14</v>
      </c>
      <c r="B1301" s="0" t="s">
        <v>49</v>
      </c>
      <c r="C1301" s="0" t="s">
        <v>9663</v>
      </c>
      <c r="D1301" s="0" t="s">
        <v>6416</v>
      </c>
      <c r="E1301" s="0" t="s">
        <v>9664</v>
      </c>
      <c r="F1301" s="0" t="n">
        <v>5208</v>
      </c>
      <c r="G1301" s="0" t="s">
        <v>277</v>
      </c>
      <c r="H1301" s="0" t="s">
        <v>270</v>
      </c>
      <c r="I1301" s="0" t="s">
        <v>9665</v>
      </c>
    </row>
    <row r="1302" customFormat="false" ht="15" hidden="false" customHeight="false" outlineLevel="0" collapsed="false">
      <c r="A1302" s="0" t="n">
        <v>2</v>
      </c>
      <c r="B1302" s="0" t="s">
        <v>29</v>
      </c>
      <c r="C1302" s="0" t="s">
        <v>9666</v>
      </c>
      <c r="D1302" s="0" t="s">
        <v>6416</v>
      </c>
      <c r="E1302" s="0" t="s">
        <v>9667</v>
      </c>
      <c r="F1302" s="0" t="n">
        <v>2898</v>
      </c>
      <c r="G1302" s="0" t="s">
        <v>277</v>
      </c>
      <c r="H1302" s="0" t="s">
        <v>270</v>
      </c>
      <c r="I1302" s="0" t="s">
        <v>9668</v>
      </c>
    </row>
    <row r="1303" customFormat="false" ht="15" hidden="false" customHeight="false" outlineLevel="0" collapsed="false">
      <c r="A1303" s="0" t="n">
        <v>82</v>
      </c>
      <c r="B1303" s="0" t="s">
        <v>133</v>
      </c>
      <c r="C1303" s="0" t="s">
        <v>9669</v>
      </c>
      <c r="D1303" s="0" t="s">
        <v>91</v>
      </c>
      <c r="E1303" s="0" t="s">
        <v>9670</v>
      </c>
      <c r="F1303" s="0" t="n">
        <v>2054</v>
      </c>
      <c r="G1303" s="0" t="s">
        <v>277</v>
      </c>
      <c r="H1303" s="0" t="s">
        <v>270</v>
      </c>
      <c r="I1303" s="0" t="s">
        <v>9671</v>
      </c>
    </row>
    <row r="1304" customFormat="false" ht="15" hidden="false" customHeight="false" outlineLevel="0" collapsed="false">
      <c r="A1304" s="0" t="n">
        <v>84</v>
      </c>
      <c r="B1304" s="0" t="s">
        <v>135</v>
      </c>
      <c r="C1304" s="0" t="s">
        <v>9672</v>
      </c>
      <c r="D1304" s="0" t="s">
        <v>6416</v>
      </c>
      <c r="E1304" s="0" t="s">
        <v>9673</v>
      </c>
      <c r="F1304" s="0" t="n">
        <v>2053</v>
      </c>
      <c r="G1304" s="0" t="s">
        <v>277</v>
      </c>
      <c r="H1304" s="0" t="s">
        <v>270</v>
      </c>
      <c r="I1304" s="0" t="s">
        <v>9674</v>
      </c>
    </row>
    <row r="1305" customFormat="false" ht="15" hidden="false" customHeight="false" outlineLevel="0" collapsed="false">
      <c r="A1305" s="0" t="n">
        <v>75</v>
      </c>
      <c r="B1305" s="0" t="s">
        <v>126</v>
      </c>
      <c r="C1305" s="0" t="s">
        <v>9675</v>
      </c>
      <c r="D1305" s="0" t="s">
        <v>6416</v>
      </c>
      <c r="E1305" s="0" t="s">
        <v>9676</v>
      </c>
      <c r="F1305" s="0" t="n">
        <v>279</v>
      </c>
      <c r="G1305" s="0" t="s">
        <v>277</v>
      </c>
      <c r="H1305" s="0" t="s">
        <v>270</v>
      </c>
      <c r="I1305" s="0" t="s">
        <v>9677</v>
      </c>
    </row>
    <row r="1306" customFormat="false" ht="15" hidden="false" customHeight="false" outlineLevel="0" collapsed="false">
      <c r="A1306" s="0" t="n">
        <v>114</v>
      </c>
      <c r="B1306" s="0" t="s">
        <v>168</v>
      </c>
      <c r="C1306" s="0" t="s">
        <v>9678</v>
      </c>
      <c r="D1306" s="0" t="s">
        <v>6416</v>
      </c>
      <c r="E1306" s="0" t="s">
        <v>9679</v>
      </c>
      <c r="F1306" s="0" t="n">
        <v>2408</v>
      </c>
      <c r="G1306" s="0" t="s">
        <v>277</v>
      </c>
      <c r="H1306" s="0" t="s">
        <v>270</v>
      </c>
      <c r="I1306" s="0" t="s">
        <v>9680</v>
      </c>
    </row>
    <row r="1307" customFormat="false" ht="15" hidden="false" customHeight="false" outlineLevel="0" collapsed="false">
      <c r="A1307" s="0" t="n">
        <v>126</v>
      </c>
      <c r="B1307" s="0" t="s">
        <v>181</v>
      </c>
      <c r="C1307" s="0" t="s">
        <v>9681</v>
      </c>
      <c r="D1307" s="0" t="s">
        <v>6560</v>
      </c>
      <c r="E1307" s="0" t="s">
        <v>9682</v>
      </c>
      <c r="F1307" s="0" t="n">
        <v>3062</v>
      </c>
      <c r="G1307" s="0" t="s">
        <v>277</v>
      </c>
      <c r="H1307" s="0" t="s">
        <v>270</v>
      </c>
      <c r="I1307" s="0" t="s">
        <v>9683</v>
      </c>
    </row>
    <row r="1308" customFormat="false" ht="15" hidden="false" customHeight="false" outlineLevel="0" collapsed="false">
      <c r="A1308" s="0" t="n">
        <v>45</v>
      </c>
      <c r="B1308" s="0" t="s">
        <v>90</v>
      </c>
      <c r="C1308" s="0" t="s">
        <v>9684</v>
      </c>
      <c r="D1308" s="0" t="s">
        <v>6416</v>
      </c>
      <c r="E1308" s="0" t="s">
        <v>9685</v>
      </c>
      <c r="F1308" s="0" t="n">
        <v>293</v>
      </c>
      <c r="G1308" s="0" t="s">
        <v>277</v>
      </c>
      <c r="H1308" s="0" t="s">
        <v>270</v>
      </c>
      <c r="I1308" s="0" t="s">
        <v>9686</v>
      </c>
    </row>
    <row r="1309" customFormat="false" ht="15" hidden="false" customHeight="false" outlineLevel="0" collapsed="false">
      <c r="A1309" s="0" t="n">
        <v>57</v>
      </c>
      <c r="B1309" s="0" t="s">
        <v>105</v>
      </c>
      <c r="C1309" s="0" t="s">
        <v>9687</v>
      </c>
      <c r="D1309" s="0" t="s">
        <v>6416</v>
      </c>
      <c r="E1309" s="0" t="s">
        <v>9688</v>
      </c>
      <c r="F1309" s="0" t="n">
        <v>1035</v>
      </c>
      <c r="G1309" s="0" t="s">
        <v>277</v>
      </c>
      <c r="H1309" s="0" t="s">
        <v>270</v>
      </c>
      <c r="I1309" s="0" t="s">
        <v>9689</v>
      </c>
    </row>
    <row r="1310" customFormat="false" ht="15" hidden="false" customHeight="false" outlineLevel="0" collapsed="false">
      <c r="A1310" s="0" t="n">
        <v>173</v>
      </c>
      <c r="B1310" s="0" t="s">
        <v>233</v>
      </c>
      <c r="C1310" s="0" t="s">
        <v>9690</v>
      </c>
      <c r="D1310" s="0" t="s">
        <v>6416</v>
      </c>
      <c r="E1310" s="0" t="s">
        <v>9691</v>
      </c>
      <c r="F1310" s="0" t="n">
        <v>16103</v>
      </c>
      <c r="G1310" s="0" t="s">
        <v>277</v>
      </c>
      <c r="H1310" s="0" t="s">
        <v>270</v>
      </c>
      <c r="I1310" s="0" t="s">
        <v>9692</v>
      </c>
    </row>
    <row r="1311" customFormat="false" ht="15" hidden="false" customHeight="false" outlineLevel="0" collapsed="false">
      <c r="A1311" s="0" t="n">
        <v>93</v>
      </c>
      <c r="B1311" s="0" t="s">
        <v>146</v>
      </c>
      <c r="C1311" s="0" t="s">
        <v>9693</v>
      </c>
      <c r="D1311" s="0" t="s">
        <v>6416</v>
      </c>
      <c r="E1311" s="0" t="s">
        <v>9694</v>
      </c>
      <c r="F1311" s="0" t="n">
        <v>1903</v>
      </c>
      <c r="G1311" s="0" t="s">
        <v>277</v>
      </c>
      <c r="H1311" s="0" t="s">
        <v>270</v>
      </c>
      <c r="I1311" s="0" t="s">
        <v>9695</v>
      </c>
    </row>
    <row r="1312" customFormat="false" ht="15" hidden="false" customHeight="false" outlineLevel="0" collapsed="false">
      <c r="A1312" s="0" t="n">
        <v>69</v>
      </c>
      <c r="B1312" s="0" t="s">
        <v>120</v>
      </c>
      <c r="C1312" s="0" t="s">
        <v>9696</v>
      </c>
      <c r="D1312" s="0" t="s">
        <v>6416</v>
      </c>
      <c r="E1312" s="0" t="s">
        <v>9697</v>
      </c>
      <c r="F1312" s="0" t="n">
        <v>1948</v>
      </c>
      <c r="G1312" s="0" t="s">
        <v>277</v>
      </c>
      <c r="H1312" s="0" t="s">
        <v>270</v>
      </c>
      <c r="I1312" s="0" t="s">
        <v>9698</v>
      </c>
    </row>
    <row r="1313" customFormat="false" ht="15" hidden="false" customHeight="false" outlineLevel="0" collapsed="false">
      <c r="A1313" s="0" t="n">
        <v>74</v>
      </c>
      <c r="B1313" s="0" t="s">
        <v>125</v>
      </c>
      <c r="C1313" s="0" t="s">
        <v>9699</v>
      </c>
      <c r="D1313" s="0" t="s">
        <v>6416</v>
      </c>
      <c r="E1313" s="0" t="s">
        <v>9700</v>
      </c>
      <c r="F1313" s="0" t="n">
        <v>2383</v>
      </c>
      <c r="G1313" s="0" t="s">
        <v>277</v>
      </c>
      <c r="H1313" s="0" t="s">
        <v>270</v>
      </c>
      <c r="I1313" s="0" t="s">
        <v>9701</v>
      </c>
    </row>
    <row r="1314" customFormat="false" ht="15" hidden="false" customHeight="false" outlineLevel="0" collapsed="false">
      <c r="A1314" s="0" t="n">
        <v>156</v>
      </c>
      <c r="B1314" s="0" t="s">
        <v>214</v>
      </c>
      <c r="C1314" s="0" t="s">
        <v>9702</v>
      </c>
      <c r="D1314" s="0" t="s">
        <v>6425</v>
      </c>
      <c r="E1314" s="0" t="s">
        <v>9703</v>
      </c>
      <c r="F1314" s="0" t="n">
        <v>2375</v>
      </c>
      <c r="G1314" s="0" t="s">
        <v>277</v>
      </c>
      <c r="H1314" s="0" t="s">
        <v>270</v>
      </c>
      <c r="I1314" s="0" t="s">
        <v>9704</v>
      </c>
    </row>
    <row r="1315" customFormat="false" ht="15" hidden="false" customHeight="false" outlineLevel="0" collapsed="false">
      <c r="A1315" s="0" t="n">
        <v>82</v>
      </c>
      <c r="B1315" s="0" t="s">
        <v>133</v>
      </c>
      <c r="C1315" s="0" t="s">
        <v>9705</v>
      </c>
      <c r="D1315" s="0" t="s">
        <v>6416</v>
      </c>
      <c r="E1315" s="0" t="s">
        <v>9706</v>
      </c>
      <c r="F1315" s="0" t="n">
        <v>3564</v>
      </c>
      <c r="G1315" s="0" t="s">
        <v>277</v>
      </c>
      <c r="H1315" s="0" t="s">
        <v>270</v>
      </c>
      <c r="I1315" s="0" t="s">
        <v>9707</v>
      </c>
    </row>
    <row r="1316" customFormat="false" ht="15" hidden="false" customHeight="false" outlineLevel="0" collapsed="false">
      <c r="A1316" s="0" t="n">
        <v>97</v>
      </c>
      <c r="B1316" s="0" t="s">
        <v>151</v>
      </c>
      <c r="C1316" s="0" t="s">
        <v>9708</v>
      </c>
      <c r="D1316" s="0" t="s">
        <v>6416</v>
      </c>
      <c r="E1316" s="0" t="s">
        <v>9709</v>
      </c>
      <c r="F1316" s="0" t="n">
        <v>1009</v>
      </c>
      <c r="G1316" s="0" t="s">
        <v>277</v>
      </c>
      <c r="H1316" s="0" t="s">
        <v>270</v>
      </c>
      <c r="I1316" s="0" t="s">
        <v>9710</v>
      </c>
    </row>
    <row r="1317" customFormat="false" ht="15" hidden="false" customHeight="false" outlineLevel="0" collapsed="false">
      <c r="A1317" s="0" t="n">
        <v>65</v>
      </c>
      <c r="B1317" s="0" t="s">
        <v>116</v>
      </c>
      <c r="C1317" s="0" t="s">
        <v>9711</v>
      </c>
      <c r="D1317" s="0" t="s">
        <v>6416</v>
      </c>
      <c r="E1317" s="0" t="s">
        <v>9712</v>
      </c>
      <c r="F1317" s="0" t="n">
        <v>2396</v>
      </c>
      <c r="G1317" s="0" t="s">
        <v>277</v>
      </c>
      <c r="H1317" s="0" t="s">
        <v>270</v>
      </c>
      <c r="I1317" s="0" t="s">
        <v>9713</v>
      </c>
    </row>
    <row r="1318" customFormat="false" ht="15" hidden="false" customHeight="false" outlineLevel="0" collapsed="false">
      <c r="A1318" s="0" t="n">
        <v>128</v>
      </c>
      <c r="B1318" s="0" t="s">
        <v>183</v>
      </c>
      <c r="C1318" s="0" t="s">
        <v>9714</v>
      </c>
      <c r="D1318" s="0" t="s">
        <v>6416</v>
      </c>
      <c r="E1318" s="0" t="s">
        <v>9715</v>
      </c>
      <c r="F1318" s="0" t="n">
        <v>2159</v>
      </c>
      <c r="G1318" s="0" t="s">
        <v>277</v>
      </c>
      <c r="H1318" s="0" t="s">
        <v>270</v>
      </c>
      <c r="I1318" s="0" t="s">
        <v>9716</v>
      </c>
    </row>
    <row r="1319" customFormat="false" ht="15" hidden="false" customHeight="false" outlineLevel="0" collapsed="false">
      <c r="A1319" s="0" t="n">
        <v>134</v>
      </c>
      <c r="B1319" s="0" t="s">
        <v>190</v>
      </c>
      <c r="C1319" s="0" t="s">
        <v>9717</v>
      </c>
      <c r="D1319" s="0" t="s">
        <v>6560</v>
      </c>
      <c r="E1319" s="0" t="s">
        <v>9718</v>
      </c>
      <c r="F1319" s="0" t="n">
        <v>1715</v>
      </c>
      <c r="G1319" s="0" t="s">
        <v>277</v>
      </c>
      <c r="H1319" s="0" t="s">
        <v>270</v>
      </c>
      <c r="I1319" s="0" t="s">
        <v>9719</v>
      </c>
    </row>
    <row r="1320" customFormat="false" ht="15" hidden="false" customHeight="false" outlineLevel="0" collapsed="false">
      <c r="A1320" s="0" t="n">
        <v>32</v>
      </c>
      <c r="B1320" s="0" t="s">
        <v>72</v>
      </c>
      <c r="C1320" s="0" t="s">
        <v>9720</v>
      </c>
      <c r="D1320" s="0" t="s">
        <v>6416</v>
      </c>
      <c r="E1320" s="0" t="s">
        <v>9721</v>
      </c>
      <c r="F1320" s="0" t="n">
        <v>1280</v>
      </c>
      <c r="G1320" s="0" t="s">
        <v>277</v>
      </c>
      <c r="H1320" s="0" t="s">
        <v>270</v>
      </c>
      <c r="I1320" s="0" t="s">
        <v>9722</v>
      </c>
    </row>
    <row r="1321" customFormat="false" ht="15" hidden="false" customHeight="false" outlineLevel="0" collapsed="false">
      <c r="A1321" s="0" t="n">
        <v>93</v>
      </c>
      <c r="B1321" s="0" t="s">
        <v>146</v>
      </c>
      <c r="C1321" s="0" t="s">
        <v>9723</v>
      </c>
      <c r="D1321" s="0" t="s">
        <v>6416</v>
      </c>
      <c r="E1321" s="0" t="s">
        <v>9724</v>
      </c>
      <c r="F1321" s="0" t="n">
        <v>1992</v>
      </c>
      <c r="G1321" s="0" t="s">
        <v>277</v>
      </c>
      <c r="H1321" s="0" t="s">
        <v>270</v>
      </c>
      <c r="I1321" s="0" t="s">
        <v>9725</v>
      </c>
    </row>
    <row r="1322" customFormat="false" ht="15" hidden="false" customHeight="false" outlineLevel="0" collapsed="false">
      <c r="A1322" s="0" t="n">
        <v>64</v>
      </c>
      <c r="B1322" s="0" t="s">
        <v>115</v>
      </c>
      <c r="C1322" s="0" t="s">
        <v>9726</v>
      </c>
      <c r="D1322" s="0" t="s">
        <v>6416</v>
      </c>
      <c r="E1322" s="0" t="s">
        <v>9727</v>
      </c>
      <c r="F1322" s="0" t="n">
        <v>2013</v>
      </c>
      <c r="G1322" s="0" t="s">
        <v>277</v>
      </c>
      <c r="H1322" s="0" t="s">
        <v>270</v>
      </c>
      <c r="I1322" s="0" t="s">
        <v>9728</v>
      </c>
    </row>
    <row r="1323" customFormat="false" ht="15" hidden="false" customHeight="false" outlineLevel="0" collapsed="false">
      <c r="A1323" s="0" t="n">
        <v>33</v>
      </c>
      <c r="B1323" s="0" t="s">
        <v>73</v>
      </c>
      <c r="C1323" s="0" t="s">
        <v>9729</v>
      </c>
      <c r="D1323" s="0" t="s">
        <v>6416</v>
      </c>
      <c r="E1323" s="0" t="s">
        <v>9730</v>
      </c>
      <c r="F1323" s="0" t="n">
        <v>19893</v>
      </c>
      <c r="G1323" s="0" t="s">
        <v>277</v>
      </c>
      <c r="H1323" s="0" t="s">
        <v>270</v>
      </c>
      <c r="I1323" s="0" t="s">
        <v>9731</v>
      </c>
    </row>
    <row r="1324" customFormat="false" ht="15" hidden="false" customHeight="false" outlineLevel="0" collapsed="false">
      <c r="A1324" s="0" t="n">
        <v>126</v>
      </c>
      <c r="B1324" s="0" t="s">
        <v>181</v>
      </c>
      <c r="C1324" s="0" t="s">
        <v>9732</v>
      </c>
      <c r="D1324" s="0" t="s">
        <v>6416</v>
      </c>
      <c r="E1324" s="0" t="s">
        <v>9733</v>
      </c>
      <c r="F1324" s="0" t="n">
        <v>2481</v>
      </c>
      <c r="G1324" s="0" t="s">
        <v>277</v>
      </c>
      <c r="H1324" s="0" t="s">
        <v>270</v>
      </c>
      <c r="I1324" s="0" t="s">
        <v>9734</v>
      </c>
    </row>
    <row r="1325" customFormat="false" ht="15" hidden="false" customHeight="false" outlineLevel="0" collapsed="false">
      <c r="A1325" s="0" t="n">
        <v>37</v>
      </c>
      <c r="B1325" s="0" t="s">
        <v>78</v>
      </c>
      <c r="C1325" s="0" t="s">
        <v>9735</v>
      </c>
      <c r="D1325" s="0" t="s">
        <v>6416</v>
      </c>
      <c r="E1325" s="0" t="s">
        <v>9736</v>
      </c>
      <c r="F1325" s="0" t="n">
        <v>3867</v>
      </c>
      <c r="G1325" s="0" t="s">
        <v>277</v>
      </c>
      <c r="H1325" s="0" t="s">
        <v>270</v>
      </c>
      <c r="I1325" s="0" t="s">
        <v>9737</v>
      </c>
    </row>
    <row r="1326" customFormat="false" ht="15" hidden="false" customHeight="false" outlineLevel="0" collapsed="false">
      <c r="A1326" s="0" t="n">
        <v>13</v>
      </c>
      <c r="B1326" s="0" t="s">
        <v>47</v>
      </c>
      <c r="C1326" s="0" t="s">
        <v>9738</v>
      </c>
      <c r="D1326" s="0" t="s">
        <v>6416</v>
      </c>
      <c r="E1326" s="0" t="s">
        <v>9739</v>
      </c>
      <c r="F1326" s="0" t="n">
        <v>1927</v>
      </c>
      <c r="G1326" s="0" t="s">
        <v>277</v>
      </c>
      <c r="H1326" s="0" t="s">
        <v>270</v>
      </c>
      <c r="I1326" s="0" t="s">
        <v>9740</v>
      </c>
    </row>
    <row r="1327" customFormat="false" ht="15" hidden="false" customHeight="false" outlineLevel="0" collapsed="false">
      <c r="A1327" s="0" t="n">
        <v>30</v>
      </c>
      <c r="B1327" s="0" t="s">
        <v>70</v>
      </c>
      <c r="C1327" s="0" t="s">
        <v>9741</v>
      </c>
      <c r="D1327" s="0" t="s">
        <v>6416</v>
      </c>
      <c r="E1327" s="0" t="s">
        <v>9742</v>
      </c>
      <c r="F1327" s="0" t="n">
        <v>4546</v>
      </c>
      <c r="G1327" s="0" t="s">
        <v>277</v>
      </c>
      <c r="H1327" s="0" t="s">
        <v>270</v>
      </c>
      <c r="I1327" s="0" t="s">
        <v>9743</v>
      </c>
    </row>
    <row r="1328" customFormat="false" ht="15" hidden="false" customHeight="false" outlineLevel="0" collapsed="false">
      <c r="A1328" s="0" t="n">
        <v>69</v>
      </c>
      <c r="B1328" s="0" t="s">
        <v>120</v>
      </c>
      <c r="C1328" s="0" t="s">
        <v>9744</v>
      </c>
      <c r="D1328" s="0" t="s">
        <v>6416</v>
      </c>
      <c r="E1328" s="0" t="s">
        <v>9745</v>
      </c>
      <c r="F1328" s="0" t="n">
        <v>342</v>
      </c>
      <c r="G1328" s="0" t="s">
        <v>277</v>
      </c>
      <c r="H1328" s="0" t="s">
        <v>270</v>
      </c>
      <c r="I1328" s="0" t="s">
        <v>9746</v>
      </c>
    </row>
    <row r="1329" customFormat="false" ht="15" hidden="false" customHeight="false" outlineLevel="0" collapsed="false">
      <c r="A1329" s="0" t="n">
        <v>167</v>
      </c>
      <c r="B1329" s="0" t="s">
        <v>226</v>
      </c>
      <c r="C1329" s="0" t="s">
        <v>9747</v>
      </c>
      <c r="D1329" s="0" t="s">
        <v>6425</v>
      </c>
      <c r="E1329" s="0" t="s">
        <v>9748</v>
      </c>
      <c r="F1329" s="0" t="n">
        <v>2843</v>
      </c>
      <c r="G1329" s="0" t="s">
        <v>277</v>
      </c>
      <c r="H1329" s="0" t="s">
        <v>270</v>
      </c>
      <c r="I1329" s="0" t="s">
        <v>9749</v>
      </c>
    </row>
    <row r="1330" customFormat="false" ht="15" hidden="false" customHeight="false" outlineLevel="0" collapsed="false">
      <c r="A1330" s="0" t="n">
        <v>147</v>
      </c>
      <c r="B1330" s="0" t="s">
        <v>203</v>
      </c>
      <c r="C1330" s="0" t="s">
        <v>9750</v>
      </c>
      <c r="D1330" s="0" t="s">
        <v>91</v>
      </c>
      <c r="E1330" s="0" t="s">
        <v>9751</v>
      </c>
      <c r="F1330" s="0" t="n">
        <v>1846</v>
      </c>
      <c r="G1330" s="0" t="s">
        <v>277</v>
      </c>
      <c r="H1330" s="0" t="s">
        <v>270</v>
      </c>
      <c r="I1330" s="0" t="s">
        <v>9752</v>
      </c>
    </row>
    <row r="1331" customFormat="false" ht="15" hidden="false" customHeight="false" outlineLevel="0" collapsed="false">
      <c r="A1331" s="0" t="n">
        <v>57</v>
      </c>
      <c r="B1331" s="0" t="s">
        <v>105</v>
      </c>
      <c r="C1331" s="0" t="s">
        <v>9753</v>
      </c>
      <c r="D1331" s="0" t="s">
        <v>91</v>
      </c>
      <c r="E1331" s="0" t="s">
        <v>9754</v>
      </c>
      <c r="F1331" s="0" t="n">
        <v>2078</v>
      </c>
      <c r="G1331" s="0" t="s">
        <v>277</v>
      </c>
      <c r="H1331" s="0" t="s">
        <v>270</v>
      </c>
      <c r="I1331" s="0" t="s">
        <v>9755</v>
      </c>
    </row>
    <row r="1332" customFormat="false" ht="15" hidden="false" customHeight="false" outlineLevel="0" collapsed="false">
      <c r="A1332" s="0" t="n">
        <v>11</v>
      </c>
      <c r="B1332" s="0" t="s">
        <v>44</v>
      </c>
      <c r="C1332" s="0" t="s">
        <v>9756</v>
      </c>
      <c r="D1332" s="0" t="s">
        <v>6416</v>
      </c>
      <c r="E1332" s="0" t="s">
        <v>9757</v>
      </c>
      <c r="F1332" s="0" t="n">
        <v>2300</v>
      </c>
      <c r="G1332" s="0" t="s">
        <v>277</v>
      </c>
      <c r="H1332" s="0" t="s">
        <v>270</v>
      </c>
      <c r="I1332" s="0" t="s">
        <v>9758</v>
      </c>
    </row>
    <row r="1333" customFormat="false" ht="15" hidden="false" customHeight="false" outlineLevel="0" collapsed="false">
      <c r="A1333" s="0" t="n">
        <v>139</v>
      </c>
      <c r="B1333" s="0" t="s">
        <v>195</v>
      </c>
      <c r="C1333" s="0" t="s">
        <v>9759</v>
      </c>
      <c r="D1333" s="0" t="s">
        <v>6560</v>
      </c>
      <c r="E1333" s="0" t="s">
        <v>9760</v>
      </c>
      <c r="F1333" s="0" t="n">
        <v>246</v>
      </c>
      <c r="G1333" s="0" t="s">
        <v>277</v>
      </c>
      <c r="H1333" s="0" t="s">
        <v>270</v>
      </c>
      <c r="I1333" s="0" t="s">
        <v>9761</v>
      </c>
    </row>
    <row r="1334" customFormat="false" ht="15" hidden="false" customHeight="false" outlineLevel="0" collapsed="false">
      <c r="A1334" s="0" t="n">
        <v>50</v>
      </c>
      <c r="B1334" s="0" t="s">
        <v>97</v>
      </c>
      <c r="C1334" s="0" t="s">
        <v>9762</v>
      </c>
      <c r="D1334" s="0" t="s">
        <v>6416</v>
      </c>
      <c r="E1334" s="0" t="s">
        <v>9763</v>
      </c>
      <c r="F1334" s="0" t="n">
        <v>3179</v>
      </c>
      <c r="G1334" s="0" t="s">
        <v>277</v>
      </c>
      <c r="H1334" s="0" t="s">
        <v>270</v>
      </c>
      <c r="I1334" s="0" t="s">
        <v>9764</v>
      </c>
    </row>
    <row r="1335" customFormat="false" ht="15" hidden="false" customHeight="false" outlineLevel="0" collapsed="false">
      <c r="A1335" s="0" t="n">
        <v>15</v>
      </c>
      <c r="B1335" s="0" t="s">
        <v>50</v>
      </c>
      <c r="C1335" s="0" t="s">
        <v>9765</v>
      </c>
      <c r="D1335" s="0" t="s">
        <v>6416</v>
      </c>
      <c r="E1335" s="0" t="s">
        <v>9766</v>
      </c>
      <c r="F1335" s="0" t="n">
        <v>2207</v>
      </c>
      <c r="G1335" s="0" t="s">
        <v>277</v>
      </c>
      <c r="H1335" s="0" t="s">
        <v>270</v>
      </c>
      <c r="I1335" s="0" t="s">
        <v>9767</v>
      </c>
    </row>
    <row r="1336" customFormat="false" ht="15" hidden="false" customHeight="false" outlineLevel="0" collapsed="false">
      <c r="A1336" s="0" t="n">
        <v>165</v>
      </c>
      <c r="B1336" s="0" t="s">
        <v>223</v>
      </c>
      <c r="C1336" s="0" t="s">
        <v>9768</v>
      </c>
      <c r="D1336" s="0" t="s">
        <v>6416</v>
      </c>
      <c r="E1336" s="0" t="s">
        <v>9769</v>
      </c>
      <c r="F1336" s="0" t="n">
        <v>2360</v>
      </c>
      <c r="G1336" s="0" t="s">
        <v>277</v>
      </c>
      <c r="H1336" s="0" t="s">
        <v>270</v>
      </c>
      <c r="I1336" s="0" t="s">
        <v>9770</v>
      </c>
    </row>
    <row r="1337" customFormat="false" ht="15" hidden="false" customHeight="false" outlineLevel="0" collapsed="false">
      <c r="A1337" s="0" t="n">
        <v>56</v>
      </c>
      <c r="B1337" s="0" t="s">
        <v>104</v>
      </c>
      <c r="C1337" s="0" t="s">
        <v>9771</v>
      </c>
      <c r="D1337" s="0" t="s">
        <v>6416</v>
      </c>
      <c r="E1337" s="0" t="s">
        <v>9772</v>
      </c>
      <c r="F1337" s="0" t="n">
        <v>296</v>
      </c>
      <c r="G1337" s="0" t="s">
        <v>277</v>
      </c>
      <c r="H1337" s="0" t="s">
        <v>270</v>
      </c>
      <c r="I1337" s="0" t="s">
        <v>9773</v>
      </c>
    </row>
    <row r="1338" customFormat="false" ht="15" hidden="false" customHeight="false" outlineLevel="0" collapsed="false">
      <c r="A1338" s="0" t="n">
        <v>38</v>
      </c>
      <c r="B1338" s="0" t="s">
        <v>79</v>
      </c>
      <c r="C1338" s="0" t="s">
        <v>9774</v>
      </c>
      <c r="D1338" s="0" t="s">
        <v>6560</v>
      </c>
      <c r="E1338" s="0" t="s">
        <v>9775</v>
      </c>
      <c r="F1338" s="0" t="n">
        <v>1700</v>
      </c>
      <c r="G1338" s="0" t="s">
        <v>277</v>
      </c>
      <c r="H1338" s="0" t="s">
        <v>270</v>
      </c>
      <c r="I1338" s="0" t="s">
        <v>9776</v>
      </c>
    </row>
    <row r="1339" customFormat="false" ht="15" hidden="false" customHeight="false" outlineLevel="0" collapsed="false">
      <c r="A1339" s="0" t="n">
        <v>107</v>
      </c>
      <c r="B1339" s="0" t="s">
        <v>161</v>
      </c>
      <c r="C1339" s="0" t="s">
        <v>9777</v>
      </c>
      <c r="D1339" s="0" t="s">
        <v>6416</v>
      </c>
      <c r="E1339" s="0" t="s">
        <v>9778</v>
      </c>
      <c r="F1339" s="0" t="n">
        <v>3431</v>
      </c>
      <c r="G1339" s="0" t="s">
        <v>277</v>
      </c>
      <c r="H1339" s="0" t="s">
        <v>270</v>
      </c>
      <c r="I1339" s="0" t="s">
        <v>9779</v>
      </c>
    </row>
    <row r="1340" customFormat="false" ht="15" hidden="false" customHeight="false" outlineLevel="0" collapsed="false">
      <c r="A1340" s="0" t="n">
        <v>142</v>
      </c>
      <c r="B1340" s="0" t="s">
        <v>198</v>
      </c>
      <c r="C1340" s="0" t="s">
        <v>9780</v>
      </c>
      <c r="D1340" s="0" t="s">
        <v>6416</v>
      </c>
      <c r="E1340" s="0" t="s">
        <v>9781</v>
      </c>
      <c r="F1340" s="0" t="n">
        <v>2229</v>
      </c>
      <c r="G1340" s="0" t="s">
        <v>277</v>
      </c>
      <c r="H1340" s="0" t="s">
        <v>270</v>
      </c>
      <c r="I1340" s="0" t="s">
        <v>9782</v>
      </c>
    </row>
    <row r="1341" customFormat="false" ht="15" hidden="false" customHeight="false" outlineLevel="0" collapsed="false">
      <c r="A1341" s="0" t="n">
        <v>152</v>
      </c>
      <c r="B1341" s="0" t="s">
        <v>209</v>
      </c>
      <c r="C1341" s="0" t="s">
        <v>9783</v>
      </c>
      <c r="D1341" s="0" t="s">
        <v>6416</v>
      </c>
      <c r="E1341" s="0" t="s">
        <v>9784</v>
      </c>
      <c r="F1341" s="0" t="n">
        <v>2229</v>
      </c>
      <c r="G1341" s="0" t="s">
        <v>277</v>
      </c>
      <c r="H1341" s="0" t="s">
        <v>270</v>
      </c>
      <c r="I1341" s="0" t="s">
        <v>9785</v>
      </c>
    </row>
    <row r="1342" customFormat="false" ht="15" hidden="false" customHeight="false" outlineLevel="0" collapsed="false">
      <c r="A1342" s="0" t="n">
        <v>61</v>
      </c>
      <c r="B1342" s="0" t="s">
        <v>111</v>
      </c>
      <c r="C1342" s="0" t="s">
        <v>9786</v>
      </c>
      <c r="D1342" s="0" t="s">
        <v>6416</v>
      </c>
      <c r="E1342" s="0" t="s">
        <v>9787</v>
      </c>
      <c r="F1342" s="0" t="n">
        <v>890</v>
      </c>
      <c r="G1342" s="0" t="s">
        <v>277</v>
      </c>
      <c r="H1342" s="0" t="s">
        <v>270</v>
      </c>
      <c r="I1342" s="0" t="s">
        <v>9788</v>
      </c>
    </row>
    <row r="1343" customFormat="false" ht="15" hidden="false" customHeight="false" outlineLevel="0" collapsed="false">
      <c r="A1343" s="0" t="n">
        <v>12</v>
      </c>
      <c r="B1343" s="0" t="s">
        <v>45</v>
      </c>
      <c r="C1343" s="0" t="s">
        <v>9789</v>
      </c>
      <c r="D1343" s="0" t="s">
        <v>6416</v>
      </c>
      <c r="E1343" s="0" t="s">
        <v>9790</v>
      </c>
      <c r="F1343" s="0" t="n">
        <v>2307</v>
      </c>
      <c r="G1343" s="0" t="s">
        <v>277</v>
      </c>
      <c r="H1343" s="0" t="s">
        <v>270</v>
      </c>
      <c r="I1343" s="0" t="s">
        <v>9791</v>
      </c>
    </row>
    <row r="1344" customFormat="false" ht="15" hidden="false" customHeight="false" outlineLevel="0" collapsed="false">
      <c r="A1344" s="0" t="n">
        <v>114</v>
      </c>
      <c r="B1344" s="0" t="s">
        <v>168</v>
      </c>
      <c r="C1344" s="0" t="s">
        <v>9792</v>
      </c>
      <c r="D1344" s="0" t="s">
        <v>6416</v>
      </c>
      <c r="E1344" s="0" t="s">
        <v>9793</v>
      </c>
      <c r="F1344" s="0" t="n">
        <v>2414</v>
      </c>
      <c r="G1344" s="0" t="s">
        <v>277</v>
      </c>
      <c r="H1344" s="0" t="s">
        <v>270</v>
      </c>
      <c r="I1344" s="0" t="s">
        <v>9794</v>
      </c>
    </row>
    <row r="1345" customFormat="false" ht="15" hidden="false" customHeight="false" outlineLevel="0" collapsed="false">
      <c r="A1345" s="0" t="n">
        <v>145</v>
      </c>
      <c r="B1345" s="0" t="s">
        <v>201</v>
      </c>
      <c r="C1345" s="0" t="s">
        <v>9795</v>
      </c>
      <c r="D1345" s="0" t="s">
        <v>6416</v>
      </c>
      <c r="E1345" s="0" t="s">
        <v>9796</v>
      </c>
      <c r="F1345" s="0" t="n">
        <v>1614</v>
      </c>
      <c r="G1345" s="0" t="s">
        <v>277</v>
      </c>
      <c r="H1345" s="0" t="s">
        <v>270</v>
      </c>
      <c r="I1345" s="0" t="s">
        <v>9797</v>
      </c>
    </row>
    <row r="1346" customFormat="false" ht="15" hidden="false" customHeight="false" outlineLevel="0" collapsed="false">
      <c r="A1346" s="0" t="n">
        <v>179</v>
      </c>
      <c r="B1346" s="0" t="s">
        <v>240</v>
      </c>
      <c r="C1346" s="0" t="s">
        <v>9798</v>
      </c>
      <c r="D1346" s="0" t="s">
        <v>6416</v>
      </c>
      <c r="E1346" s="0" t="s">
        <v>9799</v>
      </c>
      <c r="F1346" s="0" t="n">
        <v>2075</v>
      </c>
      <c r="G1346" s="0" t="s">
        <v>277</v>
      </c>
      <c r="H1346" s="0" t="s">
        <v>270</v>
      </c>
      <c r="I1346" s="0" t="s">
        <v>9800</v>
      </c>
    </row>
    <row r="1347" customFormat="false" ht="15" hidden="false" customHeight="false" outlineLevel="0" collapsed="false">
      <c r="A1347" s="0" t="n">
        <v>49</v>
      </c>
      <c r="B1347" s="0" t="s">
        <v>96</v>
      </c>
      <c r="C1347" s="0" t="s">
        <v>9801</v>
      </c>
      <c r="D1347" s="0" t="s">
        <v>6416</v>
      </c>
      <c r="E1347" s="0" t="s">
        <v>9802</v>
      </c>
      <c r="F1347" s="0" t="n">
        <v>274</v>
      </c>
      <c r="G1347" s="0" t="s">
        <v>277</v>
      </c>
      <c r="H1347" s="0" t="s">
        <v>270</v>
      </c>
      <c r="I1347" s="0" t="s">
        <v>9803</v>
      </c>
    </row>
    <row r="1348" customFormat="false" ht="15" hidden="false" customHeight="false" outlineLevel="0" collapsed="false">
      <c r="A1348" s="0" t="n">
        <v>96</v>
      </c>
      <c r="B1348" s="0" t="s">
        <v>149</v>
      </c>
      <c r="C1348" s="0" t="s">
        <v>9804</v>
      </c>
      <c r="D1348" s="0" t="s">
        <v>6416</v>
      </c>
      <c r="E1348" s="0" t="s">
        <v>9805</v>
      </c>
      <c r="F1348" s="0" t="n">
        <v>388</v>
      </c>
      <c r="G1348" s="0" t="s">
        <v>277</v>
      </c>
      <c r="H1348" s="0" t="s">
        <v>270</v>
      </c>
      <c r="I1348" s="0" t="s">
        <v>9806</v>
      </c>
    </row>
    <row r="1349" customFormat="false" ht="15" hidden="false" customHeight="false" outlineLevel="0" collapsed="false">
      <c r="A1349" s="0" t="n">
        <v>161</v>
      </c>
      <c r="B1349" s="0" t="s">
        <v>219</v>
      </c>
      <c r="C1349" s="0" t="s">
        <v>9807</v>
      </c>
      <c r="D1349" s="0" t="s">
        <v>6416</v>
      </c>
      <c r="E1349" s="0" t="s">
        <v>9808</v>
      </c>
      <c r="F1349" s="0" t="n">
        <v>1984</v>
      </c>
      <c r="G1349" s="0" t="s">
        <v>277</v>
      </c>
      <c r="H1349" s="0" t="s">
        <v>270</v>
      </c>
      <c r="I1349" s="0" t="s">
        <v>9809</v>
      </c>
    </row>
    <row r="1350" customFormat="false" ht="15" hidden="false" customHeight="false" outlineLevel="0" collapsed="false">
      <c r="A1350" s="0" t="n">
        <v>178</v>
      </c>
      <c r="B1350" s="0" t="s">
        <v>239</v>
      </c>
      <c r="C1350" s="0" t="s">
        <v>9810</v>
      </c>
      <c r="D1350" s="0" t="s">
        <v>6416</v>
      </c>
      <c r="E1350" s="0" t="s">
        <v>9811</v>
      </c>
      <c r="F1350" s="0" t="n">
        <v>1834</v>
      </c>
      <c r="G1350" s="0" t="s">
        <v>277</v>
      </c>
      <c r="H1350" s="0" t="s">
        <v>270</v>
      </c>
      <c r="I1350" s="0" t="s">
        <v>9812</v>
      </c>
    </row>
    <row r="1351" customFormat="false" ht="15" hidden="false" customHeight="false" outlineLevel="0" collapsed="false">
      <c r="A1351" s="0" t="n">
        <v>177</v>
      </c>
      <c r="B1351" s="0" t="s">
        <v>238</v>
      </c>
      <c r="C1351" s="0" t="s">
        <v>9813</v>
      </c>
      <c r="D1351" s="0" t="s">
        <v>6416</v>
      </c>
      <c r="E1351" s="0" t="s">
        <v>9814</v>
      </c>
      <c r="F1351" s="0" t="n">
        <v>2012</v>
      </c>
      <c r="G1351" s="0" t="s">
        <v>277</v>
      </c>
      <c r="H1351" s="0" t="s">
        <v>270</v>
      </c>
      <c r="I1351" s="0" t="s">
        <v>9815</v>
      </c>
    </row>
    <row r="1352" customFormat="false" ht="15" hidden="false" customHeight="false" outlineLevel="0" collapsed="false">
      <c r="A1352" s="0" t="n">
        <v>68</v>
      </c>
      <c r="B1352" s="0" t="s">
        <v>119</v>
      </c>
      <c r="C1352" s="0" t="s">
        <v>9816</v>
      </c>
      <c r="D1352" s="0" t="s">
        <v>6425</v>
      </c>
      <c r="E1352" s="0" t="s">
        <v>9817</v>
      </c>
      <c r="F1352" s="0" t="n">
        <v>3413</v>
      </c>
      <c r="G1352" s="0" t="s">
        <v>277</v>
      </c>
      <c r="H1352" s="0" t="s">
        <v>270</v>
      </c>
      <c r="I1352" s="0" t="s">
        <v>9818</v>
      </c>
    </row>
    <row r="1353" customFormat="false" ht="15" hidden="false" customHeight="false" outlineLevel="0" collapsed="false">
      <c r="A1353" s="0" t="n">
        <v>58</v>
      </c>
      <c r="B1353" s="0" t="s">
        <v>107</v>
      </c>
      <c r="C1353" s="0" t="s">
        <v>9819</v>
      </c>
      <c r="D1353" s="0" t="s">
        <v>91</v>
      </c>
      <c r="E1353" s="0" t="s">
        <v>9820</v>
      </c>
      <c r="F1353" s="0" t="n">
        <v>1481</v>
      </c>
      <c r="G1353" s="0" t="s">
        <v>277</v>
      </c>
      <c r="H1353" s="0" t="s">
        <v>270</v>
      </c>
      <c r="I1353" s="0" t="s">
        <v>9821</v>
      </c>
    </row>
    <row r="1354" customFormat="false" ht="15" hidden="false" customHeight="false" outlineLevel="0" collapsed="false">
      <c r="A1354" s="0" t="n">
        <v>169</v>
      </c>
      <c r="B1354" s="0" t="s">
        <v>229</v>
      </c>
      <c r="C1354" s="0" t="s">
        <v>9822</v>
      </c>
      <c r="D1354" s="0" t="s">
        <v>6416</v>
      </c>
      <c r="E1354" s="0" t="s">
        <v>9823</v>
      </c>
      <c r="F1354" s="0" t="n">
        <v>297</v>
      </c>
      <c r="G1354" s="0" t="s">
        <v>277</v>
      </c>
      <c r="H1354" s="0" t="s">
        <v>270</v>
      </c>
      <c r="I1354" s="0" t="s">
        <v>9824</v>
      </c>
    </row>
    <row r="1355" customFormat="false" ht="15" hidden="false" customHeight="false" outlineLevel="0" collapsed="false">
      <c r="A1355" s="0" t="n">
        <v>42</v>
      </c>
      <c r="B1355" s="0" t="s">
        <v>86</v>
      </c>
      <c r="C1355" s="0" t="s">
        <v>9825</v>
      </c>
      <c r="D1355" s="0" t="s">
        <v>6416</v>
      </c>
      <c r="E1355" s="0" t="s">
        <v>9826</v>
      </c>
      <c r="F1355" s="0" t="n">
        <v>329</v>
      </c>
      <c r="G1355" s="0" t="s">
        <v>277</v>
      </c>
      <c r="H1355" s="0" t="s">
        <v>270</v>
      </c>
      <c r="I1355" s="0" t="s">
        <v>9827</v>
      </c>
    </row>
    <row r="1356" customFormat="false" ht="15" hidden="false" customHeight="false" outlineLevel="0" collapsed="false">
      <c r="A1356" s="0" t="n">
        <v>97</v>
      </c>
      <c r="B1356" s="0" t="s">
        <v>151</v>
      </c>
      <c r="C1356" s="0" t="s">
        <v>9828</v>
      </c>
      <c r="D1356" s="0" t="s">
        <v>6416</v>
      </c>
      <c r="E1356" s="0" t="s">
        <v>9829</v>
      </c>
      <c r="F1356" s="0" t="n">
        <v>319</v>
      </c>
      <c r="G1356" s="0" t="s">
        <v>277</v>
      </c>
      <c r="H1356" s="0" t="s">
        <v>270</v>
      </c>
      <c r="I1356" s="0" t="s">
        <v>9830</v>
      </c>
    </row>
    <row r="1357" customFormat="false" ht="15" hidden="false" customHeight="false" outlineLevel="0" collapsed="false">
      <c r="A1357" s="0" t="n">
        <v>159</v>
      </c>
      <c r="B1357" s="0" t="s">
        <v>217</v>
      </c>
      <c r="C1357" s="0" t="s">
        <v>9831</v>
      </c>
      <c r="D1357" s="0" t="s">
        <v>6416</v>
      </c>
      <c r="E1357" s="0" t="s">
        <v>9832</v>
      </c>
      <c r="F1357" s="0" t="n">
        <v>5700</v>
      </c>
      <c r="G1357" s="0" t="s">
        <v>277</v>
      </c>
      <c r="H1357" s="0" t="s">
        <v>270</v>
      </c>
      <c r="I1357" s="0" t="s">
        <v>9833</v>
      </c>
    </row>
    <row r="1358" customFormat="false" ht="15" hidden="false" customHeight="false" outlineLevel="0" collapsed="false">
      <c r="A1358" s="0" t="n">
        <v>48</v>
      </c>
      <c r="B1358" s="0" t="s">
        <v>95</v>
      </c>
      <c r="C1358" s="0" t="s">
        <v>9834</v>
      </c>
      <c r="D1358" s="0" t="s">
        <v>6416</v>
      </c>
      <c r="E1358" s="0" t="s">
        <v>9835</v>
      </c>
      <c r="F1358" s="0" t="n">
        <v>1156</v>
      </c>
      <c r="G1358" s="0" t="s">
        <v>277</v>
      </c>
      <c r="H1358" s="0" t="s">
        <v>270</v>
      </c>
      <c r="I1358" s="0" t="s">
        <v>9836</v>
      </c>
    </row>
    <row r="1359" customFormat="false" ht="15" hidden="false" customHeight="false" outlineLevel="0" collapsed="false">
      <c r="A1359" s="0" t="n">
        <v>135</v>
      </c>
      <c r="B1359" s="0" t="s">
        <v>191</v>
      </c>
      <c r="C1359" s="0" t="s">
        <v>9837</v>
      </c>
      <c r="D1359" s="0" t="s">
        <v>6416</v>
      </c>
      <c r="E1359" s="0" t="s">
        <v>9838</v>
      </c>
      <c r="F1359" s="0" t="n">
        <v>2539</v>
      </c>
      <c r="G1359" s="0" t="s">
        <v>277</v>
      </c>
      <c r="H1359" s="0" t="s">
        <v>270</v>
      </c>
      <c r="I1359" s="0" t="s">
        <v>9839</v>
      </c>
    </row>
    <row r="1360" customFormat="false" ht="15" hidden="false" customHeight="false" outlineLevel="0" collapsed="false">
      <c r="A1360" s="0" t="n">
        <v>91</v>
      </c>
      <c r="B1360" s="0" t="s">
        <v>143</v>
      </c>
      <c r="C1360" s="0" t="s">
        <v>9840</v>
      </c>
      <c r="D1360" s="0" t="s">
        <v>6416</v>
      </c>
      <c r="E1360" s="0" t="s">
        <v>9841</v>
      </c>
      <c r="F1360" s="0" t="n">
        <v>2138</v>
      </c>
      <c r="G1360" s="0" t="s">
        <v>277</v>
      </c>
      <c r="H1360" s="0" t="s">
        <v>270</v>
      </c>
      <c r="I1360" s="0" t="s">
        <v>9842</v>
      </c>
    </row>
    <row r="1361" customFormat="false" ht="15" hidden="false" customHeight="false" outlineLevel="0" collapsed="false">
      <c r="A1361" s="0" t="n">
        <v>119</v>
      </c>
      <c r="B1361" s="0" t="s">
        <v>173</v>
      </c>
      <c r="C1361" s="0" t="s">
        <v>9843</v>
      </c>
      <c r="D1361" s="0" t="s">
        <v>6416</v>
      </c>
      <c r="E1361" s="0" t="s">
        <v>9844</v>
      </c>
      <c r="F1361" s="0" t="n">
        <v>854</v>
      </c>
      <c r="G1361" s="0" t="s">
        <v>277</v>
      </c>
      <c r="H1361" s="0" t="s">
        <v>270</v>
      </c>
      <c r="I1361" s="0" t="s">
        <v>9845</v>
      </c>
    </row>
    <row r="1362" customFormat="false" ht="15" hidden="false" customHeight="false" outlineLevel="0" collapsed="false">
      <c r="A1362" s="0" t="n">
        <v>119</v>
      </c>
      <c r="B1362" s="0" t="s">
        <v>173</v>
      </c>
      <c r="C1362" s="0" t="s">
        <v>9846</v>
      </c>
      <c r="D1362" s="0" t="s">
        <v>6416</v>
      </c>
      <c r="E1362" s="0" t="s">
        <v>9847</v>
      </c>
      <c r="F1362" s="0" t="n">
        <v>2230</v>
      </c>
      <c r="G1362" s="0" t="s">
        <v>277</v>
      </c>
      <c r="H1362" s="0" t="s">
        <v>270</v>
      </c>
      <c r="I1362" s="0" t="s">
        <v>9848</v>
      </c>
    </row>
    <row r="1363" customFormat="false" ht="15" hidden="false" customHeight="false" outlineLevel="0" collapsed="false">
      <c r="A1363" s="0" t="n">
        <v>69</v>
      </c>
      <c r="B1363" s="0" t="s">
        <v>120</v>
      </c>
      <c r="C1363" s="0" t="s">
        <v>9849</v>
      </c>
      <c r="D1363" s="0" t="s">
        <v>6425</v>
      </c>
      <c r="E1363" s="0" t="s">
        <v>9850</v>
      </c>
      <c r="F1363" s="0" t="n">
        <v>2568</v>
      </c>
      <c r="G1363" s="0" t="s">
        <v>277</v>
      </c>
      <c r="H1363" s="0" t="s">
        <v>270</v>
      </c>
      <c r="I1363" s="0" t="s">
        <v>9851</v>
      </c>
    </row>
    <row r="1364" customFormat="false" ht="15" hidden="false" customHeight="false" outlineLevel="0" collapsed="false">
      <c r="A1364" s="0" t="n">
        <v>102</v>
      </c>
      <c r="B1364" s="0" t="s">
        <v>156</v>
      </c>
      <c r="C1364" s="0" t="s">
        <v>9852</v>
      </c>
      <c r="D1364" s="0" t="s">
        <v>6416</v>
      </c>
      <c r="E1364" s="0" t="s">
        <v>9853</v>
      </c>
      <c r="F1364" s="0" t="n">
        <v>1888</v>
      </c>
      <c r="G1364" s="0" t="s">
        <v>277</v>
      </c>
      <c r="H1364" s="0" t="s">
        <v>270</v>
      </c>
      <c r="I1364" s="0" t="s">
        <v>9854</v>
      </c>
    </row>
    <row r="1365" customFormat="false" ht="15" hidden="false" customHeight="false" outlineLevel="0" collapsed="false">
      <c r="A1365" s="0" t="n">
        <v>93</v>
      </c>
      <c r="B1365" s="0" t="s">
        <v>146</v>
      </c>
      <c r="C1365" s="0" t="s">
        <v>9855</v>
      </c>
      <c r="D1365" s="0" t="s">
        <v>6416</v>
      </c>
      <c r="E1365" s="0" t="s">
        <v>9856</v>
      </c>
      <c r="F1365" s="0" t="n">
        <v>2148</v>
      </c>
      <c r="G1365" s="0" t="s">
        <v>277</v>
      </c>
      <c r="H1365" s="0" t="s">
        <v>270</v>
      </c>
      <c r="I1365" s="0" t="s">
        <v>9857</v>
      </c>
    </row>
    <row r="1366" customFormat="false" ht="15" hidden="false" customHeight="false" outlineLevel="0" collapsed="false">
      <c r="A1366" s="0" t="n">
        <v>157</v>
      </c>
      <c r="B1366" s="0" t="s">
        <v>215</v>
      </c>
      <c r="C1366" s="0" t="s">
        <v>9858</v>
      </c>
      <c r="D1366" s="0" t="s">
        <v>6416</v>
      </c>
      <c r="E1366" s="0" t="s">
        <v>9859</v>
      </c>
      <c r="F1366" s="0" t="n">
        <v>1631</v>
      </c>
      <c r="G1366" s="0" t="s">
        <v>277</v>
      </c>
      <c r="H1366" s="0" t="s">
        <v>270</v>
      </c>
      <c r="I1366" s="0" t="s">
        <v>9860</v>
      </c>
    </row>
    <row r="1367" customFormat="false" ht="15" hidden="false" customHeight="false" outlineLevel="0" collapsed="false">
      <c r="A1367" s="0" t="n">
        <v>174</v>
      </c>
      <c r="B1367" s="0" t="s">
        <v>234</v>
      </c>
      <c r="C1367" s="0" t="s">
        <v>9861</v>
      </c>
      <c r="D1367" s="0" t="s">
        <v>6416</v>
      </c>
      <c r="E1367" s="0" t="s">
        <v>9862</v>
      </c>
      <c r="F1367" s="0" t="n">
        <v>5552</v>
      </c>
      <c r="G1367" s="0" t="s">
        <v>277</v>
      </c>
      <c r="H1367" s="0" t="s">
        <v>270</v>
      </c>
      <c r="I1367" s="0" t="s">
        <v>9863</v>
      </c>
    </row>
    <row r="1368" customFormat="false" ht="15" hidden="false" customHeight="false" outlineLevel="0" collapsed="false">
      <c r="A1368" s="0" t="n">
        <v>174</v>
      </c>
      <c r="B1368" s="0" t="s">
        <v>234</v>
      </c>
      <c r="C1368" s="0" t="s">
        <v>9864</v>
      </c>
      <c r="D1368" s="0" t="s">
        <v>6416</v>
      </c>
      <c r="E1368" s="0" t="s">
        <v>9865</v>
      </c>
      <c r="F1368" s="0" t="n">
        <v>1821</v>
      </c>
      <c r="G1368" s="0" t="s">
        <v>277</v>
      </c>
      <c r="H1368" s="0" t="s">
        <v>270</v>
      </c>
      <c r="I1368" s="0" t="s">
        <v>9866</v>
      </c>
    </row>
    <row r="1369" customFormat="false" ht="15" hidden="false" customHeight="false" outlineLevel="0" collapsed="false">
      <c r="A1369" s="0" t="n">
        <v>114</v>
      </c>
      <c r="B1369" s="0" t="s">
        <v>168</v>
      </c>
      <c r="C1369" s="0" t="s">
        <v>9867</v>
      </c>
      <c r="D1369" s="0" t="s">
        <v>6416</v>
      </c>
      <c r="E1369" s="0" t="s">
        <v>9868</v>
      </c>
      <c r="F1369" s="0" t="n">
        <v>2177</v>
      </c>
      <c r="G1369" s="0" t="s">
        <v>277</v>
      </c>
      <c r="H1369" s="0" t="s">
        <v>270</v>
      </c>
      <c r="I1369" s="0" t="s">
        <v>9869</v>
      </c>
    </row>
    <row r="1370" customFormat="false" ht="15" hidden="false" customHeight="false" outlineLevel="0" collapsed="false">
      <c r="A1370" s="0" t="n">
        <v>171</v>
      </c>
      <c r="B1370" s="0" t="s">
        <v>231</v>
      </c>
      <c r="C1370" s="0" t="s">
        <v>9870</v>
      </c>
      <c r="D1370" s="0" t="s">
        <v>6425</v>
      </c>
      <c r="E1370" s="0" t="s">
        <v>9871</v>
      </c>
      <c r="F1370" s="0" t="n">
        <v>4979</v>
      </c>
      <c r="G1370" s="0" t="s">
        <v>277</v>
      </c>
      <c r="H1370" s="0" t="s">
        <v>270</v>
      </c>
      <c r="I1370" s="0" t="s">
        <v>9872</v>
      </c>
    </row>
    <row r="1371" customFormat="false" ht="15" hidden="false" customHeight="false" outlineLevel="0" collapsed="false">
      <c r="A1371" s="0" t="n">
        <v>82</v>
      </c>
      <c r="B1371" s="0" t="s">
        <v>133</v>
      </c>
      <c r="C1371" s="0" t="s">
        <v>9873</v>
      </c>
      <c r="D1371" s="0" t="s">
        <v>6416</v>
      </c>
      <c r="E1371" s="0" t="s">
        <v>9874</v>
      </c>
      <c r="F1371" s="0" t="n">
        <v>2431</v>
      </c>
      <c r="G1371" s="0" t="s">
        <v>277</v>
      </c>
      <c r="H1371" s="0" t="s">
        <v>270</v>
      </c>
      <c r="I1371" s="0" t="s">
        <v>9875</v>
      </c>
    </row>
    <row r="1372" customFormat="false" ht="15" hidden="false" customHeight="false" outlineLevel="0" collapsed="false">
      <c r="A1372" s="0" t="n">
        <v>114</v>
      </c>
      <c r="B1372" s="0" t="s">
        <v>168</v>
      </c>
      <c r="C1372" s="0" t="s">
        <v>9876</v>
      </c>
      <c r="D1372" s="0" t="s">
        <v>6416</v>
      </c>
      <c r="E1372" s="0" t="s">
        <v>9877</v>
      </c>
      <c r="F1372" s="0" t="n">
        <v>2281</v>
      </c>
      <c r="G1372" s="0" t="s">
        <v>277</v>
      </c>
      <c r="H1372" s="0" t="s">
        <v>270</v>
      </c>
      <c r="I1372" s="0" t="s">
        <v>9878</v>
      </c>
    </row>
    <row r="1373" customFormat="false" ht="15" hidden="false" customHeight="false" outlineLevel="0" collapsed="false">
      <c r="A1373" s="0" t="n">
        <v>97</v>
      </c>
      <c r="B1373" s="0" t="s">
        <v>151</v>
      </c>
      <c r="C1373" s="0" t="s">
        <v>9879</v>
      </c>
      <c r="D1373" s="0" t="s">
        <v>6416</v>
      </c>
      <c r="E1373" s="0" t="s">
        <v>9880</v>
      </c>
      <c r="F1373" s="0" t="n">
        <v>3216</v>
      </c>
      <c r="G1373" s="0" t="s">
        <v>277</v>
      </c>
      <c r="H1373" s="0" t="s">
        <v>270</v>
      </c>
      <c r="I1373" s="0" t="s">
        <v>9881</v>
      </c>
    </row>
    <row r="1374" customFormat="false" ht="15" hidden="false" customHeight="false" outlineLevel="0" collapsed="false">
      <c r="A1374" s="0" t="n">
        <v>4</v>
      </c>
      <c r="B1374" s="0" t="s">
        <v>34</v>
      </c>
      <c r="C1374" s="0" t="s">
        <v>9882</v>
      </c>
      <c r="D1374" s="0" t="s">
        <v>6416</v>
      </c>
      <c r="E1374" s="0" t="s">
        <v>9883</v>
      </c>
      <c r="F1374" s="0" t="n">
        <v>2250</v>
      </c>
      <c r="G1374" s="0" t="s">
        <v>277</v>
      </c>
      <c r="H1374" s="0" t="s">
        <v>270</v>
      </c>
      <c r="I1374" s="0" t="s">
        <v>9884</v>
      </c>
    </row>
    <row r="1375" customFormat="false" ht="15" hidden="false" customHeight="false" outlineLevel="0" collapsed="false">
      <c r="A1375" s="0" t="n">
        <v>111</v>
      </c>
      <c r="B1375" s="0" t="s">
        <v>165</v>
      </c>
      <c r="C1375" s="0" t="s">
        <v>9885</v>
      </c>
      <c r="D1375" s="0" t="s">
        <v>500</v>
      </c>
      <c r="E1375" s="0" t="s">
        <v>9886</v>
      </c>
      <c r="F1375" s="0" t="n">
        <v>18296</v>
      </c>
      <c r="G1375" s="0" t="s">
        <v>277</v>
      </c>
      <c r="H1375" s="0" t="s">
        <v>270</v>
      </c>
      <c r="I1375" s="0" t="s">
        <v>9887</v>
      </c>
    </row>
    <row r="1376" customFormat="false" ht="15" hidden="false" customHeight="false" outlineLevel="0" collapsed="false">
      <c r="A1376" s="0" t="n">
        <v>59</v>
      </c>
      <c r="B1376" s="0" t="s">
        <v>109</v>
      </c>
      <c r="C1376" s="0" t="s">
        <v>9888</v>
      </c>
      <c r="D1376" s="0" t="s">
        <v>91</v>
      </c>
      <c r="E1376" s="0" t="s">
        <v>9889</v>
      </c>
      <c r="F1376" s="0" t="n">
        <v>3325</v>
      </c>
      <c r="G1376" s="0" t="s">
        <v>277</v>
      </c>
      <c r="H1376" s="0" t="s">
        <v>270</v>
      </c>
      <c r="I1376" s="0" t="s">
        <v>9890</v>
      </c>
    </row>
    <row r="1377" customFormat="false" ht="15" hidden="false" customHeight="false" outlineLevel="0" collapsed="false">
      <c r="A1377" s="0" t="n">
        <v>164</v>
      </c>
      <c r="B1377" s="0" t="s">
        <v>222</v>
      </c>
      <c r="C1377" s="0" t="s">
        <v>9891</v>
      </c>
      <c r="D1377" s="0" t="s">
        <v>6425</v>
      </c>
      <c r="E1377" s="0" t="s">
        <v>9892</v>
      </c>
      <c r="F1377" s="0" t="n">
        <v>3026</v>
      </c>
      <c r="G1377" s="0" t="s">
        <v>277</v>
      </c>
      <c r="H1377" s="0" t="s">
        <v>270</v>
      </c>
      <c r="I1377" s="0" t="s">
        <v>9893</v>
      </c>
    </row>
    <row r="1378" customFormat="false" ht="15" hidden="false" customHeight="false" outlineLevel="0" collapsed="false">
      <c r="A1378" s="0" t="n">
        <v>127</v>
      </c>
      <c r="B1378" s="0" t="s">
        <v>182</v>
      </c>
      <c r="C1378" s="0" t="s">
        <v>9894</v>
      </c>
      <c r="D1378" s="0" t="s">
        <v>6416</v>
      </c>
      <c r="E1378" s="0" t="s">
        <v>9895</v>
      </c>
      <c r="F1378" s="0" t="n">
        <v>2018</v>
      </c>
      <c r="G1378" s="0" t="s">
        <v>277</v>
      </c>
      <c r="H1378" s="0" t="s">
        <v>270</v>
      </c>
      <c r="I1378" s="0" t="s">
        <v>9896</v>
      </c>
    </row>
    <row r="1379" customFormat="false" ht="15" hidden="false" customHeight="false" outlineLevel="0" collapsed="false">
      <c r="A1379" s="0" t="n">
        <v>103</v>
      </c>
      <c r="B1379" s="0" t="s">
        <v>157</v>
      </c>
      <c r="C1379" s="0" t="s">
        <v>9897</v>
      </c>
      <c r="D1379" s="0" t="s">
        <v>6560</v>
      </c>
      <c r="E1379" s="0" t="s">
        <v>9898</v>
      </c>
      <c r="F1379" s="0" t="n">
        <v>2233</v>
      </c>
      <c r="G1379" s="0" t="s">
        <v>277</v>
      </c>
      <c r="H1379" s="0" t="s">
        <v>270</v>
      </c>
      <c r="I1379" s="0" t="s">
        <v>9899</v>
      </c>
    </row>
    <row r="1380" customFormat="false" ht="15" hidden="false" customHeight="false" outlineLevel="0" collapsed="false">
      <c r="A1380" s="0" t="n">
        <v>167</v>
      </c>
      <c r="B1380" s="0" t="s">
        <v>226</v>
      </c>
      <c r="C1380" s="0" t="s">
        <v>9900</v>
      </c>
      <c r="D1380" s="0" t="s">
        <v>6416</v>
      </c>
      <c r="E1380" s="0" t="s">
        <v>9901</v>
      </c>
      <c r="F1380" s="0" t="n">
        <v>14349</v>
      </c>
      <c r="G1380" s="0" t="s">
        <v>277</v>
      </c>
      <c r="H1380" s="0" t="s">
        <v>270</v>
      </c>
      <c r="I1380" s="0" t="s">
        <v>9902</v>
      </c>
    </row>
    <row r="1381" customFormat="false" ht="15" hidden="false" customHeight="false" outlineLevel="0" collapsed="false">
      <c r="A1381" s="0" t="n">
        <v>55</v>
      </c>
      <c r="B1381" s="0" t="s">
        <v>103</v>
      </c>
      <c r="C1381" s="0" t="s">
        <v>9903</v>
      </c>
      <c r="D1381" s="0" t="s">
        <v>6416</v>
      </c>
      <c r="E1381" s="0" t="s">
        <v>9904</v>
      </c>
      <c r="F1381" s="0" t="n">
        <v>1832</v>
      </c>
      <c r="G1381" s="0" t="s">
        <v>277</v>
      </c>
      <c r="H1381" s="0" t="s">
        <v>270</v>
      </c>
      <c r="I1381" s="0" t="s">
        <v>9905</v>
      </c>
    </row>
    <row r="1382" customFormat="false" ht="15" hidden="false" customHeight="false" outlineLevel="0" collapsed="false">
      <c r="A1382" s="0" t="n">
        <v>93</v>
      </c>
      <c r="B1382" s="0" t="s">
        <v>146</v>
      </c>
      <c r="C1382" s="0" t="s">
        <v>9906</v>
      </c>
      <c r="D1382" s="0" t="s">
        <v>6416</v>
      </c>
      <c r="E1382" s="0" t="s">
        <v>9907</v>
      </c>
      <c r="F1382" s="0" t="n">
        <v>2350</v>
      </c>
      <c r="G1382" s="0" t="s">
        <v>277</v>
      </c>
      <c r="H1382" s="0" t="s">
        <v>270</v>
      </c>
      <c r="I1382" s="0" t="s">
        <v>9908</v>
      </c>
    </row>
    <row r="1383" customFormat="false" ht="15" hidden="false" customHeight="false" outlineLevel="0" collapsed="false">
      <c r="A1383" s="0" t="n">
        <v>134</v>
      </c>
      <c r="B1383" s="0" t="s">
        <v>190</v>
      </c>
      <c r="C1383" s="0" t="s">
        <v>9909</v>
      </c>
      <c r="D1383" s="0" t="s">
        <v>6416</v>
      </c>
      <c r="E1383" s="0" t="s">
        <v>9910</v>
      </c>
      <c r="F1383" s="0" t="n">
        <v>3364</v>
      </c>
      <c r="G1383" s="0" t="s">
        <v>277</v>
      </c>
      <c r="H1383" s="0" t="s">
        <v>270</v>
      </c>
      <c r="I1383" s="0" t="s">
        <v>9911</v>
      </c>
    </row>
    <row r="1384" customFormat="false" ht="15" hidden="false" customHeight="false" outlineLevel="0" collapsed="false">
      <c r="A1384" s="0" t="n">
        <v>69</v>
      </c>
      <c r="B1384" s="0" t="s">
        <v>120</v>
      </c>
      <c r="C1384" s="0" t="s">
        <v>9912</v>
      </c>
      <c r="D1384" s="0" t="s">
        <v>6416</v>
      </c>
      <c r="E1384" s="0" t="s">
        <v>9913</v>
      </c>
      <c r="F1384" s="0" t="n">
        <v>703</v>
      </c>
      <c r="G1384" s="0" t="s">
        <v>277</v>
      </c>
      <c r="H1384" s="0" t="s">
        <v>270</v>
      </c>
      <c r="I1384" s="0" t="s">
        <v>9914</v>
      </c>
    </row>
    <row r="1385" customFormat="false" ht="15" hidden="false" customHeight="false" outlineLevel="0" collapsed="false">
      <c r="A1385" s="0" t="n">
        <v>53</v>
      </c>
      <c r="B1385" s="0" t="s">
        <v>101</v>
      </c>
      <c r="C1385" s="0" t="s">
        <v>9915</v>
      </c>
      <c r="D1385" s="0" t="s">
        <v>6416</v>
      </c>
      <c r="E1385" s="0" t="s">
        <v>9916</v>
      </c>
      <c r="F1385" s="0" t="n">
        <v>3279</v>
      </c>
      <c r="G1385" s="0" t="s">
        <v>277</v>
      </c>
      <c r="H1385" s="0" t="s">
        <v>270</v>
      </c>
      <c r="I1385" s="0" t="s">
        <v>9917</v>
      </c>
    </row>
    <row r="1386" customFormat="false" ht="15" hidden="false" customHeight="false" outlineLevel="0" collapsed="false">
      <c r="A1386" s="0" t="n">
        <v>164</v>
      </c>
      <c r="B1386" s="0" t="s">
        <v>222</v>
      </c>
      <c r="C1386" s="0" t="s">
        <v>9918</v>
      </c>
      <c r="D1386" s="0" t="s">
        <v>6425</v>
      </c>
      <c r="E1386" s="0" t="s">
        <v>9919</v>
      </c>
      <c r="F1386" s="0" t="n">
        <v>15947</v>
      </c>
      <c r="G1386" s="0" t="s">
        <v>277</v>
      </c>
      <c r="H1386" s="0" t="s">
        <v>270</v>
      </c>
      <c r="I1386" s="0" t="s">
        <v>9920</v>
      </c>
    </row>
    <row r="1387" customFormat="false" ht="15" hidden="false" customHeight="false" outlineLevel="0" collapsed="false">
      <c r="A1387" s="0" t="n">
        <v>114</v>
      </c>
      <c r="B1387" s="0" t="s">
        <v>168</v>
      </c>
      <c r="C1387" s="0" t="s">
        <v>9921</v>
      </c>
      <c r="D1387" s="0" t="s">
        <v>6416</v>
      </c>
      <c r="E1387" s="0" t="s">
        <v>9922</v>
      </c>
      <c r="F1387" s="0" t="n">
        <v>1851</v>
      </c>
      <c r="G1387" s="0" t="s">
        <v>277</v>
      </c>
      <c r="H1387" s="0" t="s">
        <v>270</v>
      </c>
      <c r="I1387" s="0" t="s">
        <v>9923</v>
      </c>
    </row>
    <row r="1388" customFormat="false" ht="15" hidden="false" customHeight="false" outlineLevel="0" collapsed="false">
      <c r="A1388" s="0" t="n">
        <v>142</v>
      </c>
      <c r="B1388" s="0" t="s">
        <v>198</v>
      </c>
      <c r="C1388" s="0" t="s">
        <v>9924</v>
      </c>
      <c r="D1388" s="0" t="s">
        <v>6416</v>
      </c>
      <c r="E1388" s="0" t="s">
        <v>9925</v>
      </c>
      <c r="F1388" s="0" t="n">
        <v>2543</v>
      </c>
      <c r="G1388" s="0" t="s">
        <v>277</v>
      </c>
      <c r="H1388" s="0" t="s">
        <v>270</v>
      </c>
      <c r="I1388" s="0" t="s">
        <v>9926</v>
      </c>
    </row>
    <row r="1389" customFormat="false" ht="15" hidden="false" customHeight="false" outlineLevel="0" collapsed="false">
      <c r="A1389" s="0" t="n">
        <v>174</v>
      </c>
      <c r="B1389" s="0" t="s">
        <v>234</v>
      </c>
      <c r="C1389" s="0" t="s">
        <v>9927</v>
      </c>
      <c r="D1389" s="0" t="s">
        <v>6416</v>
      </c>
      <c r="E1389" s="0" t="s">
        <v>9928</v>
      </c>
      <c r="F1389" s="0" t="n">
        <v>3509</v>
      </c>
      <c r="G1389" s="0" t="s">
        <v>277</v>
      </c>
      <c r="H1389" s="0" t="s">
        <v>270</v>
      </c>
      <c r="I1389" s="0" t="s">
        <v>9929</v>
      </c>
    </row>
    <row r="1390" customFormat="false" ht="15" hidden="false" customHeight="false" outlineLevel="0" collapsed="false">
      <c r="A1390" s="0" t="n">
        <v>148</v>
      </c>
      <c r="B1390" s="0" t="s">
        <v>204</v>
      </c>
      <c r="C1390" s="0" t="s">
        <v>9930</v>
      </c>
      <c r="D1390" s="0" t="s">
        <v>91</v>
      </c>
      <c r="E1390" s="0" t="s">
        <v>9931</v>
      </c>
      <c r="F1390" s="0" t="n">
        <v>2259</v>
      </c>
      <c r="G1390" s="0" t="s">
        <v>277</v>
      </c>
      <c r="H1390" s="0" t="s">
        <v>270</v>
      </c>
      <c r="I1390" s="0" t="s">
        <v>9932</v>
      </c>
    </row>
    <row r="1391" customFormat="false" ht="15" hidden="false" customHeight="false" outlineLevel="0" collapsed="false">
      <c r="A1391" s="0" t="n">
        <v>2</v>
      </c>
      <c r="B1391" s="0" t="s">
        <v>29</v>
      </c>
      <c r="C1391" s="0" t="s">
        <v>9933</v>
      </c>
      <c r="D1391" s="0" t="s">
        <v>6416</v>
      </c>
      <c r="E1391" s="0" t="s">
        <v>9934</v>
      </c>
      <c r="F1391" s="0" t="n">
        <v>2836</v>
      </c>
      <c r="G1391" s="0" t="s">
        <v>277</v>
      </c>
      <c r="H1391" s="0" t="s">
        <v>270</v>
      </c>
      <c r="I1391" s="0" t="s">
        <v>9935</v>
      </c>
    </row>
    <row r="1392" customFormat="false" ht="15" hidden="false" customHeight="false" outlineLevel="0" collapsed="false">
      <c r="A1392" s="0" t="n">
        <v>166</v>
      </c>
      <c r="B1392" s="0" t="s">
        <v>225</v>
      </c>
      <c r="C1392" s="0" t="s">
        <v>9936</v>
      </c>
      <c r="D1392" s="0" t="s">
        <v>6560</v>
      </c>
      <c r="E1392" s="0" t="s">
        <v>9937</v>
      </c>
      <c r="F1392" s="0" t="n">
        <v>1027</v>
      </c>
      <c r="G1392" s="0" t="s">
        <v>277</v>
      </c>
      <c r="H1392" s="0" t="s">
        <v>270</v>
      </c>
      <c r="I1392" s="0" t="s">
        <v>9938</v>
      </c>
    </row>
    <row r="1393" customFormat="false" ht="15" hidden="false" customHeight="false" outlineLevel="0" collapsed="false">
      <c r="A1393" s="0" t="n">
        <v>93</v>
      </c>
      <c r="B1393" s="0" t="s">
        <v>146</v>
      </c>
      <c r="C1393" s="0" t="s">
        <v>9939</v>
      </c>
      <c r="D1393" s="0" t="s">
        <v>6416</v>
      </c>
      <c r="E1393" s="0" t="s">
        <v>9940</v>
      </c>
      <c r="F1393" s="0" t="n">
        <v>355</v>
      </c>
      <c r="G1393" s="0" t="s">
        <v>277</v>
      </c>
      <c r="H1393" s="0" t="s">
        <v>270</v>
      </c>
      <c r="I1393" s="0" t="s">
        <v>9941</v>
      </c>
    </row>
    <row r="1394" customFormat="false" ht="15" hidden="false" customHeight="false" outlineLevel="0" collapsed="false">
      <c r="A1394" s="0" t="n">
        <v>4</v>
      </c>
      <c r="B1394" s="0" t="s">
        <v>34</v>
      </c>
      <c r="C1394" s="0" t="s">
        <v>9942</v>
      </c>
      <c r="D1394" s="0" t="s">
        <v>6416</v>
      </c>
      <c r="E1394" s="0" t="s">
        <v>9943</v>
      </c>
      <c r="F1394" s="0" t="n">
        <v>3557</v>
      </c>
      <c r="G1394" s="0" t="s">
        <v>277</v>
      </c>
      <c r="H1394" s="0" t="s">
        <v>270</v>
      </c>
      <c r="I1394" s="0" t="s">
        <v>9944</v>
      </c>
    </row>
    <row r="1395" customFormat="false" ht="15" hidden="false" customHeight="false" outlineLevel="0" collapsed="false">
      <c r="A1395" s="0" t="n">
        <v>165</v>
      </c>
      <c r="B1395" s="0" t="s">
        <v>223</v>
      </c>
      <c r="C1395" s="0" t="s">
        <v>9945</v>
      </c>
      <c r="D1395" s="0" t="s">
        <v>6416</v>
      </c>
      <c r="E1395" s="0" t="s">
        <v>9946</v>
      </c>
      <c r="F1395" s="0" t="n">
        <v>14873</v>
      </c>
      <c r="G1395" s="0" t="s">
        <v>277</v>
      </c>
      <c r="H1395" s="0" t="s">
        <v>270</v>
      </c>
      <c r="I1395" s="0" t="s">
        <v>9947</v>
      </c>
    </row>
    <row r="1396" customFormat="false" ht="15" hidden="false" customHeight="false" outlineLevel="0" collapsed="false">
      <c r="A1396" s="0" t="n">
        <v>136</v>
      </c>
      <c r="B1396" s="0" t="s">
        <v>192</v>
      </c>
      <c r="C1396" s="0" t="s">
        <v>9948</v>
      </c>
      <c r="D1396" s="0" t="s">
        <v>6416</v>
      </c>
      <c r="E1396" s="0" t="s">
        <v>9949</v>
      </c>
      <c r="F1396" s="0" t="n">
        <v>1480</v>
      </c>
      <c r="G1396" s="0" t="s">
        <v>277</v>
      </c>
      <c r="H1396" s="0" t="s">
        <v>270</v>
      </c>
      <c r="I1396" s="0" t="s">
        <v>9950</v>
      </c>
    </row>
    <row r="1397" customFormat="false" ht="15" hidden="false" customHeight="false" outlineLevel="0" collapsed="false">
      <c r="A1397" s="0" t="n">
        <v>177</v>
      </c>
      <c r="B1397" s="0" t="s">
        <v>238</v>
      </c>
      <c r="C1397" s="0" t="s">
        <v>9951</v>
      </c>
      <c r="D1397" s="0" t="s">
        <v>6416</v>
      </c>
      <c r="E1397" s="0" t="s">
        <v>9952</v>
      </c>
      <c r="F1397" s="0" t="n">
        <v>2861</v>
      </c>
      <c r="G1397" s="0" t="s">
        <v>277</v>
      </c>
      <c r="H1397" s="0" t="s">
        <v>270</v>
      </c>
      <c r="I1397" s="0" t="s">
        <v>9953</v>
      </c>
    </row>
    <row r="1398" customFormat="false" ht="15" hidden="false" customHeight="false" outlineLevel="0" collapsed="false">
      <c r="A1398" s="0" t="n">
        <v>11</v>
      </c>
      <c r="B1398" s="0" t="s">
        <v>44</v>
      </c>
      <c r="C1398" s="0" t="s">
        <v>9954</v>
      </c>
      <c r="D1398" s="0" t="s">
        <v>6416</v>
      </c>
      <c r="E1398" s="0" t="s">
        <v>9955</v>
      </c>
      <c r="F1398" s="0" t="n">
        <v>1828</v>
      </c>
      <c r="G1398" s="0" t="s">
        <v>277</v>
      </c>
      <c r="H1398" s="0" t="s">
        <v>270</v>
      </c>
      <c r="I1398" s="0" t="s">
        <v>9956</v>
      </c>
    </row>
    <row r="1399" customFormat="false" ht="15" hidden="false" customHeight="false" outlineLevel="0" collapsed="false">
      <c r="A1399" s="0" t="n">
        <v>119</v>
      </c>
      <c r="B1399" s="0" t="s">
        <v>173</v>
      </c>
      <c r="C1399" s="0" t="s">
        <v>9957</v>
      </c>
      <c r="D1399" s="0" t="s">
        <v>6560</v>
      </c>
      <c r="E1399" s="0" t="s">
        <v>9958</v>
      </c>
      <c r="F1399" s="0" t="n">
        <v>1746</v>
      </c>
      <c r="G1399" s="0" t="s">
        <v>277</v>
      </c>
      <c r="H1399" s="0" t="s">
        <v>270</v>
      </c>
      <c r="I1399" s="0" t="s">
        <v>9959</v>
      </c>
    </row>
    <row r="1400" customFormat="false" ht="15" hidden="false" customHeight="false" outlineLevel="0" collapsed="false">
      <c r="A1400" s="0" t="n">
        <v>88</v>
      </c>
      <c r="B1400" s="0" t="s">
        <v>140</v>
      </c>
      <c r="C1400" s="0" t="s">
        <v>9960</v>
      </c>
      <c r="D1400" s="0" t="s">
        <v>6416</v>
      </c>
      <c r="E1400" s="0" t="s">
        <v>9961</v>
      </c>
      <c r="F1400" s="0" t="n">
        <v>2613</v>
      </c>
      <c r="G1400" s="0" t="s">
        <v>277</v>
      </c>
      <c r="H1400" s="0" t="s">
        <v>270</v>
      </c>
      <c r="I1400" s="0" t="s">
        <v>9962</v>
      </c>
    </row>
    <row r="1401" customFormat="false" ht="15" hidden="false" customHeight="false" outlineLevel="0" collapsed="false">
      <c r="A1401" s="0" t="n">
        <v>134</v>
      </c>
      <c r="B1401" s="0" t="s">
        <v>190</v>
      </c>
      <c r="C1401" s="0" t="s">
        <v>9963</v>
      </c>
      <c r="D1401" s="0" t="s">
        <v>6416</v>
      </c>
      <c r="E1401" s="0" t="s">
        <v>9964</v>
      </c>
      <c r="F1401" s="0" t="n">
        <v>2597</v>
      </c>
      <c r="G1401" s="0" t="s">
        <v>277</v>
      </c>
      <c r="H1401" s="0" t="s">
        <v>270</v>
      </c>
      <c r="I1401" s="0" t="s">
        <v>9965</v>
      </c>
    </row>
    <row r="1402" customFormat="false" ht="15" hidden="false" customHeight="false" outlineLevel="0" collapsed="false">
      <c r="A1402" s="0" t="n">
        <v>93</v>
      </c>
      <c r="B1402" s="0" t="s">
        <v>146</v>
      </c>
      <c r="C1402" s="0" t="s">
        <v>9966</v>
      </c>
      <c r="D1402" s="0" t="s">
        <v>6416</v>
      </c>
      <c r="E1402" s="0" t="s">
        <v>9967</v>
      </c>
      <c r="F1402" s="0" t="n">
        <v>1899</v>
      </c>
      <c r="G1402" s="0" t="s">
        <v>277</v>
      </c>
      <c r="H1402" s="0" t="s">
        <v>270</v>
      </c>
      <c r="I1402" s="0" t="s">
        <v>9968</v>
      </c>
    </row>
    <row r="1403" customFormat="false" ht="15" hidden="false" customHeight="false" outlineLevel="0" collapsed="false">
      <c r="A1403" s="0" t="n">
        <v>132</v>
      </c>
      <c r="B1403" s="0" t="s">
        <v>187</v>
      </c>
      <c r="C1403" s="0" t="s">
        <v>9969</v>
      </c>
      <c r="D1403" s="0" t="s">
        <v>6416</v>
      </c>
      <c r="E1403" s="0" t="s">
        <v>9970</v>
      </c>
      <c r="F1403" s="0" t="n">
        <v>2488</v>
      </c>
      <c r="G1403" s="0" t="s">
        <v>277</v>
      </c>
      <c r="H1403" s="0" t="s">
        <v>270</v>
      </c>
      <c r="I1403" s="0" t="s">
        <v>9971</v>
      </c>
    </row>
    <row r="1404" customFormat="false" ht="15" hidden="false" customHeight="false" outlineLevel="0" collapsed="false">
      <c r="A1404" s="0" t="n">
        <v>69</v>
      </c>
      <c r="B1404" s="0" t="s">
        <v>120</v>
      </c>
      <c r="C1404" s="0" t="s">
        <v>9972</v>
      </c>
      <c r="D1404" s="0" t="s">
        <v>6416</v>
      </c>
      <c r="E1404" s="0" t="s">
        <v>9973</v>
      </c>
      <c r="F1404" s="0" t="n">
        <v>2367</v>
      </c>
      <c r="G1404" s="0" t="s">
        <v>277</v>
      </c>
      <c r="H1404" s="0" t="s">
        <v>270</v>
      </c>
      <c r="I1404" s="0" t="s">
        <v>9974</v>
      </c>
    </row>
    <row r="1405" customFormat="false" ht="15" hidden="false" customHeight="false" outlineLevel="0" collapsed="false">
      <c r="A1405" s="0" t="n">
        <v>77</v>
      </c>
      <c r="B1405" s="0" t="s">
        <v>128</v>
      </c>
      <c r="C1405" s="0" t="s">
        <v>9975</v>
      </c>
      <c r="D1405" s="0" t="s">
        <v>6416</v>
      </c>
      <c r="E1405" s="0" t="s">
        <v>9976</v>
      </c>
      <c r="F1405" s="0" t="n">
        <v>1931</v>
      </c>
      <c r="G1405" s="0" t="s">
        <v>277</v>
      </c>
      <c r="H1405" s="0" t="s">
        <v>270</v>
      </c>
      <c r="I1405" s="0" t="s">
        <v>9977</v>
      </c>
    </row>
    <row r="1406" customFormat="false" ht="15" hidden="false" customHeight="false" outlineLevel="0" collapsed="false">
      <c r="A1406" s="0" t="n">
        <v>27</v>
      </c>
      <c r="B1406" s="0" t="s">
        <v>66</v>
      </c>
      <c r="C1406" s="0" t="s">
        <v>9978</v>
      </c>
      <c r="D1406" s="0" t="s">
        <v>6416</v>
      </c>
      <c r="E1406" s="0" t="s">
        <v>9979</v>
      </c>
      <c r="F1406" s="0" t="n">
        <v>1585</v>
      </c>
      <c r="G1406" s="0" t="s">
        <v>277</v>
      </c>
      <c r="H1406" s="0" t="s">
        <v>270</v>
      </c>
      <c r="I1406" s="0" t="s">
        <v>9980</v>
      </c>
    </row>
    <row r="1407" customFormat="false" ht="15" hidden="false" customHeight="false" outlineLevel="0" collapsed="false">
      <c r="A1407" s="0" t="n">
        <v>46</v>
      </c>
      <c r="B1407" s="0" t="s">
        <v>93</v>
      </c>
      <c r="C1407" s="0" t="s">
        <v>9981</v>
      </c>
      <c r="D1407" s="0" t="s">
        <v>6425</v>
      </c>
      <c r="E1407" s="0" t="s">
        <v>9982</v>
      </c>
      <c r="F1407" s="0" t="n">
        <v>3256</v>
      </c>
      <c r="G1407" s="0" t="s">
        <v>277</v>
      </c>
      <c r="H1407" s="0" t="s">
        <v>270</v>
      </c>
      <c r="I1407" s="0" t="s">
        <v>9983</v>
      </c>
    </row>
    <row r="1408" customFormat="false" ht="15" hidden="false" customHeight="false" outlineLevel="0" collapsed="false">
      <c r="A1408" s="0" t="n">
        <v>125</v>
      </c>
      <c r="B1408" s="0" t="s">
        <v>180</v>
      </c>
      <c r="C1408" s="0" t="s">
        <v>9984</v>
      </c>
      <c r="D1408" s="0" t="s">
        <v>6416</v>
      </c>
      <c r="E1408" s="0" t="s">
        <v>9985</v>
      </c>
      <c r="F1408" s="0" t="n">
        <v>1868</v>
      </c>
      <c r="G1408" s="0" t="s">
        <v>277</v>
      </c>
      <c r="H1408" s="0" t="s">
        <v>270</v>
      </c>
      <c r="I1408" s="0" t="s">
        <v>9986</v>
      </c>
    </row>
    <row r="1409" customFormat="false" ht="15" hidden="false" customHeight="false" outlineLevel="0" collapsed="false">
      <c r="A1409" s="0" t="n">
        <v>135</v>
      </c>
      <c r="B1409" s="0" t="s">
        <v>191</v>
      </c>
      <c r="C1409" s="0" t="s">
        <v>9987</v>
      </c>
      <c r="D1409" s="0" t="s">
        <v>6416</v>
      </c>
      <c r="E1409" s="0" t="s">
        <v>9988</v>
      </c>
      <c r="F1409" s="0" t="n">
        <v>3322</v>
      </c>
      <c r="G1409" s="0" t="s">
        <v>277</v>
      </c>
      <c r="H1409" s="0" t="s">
        <v>270</v>
      </c>
      <c r="I1409" s="0" t="s">
        <v>9989</v>
      </c>
    </row>
    <row r="1410" customFormat="false" ht="15" hidden="false" customHeight="false" outlineLevel="0" collapsed="false">
      <c r="A1410" s="0" t="n">
        <v>32</v>
      </c>
      <c r="B1410" s="0" t="s">
        <v>72</v>
      </c>
      <c r="C1410" s="0" t="s">
        <v>9990</v>
      </c>
      <c r="D1410" s="0" t="s">
        <v>6416</v>
      </c>
      <c r="E1410" s="0" t="s">
        <v>9991</v>
      </c>
      <c r="F1410" s="0" t="n">
        <v>1761</v>
      </c>
      <c r="G1410" s="0" t="s">
        <v>277</v>
      </c>
      <c r="H1410" s="0" t="s">
        <v>270</v>
      </c>
      <c r="I1410" s="0" t="s">
        <v>9992</v>
      </c>
    </row>
    <row r="1411" customFormat="false" ht="15" hidden="false" customHeight="false" outlineLevel="0" collapsed="false">
      <c r="A1411" s="0" t="n">
        <v>150</v>
      </c>
      <c r="B1411" s="0" t="s">
        <v>207</v>
      </c>
      <c r="C1411" s="0" t="s">
        <v>9993</v>
      </c>
      <c r="D1411" s="0" t="s">
        <v>91</v>
      </c>
      <c r="E1411" s="0" t="s">
        <v>9994</v>
      </c>
      <c r="F1411" s="0" t="n">
        <v>2317</v>
      </c>
      <c r="G1411" s="0" t="s">
        <v>277</v>
      </c>
      <c r="H1411" s="0" t="s">
        <v>270</v>
      </c>
      <c r="I1411" s="0" t="s">
        <v>9995</v>
      </c>
    </row>
    <row r="1412" customFormat="false" ht="15" hidden="false" customHeight="false" outlineLevel="0" collapsed="false">
      <c r="A1412" s="0" t="n">
        <v>37</v>
      </c>
      <c r="B1412" s="0" t="s">
        <v>78</v>
      </c>
      <c r="C1412" s="0" t="s">
        <v>9996</v>
      </c>
      <c r="D1412" s="0" t="s">
        <v>6416</v>
      </c>
      <c r="E1412" s="0" t="s">
        <v>9997</v>
      </c>
      <c r="F1412" s="0" t="n">
        <v>1456</v>
      </c>
      <c r="G1412" s="0" t="s">
        <v>277</v>
      </c>
      <c r="H1412" s="0" t="s">
        <v>270</v>
      </c>
      <c r="I1412" s="0" t="s">
        <v>9998</v>
      </c>
    </row>
    <row r="1413" customFormat="false" ht="15" hidden="false" customHeight="false" outlineLevel="0" collapsed="false">
      <c r="A1413" s="0" t="n">
        <v>69</v>
      </c>
      <c r="B1413" s="0" t="s">
        <v>120</v>
      </c>
      <c r="C1413" s="0" t="s">
        <v>9999</v>
      </c>
      <c r="D1413" s="0" t="s">
        <v>6416</v>
      </c>
      <c r="E1413" s="0" t="s">
        <v>10000</v>
      </c>
      <c r="F1413" s="0" t="n">
        <v>2491</v>
      </c>
      <c r="G1413" s="0" t="s">
        <v>277</v>
      </c>
      <c r="H1413" s="0" t="s">
        <v>270</v>
      </c>
      <c r="I1413" s="0" t="s">
        <v>10001</v>
      </c>
    </row>
    <row r="1414" customFormat="false" ht="15" hidden="false" customHeight="false" outlineLevel="0" collapsed="false">
      <c r="A1414" s="0" t="n">
        <v>93</v>
      </c>
      <c r="B1414" s="0" t="s">
        <v>146</v>
      </c>
      <c r="C1414" s="0" t="s">
        <v>10002</v>
      </c>
      <c r="D1414" s="0" t="s">
        <v>6416</v>
      </c>
      <c r="E1414" s="0" t="s">
        <v>10003</v>
      </c>
      <c r="F1414" s="0" t="n">
        <v>2595</v>
      </c>
      <c r="G1414" s="0" t="s">
        <v>277</v>
      </c>
      <c r="H1414" s="0" t="s">
        <v>270</v>
      </c>
      <c r="I1414" s="0" t="s">
        <v>10004</v>
      </c>
    </row>
    <row r="1415" customFormat="false" ht="15" hidden="false" customHeight="false" outlineLevel="0" collapsed="false">
      <c r="A1415" s="0" t="n">
        <v>118</v>
      </c>
      <c r="B1415" s="0" t="s">
        <v>172</v>
      </c>
      <c r="C1415" s="0" t="s">
        <v>10005</v>
      </c>
      <c r="D1415" s="0" t="s">
        <v>91</v>
      </c>
      <c r="E1415" s="0" t="s">
        <v>10006</v>
      </c>
      <c r="F1415" s="0" t="n">
        <v>2480</v>
      </c>
      <c r="G1415" s="0" t="s">
        <v>277</v>
      </c>
      <c r="H1415" s="0" t="s">
        <v>270</v>
      </c>
      <c r="I1415" s="0" t="s">
        <v>10007</v>
      </c>
    </row>
    <row r="1416" customFormat="false" ht="15" hidden="false" customHeight="false" outlineLevel="0" collapsed="false">
      <c r="A1416" s="0" t="n">
        <v>93</v>
      </c>
      <c r="B1416" s="0" t="s">
        <v>146</v>
      </c>
      <c r="C1416" s="0" t="s">
        <v>10008</v>
      </c>
      <c r="D1416" s="0" t="s">
        <v>6416</v>
      </c>
      <c r="E1416" s="0" t="s">
        <v>10009</v>
      </c>
      <c r="F1416" s="0" t="n">
        <v>2870</v>
      </c>
      <c r="G1416" s="0" t="s">
        <v>277</v>
      </c>
      <c r="H1416" s="0" t="s">
        <v>270</v>
      </c>
      <c r="I1416" s="0" t="s">
        <v>10010</v>
      </c>
    </row>
    <row r="1417" customFormat="false" ht="15" hidden="false" customHeight="false" outlineLevel="0" collapsed="false">
      <c r="A1417" s="0" t="n">
        <v>139</v>
      </c>
      <c r="B1417" s="0" t="s">
        <v>195</v>
      </c>
      <c r="C1417" s="0" t="s">
        <v>10011</v>
      </c>
      <c r="D1417" s="0" t="s">
        <v>6560</v>
      </c>
      <c r="E1417" s="0" t="s">
        <v>10012</v>
      </c>
      <c r="F1417" s="0" t="n">
        <v>2393</v>
      </c>
      <c r="G1417" s="0" t="s">
        <v>277</v>
      </c>
      <c r="H1417" s="0" t="s">
        <v>270</v>
      </c>
      <c r="I1417" s="0" t="s">
        <v>10013</v>
      </c>
    </row>
    <row r="1418" customFormat="false" ht="15" hidden="false" customHeight="false" outlineLevel="0" collapsed="false">
      <c r="A1418" s="0" t="n">
        <v>27</v>
      </c>
      <c r="B1418" s="0" t="s">
        <v>66</v>
      </c>
      <c r="C1418" s="0" t="s">
        <v>10014</v>
      </c>
      <c r="D1418" s="0" t="s">
        <v>6416</v>
      </c>
      <c r="E1418" s="0" t="s">
        <v>10015</v>
      </c>
      <c r="F1418" s="0" t="n">
        <v>1304</v>
      </c>
      <c r="G1418" s="0" t="s">
        <v>277</v>
      </c>
      <c r="H1418" s="0" t="s">
        <v>270</v>
      </c>
      <c r="I1418" s="0" t="s">
        <v>10016</v>
      </c>
    </row>
    <row r="1419" customFormat="false" ht="15" hidden="false" customHeight="false" outlineLevel="0" collapsed="false">
      <c r="A1419" s="0" t="n">
        <v>148</v>
      </c>
      <c r="B1419" s="0" t="s">
        <v>204</v>
      </c>
      <c r="C1419" s="0" t="s">
        <v>10017</v>
      </c>
      <c r="D1419" s="0" t="s">
        <v>6416</v>
      </c>
      <c r="E1419" s="0" t="s">
        <v>10018</v>
      </c>
      <c r="F1419" s="0" t="n">
        <v>3601</v>
      </c>
      <c r="G1419" s="0" t="s">
        <v>277</v>
      </c>
      <c r="H1419" s="0" t="s">
        <v>270</v>
      </c>
      <c r="I1419" s="0" t="s">
        <v>10019</v>
      </c>
    </row>
    <row r="1420" customFormat="false" ht="15" hidden="false" customHeight="false" outlineLevel="0" collapsed="false">
      <c r="A1420" s="0" t="n">
        <v>178</v>
      </c>
      <c r="B1420" s="0" t="s">
        <v>239</v>
      </c>
      <c r="C1420" s="0" t="s">
        <v>10020</v>
      </c>
      <c r="D1420" s="0" t="s">
        <v>6416</v>
      </c>
      <c r="E1420" s="0" t="s">
        <v>10021</v>
      </c>
      <c r="F1420" s="0" t="n">
        <v>263</v>
      </c>
      <c r="G1420" s="0" t="s">
        <v>277</v>
      </c>
      <c r="H1420" s="0" t="s">
        <v>270</v>
      </c>
      <c r="I1420" s="0" t="s">
        <v>10022</v>
      </c>
    </row>
    <row r="1421" customFormat="false" ht="15" hidden="false" customHeight="false" outlineLevel="0" collapsed="false">
      <c r="A1421" s="0" t="n">
        <v>48</v>
      </c>
      <c r="B1421" s="0" t="s">
        <v>95</v>
      </c>
      <c r="C1421" s="0" t="s">
        <v>10023</v>
      </c>
      <c r="D1421" s="0" t="s">
        <v>6416</v>
      </c>
      <c r="E1421" s="0" t="s">
        <v>10024</v>
      </c>
      <c r="F1421" s="0" t="n">
        <v>4876</v>
      </c>
      <c r="G1421" s="0" t="s">
        <v>277</v>
      </c>
      <c r="H1421" s="0" t="s">
        <v>270</v>
      </c>
      <c r="I1421" s="0" t="s">
        <v>10025</v>
      </c>
    </row>
    <row r="1422" customFormat="false" ht="15" hidden="false" customHeight="false" outlineLevel="0" collapsed="false">
      <c r="A1422" s="0" t="n">
        <v>93</v>
      </c>
      <c r="B1422" s="0" t="s">
        <v>146</v>
      </c>
      <c r="C1422" s="0" t="s">
        <v>10026</v>
      </c>
      <c r="D1422" s="0" t="s">
        <v>6416</v>
      </c>
      <c r="E1422" s="0" t="s">
        <v>10027</v>
      </c>
      <c r="F1422" s="0" t="n">
        <v>253</v>
      </c>
      <c r="G1422" s="0" t="s">
        <v>277</v>
      </c>
      <c r="H1422" s="0" t="s">
        <v>270</v>
      </c>
      <c r="I1422" s="0" t="s">
        <v>10028</v>
      </c>
    </row>
    <row r="1423" customFormat="false" ht="15" hidden="false" customHeight="false" outlineLevel="0" collapsed="false">
      <c r="A1423" s="0" t="n">
        <v>121</v>
      </c>
      <c r="B1423" s="0" t="s">
        <v>176</v>
      </c>
      <c r="C1423" s="0" t="s">
        <v>10029</v>
      </c>
      <c r="D1423" s="0" t="s">
        <v>6076</v>
      </c>
      <c r="E1423" s="0" t="s">
        <v>10030</v>
      </c>
      <c r="F1423" s="0" t="n">
        <v>4866</v>
      </c>
      <c r="G1423" s="0" t="s">
        <v>277</v>
      </c>
      <c r="H1423" s="0" t="s">
        <v>270</v>
      </c>
      <c r="I1423" s="0" t="s">
        <v>10031</v>
      </c>
    </row>
    <row r="1424" customFormat="false" ht="15" hidden="false" customHeight="false" outlineLevel="0" collapsed="false">
      <c r="A1424" s="0" t="n">
        <v>148</v>
      </c>
      <c r="B1424" s="0" t="s">
        <v>204</v>
      </c>
      <c r="C1424" s="0" t="s">
        <v>10032</v>
      </c>
      <c r="D1424" s="0" t="s">
        <v>6416</v>
      </c>
      <c r="E1424" s="0" t="s">
        <v>10033</v>
      </c>
      <c r="F1424" s="0" t="n">
        <v>8382</v>
      </c>
      <c r="G1424" s="0" t="s">
        <v>277</v>
      </c>
      <c r="H1424" s="0" t="s">
        <v>270</v>
      </c>
      <c r="I1424" s="0" t="s">
        <v>10034</v>
      </c>
    </row>
    <row r="1425" customFormat="false" ht="15" hidden="false" customHeight="false" outlineLevel="0" collapsed="false">
      <c r="A1425" s="0" t="n">
        <v>174</v>
      </c>
      <c r="B1425" s="0" t="s">
        <v>234</v>
      </c>
      <c r="C1425" s="0" t="s">
        <v>10035</v>
      </c>
      <c r="D1425" s="0" t="s">
        <v>6416</v>
      </c>
      <c r="E1425" s="0" t="s">
        <v>10036</v>
      </c>
      <c r="F1425" s="0" t="n">
        <v>2337</v>
      </c>
      <c r="G1425" s="0" t="s">
        <v>277</v>
      </c>
      <c r="H1425" s="0" t="s">
        <v>270</v>
      </c>
      <c r="I1425" s="0" t="s">
        <v>10037</v>
      </c>
    </row>
    <row r="1426" customFormat="false" ht="15" hidden="false" customHeight="false" outlineLevel="0" collapsed="false">
      <c r="A1426" s="0" t="n">
        <v>93</v>
      </c>
      <c r="B1426" s="0" t="s">
        <v>146</v>
      </c>
      <c r="C1426" s="0" t="s">
        <v>10038</v>
      </c>
      <c r="D1426" s="0" t="s">
        <v>6416</v>
      </c>
      <c r="E1426" s="0" t="s">
        <v>10039</v>
      </c>
      <c r="F1426" s="0" t="n">
        <v>2972</v>
      </c>
      <c r="G1426" s="0" t="s">
        <v>277</v>
      </c>
      <c r="H1426" s="0" t="s">
        <v>270</v>
      </c>
      <c r="I1426" s="0" t="s">
        <v>10040</v>
      </c>
    </row>
    <row r="1427" customFormat="false" ht="15" hidden="false" customHeight="false" outlineLevel="0" collapsed="false">
      <c r="A1427" s="0" t="n">
        <v>162</v>
      </c>
      <c r="B1427" s="0" t="s">
        <v>220</v>
      </c>
      <c r="C1427" s="0" t="s">
        <v>10041</v>
      </c>
      <c r="D1427" s="0" t="s">
        <v>91</v>
      </c>
      <c r="E1427" s="0" t="s">
        <v>10042</v>
      </c>
      <c r="F1427" s="0" t="n">
        <v>760</v>
      </c>
      <c r="G1427" s="0" t="s">
        <v>277</v>
      </c>
      <c r="H1427" s="0" t="s">
        <v>270</v>
      </c>
      <c r="I1427" s="0" t="s">
        <v>10043</v>
      </c>
    </row>
    <row r="1428" customFormat="false" ht="15" hidden="false" customHeight="false" outlineLevel="0" collapsed="false">
      <c r="A1428" s="0" t="n">
        <v>174</v>
      </c>
      <c r="B1428" s="0" t="s">
        <v>234</v>
      </c>
      <c r="C1428" s="0" t="s">
        <v>10044</v>
      </c>
      <c r="D1428" s="0" t="s">
        <v>6416</v>
      </c>
      <c r="E1428" s="0" t="s">
        <v>10045</v>
      </c>
      <c r="F1428" s="0" t="n">
        <v>3102</v>
      </c>
      <c r="G1428" s="0" t="s">
        <v>277</v>
      </c>
      <c r="H1428" s="0" t="s">
        <v>270</v>
      </c>
      <c r="I1428" s="0" t="s">
        <v>10046</v>
      </c>
    </row>
    <row r="1429" customFormat="false" ht="15" hidden="false" customHeight="false" outlineLevel="0" collapsed="false">
      <c r="A1429" s="0" t="n">
        <v>75</v>
      </c>
      <c r="B1429" s="0" t="s">
        <v>126</v>
      </c>
      <c r="C1429" s="0" t="s">
        <v>10047</v>
      </c>
      <c r="D1429" s="0" t="s">
        <v>6416</v>
      </c>
      <c r="E1429" s="0" t="s">
        <v>10048</v>
      </c>
      <c r="F1429" s="0" t="n">
        <v>3135</v>
      </c>
      <c r="G1429" s="0" t="s">
        <v>277</v>
      </c>
      <c r="H1429" s="0" t="s">
        <v>270</v>
      </c>
      <c r="I1429" s="0" t="s">
        <v>10049</v>
      </c>
    </row>
    <row r="1430" customFormat="false" ht="15" hidden="false" customHeight="false" outlineLevel="0" collapsed="false">
      <c r="A1430" s="0" t="n">
        <v>68</v>
      </c>
      <c r="B1430" s="0" t="s">
        <v>119</v>
      </c>
      <c r="C1430" s="0" t="s">
        <v>10050</v>
      </c>
      <c r="D1430" s="0" t="s">
        <v>6560</v>
      </c>
      <c r="E1430" s="0" t="s">
        <v>10051</v>
      </c>
      <c r="F1430" s="0" t="n">
        <v>2231</v>
      </c>
      <c r="G1430" s="0" t="s">
        <v>277</v>
      </c>
      <c r="H1430" s="0" t="s">
        <v>270</v>
      </c>
      <c r="I1430" s="0" t="s">
        <v>10052</v>
      </c>
    </row>
    <row r="1431" customFormat="false" ht="15" hidden="false" customHeight="false" outlineLevel="0" collapsed="false">
      <c r="A1431" s="0" t="n">
        <v>18</v>
      </c>
      <c r="B1431" s="0" t="s">
        <v>54</v>
      </c>
      <c r="C1431" s="0" t="s">
        <v>10053</v>
      </c>
      <c r="D1431" s="0" t="s">
        <v>6560</v>
      </c>
      <c r="E1431" s="0" t="s">
        <v>10054</v>
      </c>
      <c r="F1431" s="0" t="n">
        <v>3215</v>
      </c>
      <c r="G1431" s="0" t="s">
        <v>277</v>
      </c>
      <c r="H1431" s="0" t="s">
        <v>270</v>
      </c>
      <c r="I1431" s="0" t="s">
        <v>10055</v>
      </c>
    </row>
    <row r="1432" customFormat="false" ht="15" hidden="false" customHeight="false" outlineLevel="0" collapsed="false">
      <c r="A1432" s="0" t="n">
        <v>164</v>
      </c>
      <c r="B1432" s="0" t="s">
        <v>222</v>
      </c>
      <c r="C1432" s="0" t="s">
        <v>10056</v>
      </c>
      <c r="D1432" s="0" t="s">
        <v>6425</v>
      </c>
      <c r="E1432" s="0" t="s">
        <v>10057</v>
      </c>
      <c r="F1432" s="0" t="n">
        <v>3135</v>
      </c>
      <c r="G1432" s="0" t="s">
        <v>277</v>
      </c>
      <c r="H1432" s="0" t="s">
        <v>270</v>
      </c>
      <c r="I1432" s="0" t="s">
        <v>10058</v>
      </c>
    </row>
    <row r="1433" customFormat="false" ht="15" hidden="false" customHeight="false" outlineLevel="0" collapsed="false">
      <c r="A1433" s="0" t="n">
        <v>102</v>
      </c>
      <c r="B1433" s="0" t="s">
        <v>156</v>
      </c>
      <c r="C1433" s="0" t="s">
        <v>10059</v>
      </c>
      <c r="D1433" s="0" t="s">
        <v>6416</v>
      </c>
      <c r="E1433" s="0" t="s">
        <v>10060</v>
      </c>
      <c r="F1433" s="0" t="n">
        <v>255</v>
      </c>
      <c r="G1433" s="0" t="s">
        <v>277</v>
      </c>
      <c r="H1433" s="0" t="s">
        <v>270</v>
      </c>
      <c r="I1433" s="0" t="s">
        <v>10061</v>
      </c>
    </row>
    <row r="1434" customFormat="false" ht="15" hidden="false" customHeight="false" outlineLevel="0" collapsed="false">
      <c r="A1434" s="0" t="n">
        <v>134</v>
      </c>
      <c r="B1434" s="0" t="s">
        <v>190</v>
      </c>
      <c r="C1434" s="0" t="s">
        <v>10062</v>
      </c>
      <c r="D1434" s="0" t="s">
        <v>6416</v>
      </c>
      <c r="E1434" s="0" t="s">
        <v>10063</v>
      </c>
      <c r="F1434" s="0" t="n">
        <v>731</v>
      </c>
      <c r="G1434" s="0" t="s">
        <v>277</v>
      </c>
      <c r="H1434" s="0" t="s">
        <v>270</v>
      </c>
      <c r="I1434" s="0" t="s">
        <v>10064</v>
      </c>
    </row>
    <row r="1435" customFormat="false" ht="15" hidden="false" customHeight="false" outlineLevel="0" collapsed="false">
      <c r="A1435" s="0" t="n">
        <v>128</v>
      </c>
      <c r="B1435" s="0" t="s">
        <v>183</v>
      </c>
      <c r="C1435" s="0" t="s">
        <v>10065</v>
      </c>
      <c r="D1435" s="0" t="s">
        <v>6416</v>
      </c>
      <c r="E1435" s="0" t="s">
        <v>10066</v>
      </c>
      <c r="F1435" s="0" t="n">
        <v>2610</v>
      </c>
      <c r="G1435" s="0" t="s">
        <v>277</v>
      </c>
      <c r="H1435" s="0" t="s">
        <v>270</v>
      </c>
      <c r="I1435" s="0" t="s">
        <v>10067</v>
      </c>
    </row>
    <row r="1436" customFormat="false" ht="15" hidden="false" customHeight="false" outlineLevel="0" collapsed="false">
      <c r="A1436" s="0" t="n">
        <v>75</v>
      </c>
      <c r="B1436" s="0" t="s">
        <v>126</v>
      </c>
      <c r="C1436" s="0" t="s">
        <v>10068</v>
      </c>
      <c r="D1436" s="0" t="s">
        <v>6416</v>
      </c>
      <c r="E1436" s="0" t="s">
        <v>126</v>
      </c>
      <c r="F1436" s="0" t="n">
        <v>218</v>
      </c>
      <c r="G1436" s="0" t="s">
        <v>277</v>
      </c>
      <c r="H1436" s="0" t="s">
        <v>270</v>
      </c>
      <c r="I1436" s="0" t="s">
        <v>10069</v>
      </c>
    </row>
    <row r="1437" customFormat="false" ht="15" hidden="false" customHeight="false" outlineLevel="0" collapsed="false">
      <c r="A1437" s="0" t="n">
        <v>131</v>
      </c>
      <c r="B1437" s="0" t="s">
        <v>186</v>
      </c>
      <c r="C1437" s="0" t="s">
        <v>10070</v>
      </c>
      <c r="D1437" s="0" t="s">
        <v>6416</v>
      </c>
      <c r="E1437" s="0" t="s">
        <v>10071</v>
      </c>
      <c r="F1437" s="0" t="n">
        <v>2423</v>
      </c>
      <c r="G1437" s="0" t="s">
        <v>277</v>
      </c>
      <c r="H1437" s="0" t="s">
        <v>270</v>
      </c>
      <c r="I1437" s="0" t="s">
        <v>10072</v>
      </c>
    </row>
    <row r="1438" customFormat="false" ht="15" hidden="false" customHeight="false" outlineLevel="0" collapsed="false">
      <c r="A1438" s="0" t="n">
        <v>56</v>
      </c>
      <c r="B1438" s="0" t="s">
        <v>104</v>
      </c>
      <c r="C1438" s="0" t="s">
        <v>10073</v>
      </c>
      <c r="D1438" s="0" t="s">
        <v>6416</v>
      </c>
      <c r="E1438" s="0" t="s">
        <v>10074</v>
      </c>
      <c r="F1438" s="0" t="n">
        <v>1981</v>
      </c>
      <c r="G1438" s="0" t="s">
        <v>277</v>
      </c>
      <c r="H1438" s="0" t="s">
        <v>270</v>
      </c>
      <c r="I1438" s="0" t="s">
        <v>10075</v>
      </c>
    </row>
    <row r="1439" customFormat="false" ht="15" hidden="false" customHeight="false" outlineLevel="0" collapsed="false">
      <c r="A1439" s="0" t="n">
        <v>157</v>
      </c>
      <c r="B1439" s="0" t="s">
        <v>215</v>
      </c>
      <c r="C1439" s="0" t="s">
        <v>10076</v>
      </c>
      <c r="D1439" s="0" t="s">
        <v>6416</v>
      </c>
      <c r="E1439" s="0" t="s">
        <v>10077</v>
      </c>
      <c r="F1439" s="0" t="n">
        <v>288</v>
      </c>
      <c r="G1439" s="0" t="s">
        <v>277</v>
      </c>
      <c r="H1439" s="0" t="s">
        <v>270</v>
      </c>
      <c r="I1439" s="0" t="s">
        <v>10078</v>
      </c>
    </row>
    <row r="1440" customFormat="false" ht="15" hidden="false" customHeight="false" outlineLevel="0" collapsed="false">
      <c r="A1440" s="0" t="n">
        <v>97</v>
      </c>
      <c r="B1440" s="0" t="s">
        <v>151</v>
      </c>
      <c r="C1440" s="0" t="s">
        <v>10079</v>
      </c>
      <c r="D1440" s="0" t="s">
        <v>6416</v>
      </c>
      <c r="E1440" s="0" t="s">
        <v>10080</v>
      </c>
      <c r="F1440" s="0" t="n">
        <v>1873</v>
      </c>
      <c r="G1440" s="0" t="s">
        <v>277</v>
      </c>
      <c r="H1440" s="0" t="s">
        <v>270</v>
      </c>
      <c r="I1440" s="0" t="s">
        <v>10081</v>
      </c>
    </row>
    <row r="1441" customFormat="false" ht="15" hidden="false" customHeight="false" outlineLevel="0" collapsed="false">
      <c r="A1441" s="0" t="n">
        <v>162</v>
      </c>
      <c r="B1441" s="0" t="s">
        <v>220</v>
      </c>
      <c r="C1441" s="0" t="s">
        <v>10082</v>
      </c>
      <c r="D1441" s="0" t="s">
        <v>91</v>
      </c>
      <c r="E1441" s="0" t="s">
        <v>10083</v>
      </c>
      <c r="F1441" s="0" t="n">
        <v>3317</v>
      </c>
      <c r="G1441" s="0" t="s">
        <v>277</v>
      </c>
      <c r="H1441" s="0" t="s">
        <v>270</v>
      </c>
      <c r="I1441" s="0" t="s">
        <v>10084</v>
      </c>
    </row>
    <row r="1442" customFormat="false" ht="15" hidden="false" customHeight="false" outlineLevel="0" collapsed="false">
      <c r="A1442" s="0" t="n">
        <v>1</v>
      </c>
      <c r="B1442" s="0" t="s">
        <v>26</v>
      </c>
      <c r="C1442" s="0" t="s">
        <v>10085</v>
      </c>
      <c r="D1442" s="0" t="s">
        <v>6416</v>
      </c>
      <c r="E1442" s="0" t="s">
        <v>10086</v>
      </c>
      <c r="F1442" s="0" t="n">
        <v>324</v>
      </c>
      <c r="G1442" s="0" t="s">
        <v>277</v>
      </c>
      <c r="H1442" s="0" t="s">
        <v>270</v>
      </c>
      <c r="I1442" s="0" t="s">
        <v>10087</v>
      </c>
    </row>
    <row r="1443" customFormat="false" ht="15" hidden="false" customHeight="false" outlineLevel="0" collapsed="false">
      <c r="A1443" s="0" t="n">
        <v>77</v>
      </c>
      <c r="B1443" s="0" t="s">
        <v>128</v>
      </c>
      <c r="C1443" s="0" t="s">
        <v>10088</v>
      </c>
      <c r="D1443" s="0" t="s">
        <v>6416</v>
      </c>
      <c r="E1443" s="0" t="s">
        <v>10089</v>
      </c>
      <c r="F1443" s="0" t="n">
        <v>3168</v>
      </c>
      <c r="G1443" s="0" t="s">
        <v>277</v>
      </c>
      <c r="H1443" s="0" t="s">
        <v>270</v>
      </c>
      <c r="I1443" s="0" t="s">
        <v>10090</v>
      </c>
    </row>
    <row r="1444" customFormat="false" ht="15" hidden="false" customHeight="false" outlineLevel="0" collapsed="false">
      <c r="A1444" s="0" t="n">
        <v>18</v>
      </c>
      <c r="B1444" s="0" t="s">
        <v>54</v>
      </c>
      <c r="C1444" s="0" t="s">
        <v>10091</v>
      </c>
      <c r="D1444" s="0" t="s">
        <v>91</v>
      </c>
      <c r="E1444" s="0" t="s">
        <v>10092</v>
      </c>
      <c r="F1444" s="0" t="n">
        <v>1162</v>
      </c>
      <c r="G1444" s="0" t="s">
        <v>277</v>
      </c>
      <c r="H1444" s="0" t="s">
        <v>270</v>
      </c>
      <c r="I1444" s="0" t="s">
        <v>10093</v>
      </c>
    </row>
    <row r="1445" customFormat="false" ht="15" hidden="false" customHeight="false" outlineLevel="0" collapsed="false">
      <c r="A1445" s="0" t="n">
        <v>66</v>
      </c>
      <c r="B1445" s="0" t="s">
        <v>117</v>
      </c>
      <c r="C1445" s="0" t="s">
        <v>10094</v>
      </c>
      <c r="D1445" s="0" t="s">
        <v>6416</v>
      </c>
      <c r="E1445" s="0" t="s">
        <v>10095</v>
      </c>
      <c r="F1445" s="0" t="n">
        <v>320</v>
      </c>
      <c r="G1445" s="0" t="s">
        <v>277</v>
      </c>
      <c r="H1445" s="0" t="s">
        <v>270</v>
      </c>
      <c r="I1445" s="0" t="s">
        <v>10096</v>
      </c>
    </row>
    <row r="1446" customFormat="false" ht="15" hidden="false" customHeight="false" outlineLevel="0" collapsed="false">
      <c r="A1446" s="0" t="n">
        <v>101</v>
      </c>
      <c r="B1446" s="0" t="s">
        <v>155</v>
      </c>
      <c r="C1446" s="0" t="s">
        <v>10097</v>
      </c>
      <c r="D1446" s="0" t="s">
        <v>6416</v>
      </c>
      <c r="E1446" s="0" t="s">
        <v>10098</v>
      </c>
      <c r="F1446" s="0" t="n">
        <v>1587</v>
      </c>
      <c r="G1446" s="0" t="s">
        <v>277</v>
      </c>
      <c r="H1446" s="0" t="s">
        <v>270</v>
      </c>
      <c r="I1446" s="0" t="s">
        <v>10099</v>
      </c>
    </row>
    <row r="1447" customFormat="false" ht="15" hidden="false" customHeight="false" outlineLevel="0" collapsed="false">
      <c r="A1447" s="0" t="n">
        <v>46</v>
      </c>
      <c r="B1447" s="0" t="s">
        <v>93</v>
      </c>
      <c r="C1447" s="0" t="s">
        <v>10100</v>
      </c>
      <c r="D1447" s="0" t="s">
        <v>6416</v>
      </c>
      <c r="E1447" s="0" t="s">
        <v>10101</v>
      </c>
      <c r="F1447" s="0" t="n">
        <v>3157</v>
      </c>
      <c r="G1447" s="0" t="s">
        <v>277</v>
      </c>
      <c r="H1447" s="0" t="s">
        <v>270</v>
      </c>
      <c r="I1447" s="0" t="s">
        <v>10102</v>
      </c>
    </row>
    <row r="1448" customFormat="false" ht="15" hidden="false" customHeight="false" outlineLevel="0" collapsed="false">
      <c r="A1448" s="0" t="n">
        <v>174</v>
      </c>
      <c r="B1448" s="0" t="s">
        <v>234</v>
      </c>
      <c r="C1448" s="0" t="s">
        <v>10103</v>
      </c>
      <c r="D1448" s="0" t="s">
        <v>6416</v>
      </c>
      <c r="E1448" s="0" t="s">
        <v>10104</v>
      </c>
      <c r="F1448" s="0" t="n">
        <v>6615</v>
      </c>
      <c r="G1448" s="0" t="s">
        <v>277</v>
      </c>
      <c r="H1448" s="0" t="s">
        <v>270</v>
      </c>
      <c r="I1448" s="0" t="s">
        <v>10105</v>
      </c>
    </row>
    <row r="1449" customFormat="false" ht="15" hidden="false" customHeight="false" outlineLevel="0" collapsed="false">
      <c r="A1449" s="0" t="n">
        <v>147</v>
      </c>
      <c r="B1449" s="0" t="s">
        <v>203</v>
      </c>
      <c r="C1449" s="0" t="s">
        <v>10106</v>
      </c>
      <c r="D1449" s="0" t="s">
        <v>6416</v>
      </c>
      <c r="E1449" s="0" t="s">
        <v>10107</v>
      </c>
      <c r="F1449" s="0" t="n">
        <v>1366</v>
      </c>
      <c r="G1449" s="0" t="s">
        <v>277</v>
      </c>
      <c r="H1449" s="0" t="s">
        <v>270</v>
      </c>
      <c r="I1449" s="0" t="s">
        <v>10108</v>
      </c>
    </row>
    <row r="1450" customFormat="false" ht="15" hidden="false" customHeight="false" outlineLevel="0" collapsed="false">
      <c r="A1450" s="0" t="n">
        <v>93</v>
      </c>
      <c r="B1450" s="0" t="s">
        <v>146</v>
      </c>
      <c r="C1450" s="0" t="s">
        <v>10109</v>
      </c>
      <c r="D1450" s="0" t="s">
        <v>6416</v>
      </c>
      <c r="E1450" s="0" t="s">
        <v>10110</v>
      </c>
      <c r="F1450" s="0" t="n">
        <v>2078</v>
      </c>
      <c r="G1450" s="0" t="s">
        <v>277</v>
      </c>
      <c r="H1450" s="0" t="s">
        <v>270</v>
      </c>
      <c r="I1450" s="0" t="s">
        <v>10111</v>
      </c>
    </row>
    <row r="1451" customFormat="false" ht="15" hidden="false" customHeight="false" outlineLevel="0" collapsed="false">
      <c r="A1451" s="0" t="n">
        <v>148</v>
      </c>
      <c r="B1451" s="0" t="s">
        <v>204</v>
      </c>
      <c r="C1451" s="0" t="s">
        <v>10112</v>
      </c>
      <c r="D1451" s="0" t="s">
        <v>6416</v>
      </c>
      <c r="E1451" s="0" t="s">
        <v>10113</v>
      </c>
      <c r="F1451" s="0" t="n">
        <v>2000</v>
      </c>
      <c r="G1451" s="0" t="s">
        <v>277</v>
      </c>
      <c r="H1451" s="0" t="s">
        <v>270</v>
      </c>
      <c r="I1451" s="0" t="s">
        <v>10114</v>
      </c>
    </row>
    <row r="1452" customFormat="false" ht="15" hidden="false" customHeight="false" outlineLevel="0" collapsed="false">
      <c r="A1452" s="0" t="n">
        <v>55</v>
      </c>
      <c r="B1452" s="0" t="s">
        <v>103</v>
      </c>
      <c r="C1452" s="0" t="s">
        <v>10115</v>
      </c>
      <c r="D1452" s="0" t="s">
        <v>6416</v>
      </c>
      <c r="E1452" s="0" t="s">
        <v>10116</v>
      </c>
      <c r="F1452" s="0" t="n">
        <v>1977</v>
      </c>
      <c r="G1452" s="0" t="s">
        <v>277</v>
      </c>
      <c r="H1452" s="0" t="s">
        <v>270</v>
      </c>
      <c r="I1452" s="0" t="s">
        <v>10117</v>
      </c>
    </row>
    <row r="1453" customFormat="false" ht="15" hidden="false" customHeight="false" outlineLevel="0" collapsed="false">
      <c r="A1453" s="0" t="n">
        <v>172</v>
      </c>
      <c r="B1453" s="0" t="s">
        <v>232</v>
      </c>
      <c r="C1453" s="0" t="s">
        <v>10118</v>
      </c>
      <c r="D1453" s="0" t="s">
        <v>6416</v>
      </c>
      <c r="E1453" s="2" t="s">
        <v>10119</v>
      </c>
      <c r="F1453" s="0" t="n">
        <v>937</v>
      </c>
      <c r="G1453" s="0" t="s">
        <v>277</v>
      </c>
      <c r="H1453" s="0" t="s">
        <v>270</v>
      </c>
      <c r="I1453" s="0" t="s">
        <v>10120</v>
      </c>
    </row>
    <row r="1454" customFormat="false" ht="15" hidden="false" customHeight="false" outlineLevel="0" collapsed="false">
      <c r="A1454" s="0" t="n">
        <v>145</v>
      </c>
      <c r="B1454" s="0" t="s">
        <v>201</v>
      </c>
      <c r="C1454" s="0" t="s">
        <v>10121</v>
      </c>
      <c r="D1454" s="0" t="s">
        <v>6560</v>
      </c>
      <c r="E1454" s="0" t="s">
        <v>10122</v>
      </c>
      <c r="F1454" s="0" t="n">
        <v>2046</v>
      </c>
      <c r="G1454" s="0" t="s">
        <v>277</v>
      </c>
      <c r="H1454" s="0" t="s">
        <v>270</v>
      </c>
      <c r="I1454" s="0" t="s">
        <v>10123</v>
      </c>
    </row>
    <row r="1455" customFormat="false" ht="15" hidden="false" customHeight="false" outlineLevel="0" collapsed="false">
      <c r="A1455" s="0" t="n">
        <v>30</v>
      </c>
      <c r="B1455" s="0" t="s">
        <v>70</v>
      </c>
      <c r="C1455" s="0" t="s">
        <v>10124</v>
      </c>
      <c r="D1455" s="0" t="s">
        <v>6425</v>
      </c>
      <c r="E1455" s="0" t="s">
        <v>10125</v>
      </c>
      <c r="F1455" s="0" t="n">
        <v>914</v>
      </c>
      <c r="G1455" s="0" t="s">
        <v>277</v>
      </c>
      <c r="H1455" s="0" t="s">
        <v>270</v>
      </c>
      <c r="I1455" s="0" t="s">
        <v>10126</v>
      </c>
    </row>
    <row r="1456" customFormat="false" ht="15" hidden="false" customHeight="false" outlineLevel="0" collapsed="false">
      <c r="A1456" s="0" t="n">
        <v>37</v>
      </c>
      <c r="B1456" s="0" t="s">
        <v>78</v>
      </c>
      <c r="C1456" s="0" t="s">
        <v>10127</v>
      </c>
      <c r="D1456" s="0" t="s">
        <v>6416</v>
      </c>
      <c r="E1456" s="0" t="s">
        <v>10128</v>
      </c>
      <c r="F1456" s="0" t="n">
        <v>3478</v>
      </c>
      <c r="G1456" s="0" t="s">
        <v>277</v>
      </c>
      <c r="H1456" s="0" t="s">
        <v>270</v>
      </c>
      <c r="I1456" s="0" t="s">
        <v>10129</v>
      </c>
    </row>
    <row r="1457" customFormat="false" ht="15" hidden="false" customHeight="false" outlineLevel="0" collapsed="false">
      <c r="A1457" s="0" t="n">
        <v>30</v>
      </c>
      <c r="B1457" s="0" t="s">
        <v>70</v>
      </c>
      <c r="C1457" s="0" t="s">
        <v>10130</v>
      </c>
      <c r="D1457" s="0" t="s">
        <v>6416</v>
      </c>
      <c r="E1457" s="0" t="s">
        <v>10131</v>
      </c>
      <c r="F1457" s="0" t="n">
        <v>300</v>
      </c>
      <c r="G1457" s="0" t="s">
        <v>277</v>
      </c>
      <c r="H1457" s="0" t="s">
        <v>270</v>
      </c>
      <c r="I1457" s="0" t="s">
        <v>10132</v>
      </c>
    </row>
    <row r="1458" customFormat="false" ht="15" hidden="false" customHeight="false" outlineLevel="0" collapsed="false">
      <c r="A1458" s="0" t="n">
        <v>93</v>
      </c>
      <c r="B1458" s="0" t="s">
        <v>146</v>
      </c>
      <c r="C1458" s="0" t="s">
        <v>10133</v>
      </c>
      <c r="D1458" s="0" t="s">
        <v>6416</v>
      </c>
      <c r="E1458" s="0" t="s">
        <v>10134</v>
      </c>
      <c r="F1458" s="0" t="n">
        <v>2203</v>
      </c>
      <c r="G1458" s="0" t="s">
        <v>277</v>
      </c>
      <c r="H1458" s="0" t="s">
        <v>270</v>
      </c>
      <c r="I1458" s="0" t="s">
        <v>10135</v>
      </c>
    </row>
    <row r="1459" customFormat="false" ht="15" hidden="false" customHeight="false" outlineLevel="0" collapsed="false">
      <c r="A1459" s="0" t="n">
        <v>164</v>
      </c>
      <c r="B1459" s="0" t="s">
        <v>222</v>
      </c>
      <c r="C1459" s="0" t="s">
        <v>10136</v>
      </c>
      <c r="D1459" s="0" t="s">
        <v>91</v>
      </c>
      <c r="E1459" s="0" t="s">
        <v>10137</v>
      </c>
      <c r="F1459" s="0" t="n">
        <v>2967</v>
      </c>
      <c r="G1459" s="0" t="s">
        <v>277</v>
      </c>
      <c r="H1459" s="0" t="s">
        <v>270</v>
      </c>
      <c r="I1459" s="0" t="s">
        <v>10138</v>
      </c>
    </row>
    <row r="1460" customFormat="false" ht="15" hidden="false" customHeight="false" outlineLevel="0" collapsed="false">
      <c r="A1460" s="0" t="n">
        <v>123</v>
      </c>
      <c r="B1460" s="0" t="s">
        <v>178</v>
      </c>
      <c r="C1460" s="0" t="s">
        <v>10139</v>
      </c>
      <c r="D1460" s="0" t="s">
        <v>6416</v>
      </c>
      <c r="E1460" s="0" t="s">
        <v>10140</v>
      </c>
      <c r="F1460" s="0" t="n">
        <v>1011</v>
      </c>
      <c r="G1460" s="0" t="s">
        <v>277</v>
      </c>
      <c r="H1460" s="0" t="s">
        <v>270</v>
      </c>
      <c r="I1460" s="0" t="s">
        <v>10141</v>
      </c>
    </row>
    <row r="1461" customFormat="false" ht="15" hidden="false" customHeight="false" outlineLevel="0" collapsed="false">
      <c r="A1461" s="0" t="n">
        <v>178</v>
      </c>
      <c r="B1461" s="0" t="s">
        <v>239</v>
      </c>
      <c r="C1461" s="0" t="s">
        <v>10142</v>
      </c>
      <c r="D1461" s="0" t="s">
        <v>6416</v>
      </c>
      <c r="E1461" s="0" t="s">
        <v>10143</v>
      </c>
      <c r="F1461" s="0" t="n">
        <v>1855</v>
      </c>
      <c r="G1461" s="0" t="s">
        <v>277</v>
      </c>
      <c r="H1461" s="0" t="s">
        <v>270</v>
      </c>
      <c r="I1461" s="0" t="s">
        <v>10144</v>
      </c>
    </row>
    <row r="1462" customFormat="false" ht="15" hidden="false" customHeight="false" outlineLevel="0" collapsed="false">
      <c r="A1462" s="0" t="n">
        <v>62</v>
      </c>
      <c r="B1462" s="0" t="s">
        <v>113</v>
      </c>
      <c r="C1462" s="0" t="s">
        <v>10145</v>
      </c>
      <c r="D1462" s="0" t="s">
        <v>6416</v>
      </c>
      <c r="E1462" s="0" t="s">
        <v>10146</v>
      </c>
      <c r="F1462" s="0" t="n">
        <v>279</v>
      </c>
      <c r="G1462" s="0" t="s">
        <v>277</v>
      </c>
      <c r="H1462" s="0" t="s">
        <v>270</v>
      </c>
      <c r="I1462" s="0" t="s">
        <v>10147</v>
      </c>
    </row>
    <row r="1463" customFormat="false" ht="15" hidden="false" customHeight="false" outlineLevel="0" collapsed="false">
      <c r="A1463" s="0" t="n">
        <v>9</v>
      </c>
      <c r="B1463" s="0" t="s">
        <v>42</v>
      </c>
      <c r="C1463" s="0" t="s">
        <v>10148</v>
      </c>
      <c r="D1463" s="0" t="s">
        <v>91</v>
      </c>
      <c r="E1463" s="0" t="s">
        <v>10149</v>
      </c>
      <c r="F1463" s="0" t="n">
        <v>1765</v>
      </c>
      <c r="G1463" s="0" t="s">
        <v>277</v>
      </c>
      <c r="H1463" s="0" t="s">
        <v>270</v>
      </c>
      <c r="I1463" s="0" t="s">
        <v>10150</v>
      </c>
    </row>
    <row r="1464" customFormat="false" ht="15" hidden="false" customHeight="false" outlineLevel="0" collapsed="false">
      <c r="A1464" s="0" t="n">
        <v>93</v>
      </c>
      <c r="B1464" s="0" t="s">
        <v>146</v>
      </c>
      <c r="C1464" s="0" t="s">
        <v>10151</v>
      </c>
      <c r="D1464" s="0" t="s">
        <v>6416</v>
      </c>
      <c r="E1464" s="0" t="s">
        <v>10152</v>
      </c>
      <c r="F1464" s="0" t="n">
        <v>2499</v>
      </c>
      <c r="G1464" s="0" t="s">
        <v>277</v>
      </c>
      <c r="H1464" s="0" t="s">
        <v>270</v>
      </c>
      <c r="I1464" s="0" t="s">
        <v>10153</v>
      </c>
    </row>
    <row r="1465" customFormat="false" ht="15" hidden="false" customHeight="false" outlineLevel="0" collapsed="false">
      <c r="A1465" s="0" t="n">
        <v>114</v>
      </c>
      <c r="B1465" s="0" t="s">
        <v>168</v>
      </c>
      <c r="C1465" s="0" t="s">
        <v>10154</v>
      </c>
      <c r="D1465" s="0" t="s">
        <v>6416</v>
      </c>
      <c r="E1465" s="0" t="s">
        <v>10155</v>
      </c>
      <c r="F1465" s="0" t="n">
        <v>2984</v>
      </c>
      <c r="G1465" s="0" t="s">
        <v>277</v>
      </c>
      <c r="H1465" s="0" t="s">
        <v>270</v>
      </c>
      <c r="I1465" s="0" t="s">
        <v>10156</v>
      </c>
    </row>
    <row r="1466" customFormat="false" ht="15" hidden="false" customHeight="false" outlineLevel="0" collapsed="false">
      <c r="A1466" s="0" t="n">
        <v>2</v>
      </c>
      <c r="B1466" s="0" t="s">
        <v>29</v>
      </c>
      <c r="C1466" s="0" t="s">
        <v>10157</v>
      </c>
      <c r="D1466" s="0" t="s">
        <v>6416</v>
      </c>
      <c r="E1466" s="0" t="s">
        <v>10158</v>
      </c>
      <c r="F1466" s="0" t="n">
        <v>2663</v>
      </c>
      <c r="G1466" s="0" t="s">
        <v>277</v>
      </c>
      <c r="H1466" s="0" t="s">
        <v>270</v>
      </c>
      <c r="I1466" s="0" t="s">
        <v>10159</v>
      </c>
    </row>
    <row r="1467" customFormat="false" ht="15" hidden="false" customHeight="false" outlineLevel="0" collapsed="false">
      <c r="A1467" s="0" t="n">
        <v>134</v>
      </c>
      <c r="B1467" s="0" t="s">
        <v>190</v>
      </c>
      <c r="C1467" s="0" t="s">
        <v>10160</v>
      </c>
      <c r="D1467" s="0" t="s">
        <v>6416</v>
      </c>
      <c r="E1467" s="0" t="s">
        <v>10161</v>
      </c>
      <c r="F1467" s="0" t="n">
        <v>1164</v>
      </c>
      <c r="G1467" s="0" t="s">
        <v>277</v>
      </c>
      <c r="H1467" s="0" t="s">
        <v>270</v>
      </c>
      <c r="I1467" s="0" t="s">
        <v>10162</v>
      </c>
    </row>
    <row r="1468" customFormat="false" ht="15" hidden="false" customHeight="false" outlineLevel="0" collapsed="false">
      <c r="A1468" s="0" t="n">
        <v>166</v>
      </c>
      <c r="B1468" s="0" t="s">
        <v>225</v>
      </c>
      <c r="C1468" s="0" t="s">
        <v>10163</v>
      </c>
      <c r="D1468" s="0" t="s">
        <v>91</v>
      </c>
      <c r="E1468" s="0" t="s">
        <v>10164</v>
      </c>
      <c r="F1468" s="0" t="n">
        <v>1444</v>
      </c>
      <c r="G1468" s="0" t="s">
        <v>277</v>
      </c>
      <c r="H1468" s="0" t="s">
        <v>270</v>
      </c>
      <c r="I1468" s="0" t="s">
        <v>10165</v>
      </c>
    </row>
    <row r="1469" customFormat="false" ht="15" hidden="false" customHeight="false" outlineLevel="0" collapsed="false">
      <c r="A1469" s="0" t="n">
        <v>141</v>
      </c>
      <c r="B1469" s="0" t="s">
        <v>197</v>
      </c>
      <c r="C1469" s="0" t="s">
        <v>10166</v>
      </c>
      <c r="D1469" s="0" t="s">
        <v>6416</v>
      </c>
      <c r="E1469" s="0" t="s">
        <v>10167</v>
      </c>
      <c r="F1469" s="0" t="n">
        <v>7937</v>
      </c>
      <c r="G1469" s="0" t="s">
        <v>277</v>
      </c>
      <c r="H1469" s="0" t="s">
        <v>270</v>
      </c>
      <c r="I1469" s="0" t="s">
        <v>10168</v>
      </c>
    </row>
    <row r="1470" customFormat="false" ht="15" hidden="false" customHeight="false" outlineLevel="0" collapsed="false">
      <c r="A1470" s="0" t="n">
        <v>149</v>
      </c>
      <c r="B1470" s="0" t="s">
        <v>206</v>
      </c>
      <c r="C1470" s="0" t="s">
        <v>10169</v>
      </c>
      <c r="D1470" s="0" t="s">
        <v>6416</v>
      </c>
      <c r="E1470" s="0" t="s">
        <v>10170</v>
      </c>
      <c r="F1470" s="0" t="n">
        <v>705</v>
      </c>
      <c r="G1470" s="0" t="s">
        <v>277</v>
      </c>
      <c r="H1470" s="0" t="s">
        <v>270</v>
      </c>
      <c r="I1470" s="0" t="s">
        <v>10171</v>
      </c>
    </row>
    <row r="1471" customFormat="false" ht="15" hidden="false" customHeight="false" outlineLevel="0" collapsed="false">
      <c r="A1471" s="0" t="n">
        <v>135</v>
      </c>
      <c r="B1471" s="0" t="s">
        <v>191</v>
      </c>
      <c r="C1471" s="0" t="s">
        <v>10172</v>
      </c>
      <c r="D1471" s="0" t="s">
        <v>6416</v>
      </c>
      <c r="E1471" s="0" t="s">
        <v>10173</v>
      </c>
      <c r="F1471" s="0" t="n">
        <v>2479</v>
      </c>
      <c r="G1471" s="0" t="s">
        <v>277</v>
      </c>
      <c r="H1471" s="0" t="s">
        <v>270</v>
      </c>
      <c r="I1471" s="0" t="s">
        <v>10174</v>
      </c>
    </row>
    <row r="1472" customFormat="false" ht="15" hidden="false" customHeight="false" outlineLevel="0" collapsed="false">
      <c r="A1472" s="0" t="n">
        <v>78</v>
      </c>
      <c r="B1472" s="0" t="s">
        <v>129</v>
      </c>
      <c r="C1472" s="0" t="s">
        <v>10175</v>
      </c>
      <c r="D1472" s="0" t="s">
        <v>6416</v>
      </c>
      <c r="E1472" s="0" t="s">
        <v>10176</v>
      </c>
      <c r="F1472" s="0" t="n">
        <v>1602</v>
      </c>
      <c r="G1472" s="0" t="s">
        <v>277</v>
      </c>
      <c r="H1472" s="0" t="s">
        <v>270</v>
      </c>
      <c r="I1472" s="0" t="s">
        <v>10177</v>
      </c>
    </row>
    <row r="1473" customFormat="false" ht="15" hidden="false" customHeight="false" outlineLevel="0" collapsed="false">
      <c r="A1473" s="0" t="n">
        <v>135</v>
      </c>
      <c r="B1473" s="0" t="s">
        <v>191</v>
      </c>
      <c r="C1473" s="0" t="s">
        <v>10178</v>
      </c>
      <c r="D1473" s="0" t="s">
        <v>6416</v>
      </c>
      <c r="E1473" s="0" t="s">
        <v>10179</v>
      </c>
      <c r="F1473" s="0" t="n">
        <v>2088</v>
      </c>
      <c r="G1473" s="0" t="s">
        <v>277</v>
      </c>
      <c r="H1473" s="0" t="s">
        <v>270</v>
      </c>
      <c r="I1473" s="0" t="s">
        <v>10180</v>
      </c>
    </row>
    <row r="1474" customFormat="false" ht="15" hidden="false" customHeight="false" outlineLevel="0" collapsed="false">
      <c r="A1474" s="0" t="n">
        <v>12</v>
      </c>
      <c r="B1474" s="0" t="s">
        <v>45</v>
      </c>
      <c r="C1474" s="0" t="s">
        <v>10181</v>
      </c>
      <c r="D1474" s="0" t="s">
        <v>6416</v>
      </c>
      <c r="E1474" s="0" t="s">
        <v>10182</v>
      </c>
      <c r="F1474" s="0" t="n">
        <v>5475</v>
      </c>
      <c r="G1474" s="0" t="s">
        <v>277</v>
      </c>
      <c r="H1474" s="0" t="s">
        <v>270</v>
      </c>
      <c r="I1474" s="0" t="s">
        <v>10183</v>
      </c>
    </row>
    <row r="1475" customFormat="false" ht="15" hidden="false" customHeight="false" outlineLevel="0" collapsed="false">
      <c r="A1475" s="0" t="n">
        <v>65</v>
      </c>
      <c r="B1475" s="0" t="s">
        <v>116</v>
      </c>
      <c r="C1475" s="0" t="s">
        <v>10184</v>
      </c>
      <c r="D1475" s="0" t="s">
        <v>6416</v>
      </c>
      <c r="E1475" s="0" t="s">
        <v>10185</v>
      </c>
      <c r="F1475" s="0" t="n">
        <v>339</v>
      </c>
      <c r="G1475" s="0" t="s">
        <v>277</v>
      </c>
      <c r="H1475" s="0" t="s">
        <v>270</v>
      </c>
      <c r="I1475" s="0" t="s">
        <v>10186</v>
      </c>
    </row>
    <row r="1476" customFormat="false" ht="15" hidden="false" customHeight="false" outlineLevel="0" collapsed="false">
      <c r="A1476" s="0" t="n">
        <v>178</v>
      </c>
      <c r="B1476" s="0" t="s">
        <v>239</v>
      </c>
      <c r="C1476" s="0" t="s">
        <v>10187</v>
      </c>
      <c r="D1476" s="0" t="s">
        <v>6416</v>
      </c>
      <c r="E1476" s="0" t="s">
        <v>10188</v>
      </c>
      <c r="F1476" s="0" t="n">
        <v>2184</v>
      </c>
      <c r="G1476" s="0" t="s">
        <v>277</v>
      </c>
      <c r="H1476" s="0" t="s">
        <v>270</v>
      </c>
      <c r="I1476" s="0" t="s">
        <v>10189</v>
      </c>
    </row>
    <row r="1477" customFormat="false" ht="15" hidden="false" customHeight="false" outlineLevel="0" collapsed="false">
      <c r="A1477" s="0" t="n">
        <v>94</v>
      </c>
      <c r="B1477" s="0" t="s">
        <v>147</v>
      </c>
      <c r="C1477" s="0" t="s">
        <v>10190</v>
      </c>
      <c r="D1477" s="0" t="s">
        <v>6416</v>
      </c>
      <c r="E1477" s="0" t="s">
        <v>10191</v>
      </c>
      <c r="F1477" s="0" t="n">
        <v>329</v>
      </c>
      <c r="G1477" s="0" t="s">
        <v>277</v>
      </c>
      <c r="H1477" s="0" t="s">
        <v>270</v>
      </c>
      <c r="I1477" s="0" t="s">
        <v>10192</v>
      </c>
    </row>
    <row r="1478" customFormat="false" ht="15" hidden="false" customHeight="false" outlineLevel="0" collapsed="false">
      <c r="A1478" s="0" t="n">
        <v>44</v>
      </c>
      <c r="B1478" s="0" t="s">
        <v>88</v>
      </c>
      <c r="C1478" s="0" t="s">
        <v>10193</v>
      </c>
      <c r="D1478" s="0" t="s">
        <v>6416</v>
      </c>
      <c r="E1478" s="0" t="s">
        <v>10194</v>
      </c>
      <c r="F1478" s="0" t="n">
        <v>352</v>
      </c>
      <c r="G1478" s="0" t="s">
        <v>277</v>
      </c>
      <c r="H1478" s="0" t="s">
        <v>270</v>
      </c>
      <c r="I1478" s="0" t="s">
        <v>10195</v>
      </c>
    </row>
    <row r="1479" customFormat="false" ht="15" hidden="false" customHeight="false" outlineLevel="0" collapsed="false">
      <c r="A1479" s="0" t="n">
        <v>150</v>
      </c>
      <c r="B1479" s="0" t="s">
        <v>207</v>
      </c>
      <c r="C1479" s="0" t="s">
        <v>10196</v>
      </c>
      <c r="D1479" s="0" t="s">
        <v>6416</v>
      </c>
      <c r="E1479" s="0" t="s">
        <v>10197</v>
      </c>
      <c r="F1479" s="0" t="n">
        <v>2683</v>
      </c>
      <c r="G1479" s="0" t="s">
        <v>277</v>
      </c>
      <c r="H1479" s="0" t="s">
        <v>270</v>
      </c>
      <c r="I1479" s="0" t="s">
        <v>10198</v>
      </c>
    </row>
    <row r="1480" customFormat="false" ht="15" hidden="false" customHeight="false" outlineLevel="0" collapsed="false">
      <c r="A1480" s="0" t="n">
        <v>135</v>
      </c>
      <c r="B1480" s="0" t="s">
        <v>191</v>
      </c>
      <c r="C1480" s="0" t="s">
        <v>10199</v>
      </c>
      <c r="D1480" s="0" t="s">
        <v>6416</v>
      </c>
      <c r="E1480" s="0" t="s">
        <v>10200</v>
      </c>
      <c r="F1480" s="0" t="n">
        <v>3434</v>
      </c>
      <c r="G1480" s="0" t="s">
        <v>277</v>
      </c>
      <c r="H1480" s="0" t="s">
        <v>270</v>
      </c>
      <c r="I1480" s="0" t="s">
        <v>10201</v>
      </c>
    </row>
    <row r="1481" customFormat="false" ht="15" hidden="false" customHeight="false" outlineLevel="0" collapsed="false">
      <c r="A1481" s="0" t="n">
        <v>100</v>
      </c>
      <c r="B1481" s="0" t="s">
        <v>154</v>
      </c>
      <c r="C1481" s="0" t="s">
        <v>10202</v>
      </c>
      <c r="D1481" s="0" t="s">
        <v>6416</v>
      </c>
      <c r="E1481" s="0" t="s">
        <v>10203</v>
      </c>
      <c r="F1481" s="0" t="n">
        <v>11179</v>
      </c>
      <c r="G1481" s="0" t="s">
        <v>277</v>
      </c>
      <c r="H1481" s="0" t="s">
        <v>270</v>
      </c>
      <c r="I1481" s="0" t="s">
        <v>10204</v>
      </c>
    </row>
    <row r="1482" customFormat="false" ht="15" hidden="false" customHeight="false" outlineLevel="0" collapsed="false">
      <c r="A1482" s="0" t="n">
        <v>69</v>
      </c>
      <c r="B1482" s="0" t="s">
        <v>120</v>
      </c>
      <c r="C1482" s="0" t="s">
        <v>10205</v>
      </c>
      <c r="D1482" s="0" t="s">
        <v>6416</v>
      </c>
      <c r="E1482" s="0" t="s">
        <v>10206</v>
      </c>
      <c r="F1482" s="0" t="n">
        <v>4261</v>
      </c>
      <c r="G1482" s="0" t="s">
        <v>277</v>
      </c>
      <c r="H1482" s="0" t="s">
        <v>270</v>
      </c>
      <c r="I1482" s="0" t="s">
        <v>10207</v>
      </c>
    </row>
    <row r="1483" customFormat="false" ht="15" hidden="false" customHeight="false" outlineLevel="0" collapsed="false">
      <c r="A1483" s="0" t="n">
        <v>3</v>
      </c>
      <c r="B1483" s="0" t="s">
        <v>32</v>
      </c>
      <c r="C1483" s="0" t="s">
        <v>10208</v>
      </c>
      <c r="D1483" s="0" t="s">
        <v>6416</v>
      </c>
      <c r="E1483" s="0" t="s">
        <v>10209</v>
      </c>
      <c r="F1483" s="0" t="n">
        <v>5154</v>
      </c>
      <c r="G1483" s="0" t="s">
        <v>277</v>
      </c>
      <c r="H1483" s="0" t="s">
        <v>270</v>
      </c>
      <c r="I1483" s="0" t="s">
        <v>10210</v>
      </c>
    </row>
    <row r="1484" customFormat="false" ht="15" hidden="false" customHeight="false" outlineLevel="0" collapsed="false">
      <c r="A1484" s="0" t="n">
        <v>3</v>
      </c>
      <c r="B1484" s="0" t="s">
        <v>32</v>
      </c>
      <c r="C1484" s="0" t="s">
        <v>10211</v>
      </c>
      <c r="D1484" s="0" t="s">
        <v>6416</v>
      </c>
      <c r="E1484" s="2" t="s">
        <v>10212</v>
      </c>
      <c r="F1484" s="0" t="n">
        <v>2418</v>
      </c>
      <c r="G1484" s="0" t="s">
        <v>277</v>
      </c>
      <c r="H1484" s="0" t="s">
        <v>270</v>
      </c>
      <c r="I1484" s="0" t="s">
        <v>10213</v>
      </c>
    </row>
    <row r="1485" customFormat="false" ht="15" hidden="false" customHeight="false" outlineLevel="0" collapsed="false">
      <c r="A1485" s="0" t="n">
        <v>26</v>
      </c>
      <c r="B1485" s="0" t="s">
        <v>65</v>
      </c>
      <c r="C1485" s="0" t="s">
        <v>10214</v>
      </c>
      <c r="D1485" s="0" t="s">
        <v>6416</v>
      </c>
      <c r="E1485" s="0" t="s">
        <v>10215</v>
      </c>
      <c r="F1485" s="0" t="n">
        <v>14894</v>
      </c>
      <c r="G1485" s="0" t="s">
        <v>277</v>
      </c>
      <c r="H1485" s="0" t="s">
        <v>270</v>
      </c>
      <c r="I1485" s="0" t="s">
        <v>10216</v>
      </c>
    </row>
    <row r="1486" customFormat="false" ht="15" hidden="false" customHeight="false" outlineLevel="0" collapsed="false">
      <c r="A1486" s="0" t="n">
        <v>154</v>
      </c>
      <c r="B1486" s="0" t="s">
        <v>211</v>
      </c>
      <c r="C1486" s="0" t="s">
        <v>10217</v>
      </c>
      <c r="D1486" s="0" t="s">
        <v>6416</v>
      </c>
      <c r="E1486" s="2" t="s">
        <v>10218</v>
      </c>
      <c r="F1486" s="0" t="n">
        <v>2411</v>
      </c>
      <c r="G1486" s="0" t="s">
        <v>277</v>
      </c>
      <c r="H1486" s="0" t="s">
        <v>270</v>
      </c>
      <c r="I1486" s="0" t="s">
        <v>10219</v>
      </c>
    </row>
    <row r="1487" customFormat="false" ht="15" hidden="false" customHeight="false" outlineLevel="0" collapsed="false">
      <c r="A1487" s="0" t="n">
        <v>3</v>
      </c>
      <c r="B1487" s="0" t="s">
        <v>32</v>
      </c>
      <c r="C1487" s="0" t="s">
        <v>10220</v>
      </c>
      <c r="D1487" s="0" t="s">
        <v>6416</v>
      </c>
      <c r="E1487" s="0" t="s">
        <v>10221</v>
      </c>
      <c r="F1487" s="0" t="n">
        <v>5442</v>
      </c>
      <c r="G1487" s="0" t="s">
        <v>277</v>
      </c>
      <c r="H1487" s="0" t="s">
        <v>270</v>
      </c>
      <c r="I1487" s="0" t="s">
        <v>10222</v>
      </c>
    </row>
    <row r="1488" customFormat="false" ht="15" hidden="false" customHeight="false" outlineLevel="0" collapsed="false">
      <c r="A1488" s="0" t="n">
        <v>100</v>
      </c>
      <c r="B1488" s="0" t="s">
        <v>154</v>
      </c>
      <c r="C1488" s="0" t="s">
        <v>10223</v>
      </c>
      <c r="D1488" s="0" t="s">
        <v>6416</v>
      </c>
      <c r="E1488" s="0" t="s">
        <v>10224</v>
      </c>
      <c r="F1488" s="0" t="n">
        <v>12106</v>
      </c>
      <c r="G1488" s="0" t="s">
        <v>277</v>
      </c>
      <c r="H1488" s="0" t="s">
        <v>270</v>
      </c>
      <c r="I1488" s="0" t="s">
        <v>10225</v>
      </c>
    </row>
    <row r="1489" customFormat="false" ht="15" hidden="false" customHeight="false" outlineLevel="0" collapsed="false">
      <c r="A1489" s="0" t="n">
        <v>69</v>
      </c>
      <c r="B1489" s="0" t="s">
        <v>120</v>
      </c>
      <c r="C1489" s="0" t="s">
        <v>10226</v>
      </c>
      <c r="D1489" s="0" t="s">
        <v>6416</v>
      </c>
      <c r="E1489" s="2" t="s">
        <v>10227</v>
      </c>
      <c r="F1489" s="0" t="n">
        <v>1886</v>
      </c>
      <c r="G1489" s="0" t="s">
        <v>277</v>
      </c>
      <c r="H1489" s="0" t="s">
        <v>270</v>
      </c>
      <c r="I1489" s="0" t="s">
        <v>10228</v>
      </c>
    </row>
    <row r="1490" customFormat="false" ht="15" hidden="false" customHeight="false" outlineLevel="0" collapsed="false">
      <c r="A1490" s="0" t="n">
        <v>69</v>
      </c>
      <c r="B1490" s="0" t="s">
        <v>120</v>
      </c>
      <c r="C1490" s="0" t="s">
        <v>10229</v>
      </c>
      <c r="D1490" s="0" t="s">
        <v>6416</v>
      </c>
      <c r="E1490" s="0" t="s">
        <v>10230</v>
      </c>
      <c r="F1490" s="0" t="n">
        <v>4199</v>
      </c>
      <c r="G1490" s="0" t="s">
        <v>277</v>
      </c>
      <c r="H1490" s="0" t="s">
        <v>270</v>
      </c>
      <c r="I1490" s="0" t="s">
        <v>10231</v>
      </c>
    </row>
    <row r="1491" customFormat="false" ht="15" hidden="false" customHeight="false" outlineLevel="0" collapsed="false">
      <c r="A1491" s="0" t="n">
        <v>140</v>
      </c>
      <c r="B1491" s="0" t="s">
        <v>196</v>
      </c>
      <c r="C1491" s="0" t="s">
        <v>10232</v>
      </c>
      <c r="D1491" s="0" t="s">
        <v>6416</v>
      </c>
      <c r="E1491" s="0" t="s">
        <v>10233</v>
      </c>
      <c r="F1491" s="0" t="n">
        <v>2903</v>
      </c>
      <c r="G1491" s="0" t="s">
        <v>277</v>
      </c>
      <c r="H1491" s="0" t="s">
        <v>270</v>
      </c>
      <c r="I1491" s="0" t="s">
        <v>10234</v>
      </c>
    </row>
    <row r="1492" customFormat="false" ht="15" hidden="false" customHeight="false" outlineLevel="0" collapsed="false">
      <c r="A1492" s="0" t="n">
        <v>56</v>
      </c>
      <c r="B1492" s="0" t="s">
        <v>104</v>
      </c>
      <c r="C1492" s="0" t="s">
        <v>10235</v>
      </c>
      <c r="D1492" s="0" t="s">
        <v>6416</v>
      </c>
      <c r="E1492" s="0" t="s">
        <v>10236</v>
      </c>
      <c r="F1492" s="0" t="n">
        <v>2903</v>
      </c>
      <c r="G1492" s="0" t="s">
        <v>277</v>
      </c>
      <c r="H1492" s="0" t="s">
        <v>270</v>
      </c>
      <c r="I1492" s="0" t="s">
        <v>10237</v>
      </c>
    </row>
    <row r="1493" customFormat="false" ht="15" hidden="false" customHeight="false" outlineLevel="0" collapsed="false">
      <c r="A1493" s="0" t="n">
        <v>18</v>
      </c>
      <c r="B1493" s="0" t="s">
        <v>54</v>
      </c>
      <c r="C1493" s="0" t="s">
        <v>10238</v>
      </c>
      <c r="D1493" s="0" t="s">
        <v>6416</v>
      </c>
      <c r="E1493" s="0" t="s">
        <v>10239</v>
      </c>
      <c r="F1493" s="0" t="n">
        <v>2903</v>
      </c>
      <c r="G1493" s="0" t="s">
        <v>277</v>
      </c>
      <c r="H1493" s="0" t="s">
        <v>270</v>
      </c>
      <c r="I1493" s="0" t="s">
        <v>10240</v>
      </c>
    </row>
    <row r="1494" customFormat="false" ht="15" hidden="false" customHeight="false" outlineLevel="0" collapsed="false">
      <c r="A1494" s="0" t="n">
        <v>154</v>
      </c>
      <c r="B1494" s="0" t="s">
        <v>211</v>
      </c>
      <c r="C1494" s="0" t="s">
        <v>10241</v>
      </c>
      <c r="D1494" s="0" t="s">
        <v>6416</v>
      </c>
      <c r="E1494" s="0" t="s">
        <v>10242</v>
      </c>
      <c r="F1494" s="0" t="n">
        <v>5664</v>
      </c>
      <c r="G1494" s="0" t="s">
        <v>277</v>
      </c>
      <c r="H1494" s="0" t="s">
        <v>270</v>
      </c>
      <c r="I1494" s="0" t="s">
        <v>10243</v>
      </c>
    </row>
    <row r="1495" customFormat="false" ht="15" hidden="false" customHeight="false" outlineLevel="0" collapsed="false">
      <c r="A1495" s="0" t="n">
        <v>153</v>
      </c>
      <c r="B1495" s="0" t="s">
        <v>210</v>
      </c>
      <c r="C1495" s="0" t="s">
        <v>10244</v>
      </c>
      <c r="D1495" s="0" t="s">
        <v>6560</v>
      </c>
      <c r="E1495" s="0" t="s">
        <v>10245</v>
      </c>
      <c r="F1495" s="0" t="n">
        <v>2903</v>
      </c>
      <c r="G1495" s="0" t="s">
        <v>277</v>
      </c>
      <c r="H1495" s="0" t="s">
        <v>270</v>
      </c>
      <c r="I1495" s="0" t="s">
        <v>10246</v>
      </c>
    </row>
    <row r="1496" customFormat="false" ht="15" hidden="false" customHeight="false" outlineLevel="0" collapsed="false">
      <c r="A1496" s="0" t="n">
        <v>158</v>
      </c>
      <c r="B1496" s="0" t="s">
        <v>216</v>
      </c>
      <c r="C1496" s="0" t="s">
        <v>10247</v>
      </c>
      <c r="D1496" s="0" t="s">
        <v>6416</v>
      </c>
      <c r="E1496" s="0" t="s">
        <v>10248</v>
      </c>
      <c r="F1496" s="0" t="n">
        <v>2903</v>
      </c>
      <c r="G1496" s="0" t="s">
        <v>277</v>
      </c>
      <c r="H1496" s="0" t="s">
        <v>270</v>
      </c>
      <c r="I1496" s="0" t="s">
        <v>10249</v>
      </c>
    </row>
    <row r="1497" customFormat="false" ht="15" hidden="false" customHeight="false" outlineLevel="0" collapsed="false">
      <c r="A1497" s="0" t="n">
        <v>151</v>
      </c>
      <c r="B1497" s="0" t="s">
        <v>208</v>
      </c>
      <c r="C1497" s="0" t="s">
        <v>10250</v>
      </c>
      <c r="D1497" s="0" t="s">
        <v>6416</v>
      </c>
      <c r="E1497" s="0" t="s">
        <v>10251</v>
      </c>
      <c r="F1497" s="0" t="n">
        <v>1444</v>
      </c>
      <c r="G1497" s="0" t="s">
        <v>277</v>
      </c>
      <c r="H1497" s="0" t="s">
        <v>270</v>
      </c>
      <c r="I1497" s="0" t="s">
        <v>10252</v>
      </c>
    </row>
    <row r="1498" customFormat="false" ht="15" hidden="false" customHeight="false" outlineLevel="0" collapsed="false">
      <c r="A1498" s="0" t="n">
        <v>136</v>
      </c>
      <c r="B1498" s="0" t="s">
        <v>192</v>
      </c>
      <c r="C1498" s="0" t="s">
        <v>10253</v>
      </c>
      <c r="D1498" s="0" t="s">
        <v>6416</v>
      </c>
      <c r="E1498" s="0" t="s">
        <v>10254</v>
      </c>
      <c r="F1498" s="0" t="n">
        <v>2903</v>
      </c>
      <c r="G1498" s="0" t="s">
        <v>277</v>
      </c>
      <c r="H1498" s="0" t="s">
        <v>270</v>
      </c>
      <c r="I1498" s="0" t="s">
        <v>10255</v>
      </c>
    </row>
    <row r="1499" customFormat="false" ht="15" hidden="false" customHeight="false" outlineLevel="0" collapsed="false">
      <c r="A1499" s="0" t="n">
        <v>106</v>
      </c>
      <c r="B1499" s="0" t="s">
        <v>160</v>
      </c>
      <c r="C1499" s="0" t="s">
        <v>10256</v>
      </c>
      <c r="D1499" s="0" t="s">
        <v>6425</v>
      </c>
      <c r="E1499" s="0" t="s">
        <v>10257</v>
      </c>
      <c r="F1499" s="0" t="n">
        <v>1554</v>
      </c>
      <c r="G1499" s="0" t="s">
        <v>277</v>
      </c>
      <c r="H1499" s="0" t="s">
        <v>270</v>
      </c>
      <c r="I1499" s="0" t="s">
        <v>10258</v>
      </c>
    </row>
    <row r="1500" customFormat="false" ht="15" hidden="false" customHeight="false" outlineLevel="0" collapsed="false">
      <c r="A1500" s="0" t="n">
        <v>145</v>
      </c>
      <c r="B1500" s="0" t="s">
        <v>201</v>
      </c>
      <c r="C1500" s="0" t="s">
        <v>10259</v>
      </c>
      <c r="D1500" s="0" t="s">
        <v>6560</v>
      </c>
      <c r="E1500" s="0" t="s">
        <v>10260</v>
      </c>
      <c r="F1500" s="0" t="n">
        <v>2903</v>
      </c>
      <c r="G1500" s="0" t="s">
        <v>277</v>
      </c>
      <c r="H1500" s="0" t="s">
        <v>270</v>
      </c>
      <c r="I1500" s="0" t="s">
        <v>10261</v>
      </c>
    </row>
    <row r="1501" customFormat="false" ht="15" hidden="false" customHeight="false" outlineLevel="0" collapsed="false">
      <c r="A1501" s="0" t="n">
        <v>37</v>
      </c>
      <c r="B1501" s="0" t="s">
        <v>78</v>
      </c>
      <c r="C1501" s="0" t="s">
        <v>10262</v>
      </c>
      <c r="D1501" s="0" t="s">
        <v>6416</v>
      </c>
      <c r="E1501" s="0" t="s">
        <v>10263</v>
      </c>
      <c r="F1501" s="0" t="n">
        <v>2903</v>
      </c>
      <c r="G1501" s="0" t="s">
        <v>277</v>
      </c>
      <c r="H1501" s="0" t="s">
        <v>270</v>
      </c>
      <c r="I1501" s="0" t="s">
        <v>10264</v>
      </c>
    </row>
    <row r="1502" customFormat="false" ht="15" hidden="false" customHeight="false" outlineLevel="0" collapsed="false">
      <c r="A1502" s="0" t="n">
        <v>173</v>
      </c>
      <c r="B1502" s="0" t="s">
        <v>233</v>
      </c>
      <c r="C1502" s="0" t="s">
        <v>10265</v>
      </c>
      <c r="D1502" s="0" t="s">
        <v>91</v>
      </c>
      <c r="E1502" s="0" t="s">
        <v>10266</v>
      </c>
      <c r="F1502" s="0" t="n">
        <v>6118</v>
      </c>
      <c r="G1502" s="0" t="s">
        <v>277</v>
      </c>
      <c r="H1502" s="0" t="s">
        <v>270</v>
      </c>
      <c r="I1502" s="0" t="s">
        <v>10267</v>
      </c>
    </row>
    <row r="1503" customFormat="false" ht="15" hidden="false" customHeight="false" outlineLevel="0" collapsed="false">
      <c r="A1503" s="0" t="n">
        <v>66</v>
      </c>
      <c r="B1503" s="0" t="s">
        <v>117</v>
      </c>
      <c r="C1503" s="0" t="s">
        <v>10268</v>
      </c>
      <c r="D1503" s="0" t="s">
        <v>6416</v>
      </c>
      <c r="E1503" s="0" t="s">
        <v>10269</v>
      </c>
      <c r="F1503" s="0" t="n">
        <v>2903</v>
      </c>
      <c r="G1503" s="0" t="s">
        <v>277</v>
      </c>
      <c r="H1503" s="0" t="s">
        <v>270</v>
      </c>
      <c r="I1503" s="0" t="s">
        <v>10270</v>
      </c>
    </row>
    <row r="1504" customFormat="false" ht="15" hidden="false" customHeight="false" outlineLevel="0" collapsed="false">
      <c r="A1504" s="0" t="n">
        <v>18</v>
      </c>
      <c r="B1504" s="0" t="s">
        <v>54</v>
      </c>
      <c r="C1504" s="0" t="s">
        <v>10271</v>
      </c>
      <c r="D1504" s="0" t="s">
        <v>6560</v>
      </c>
      <c r="E1504" s="0" t="s">
        <v>10272</v>
      </c>
      <c r="F1504" s="0" t="n">
        <v>5658</v>
      </c>
      <c r="G1504" s="0" t="s">
        <v>277</v>
      </c>
      <c r="H1504" s="0" t="s">
        <v>270</v>
      </c>
      <c r="I1504" s="0" t="s">
        <v>10273</v>
      </c>
    </row>
    <row r="1505" customFormat="false" ht="15" hidden="false" customHeight="false" outlineLevel="0" collapsed="false">
      <c r="A1505" s="0" t="n">
        <v>180</v>
      </c>
      <c r="B1505" s="0" t="s">
        <v>241</v>
      </c>
      <c r="C1505" s="0" t="s">
        <v>10274</v>
      </c>
      <c r="D1505" s="0" t="s">
        <v>6416</v>
      </c>
      <c r="E1505" s="0" t="s">
        <v>10275</v>
      </c>
      <c r="F1505" s="0" t="n">
        <v>1858</v>
      </c>
      <c r="G1505" s="0" t="s">
        <v>277</v>
      </c>
      <c r="H1505" s="0" t="s">
        <v>270</v>
      </c>
      <c r="I1505" s="0" t="s">
        <v>10276</v>
      </c>
    </row>
    <row r="1506" customFormat="false" ht="15" hidden="false" customHeight="false" outlineLevel="0" collapsed="false">
      <c r="A1506" s="0" t="n">
        <v>164</v>
      </c>
      <c r="B1506" s="0" t="s">
        <v>222</v>
      </c>
      <c r="C1506" s="0" t="s">
        <v>10277</v>
      </c>
      <c r="D1506" s="0" t="s">
        <v>6425</v>
      </c>
      <c r="E1506" s="0" t="s">
        <v>10278</v>
      </c>
      <c r="F1506" s="0" t="n">
        <v>2275</v>
      </c>
      <c r="G1506" s="0" t="s">
        <v>277</v>
      </c>
      <c r="H1506" s="0" t="s">
        <v>270</v>
      </c>
      <c r="I1506" s="0" t="s">
        <v>10279</v>
      </c>
    </row>
    <row r="1507" customFormat="false" ht="15" hidden="false" customHeight="false" outlineLevel="0" collapsed="false">
      <c r="A1507" s="0" t="n">
        <v>62</v>
      </c>
      <c r="B1507" s="0" t="s">
        <v>113</v>
      </c>
      <c r="C1507" s="0" t="s">
        <v>10280</v>
      </c>
      <c r="D1507" s="0" t="s">
        <v>6416</v>
      </c>
      <c r="E1507" s="0" t="s">
        <v>10281</v>
      </c>
      <c r="F1507" s="0" t="n">
        <v>2903</v>
      </c>
      <c r="G1507" s="0" t="s">
        <v>277</v>
      </c>
      <c r="H1507" s="0" t="s">
        <v>270</v>
      </c>
      <c r="I1507" s="0" t="s">
        <v>10282</v>
      </c>
    </row>
    <row r="1508" customFormat="false" ht="15" hidden="false" customHeight="false" outlineLevel="0" collapsed="false">
      <c r="A1508" s="0" t="n">
        <v>72</v>
      </c>
      <c r="B1508" s="0" t="s">
        <v>123</v>
      </c>
      <c r="C1508" s="0" t="s">
        <v>10283</v>
      </c>
      <c r="D1508" s="0" t="s">
        <v>6416</v>
      </c>
      <c r="E1508" s="2" t="s">
        <v>10284</v>
      </c>
      <c r="F1508" s="0" t="n">
        <v>1664</v>
      </c>
      <c r="G1508" s="0" t="s">
        <v>277</v>
      </c>
      <c r="H1508" s="0" t="s">
        <v>270</v>
      </c>
      <c r="I1508" s="0" t="s">
        <v>10285</v>
      </c>
    </row>
    <row r="1509" customFormat="false" ht="15" hidden="false" customHeight="false" outlineLevel="0" collapsed="false">
      <c r="A1509" s="0" t="n">
        <v>57</v>
      </c>
      <c r="B1509" s="0" t="s">
        <v>105</v>
      </c>
      <c r="C1509" s="0" t="s">
        <v>9289</v>
      </c>
      <c r="D1509" s="0" t="s">
        <v>6416</v>
      </c>
      <c r="E1509" s="0" t="s">
        <v>9290</v>
      </c>
      <c r="F1509" s="0" t="n">
        <v>4022</v>
      </c>
      <c r="G1509" s="0" t="s">
        <v>277</v>
      </c>
      <c r="H1509" s="0" t="s">
        <v>293</v>
      </c>
      <c r="I1509" s="0" t="s">
        <v>9291</v>
      </c>
    </row>
    <row r="1510" customFormat="false" ht="15" hidden="false" customHeight="false" outlineLevel="0" collapsed="false">
      <c r="A1510" s="0" t="n">
        <v>9</v>
      </c>
      <c r="B1510" s="0" t="s">
        <v>42</v>
      </c>
      <c r="C1510" s="0" t="s">
        <v>10286</v>
      </c>
      <c r="D1510" s="0" t="s">
        <v>6416</v>
      </c>
      <c r="E1510" s="0" t="s">
        <v>10287</v>
      </c>
      <c r="F1510" s="0" t="n">
        <v>14976</v>
      </c>
      <c r="G1510" s="0" t="s">
        <v>277</v>
      </c>
      <c r="H1510" s="0" t="s">
        <v>270</v>
      </c>
      <c r="I1510" s="0" t="s">
        <v>10288</v>
      </c>
    </row>
    <row r="1511" customFormat="false" ht="15" hidden="false" customHeight="false" outlineLevel="0" collapsed="false">
      <c r="A1511" s="0" t="n">
        <v>2</v>
      </c>
      <c r="B1511" s="0" t="s">
        <v>29</v>
      </c>
      <c r="C1511" s="0" t="s">
        <v>10289</v>
      </c>
      <c r="D1511" s="0" t="s">
        <v>6416</v>
      </c>
      <c r="E1511" s="0" t="s">
        <v>10290</v>
      </c>
      <c r="F1511" s="0" t="n">
        <v>2903</v>
      </c>
      <c r="G1511" s="0" t="s">
        <v>277</v>
      </c>
      <c r="H1511" s="0" t="s">
        <v>270</v>
      </c>
      <c r="I1511" s="0" t="s">
        <v>10291</v>
      </c>
    </row>
    <row r="1512" customFormat="false" ht="15" hidden="false" customHeight="false" outlineLevel="0" collapsed="false">
      <c r="A1512" s="0" t="n">
        <v>167</v>
      </c>
      <c r="B1512" s="0" t="s">
        <v>226</v>
      </c>
      <c r="C1512" s="0" t="s">
        <v>10292</v>
      </c>
      <c r="D1512" s="0" t="s">
        <v>6416</v>
      </c>
      <c r="E1512" s="0" t="s">
        <v>10293</v>
      </c>
      <c r="F1512" s="0" t="n">
        <v>2791</v>
      </c>
      <c r="G1512" s="0" t="s">
        <v>277</v>
      </c>
      <c r="H1512" s="0" t="s">
        <v>270</v>
      </c>
      <c r="I1512" s="0" t="s">
        <v>10294</v>
      </c>
    </row>
    <row r="1513" customFormat="false" ht="15" hidden="false" customHeight="false" outlineLevel="0" collapsed="false">
      <c r="A1513" s="0" t="n">
        <v>65</v>
      </c>
      <c r="B1513" s="0" t="s">
        <v>116</v>
      </c>
      <c r="C1513" s="0" t="s">
        <v>10295</v>
      </c>
      <c r="D1513" s="0" t="s">
        <v>6416</v>
      </c>
      <c r="E1513" s="0" t="s">
        <v>10296</v>
      </c>
      <c r="F1513" s="0" t="n">
        <v>2903</v>
      </c>
      <c r="G1513" s="0" t="s">
        <v>277</v>
      </c>
      <c r="H1513" s="0" t="s">
        <v>270</v>
      </c>
      <c r="I1513" s="0" t="s">
        <v>10297</v>
      </c>
    </row>
    <row r="1514" customFormat="false" ht="15" hidden="false" customHeight="false" outlineLevel="0" collapsed="false">
      <c r="A1514" s="0" t="n">
        <v>72</v>
      </c>
      <c r="B1514" s="0" t="s">
        <v>123</v>
      </c>
      <c r="C1514" s="0" t="s">
        <v>10298</v>
      </c>
      <c r="D1514" s="0" t="s">
        <v>6416</v>
      </c>
      <c r="E1514" s="0" t="s">
        <v>10299</v>
      </c>
      <c r="F1514" s="0" t="n">
        <v>3776</v>
      </c>
      <c r="G1514" s="0" t="s">
        <v>277</v>
      </c>
      <c r="H1514" s="0" t="s">
        <v>270</v>
      </c>
      <c r="I1514" s="0" t="s">
        <v>10300</v>
      </c>
    </row>
    <row r="1515" customFormat="false" ht="15" hidden="false" customHeight="false" outlineLevel="0" collapsed="false">
      <c r="A1515" s="0" t="n">
        <v>57</v>
      </c>
      <c r="B1515" s="0" t="s">
        <v>105</v>
      </c>
      <c r="C1515" s="0" t="s">
        <v>10301</v>
      </c>
      <c r="D1515" s="0" t="s">
        <v>6425</v>
      </c>
      <c r="E1515" s="0" t="s">
        <v>10302</v>
      </c>
      <c r="F1515" s="0" t="n">
        <v>6557</v>
      </c>
      <c r="G1515" s="0" t="s">
        <v>277</v>
      </c>
      <c r="H1515" s="0" t="s">
        <v>293</v>
      </c>
      <c r="I1515" s="0" t="s">
        <v>10303</v>
      </c>
    </row>
    <row r="1516" customFormat="false" ht="15" hidden="false" customHeight="false" outlineLevel="0" collapsed="false">
      <c r="A1516" s="0" t="n">
        <v>92</v>
      </c>
      <c r="B1516" s="0" t="s">
        <v>144</v>
      </c>
      <c r="C1516" s="0" t="s">
        <v>10304</v>
      </c>
      <c r="D1516" s="0" t="s">
        <v>6416</v>
      </c>
      <c r="E1516" s="0" t="s">
        <v>10305</v>
      </c>
      <c r="F1516" s="0" t="n">
        <v>1127</v>
      </c>
      <c r="G1516" s="0" t="s">
        <v>277</v>
      </c>
      <c r="H1516" s="0" t="s">
        <v>270</v>
      </c>
      <c r="I1516" s="0" t="s">
        <v>10306</v>
      </c>
    </row>
    <row r="1517" customFormat="false" ht="15" hidden="false" customHeight="false" outlineLevel="0" collapsed="false">
      <c r="A1517" s="0" t="n">
        <v>90</v>
      </c>
      <c r="B1517" s="0" t="s">
        <v>142</v>
      </c>
      <c r="C1517" s="0" t="s">
        <v>10307</v>
      </c>
      <c r="D1517" s="0" t="s">
        <v>6416</v>
      </c>
      <c r="E1517" s="0" t="s">
        <v>10308</v>
      </c>
      <c r="F1517" s="0" t="n">
        <v>2903</v>
      </c>
      <c r="G1517" s="0" t="s">
        <v>277</v>
      </c>
      <c r="H1517" s="0" t="s">
        <v>270</v>
      </c>
      <c r="I1517" s="0" t="s">
        <v>10309</v>
      </c>
    </row>
    <row r="1518" customFormat="false" ht="15" hidden="false" customHeight="false" outlineLevel="0" collapsed="false">
      <c r="A1518" s="0" t="n">
        <v>97</v>
      </c>
      <c r="B1518" s="0" t="s">
        <v>151</v>
      </c>
      <c r="C1518" s="0" t="s">
        <v>10310</v>
      </c>
      <c r="D1518" s="0" t="s">
        <v>6560</v>
      </c>
      <c r="E1518" s="0" t="s">
        <v>10311</v>
      </c>
      <c r="F1518" s="0" t="n">
        <v>2169</v>
      </c>
      <c r="G1518" s="0" t="s">
        <v>277</v>
      </c>
      <c r="H1518" s="0" t="s">
        <v>270</v>
      </c>
      <c r="I1518" s="0" t="s">
        <v>10312</v>
      </c>
    </row>
    <row r="1519" customFormat="false" ht="15" hidden="false" customHeight="false" outlineLevel="0" collapsed="false">
      <c r="A1519" s="0" t="n">
        <v>57</v>
      </c>
      <c r="B1519" s="0" t="s">
        <v>105</v>
      </c>
      <c r="C1519" s="0" t="s">
        <v>10313</v>
      </c>
      <c r="D1519" s="0" t="s">
        <v>6416</v>
      </c>
      <c r="E1519" s="0" t="s">
        <v>10314</v>
      </c>
      <c r="F1519" s="0" t="n">
        <v>1781</v>
      </c>
      <c r="G1519" s="0" t="s">
        <v>277</v>
      </c>
      <c r="H1519" s="0" t="s">
        <v>293</v>
      </c>
      <c r="I1519" s="0" t="s">
        <v>10315</v>
      </c>
    </row>
    <row r="1520" customFormat="false" ht="15" hidden="false" customHeight="false" outlineLevel="0" collapsed="false">
      <c r="A1520" s="0" t="n">
        <v>102</v>
      </c>
      <c r="B1520" s="0" t="s">
        <v>156</v>
      </c>
      <c r="C1520" s="0" t="s">
        <v>10316</v>
      </c>
      <c r="D1520" s="0" t="s">
        <v>6416</v>
      </c>
      <c r="E1520" s="0" t="s">
        <v>10317</v>
      </c>
      <c r="F1520" s="0" t="n">
        <v>3713</v>
      </c>
      <c r="G1520" s="0" t="s">
        <v>277</v>
      </c>
      <c r="H1520" s="0" t="s">
        <v>270</v>
      </c>
      <c r="I1520" s="0" t="s">
        <v>10318</v>
      </c>
    </row>
    <row r="1521" customFormat="false" ht="15" hidden="false" customHeight="false" outlineLevel="0" collapsed="false">
      <c r="A1521" s="0" t="n">
        <v>81</v>
      </c>
      <c r="B1521" s="0" t="s">
        <v>132</v>
      </c>
      <c r="C1521" s="0" t="s">
        <v>10319</v>
      </c>
      <c r="D1521" s="0" t="s">
        <v>6416</v>
      </c>
      <c r="E1521" s="0" t="s">
        <v>10320</v>
      </c>
      <c r="F1521" s="0" t="n">
        <v>2903</v>
      </c>
      <c r="G1521" s="0" t="s">
        <v>277</v>
      </c>
      <c r="H1521" s="0" t="s">
        <v>270</v>
      </c>
      <c r="I1521" s="0" t="s">
        <v>10321</v>
      </c>
    </row>
    <row r="1522" customFormat="false" ht="15" hidden="false" customHeight="false" outlineLevel="0" collapsed="false">
      <c r="A1522" s="0" t="n">
        <v>57</v>
      </c>
      <c r="B1522" s="0" t="s">
        <v>105</v>
      </c>
      <c r="C1522" s="0" t="s">
        <v>9344</v>
      </c>
      <c r="D1522" s="0" t="s">
        <v>6416</v>
      </c>
      <c r="E1522" s="0" t="s">
        <v>9345</v>
      </c>
      <c r="F1522" s="0" t="n">
        <v>909</v>
      </c>
      <c r="G1522" s="0" t="s">
        <v>277</v>
      </c>
      <c r="H1522" s="0" t="s">
        <v>293</v>
      </c>
      <c r="I1522" s="0" t="s">
        <v>9346</v>
      </c>
    </row>
    <row r="1523" customFormat="false" ht="15" hidden="false" customHeight="false" outlineLevel="0" collapsed="false">
      <c r="A1523" s="0" t="n">
        <v>9</v>
      </c>
      <c r="B1523" s="0" t="s">
        <v>42</v>
      </c>
      <c r="C1523" s="0" t="s">
        <v>10322</v>
      </c>
      <c r="D1523" s="0" t="s">
        <v>6416</v>
      </c>
      <c r="E1523" s="0" t="s">
        <v>10323</v>
      </c>
      <c r="F1523" s="0" t="n">
        <v>2903</v>
      </c>
      <c r="G1523" s="0" t="s">
        <v>277</v>
      </c>
      <c r="H1523" s="0" t="s">
        <v>270</v>
      </c>
      <c r="I1523" s="0" t="s">
        <v>10324</v>
      </c>
    </row>
    <row r="1524" customFormat="false" ht="15" hidden="false" customHeight="false" outlineLevel="0" collapsed="false">
      <c r="A1524" s="0" t="n">
        <v>153</v>
      </c>
      <c r="B1524" s="0" t="s">
        <v>210</v>
      </c>
      <c r="C1524" s="0" t="s">
        <v>10325</v>
      </c>
      <c r="D1524" s="0" t="s">
        <v>6416</v>
      </c>
      <c r="E1524" s="0" t="s">
        <v>10326</v>
      </c>
      <c r="F1524" s="0" t="n">
        <v>1596</v>
      </c>
      <c r="G1524" s="0" t="s">
        <v>277</v>
      </c>
      <c r="H1524" s="0" t="s">
        <v>270</v>
      </c>
      <c r="I1524" s="0" t="s">
        <v>10327</v>
      </c>
    </row>
    <row r="1525" customFormat="false" ht="15" hidden="false" customHeight="false" outlineLevel="0" collapsed="false">
      <c r="A1525" s="0" t="n">
        <v>57</v>
      </c>
      <c r="B1525" s="0" t="s">
        <v>105</v>
      </c>
      <c r="C1525" s="0" t="s">
        <v>9352</v>
      </c>
      <c r="D1525" s="0" t="s">
        <v>6416</v>
      </c>
      <c r="E1525" s="0" t="s">
        <v>9353</v>
      </c>
      <c r="F1525" s="0" t="n">
        <v>206</v>
      </c>
      <c r="G1525" s="0" t="s">
        <v>277</v>
      </c>
      <c r="H1525" s="0" t="s">
        <v>293</v>
      </c>
      <c r="I1525" s="0" t="s">
        <v>9354</v>
      </c>
    </row>
    <row r="1526" customFormat="false" ht="15" hidden="false" customHeight="false" outlineLevel="0" collapsed="false">
      <c r="A1526" s="0" t="n">
        <v>163</v>
      </c>
      <c r="B1526" s="0" t="s">
        <v>221</v>
      </c>
      <c r="C1526" s="0" t="s">
        <v>10328</v>
      </c>
      <c r="D1526" s="0" t="s">
        <v>6560</v>
      </c>
      <c r="E1526" s="0" t="s">
        <v>10329</v>
      </c>
      <c r="F1526" s="0" t="n">
        <v>16188</v>
      </c>
      <c r="G1526" s="0" t="s">
        <v>277</v>
      </c>
      <c r="H1526" s="0" t="s">
        <v>270</v>
      </c>
      <c r="I1526" s="0" t="s">
        <v>10330</v>
      </c>
    </row>
    <row r="1527" customFormat="false" ht="15" hidden="false" customHeight="false" outlineLevel="0" collapsed="false">
      <c r="A1527" s="0" t="n">
        <v>111</v>
      </c>
      <c r="B1527" s="0" t="s">
        <v>165</v>
      </c>
      <c r="C1527" s="0" t="s">
        <v>10331</v>
      </c>
      <c r="D1527" s="0" t="s">
        <v>6560</v>
      </c>
      <c r="E1527" s="0" t="s">
        <v>10332</v>
      </c>
      <c r="F1527" s="0" t="n">
        <v>2903</v>
      </c>
      <c r="G1527" s="0" t="s">
        <v>277</v>
      </c>
      <c r="H1527" s="0" t="s">
        <v>270</v>
      </c>
      <c r="I1527" s="0" t="s">
        <v>10333</v>
      </c>
    </row>
    <row r="1528" customFormat="false" ht="15" hidden="false" customHeight="false" outlineLevel="0" collapsed="false">
      <c r="A1528" s="0" t="n">
        <v>58</v>
      </c>
      <c r="B1528" s="0" t="s">
        <v>107</v>
      </c>
      <c r="C1528" s="0" t="s">
        <v>10334</v>
      </c>
      <c r="D1528" s="0" t="s">
        <v>6416</v>
      </c>
      <c r="E1528" s="0" t="s">
        <v>10335</v>
      </c>
      <c r="F1528" s="0" t="n">
        <v>2903</v>
      </c>
      <c r="G1528" s="0" t="s">
        <v>277</v>
      </c>
      <c r="H1528" s="0" t="s">
        <v>270</v>
      </c>
      <c r="I1528" s="0" t="s">
        <v>10336</v>
      </c>
    </row>
    <row r="1529" customFormat="false" ht="15" hidden="false" customHeight="false" outlineLevel="0" collapsed="false">
      <c r="A1529" s="0" t="n">
        <v>77</v>
      </c>
      <c r="B1529" s="0" t="s">
        <v>128</v>
      </c>
      <c r="C1529" s="0" t="s">
        <v>10337</v>
      </c>
      <c r="D1529" s="0" t="s">
        <v>6416</v>
      </c>
      <c r="E1529" s="0" t="s">
        <v>10338</v>
      </c>
      <c r="F1529" s="0" t="n">
        <v>3021</v>
      </c>
      <c r="G1529" s="0" t="s">
        <v>277</v>
      </c>
      <c r="H1529" s="0" t="s">
        <v>270</v>
      </c>
      <c r="I1529" s="0" t="s">
        <v>10339</v>
      </c>
    </row>
    <row r="1530" customFormat="false" ht="15" hidden="false" customHeight="false" outlineLevel="0" collapsed="false">
      <c r="A1530" s="0" t="n">
        <v>57</v>
      </c>
      <c r="B1530" s="0" t="s">
        <v>105</v>
      </c>
      <c r="C1530" s="0" t="s">
        <v>10340</v>
      </c>
      <c r="D1530" s="0" t="s">
        <v>6416</v>
      </c>
      <c r="E1530" s="0" t="s">
        <v>10341</v>
      </c>
      <c r="F1530" s="0" t="n">
        <v>6569</v>
      </c>
      <c r="G1530" s="0" t="s">
        <v>277</v>
      </c>
      <c r="H1530" s="0" t="s">
        <v>293</v>
      </c>
      <c r="I1530" s="0" t="s">
        <v>10342</v>
      </c>
    </row>
    <row r="1531" customFormat="false" ht="15" hidden="false" customHeight="false" outlineLevel="0" collapsed="false">
      <c r="A1531" s="0" t="n">
        <v>96</v>
      </c>
      <c r="B1531" s="0" t="s">
        <v>149</v>
      </c>
      <c r="C1531" s="0" t="s">
        <v>10343</v>
      </c>
      <c r="D1531" s="0" t="s">
        <v>6416</v>
      </c>
      <c r="E1531" s="0" t="s">
        <v>10344</v>
      </c>
      <c r="F1531" s="0" t="n">
        <v>5286</v>
      </c>
      <c r="G1531" s="0" t="s">
        <v>277</v>
      </c>
      <c r="H1531" s="0" t="s">
        <v>270</v>
      </c>
      <c r="I1531" s="0" t="s">
        <v>10345</v>
      </c>
    </row>
    <row r="1532" customFormat="false" ht="15" hidden="false" customHeight="false" outlineLevel="0" collapsed="false">
      <c r="A1532" s="0" t="n">
        <v>162</v>
      </c>
      <c r="B1532" s="0" t="s">
        <v>220</v>
      </c>
      <c r="C1532" s="0" t="s">
        <v>10346</v>
      </c>
      <c r="D1532" s="0" t="s">
        <v>6416</v>
      </c>
      <c r="E1532" s="0" t="s">
        <v>10347</v>
      </c>
      <c r="F1532" s="0" t="n">
        <v>10891</v>
      </c>
      <c r="G1532" s="0" t="s">
        <v>277</v>
      </c>
      <c r="H1532" s="0" t="s">
        <v>270</v>
      </c>
      <c r="I1532" s="0" t="s">
        <v>10348</v>
      </c>
    </row>
    <row r="1533" customFormat="false" ht="15" hidden="false" customHeight="false" outlineLevel="0" collapsed="false">
      <c r="A1533" s="0" t="n">
        <v>72</v>
      </c>
      <c r="B1533" s="0" t="s">
        <v>123</v>
      </c>
      <c r="C1533" s="0" t="s">
        <v>10349</v>
      </c>
      <c r="D1533" s="0" t="s">
        <v>6416</v>
      </c>
      <c r="E1533" s="0" t="s">
        <v>10350</v>
      </c>
      <c r="F1533" s="0" t="n">
        <v>2903</v>
      </c>
      <c r="G1533" s="0" t="s">
        <v>277</v>
      </c>
      <c r="H1533" s="0" t="s">
        <v>270</v>
      </c>
      <c r="I1533" s="0" t="s">
        <v>10351</v>
      </c>
    </row>
    <row r="1534" customFormat="false" ht="15" hidden="false" customHeight="false" outlineLevel="0" collapsed="false">
      <c r="A1534" s="0" t="n">
        <v>173</v>
      </c>
      <c r="B1534" s="0" t="s">
        <v>233</v>
      </c>
      <c r="C1534" s="0" t="s">
        <v>10352</v>
      </c>
      <c r="D1534" s="0" t="s">
        <v>6416</v>
      </c>
      <c r="E1534" s="0" t="s">
        <v>10353</v>
      </c>
      <c r="F1534" s="0" t="n">
        <v>2967</v>
      </c>
      <c r="G1534" s="0" t="s">
        <v>277</v>
      </c>
      <c r="H1534" s="0" t="s">
        <v>270</v>
      </c>
      <c r="I1534" s="0" t="s">
        <v>10354</v>
      </c>
    </row>
    <row r="1535" customFormat="false" ht="15" hidden="false" customHeight="false" outlineLevel="0" collapsed="false">
      <c r="A1535" s="0" t="n">
        <v>128</v>
      </c>
      <c r="B1535" s="0" t="s">
        <v>183</v>
      </c>
      <c r="C1535" s="0" t="s">
        <v>10355</v>
      </c>
      <c r="D1535" s="0" t="s">
        <v>6416</v>
      </c>
      <c r="E1535" s="0" t="s">
        <v>10356</v>
      </c>
      <c r="F1535" s="0" t="n">
        <v>2903</v>
      </c>
      <c r="G1535" s="0" t="s">
        <v>277</v>
      </c>
      <c r="H1535" s="0" t="s">
        <v>270</v>
      </c>
      <c r="I1535" s="0" t="s">
        <v>10357</v>
      </c>
    </row>
    <row r="1536" customFormat="false" ht="15" hidden="false" customHeight="false" outlineLevel="0" collapsed="false">
      <c r="A1536" s="0" t="n">
        <v>100</v>
      </c>
      <c r="B1536" s="0" t="s">
        <v>154</v>
      </c>
      <c r="C1536" s="0" t="s">
        <v>10358</v>
      </c>
      <c r="D1536" s="0" t="s">
        <v>6416</v>
      </c>
      <c r="E1536" s="0" t="s">
        <v>10359</v>
      </c>
      <c r="F1536" s="0" t="n">
        <v>12410</v>
      </c>
      <c r="G1536" s="0" t="s">
        <v>277</v>
      </c>
      <c r="H1536" s="0" t="s">
        <v>270</v>
      </c>
      <c r="I1536" s="0" t="s">
        <v>10360</v>
      </c>
    </row>
    <row r="1537" customFormat="false" ht="15" hidden="false" customHeight="false" outlineLevel="0" collapsed="false">
      <c r="A1537" s="0" t="n">
        <v>57</v>
      </c>
      <c r="B1537" s="0" t="s">
        <v>105</v>
      </c>
      <c r="C1537" s="0" t="s">
        <v>10361</v>
      </c>
      <c r="D1537" s="0" t="s">
        <v>6560</v>
      </c>
      <c r="E1537" s="0" t="s">
        <v>10362</v>
      </c>
      <c r="F1537" s="0" t="n">
        <v>248</v>
      </c>
      <c r="G1537" s="0" t="s">
        <v>277</v>
      </c>
      <c r="H1537" s="0" t="s">
        <v>293</v>
      </c>
      <c r="I1537" s="0" t="s">
        <v>10363</v>
      </c>
    </row>
    <row r="1538" customFormat="false" ht="15" hidden="false" customHeight="false" outlineLevel="0" collapsed="false">
      <c r="A1538" s="0" t="n">
        <v>99</v>
      </c>
      <c r="B1538" s="0" t="s">
        <v>153</v>
      </c>
      <c r="C1538" s="0" t="s">
        <v>10364</v>
      </c>
      <c r="D1538" s="0" t="s">
        <v>6425</v>
      </c>
      <c r="E1538" s="0" t="s">
        <v>10365</v>
      </c>
      <c r="F1538" s="0" t="n">
        <v>4684</v>
      </c>
      <c r="G1538" s="0" t="s">
        <v>277</v>
      </c>
      <c r="H1538" s="0" t="s">
        <v>270</v>
      </c>
      <c r="I1538" s="0" t="s">
        <v>10366</v>
      </c>
    </row>
    <row r="1539" customFormat="false" ht="15" hidden="false" customHeight="false" outlineLevel="0" collapsed="false">
      <c r="A1539" s="0" t="n">
        <v>159</v>
      </c>
      <c r="B1539" s="0" t="s">
        <v>217</v>
      </c>
      <c r="C1539" s="0" t="s">
        <v>10367</v>
      </c>
      <c r="D1539" s="0" t="s">
        <v>6416</v>
      </c>
      <c r="E1539" s="0" t="s">
        <v>10368</v>
      </c>
      <c r="F1539" s="0" t="n">
        <v>2903</v>
      </c>
      <c r="G1539" s="0" t="s">
        <v>277</v>
      </c>
      <c r="H1539" s="0" t="s">
        <v>270</v>
      </c>
      <c r="I1539" s="0" t="s">
        <v>10369</v>
      </c>
    </row>
    <row r="1540" customFormat="false" ht="15" hidden="false" customHeight="false" outlineLevel="0" collapsed="false">
      <c r="A1540" s="0" t="n">
        <v>57</v>
      </c>
      <c r="B1540" s="0" t="s">
        <v>105</v>
      </c>
      <c r="C1540" s="0" t="s">
        <v>10370</v>
      </c>
      <c r="D1540" s="0" t="s">
        <v>6416</v>
      </c>
      <c r="E1540" s="0" t="s">
        <v>10371</v>
      </c>
      <c r="F1540" s="0" t="n">
        <v>2920</v>
      </c>
      <c r="G1540" s="0" t="s">
        <v>277</v>
      </c>
      <c r="H1540" s="0" t="s">
        <v>293</v>
      </c>
      <c r="I1540" s="0" t="s">
        <v>10372</v>
      </c>
    </row>
    <row r="1541" customFormat="false" ht="15" hidden="false" customHeight="false" outlineLevel="0" collapsed="false">
      <c r="A1541" s="0" t="n">
        <v>57</v>
      </c>
      <c r="B1541" s="0" t="s">
        <v>105</v>
      </c>
      <c r="C1541" s="0" t="s">
        <v>9430</v>
      </c>
      <c r="D1541" s="0" t="s">
        <v>6560</v>
      </c>
      <c r="E1541" s="0" t="s">
        <v>9431</v>
      </c>
      <c r="F1541" s="0" t="n">
        <v>203</v>
      </c>
      <c r="G1541" s="0" t="s">
        <v>277</v>
      </c>
      <c r="H1541" s="0" t="s">
        <v>293</v>
      </c>
      <c r="I1541" s="0" t="s">
        <v>9432</v>
      </c>
    </row>
    <row r="1542" customFormat="false" ht="15" hidden="false" customHeight="false" outlineLevel="0" collapsed="false">
      <c r="A1542" s="0" t="n">
        <v>114</v>
      </c>
      <c r="B1542" s="0" t="s">
        <v>168</v>
      </c>
      <c r="C1542" s="0" t="s">
        <v>10373</v>
      </c>
      <c r="D1542" s="0" t="s">
        <v>6560</v>
      </c>
      <c r="E1542" s="0" t="s">
        <v>10374</v>
      </c>
      <c r="F1542" s="0" t="n">
        <v>2013</v>
      </c>
      <c r="G1542" s="0" t="s">
        <v>277</v>
      </c>
      <c r="H1542" s="0" t="s">
        <v>270</v>
      </c>
      <c r="I1542" s="0" t="s">
        <v>10375</v>
      </c>
    </row>
    <row r="1543" customFormat="false" ht="15" hidden="false" customHeight="false" outlineLevel="0" collapsed="false">
      <c r="A1543" s="0" t="n">
        <v>162</v>
      </c>
      <c r="B1543" s="0" t="s">
        <v>220</v>
      </c>
      <c r="C1543" s="0" t="s">
        <v>10376</v>
      </c>
      <c r="D1543" s="0" t="s">
        <v>6416</v>
      </c>
      <c r="E1543" s="0" t="s">
        <v>10377</v>
      </c>
      <c r="F1543" s="0" t="n">
        <v>10898</v>
      </c>
      <c r="G1543" s="0" t="s">
        <v>277</v>
      </c>
      <c r="H1543" s="0" t="s">
        <v>270</v>
      </c>
      <c r="I1543" s="0" t="s">
        <v>10378</v>
      </c>
    </row>
    <row r="1544" customFormat="false" ht="15" hidden="false" customHeight="false" outlineLevel="0" collapsed="false">
      <c r="A1544" s="0" t="n">
        <v>5</v>
      </c>
      <c r="B1544" s="0" t="s">
        <v>36</v>
      </c>
      <c r="C1544" s="0" t="s">
        <v>10379</v>
      </c>
      <c r="D1544" s="0" t="s">
        <v>6416</v>
      </c>
      <c r="E1544" s="0" t="s">
        <v>10380</v>
      </c>
      <c r="F1544" s="0" t="n">
        <v>2903</v>
      </c>
      <c r="G1544" s="0" t="s">
        <v>277</v>
      </c>
      <c r="H1544" s="0" t="s">
        <v>270</v>
      </c>
      <c r="I1544" s="0" t="s">
        <v>10381</v>
      </c>
    </row>
    <row r="1545" customFormat="false" ht="15" hidden="false" customHeight="false" outlineLevel="0" collapsed="false">
      <c r="A1545" s="0" t="n">
        <v>57</v>
      </c>
      <c r="B1545" s="0" t="s">
        <v>105</v>
      </c>
      <c r="C1545" s="0" t="s">
        <v>10382</v>
      </c>
      <c r="D1545" s="0" t="s">
        <v>6425</v>
      </c>
      <c r="E1545" s="0" t="s">
        <v>10383</v>
      </c>
      <c r="F1545" s="0" t="n">
        <v>3713</v>
      </c>
      <c r="G1545" s="0" t="s">
        <v>277</v>
      </c>
      <c r="H1545" s="0" t="s">
        <v>293</v>
      </c>
      <c r="I1545" s="0" t="s">
        <v>10384</v>
      </c>
    </row>
    <row r="1546" customFormat="false" ht="15" hidden="false" customHeight="false" outlineLevel="0" collapsed="false">
      <c r="A1546" s="0" t="n">
        <v>57</v>
      </c>
      <c r="B1546" s="0" t="s">
        <v>105</v>
      </c>
      <c r="C1546" s="0" t="s">
        <v>10385</v>
      </c>
      <c r="D1546" s="0" t="s">
        <v>91</v>
      </c>
      <c r="E1546" s="0" t="s">
        <v>10386</v>
      </c>
      <c r="F1546" s="0" t="n">
        <v>2686</v>
      </c>
      <c r="G1546" s="0" t="s">
        <v>277</v>
      </c>
      <c r="H1546" s="0" t="s">
        <v>293</v>
      </c>
      <c r="I1546" s="0" t="s">
        <v>10387</v>
      </c>
    </row>
    <row r="1547" customFormat="false" ht="15" hidden="false" customHeight="false" outlineLevel="0" collapsed="false">
      <c r="A1547" s="0" t="n">
        <v>78</v>
      </c>
      <c r="B1547" s="0" t="s">
        <v>129</v>
      </c>
      <c r="C1547" s="0" t="s">
        <v>10388</v>
      </c>
      <c r="D1547" s="0" t="s">
        <v>6416</v>
      </c>
      <c r="E1547" s="0" t="s">
        <v>10389</v>
      </c>
      <c r="F1547" s="0" t="n">
        <v>2903</v>
      </c>
      <c r="G1547" s="0" t="s">
        <v>277</v>
      </c>
      <c r="H1547" s="0" t="s">
        <v>270</v>
      </c>
      <c r="I1547" s="0" t="s">
        <v>10390</v>
      </c>
    </row>
    <row r="1548" customFormat="false" ht="15" hidden="false" customHeight="false" outlineLevel="0" collapsed="false">
      <c r="A1548" s="0" t="n">
        <v>173</v>
      </c>
      <c r="B1548" s="0" t="s">
        <v>233</v>
      </c>
      <c r="C1548" s="0" t="s">
        <v>10391</v>
      </c>
      <c r="D1548" s="0" t="s">
        <v>6416</v>
      </c>
      <c r="E1548" s="0" t="s">
        <v>10392</v>
      </c>
      <c r="F1548" s="0" t="n">
        <v>2192</v>
      </c>
      <c r="G1548" s="0" t="s">
        <v>277</v>
      </c>
      <c r="H1548" s="0" t="s">
        <v>270</v>
      </c>
      <c r="I1548" s="0" t="s">
        <v>10393</v>
      </c>
    </row>
    <row r="1549" customFormat="false" ht="15" hidden="false" customHeight="false" outlineLevel="0" collapsed="false">
      <c r="A1549" s="0" t="n">
        <v>57</v>
      </c>
      <c r="B1549" s="0" t="s">
        <v>105</v>
      </c>
      <c r="C1549" s="0" t="s">
        <v>10394</v>
      </c>
      <c r="D1549" s="0" t="s">
        <v>6425</v>
      </c>
      <c r="E1549" s="0" t="s">
        <v>10395</v>
      </c>
      <c r="F1549" s="0" t="n">
        <v>3367</v>
      </c>
      <c r="G1549" s="0" t="s">
        <v>277</v>
      </c>
      <c r="H1549" s="0" t="s">
        <v>293</v>
      </c>
      <c r="I1549" s="0" t="s">
        <v>10396</v>
      </c>
    </row>
    <row r="1550" customFormat="false" ht="15" hidden="false" customHeight="false" outlineLevel="0" collapsed="false">
      <c r="A1550" s="0" t="n">
        <v>47</v>
      </c>
      <c r="B1550" s="0" t="s">
        <v>94</v>
      </c>
      <c r="C1550" s="0" t="s">
        <v>10397</v>
      </c>
      <c r="D1550" s="0" t="s">
        <v>6416</v>
      </c>
      <c r="E1550" s="0" t="s">
        <v>10398</v>
      </c>
      <c r="F1550" s="0" t="n">
        <v>2903</v>
      </c>
      <c r="G1550" s="0" t="s">
        <v>277</v>
      </c>
      <c r="H1550" s="0" t="s">
        <v>270</v>
      </c>
      <c r="I1550" s="0" t="s">
        <v>10399</v>
      </c>
    </row>
    <row r="1551" customFormat="false" ht="15" hidden="false" customHeight="false" outlineLevel="0" collapsed="false">
      <c r="A1551" s="0" t="n">
        <v>175</v>
      </c>
      <c r="B1551" s="0" t="s">
        <v>235</v>
      </c>
      <c r="C1551" s="0" t="s">
        <v>10400</v>
      </c>
      <c r="D1551" s="0" t="s">
        <v>6416</v>
      </c>
      <c r="E1551" s="0" t="s">
        <v>10401</v>
      </c>
      <c r="F1551" s="0" t="n">
        <v>3704</v>
      </c>
      <c r="G1551" s="0" t="s">
        <v>277</v>
      </c>
      <c r="H1551" s="0" t="s">
        <v>270</v>
      </c>
      <c r="I1551" s="0" t="s">
        <v>10402</v>
      </c>
    </row>
    <row r="1552" customFormat="false" ht="15" hidden="false" customHeight="false" outlineLevel="0" collapsed="false">
      <c r="A1552" s="0" t="n">
        <v>47</v>
      </c>
      <c r="B1552" s="0" t="s">
        <v>94</v>
      </c>
      <c r="C1552" s="0" t="s">
        <v>10403</v>
      </c>
      <c r="D1552" s="0" t="s">
        <v>6416</v>
      </c>
      <c r="E1552" s="0" t="s">
        <v>10404</v>
      </c>
      <c r="F1552" s="0" t="n">
        <v>7162</v>
      </c>
      <c r="G1552" s="0" t="s">
        <v>277</v>
      </c>
      <c r="H1552" s="0" t="s">
        <v>270</v>
      </c>
      <c r="I1552" s="0" t="s">
        <v>10405</v>
      </c>
    </row>
    <row r="1553" customFormat="false" ht="15" hidden="false" customHeight="false" outlineLevel="0" collapsed="false">
      <c r="A1553" s="0" t="n">
        <v>57</v>
      </c>
      <c r="B1553" s="0" t="s">
        <v>105</v>
      </c>
      <c r="C1553" s="0" t="s">
        <v>10406</v>
      </c>
      <c r="D1553" s="0" t="s">
        <v>6560</v>
      </c>
      <c r="E1553" s="0" t="s">
        <v>10407</v>
      </c>
      <c r="F1553" s="0" t="n">
        <v>306</v>
      </c>
      <c r="G1553" s="0" t="s">
        <v>277</v>
      </c>
      <c r="H1553" s="0" t="s">
        <v>293</v>
      </c>
      <c r="I1553" s="0" t="s">
        <v>10408</v>
      </c>
    </row>
    <row r="1554" customFormat="false" ht="15" hidden="false" customHeight="false" outlineLevel="0" collapsed="false">
      <c r="A1554" s="0" t="n">
        <v>163</v>
      </c>
      <c r="B1554" s="0" t="s">
        <v>221</v>
      </c>
      <c r="C1554" s="0" t="s">
        <v>10409</v>
      </c>
      <c r="D1554" s="0" t="s">
        <v>6416</v>
      </c>
      <c r="E1554" s="2" t="s">
        <v>10410</v>
      </c>
      <c r="F1554" s="0" t="n">
        <v>7757</v>
      </c>
      <c r="G1554" s="0" t="s">
        <v>277</v>
      </c>
      <c r="H1554" s="0" t="s">
        <v>270</v>
      </c>
      <c r="I1554" s="0" t="s">
        <v>10411</v>
      </c>
    </row>
    <row r="1555" customFormat="false" ht="15" hidden="false" customHeight="false" outlineLevel="0" collapsed="false">
      <c r="A1555" s="0" t="n">
        <v>174</v>
      </c>
      <c r="B1555" s="0" t="s">
        <v>234</v>
      </c>
      <c r="C1555" s="0" t="s">
        <v>10412</v>
      </c>
      <c r="D1555" s="0" t="s">
        <v>6560</v>
      </c>
      <c r="E1555" s="0" t="s">
        <v>10413</v>
      </c>
      <c r="F1555" s="0" t="n">
        <v>1285</v>
      </c>
      <c r="G1555" s="0" t="s">
        <v>277</v>
      </c>
      <c r="H1555" s="0" t="s">
        <v>270</v>
      </c>
      <c r="I1555" s="0" t="s">
        <v>10414</v>
      </c>
    </row>
    <row r="1556" customFormat="false" ht="15" hidden="false" customHeight="false" outlineLevel="0" collapsed="false">
      <c r="A1556" s="0" t="n">
        <v>57</v>
      </c>
      <c r="B1556" s="0" t="s">
        <v>105</v>
      </c>
      <c r="C1556" s="0" t="s">
        <v>10415</v>
      </c>
      <c r="D1556" s="0" t="s">
        <v>6416</v>
      </c>
      <c r="E1556" s="0" t="s">
        <v>10416</v>
      </c>
      <c r="F1556" s="0" t="n">
        <v>4079</v>
      </c>
      <c r="G1556" s="0" t="s">
        <v>277</v>
      </c>
      <c r="H1556" s="0" t="s">
        <v>293</v>
      </c>
      <c r="I1556" s="0" t="s">
        <v>10417</v>
      </c>
    </row>
    <row r="1557" customFormat="false" ht="15" hidden="false" customHeight="false" outlineLevel="0" collapsed="false">
      <c r="A1557" s="0" t="n">
        <v>57</v>
      </c>
      <c r="B1557" s="0" t="s">
        <v>105</v>
      </c>
      <c r="C1557" s="0" t="s">
        <v>9445</v>
      </c>
      <c r="D1557" s="0" t="s">
        <v>6416</v>
      </c>
      <c r="E1557" s="0" t="s">
        <v>9446</v>
      </c>
      <c r="F1557" s="0" t="n">
        <v>2180</v>
      </c>
      <c r="G1557" s="0" t="s">
        <v>277</v>
      </c>
      <c r="H1557" s="0" t="s">
        <v>293</v>
      </c>
      <c r="I1557" s="0" t="s">
        <v>9447</v>
      </c>
    </row>
    <row r="1558" customFormat="false" ht="15" hidden="false" customHeight="false" outlineLevel="0" collapsed="false">
      <c r="A1558" s="0" t="n">
        <v>57</v>
      </c>
      <c r="B1558" s="0" t="s">
        <v>105</v>
      </c>
      <c r="C1558" s="0" t="s">
        <v>10418</v>
      </c>
      <c r="D1558" s="0" t="s">
        <v>91</v>
      </c>
      <c r="E1558" s="0" t="s">
        <v>10419</v>
      </c>
      <c r="F1558" s="0" t="n">
        <v>2855</v>
      </c>
      <c r="G1558" s="0" t="s">
        <v>277</v>
      </c>
      <c r="H1558" s="0" t="s">
        <v>293</v>
      </c>
      <c r="I1558" s="0" t="s">
        <v>10420</v>
      </c>
    </row>
    <row r="1559" customFormat="false" ht="15" hidden="false" customHeight="false" outlineLevel="0" collapsed="false">
      <c r="A1559" s="0" t="n">
        <v>102</v>
      </c>
      <c r="B1559" s="0" t="s">
        <v>156</v>
      </c>
      <c r="C1559" s="0" t="s">
        <v>10421</v>
      </c>
      <c r="D1559" s="0" t="s">
        <v>6416</v>
      </c>
      <c r="E1559" s="0" t="s">
        <v>10422</v>
      </c>
      <c r="F1559" s="0" t="n">
        <v>2903</v>
      </c>
      <c r="G1559" s="0" t="s">
        <v>277</v>
      </c>
      <c r="H1559" s="0" t="s">
        <v>270</v>
      </c>
      <c r="I1559" s="0" t="s">
        <v>10423</v>
      </c>
    </row>
    <row r="1560" customFormat="false" ht="15" hidden="false" customHeight="false" outlineLevel="0" collapsed="false">
      <c r="A1560" s="0" t="n">
        <v>128</v>
      </c>
      <c r="B1560" s="0" t="s">
        <v>183</v>
      </c>
      <c r="C1560" s="0" t="s">
        <v>10424</v>
      </c>
      <c r="D1560" s="0" t="s">
        <v>6416</v>
      </c>
      <c r="E1560" s="0" t="s">
        <v>10425</v>
      </c>
      <c r="F1560" s="0" t="n">
        <v>3691</v>
      </c>
      <c r="G1560" s="0" t="s">
        <v>277</v>
      </c>
      <c r="H1560" s="0" t="s">
        <v>270</v>
      </c>
      <c r="I1560" s="0" t="s">
        <v>10426</v>
      </c>
    </row>
    <row r="1561" customFormat="false" ht="15" hidden="false" customHeight="false" outlineLevel="0" collapsed="false">
      <c r="A1561" s="0" t="n">
        <v>148</v>
      </c>
      <c r="B1561" s="0" t="s">
        <v>204</v>
      </c>
      <c r="C1561" s="0" t="s">
        <v>10427</v>
      </c>
      <c r="D1561" s="0" t="s">
        <v>6560</v>
      </c>
      <c r="E1561" s="0" t="s">
        <v>10428</v>
      </c>
      <c r="F1561" s="0" t="n">
        <v>3838</v>
      </c>
      <c r="G1561" s="0" t="s">
        <v>277</v>
      </c>
      <c r="H1561" s="0" t="s">
        <v>270</v>
      </c>
      <c r="I1561" s="0" t="s">
        <v>10429</v>
      </c>
    </row>
    <row r="1562" customFormat="false" ht="15" hidden="false" customHeight="false" outlineLevel="0" collapsed="false">
      <c r="A1562" s="0" t="n">
        <v>100</v>
      </c>
      <c r="B1562" s="0" t="s">
        <v>154</v>
      </c>
      <c r="C1562" s="0" t="s">
        <v>10430</v>
      </c>
      <c r="D1562" s="0" t="s">
        <v>6416</v>
      </c>
      <c r="E1562" s="2" t="s">
        <v>10431</v>
      </c>
      <c r="F1562" s="0" t="n">
        <v>5646</v>
      </c>
      <c r="G1562" s="0" t="s">
        <v>277</v>
      </c>
      <c r="H1562" s="0" t="s">
        <v>270</v>
      </c>
      <c r="I1562" s="0" t="s">
        <v>10432</v>
      </c>
    </row>
    <row r="1563" customFormat="false" ht="15" hidden="false" customHeight="false" outlineLevel="0" collapsed="false">
      <c r="A1563" s="0" t="n">
        <v>57</v>
      </c>
      <c r="B1563" s="0" t="s">
        <v>105</v>
      </c>
      <c r="C1563" s="0" t="s">
        <v>10433</v>
      </c>
      <c r="D1563" s="0" t="s">
        <v>6425</v>
      </c>
      <c r="E1563" s="0" t="s">
        <v>10434</v>
      </c>
      <c r="F1563" s="0" t="n">
        <v>1648</v>
      </c>
      <c r="G1563" s="0" t="s">
        <v>277</v>
      </c>
      <c r="H1563" s="0" t="s">
        <v>293</v>
      </c>
      <c r="I1563" s="0" t="s">
        <v>10435</v>
      </c>
    </row>
    <row r="1564" customFormat="false" ht="15" hidden="false" customHeight="false" outlineLevel="0" collapsed="false">
      <c r="A1564" s="0" t="n">
        <v>125</v>
      </c>
      <c r="B1564" s="0" t="s">
        <v>180</v>
      </c>
      <c r="C1564" s="0" t="s">
        <v>10436</v>
      </c>
      <c r="D1564" s="0" t="s">
        <v>6416</v>
      </c>
      <c r="E1564" s="0" t="s">
        <v>10437</v>
      </c>
      <c r="F1564" s="0" t="n">
        <v>2903</v>
      </c>
      <c r="G1564" s="0" t="s">
        <v>277</v>
      </c>
      <c r="H1564" s="0" t="s">
        <v>270</v>
      </c>
      <c r="I1564" s="0" t="s">
        <v>10438</v>
      </c>
    </row>
    <row r="1565" customFormat="false" ht="15" hidden="false" customHeight="false" outlineLevel="0" collapsed="false">
      <c r="A1565" s="0" t="n">
        <v>26</v>
      </c>
      <c r="B1565" s="0" t="s">
        <v>65</v>
      </c>
      <c r="C1565" s="0" t="s">
        <v>10439</v>
      </c>
      <c r="D1565" s="0" t="s">
        <v>6416</v>
      </c>
      <c r="E1565" s="2" t="s">
        <v>10440</v>
      </c>
      <c r="F1565" s="0" t="n">
        <v>7411</v>
      </c>
      <c r="G1565" s="0" t="s">
        <v>277</v>
      </c>
      <c r="H1565" s="0" t="s">
        <v>270</v>
      </c>
      <c r="I1565" s="0" t="s">
        <v>10441</v>
      </c>
    </row>
    <row r="1566" customFormat="false" ht="15" hidden="false" customHeight="false" outlineLevel="0" collapsed="false">
      <c r="A1566" s="0" t="n">
        <v>57</v>
      </c>
      <c r="B1566" s="0" t="s">
        <v>105</v>
      </c>
      <c r="C1566" s="0" t="s">
        <v>10442</v>
      </c>
      <c r="D1566" s="0" t="s">
        <v>6425</v>
      </c>
      <c r="E1566" s="0" t="s">
        <v>10443</v>
      </c>
      <c r="F1566" s="0" t="n">
        <v>2306</v>
      </c>
      <c r="G1566" s="0" t="s">
        <v>277</v>
      </c>
      <c r="H1566" s="0" t="s">
        <v>293</v>
      </c>
      <c r="I1566" s="0" t="s">
        <v>10444</v>
      </c>
    </row>
    <row r="1567" customFormat="false" ht="15" hidden="false" customHeight="false" outlineLevel="0" collapsed="false">
      <c r="A1567" s="0" t="n">
        <v>57</v>
      </c>
      <c r="B1567" s="0" t="s">
        <v>105</v>
      </c>
      <c r="C1567" s="0" t="s">
        <v>9368</v>
      </c>
      <c r="D1567" s="0" t="s">
        <v>6416</v>
      </c>
      <c r="E1567" s="0" t="s">
        <v>9369</v>
      </c>
      <c r="F1567" s="0" t="n">
        <v>1779</v>
      </c>
      <c r="G1567" s="0" t="s">
        <v>277</v>
      </c>
      <c r="H1567" s="0" t="s">
        <v>293</v>
      </c>
      <c r="I1567" s="0" t="s">
        <v>9370</v>
      </c>
    </row>
    <row r="1568" customFormat="false" ht="15" hidden="false" customHeight="false" outlineLevel="0" collapsed="false">
      <c r="A1568" s="0" t="n">
        <v>109</v>
      </c>
      <c r="B1568" s="0" t="s">
        <v>163</v>
      </c>
      <c r="C1568" s="0" t="s">
        <v>10445</v>
      </c>
      <c r="D1568" s="0" t="s">
        <v>6416</v>
      </c>
      <c r="E1568" s="0" t="s">
        <v>10446</v>
      </c>
      <c r="F1568" s="0" t="n">
        <v>1845</v>
      </c>
      <c r="G1568" s="0" t="s">
        <v>277</v>
      </c>
      <c r="H1568" s="0" t="s">
        <v>270</v>
      </c>
      <c r="I1568" s="0" t="s">
        <v>10447</v>
      </c>
    </row>
    <row r="1569" customFormat="false" ht="15" hidden="false" customHeight="false" outlineLevel="0" collapsed="false">
      <c r="A1569" s="0" t="n">
        <v>99</v>
      </c>
      <c r="B1569" s="0" t="s">
        <v>153</v>
      </c>
      <c r="C1569" s="0" t="s">
        <v>10448</v>
      </c>
      <c r="D1569" s="0" t="s">
        <v>6560</v>
      </c>
      <c r="E1569" s="0" t="s">
        <v>10449</v>
      </c>
      <c r="F1569" s="0" t="n">
        <v>1635</v>
      </c>
      <c r="G1569" s="0" t="s">
        <v>277</v>
      </c>
      <c r="H1569" s="0" t="s">
        <v>270</v>
      </c>
      <c r="I1569" s="0" t="s">
        <v>10450</v>
      </c>
    </row>
    <row r="1570" customFormat="false" ht="15" hidden="false" customHeight="false" outlineLevel="0" collapsed="false">
      <c r="A1570" s="0" t="n">
        <v>116</v>
      </c>
      <c r="B1570" s="0" t="s">
        <v>170</v>
      </c>
      <c r="C1570" s="0" t="s">
        <v>10451</v>
      </c>
      <c r="D1570" s="0" t="s">
        <v>6416</v>
      </c>
      <c r="E1570" s="0" t="s">
        <v>10452</v>
      </c>
      <c r="F1570" s="0" t="n">
        <v>2903</v>
      </c>
      <c r="G1570" s="0" t="s">
        <v>277</v>
      </c>
      <c r="H1570" s="0" t="s">
        <v>270</v>
      </c>
      <c r="I1570" s="0" t="s">
        <v>10453</v>
      </c>
    </row>
    <row r="1571" customFormat="false" ht="15" hidden="false" customHeight="false" outlineLevel="0" collapsed="false">
      <c r="A1571" s="0" t="n">
        <v>57</v>
      </c>
      <c r="B1571" s="0" t="s">
        <v>105</v>
      </c>
      <c r="C1571" s="0" t="s">
        <v>10454</v>
      </c>
      <c r="D1571" s="0" t="s">
        <v>6416</v>
      </c>
      <c r="E1571" s="0" t="s">
        <v>10455</v>
      </c>
      <c r="F1571" s="0" t="n">
        <v>2864</v>
      </c>
      <c r="G1571" s="0" t="s">
        <v>277</v>
      </c>
      <c r="H1571" s="0" t="s">
        <v>293</v>
      </c>
      <c r="I1571" s="0" t="s">
        <v>10456</v>
      </c>
    </row>
    <row r="1572" customFormat="false" ht="15" hidden="false" customHeight="false" outlineLevel="0" collapsed="false">
      <c r="A1572" s="0" t="n">
        <v>1</v>
      </c>
      <c r="B1572" s="0" t="s">
        <v>26</v>
      </c>
      <c r="C1572" s="0" t="s">
        <v>10457</v>
      </c>
      <c r="D1572" s="0" t="s">
        <v>6416</v>
      </c>
      <c r="E1572" s="0" t="s">
        <v>10458</v>
      </c>
      <c r="F1572" s="0" t="n">
        <v>2448</v>
      </c>
      <c r="G1572" s="0" t="s">
        <v>277</v>
      </c>
      <c r="H1572" s="0" t="s">
        <v>270</v>
      </c>
      <c r="I1572" s="0" t="s">
        <v>10459</v>
      </c>
    </row>
    <row r="1573" customFormat="false" ht="15" hidden="false" customHeight="false" outlineLevel="0" collapsed="false">
      <c r="A1573" s="0" t="n">
        <v>78</v>
      </c>
      <c r="B1573" s="0" t="s">
        <v>129</v>
      </c>
      <c r="C1573" s="0" t="s">
        <v>10460</v>
      </c>
      <c r="D1573" s="0" t="s">
        <v>6416</v>
      </c>
      <c r="E1573" s="0" t="s">
        <v>10461</v>
      </c>
      <c r="F1573" s="0" t="n">
        <v>1485</v>
      </c>
      <c r="G1573" s="0" t="s">
        <v>277</v>
      </c>
      <c r="H1573" s="0" t="s">
        <v>270</v>
      </c>
      <c r="I1573" s="0" t="s">
        <v>10462</v>
      </c>
    </row>
    <row r="1574" customFormat="false" ht="15" hidden="false" customHeight="false" outlineLevel="0" collapsed="false">
      <c r="A1574" s="0" t="n">
        <v>80</v>
      </c>
      <c r="B1574" s="0" t="s">
        <v>131</v>
      </c>
      <c r="C1574" s="0" t="s">
        <v>10463</v>
      </c>
      <c r="D1574" s="0" t="s">
        <v>6416</v>
      </c>
      <c r="E1574" s="0" t="s">
        <v>10464</v>
      </c>
      <c r="F1574" s="0" t="n">
        <v>2903</v>
      </c>
      <c r="G1574" s="0" t="s">
        <v>277</v>
      </c>
      <c r="H1574" s="0" t="s">
        <v>270</v>
      </c>
      <c r="I1574" s="0" t="s">
        <v>10465</v>
      </c>
    </row>
    <row r="1575" customFormat="false" ht="15" hidden="false" customHeight="false" outlineLevel="0" collapsed="false">
      <c r="A1575" s="0" t="n">
        <v>12</v>
      </c>
      <c r="B1575" s="0" t="s">
        <v>45</v>
      </c>
      <c r="C1575" s="0" t="s">
        <v>10466</v>
      </c>
      <c r="D1575" s="0" t="s">
        <v>6416</v>
      </c>
      <c r="E1575" s="0" t="s">
        <v>10467</v>
      </c>
      <c r="F1575" s="0" t="n">
        <v>2941</v>
      </c>
      <c r="G1575" s="0" t="s">
        <v>277</v>
      </c>
      <c r="H1575" s="0" t="s">
        <v>270</v>
      </c>
      <c r="I1575" s="0" t="s">
        <v>10468</v>
      </c>
    </row>
    <row r="1576" customFormat="false" ht="15" hidden="false" customHeight="false" outlineLevel="0" collapsed="false">
      <c r="A1576" s="0" t="n">
        <v>175</v>
      </c>
      <c r="B1576" s="0" t="s">
        <v>235</v>
      </c>
      <c r="C1576" s="0" t="s">
        <v>10469</v>
      </c>
      <c r="D1576" s="0" t="s">
        <v>6416</v>
      </c>
      <c r="E1576" s="0" t="s">
        <v>10470</v>
      </c>
      <c r="F1576" s="0" t="n">
        <v>2903</v>
      </c>
      <c r="G1576" s="0" t="s">
        <v>277</v>
      </c>
      <c r="H1576" s="0" t="s">
        <v>270</v>
      </c>
      <c r="I1576" s="0" t="s">
        <v>10471</v>
      </c>
    </row>
    <row r="1577" customFormat="false" ht="15" hidden="false" customHeight="false" outlineLevel="0" collapsed="false">
      <c r="A1577" s="0" t="n">
        <v>175</v>
      </c>
      <c r="B1577" s="0" t="s">
        <v>235</v>
      </c>
      <c r="C1577" s="0" t="s">
        <v>10472</v>
      </c>
      <c r="D1577" s="0" t="s">
        <v>6560</v>
      </c>
      <c r="E1577" s="0" t="s">
        <v>10473</v>
      </c>
      <c r="F1577" s="0" t="n">
        <v>1342</v>
      </c>
      <c r="G1577" s="0" t="s">
        <v>277</v>
      </c>
      <c r="H1577" s="0" t="s">
        <v>270</v>
      </c>
      <c r="I1577" s="0" t="s">
        <v>10474</v>
      </c>
    </row>
    <row r="1578" customFormat="false" ht="15" hidden="false" customHeight="false" outlineLevel="0" collapsed="false">
      <c r="A1578" s="0" t="n">
        <v>76</v>
      </c>
      <c r="B1578" s="0" t="s">
        <v>127</v>
      </c>
      <c r="C1578" s="0" t="s">
        <v>10475</v>
      </c>
      <c r="D1578" s="0" t="s">
        <v>6416</v>
      </c>
      <c r="E1578" s="0" t="s">
        <v>10476</v>
      </c>
      <c r="F1578" s="0" t="n">
        <v>2391</v>
      </c>
      <c r="G1578" s="0" t="s">
        <v>277</v>
      </c>
      <c r="H1578" s="0" t="s">
        <v>270</v>
      </c>
      <c r="I1578" s="0" t="s">
        <v>10477</v>
      </c>
    </row>
    <row r="1579" customFormat="false" ht="15" hidden="false" customHeight="false" outlineLevel="0" collapsed="false">
      <c r="A1579" s="0" t="n">
        <v>95</v>
      </c>
      <c r="B1579" s="0" t="s">
        <v>148</v>
      </c>
      <c r="C1579" s="0" t="s">
        <v>10478</v>
      </c>
      <c r="D1579" s="0" t="s">
        <v>6416</v>
      </c>
      <c r="E1579" s="0" t="s">
        <v>10479</v>
      </c>
      <c r="F1579" s="0" t="n">
        <v>2903</v>
      </c>
      <c r="G1579" s="0" t="s">
        <v>277</v>
      </c>
      <c r="H1579" s="0" t="s">
        <v>270</v>
      </c>
      <c r="I1579" s="0" t="s">
        <v>10480</v>
      </c>
    </row>
    <row r="1580" customFormat="false" ht="15" hidden="false" customHeight="false" outlineLevel="0" collapsed="false">
      <c r="A1580" s="0" t="n">
        <v>26</v>
      </c>
      <c r="B1580" s="0" t="s">
        <v>65</v>
      </c>
      <c r="C1580" s="0" t="s">
        <v>10481</v>
      </c>
      <c r="D1580" s="0" t="s">
        <v>6416</v>
      </c>
      <c r="E1580" s="0" t="s">
        <v>10482</v>
      </c>
      <c r="F1580" s="0" t="n">
        <v>15115</v>
      </c>
      <c r="G1580" s="0" t="s">
        <v>277</v>
      </c>
      <c r="H1580" s="0" t="s">
        <v>270</v>
      </c>
      <c r="I1580" s="0" t="s">
        <v>10483</v>
      </c>
    </row>
    <row r="1581" customFormat="false" ht="15" hidden="false" customHeight="false" outlineLevel="0" collapsed="false">
      <c r="A1581" s="0" t="n">
        <v>42</v>
      </c>
      <c r="B1581" s="0" t="s">
        <v>86</v>
      </c>
      <c r="C1581" s="0" t="s">
        <v>10484</v>
      </c>
      <c r="D1581" s="0" t="s">
        <v>6416</v>
      </c>
      <c r="E1581" s="0" t="s">
        <v>10485</v>
      </c>
      <c r="F1581" s="0" t="n">
        <v>1218</v>
      </c>
      <c r="G1581" s="0" t="s">
        <v>277</v>
      </c>
      <c r="H1581" s="0" t="s">
        <v>270</v>
      </c>
      <c r="I1581" s="0" t="s">
        <v>10486</v>
      </c>
    </row>
    <row r="1582" customFormat="false" ht="15" hidden="false" customHeight="false" outlineLevel="0" collapsed="false">
      <c r="A1582" s="0" t="n">
        <v>91</v>
      </c>
      <c r="B1582" s="0" t="s">
        <v>143</v>
      </c>
      <c r="C1582" s="0" t="s">
        <v>10487</v>
      </c>
      <c r="D1582" s="0" t="s">
        <v>6560</v>
      </c>
      <c r="E1582" s="0" t="s">
        <v>10488</v>
      </c>
      <c r="F1582" s="0" t="n">
        <v>6586</v>
      </c>
      <c r="G1582" s="0" t="s">
        <v>277</v>
      </c>
      <c r="H1582" s="0" t="s">
        <v>270</v>
      </c>
      <c r="I1582" s="0" t="s">
        <v>10489</v>
      </c>
    </row>
    <row r="1583" customFormat="false" ht="15" hidden="false" customHeight="false" outlineLevel="0" collapsed="false">
      <c r="A1583" s="0" t="n">
        <v>92</v>
      </c>
      <c r="B1583" s="0" t="s">
        <v>144</v>
      </c>
      <c r="C1583" s="0" t="s">
        <v>10490</v>
      </c>
      <c r="D1583" s="0" t="s">
        <v>6416</v>
      </c>
      <c r="E1583" s="0" t="s">
        <v>10491</v>
      </c>
      <c r="F1583" s="0" t="n">
        <v>2903</v>
      </c>
      <c r="G1583" s="0" t="s">
        <v>277</v>
      </c>
      <c r="H1583" s="0" t="s">
        <v>270</v>
      </c>
      <c r="I1583" s="0" t="s">
        <v>10492</v>
      </c>
    </row>
    <row r="1584" customFormat="false" ht="15" hidden="false" customHeight="false" outlineLevel="0" collapsed="false">
      <c r="A1584" s="0" t="n">
        <v>111</v>
      </c>
      <c r="B1584" s="0" t="s">
        <v>165</v>
      </c>
      <c r="C1584" s="0" t="s">
        <v>10493</v>
      </c>
      <c r="D1584" s="0" t="s">
        <v>6416</v>
      </c>
      <c r="E1584" s="0" t="s">
        <v>10494</v>
      </c>
      <c r="F1584" s="0" t="n">
        <v>3094</v>
      </c>
      <c r="G1584" s="0" t="s">
        <v>277</v>
      </c>
      <c r="H1584" s="0" t="s">
        <v>270</v>
      </c>
      <c r="I1584" s="0" t="s">
        <v>10495</v>
      </c>
    </row>
    <row r="1585" customFormat="false" ht="15" hidden="false" customHeight="false" outlineLevel="0" collapsed="false">
      <c r="A1585" s="0" t="n">
        <v>56</v>
      </c>
      <c r="B1585" s="0" t="s">
        <v>104</v>
      </c>
      <c r="C1585" s="0" t="s">
        <v>10496</v>
      </c>
      <c r="D1585" s="0" t="s">
        <v>6416</v>
      </c>
      <c r="E1585" s="0" t="s">
        <v>10497</v>
      </c>
      <c r="F1585" s="0" t="n">
        <v>1597</v>
      </c>
      <c r="G1585" s="0" t="s">
        <v>277</v>
      </c>
      <c r="H1585" s="0" t="s">
        <v>270</v>
      </c>
      <c r="I1585" s="0" t="s">
        <v>10498</v>
      </c>
    </row>
    <row r="1586" customFormat="false" ht="15" hidden="false" customHeight="false" outlineLevel="0" collapsed="false">
      <c r="A1586" s="0" t="n">
        <v>50</v>
      </c>
      <c r="B1586" s="0" t="s">
        <v>97</v>
      </c>
      <c r="C1586" s="0" t="s">
        <v>10499</v>
      </c>
      <c r="D1586" s="0" t="s">
        <v>6416</v>
      </c>
      <c r="E1586" s="0" t="s">
        <v>10500</v>
      </c>
      <c r="F1586" s="0" t="n">
        <v>2903</v>
      </c>
      <c r="G1586" s="0" t="s">
        <v>277</v>
      </c>
      <c r="H1586" s="0" t="s">
        <v>270</v>
      </c>
      <c r="I1586" s="0" t="s">
        <v>10501</v>
      </c>
    </row>
    <row r="1587" customFormat="false" ht="15" hidden="false" customHeight="false" outlineLevel="0" collapsed="false">
      <c r="A1587" s="0" t="n">
        <v>159</v>
      </c>
      <c r="B1587" s="0" t="s">
        <v>217</v>
      </c>
      <c r="C1587" s="0" t="s">
        <v>10502</v>
      </c>
      <c r="D1587" s="0" t="s">
        <v>6416</v>
      </c>
      <c r="E1587" s="0" t="s">
        <v>10503</v>
      </c>
      <c r="F1587" s="0" t="n">
        <v>2295</v>
      </c>
      <c r="G1587" s="0" t="s">
        <v>277</v>
      </c>
      <c r="H1587" s="0" t="s">
        <v>270</v>
      </c>
      <c r="I1587" s="0" t="s">
        <v>10504</v>
      </c>
    </row>
    <row r="1588" customFormat="false" ht="15" hidden="false" customHeight="false" outlineLevel="0" collapsed="false">
      <c r="A1588" s="0" t="n">
        <v>163</v>
      </c>
      <c r="B1588" s="0" t="s">
        <v>221</v>
      </c>
      <c r="C1588" s="0" t="s">
        <v>10505</v>
      </c>
      <c r="D1588" s="0" t="s">
        <v>6416</v>
      </c>
      <c r="E1588" s="0" t="s">
        <v>10506</v>
      </c>
      <c r="F1588" s="0" t="n">
        <v>14083</v>
      </c>
      <c r="G1588" s="0" t="s">
        <v>277</v>
      </c>
      <c r="H1588" s="0" t="s">
        <v>270</v>
      </c>
      <c r="I1588" s="0" t="s">
        <v>10507</v>
      </c>
    </row>
    <row r="1589" customFormat="false" ht="15" hidden="false" customHeight="false" outlineLevel="0" collapsed="false">
      <c r="A1589" s="0" t="n">
        <v>180</v>
      </c>
      <c r="B1589" s="0" t="s">
        <v>241</v>
      </c>
      <c r="C1589" s="0" t="s">
        <v>10508</v>
      </c>
      <c r="D1589" s="0" t="s">
        <v>6416</v>
      </c>
      <c r="E1589" s="0" t="s">
        <v>10509</v>
      </c>
      <c r="F1589" s="0" t="n">
        <v>2903</v>
      </c>
      <c r="G1589" s="0" t="s">
        <v>277</v>
      </c>
      <c r="H1589" s="0" t="s">
        <v>270</v>
      </c>
      <c r="I1589" s="0" t="s">
        <v>10510</v>
      </c>
    </row>
    <row r="1590" customFormat="false" ht="15" hidden="false" customHeight="false" outlineLevel="0" collapsed="false">
      <c r="A1590" s="0" t="n">
        <v>111</v>
      </c>
      <c r="B1590" s="0" t="s">
        <v>165</v>
      </c>
      <c r="C1590" s="0" t="s">
        <v>10511</v>
      </c>
      <c r="D1590" s="0" t="s">
        <v>6416</v>
      </c>
      <c r="E1590" s="0" t="s">
        <v>10512</v>
      </c>
      <c r="F1590" s="0" t="n">
        <v>1651</v>
      </c>
      <c r="G1590" s="0" t="s">
        <v>277</v>
      </c>
      <c r="H1590" s="0" t="s">
        <v>270</v>
      </c>
      <c r="I1590" s="0" t="s">
        <v>10513</v>
      </c>
    </row>
    <row r="1591" customFormat="false" ht="15" hidden="false" customHeight="false" outlineLevel="0" collapsed="false">
      <c r="A1591" s="0" t="n">
        <v>72</v>
      </c>
      <c r="B1591" s="0" t="s">
        <v>123</v>
      </c>
      <c r="C1591" s="0" t="s">
        <v>10514</v>
      </c>
      <c r="D1591" s="0" t="s">
        <v>6416</v>
      </c>
      <c r="E1591" s="0" t="s">
        <v>10515</v>
      </c>
      <c r="F1591" s="0" t="n">
        <v>3631</v>
      </c>
      <c r="G1591" s="0" t="s">
        <v>277</v>
      </c>
      <c r="H1591" s="0" t="s">
        <v>270</v>
      </c>
      <c r="I1591" s="0" t="s">
        <v>10516</v>
      </c>
    </row>
    <row r="1592" customFormat="false" ht="15" hidden="false" customHeight="false" outlineLevel="0" collapsed="false">
      <c r="A1592" s="0" t="n">
        <v>85</v>
      </c>
      <c r="B1592" s="0" t="s">
        <v>136</v>
      </c>
      <c r="C1592" s="0" t="s">
        <v>10517</v>
      </c>
      <c r="D1592" s="0" t="s">
        <v>6416</v>
      </c>
      <c r="E1592" s="0" t="s">
        <v>10518</v>
      </c>
      <c r="F1592" s="0" t="n">
        <v>2903</v>
      </c>
      <c r="G1592" s="0" t="s">
        <v>277</v>
      </c>
      <c r="H1592" s="0" t="s">
        <v>270</v>
      </c>
      <c r="I1592" s="0" t="s">
        <v>10519</v>
      </c>
    </row>
    <row r="1593" customFormat="false" ht="15" hidden="false" customHeight="false" outlineLevel="0" collapsed="false">
      <c r="A1593" s="0" t="n">
        <v>167</v>
      </c>
      <c r="B1593" s="0" t="s">
        <v>226</v>
      </c>
      <c r="C1593" s="0" t="s">
        <v>10520</v>
      </c>
      <c r="D1593" s="0" t="s">
        <v>6425</v>
      </c>
      <c r="E1593" s="0" t="s">
        <v>10521</v>
      </c>
      <c r="F1593" s="0" t="n">
        <v>2930</v>
      </c>
      <c r="G1593" s="0" t="s">
        <v>277</v>
      </c>
      <c r="H1593" s="0" t="s">
        <v>270</v>
      </c>
      <c r="I1593" s="0" t="s">
        <v>10522</v>
      </c>
    </row>
    <row r="1594" customFormat="false" ht="15" hidden="false" customHeight="false" outlineLevel="0" collapsed="false">
      <c r="A1594" s="0" t="n">
        <v>30</v>
      </c>
      <c r="B1594" s="0" t="s">
        <v>70</v>
      </c>
      <c r="C1594" s="0" t="s">
        <v>10523</v>
      </c>
      <c r="D1594" s="0" t="s">
        <v>6416</v>
      </c>
      <c r="E1594" s="0" t="s">
        <v>10524</v>
      </c>
      <c r="F1594" s="0" t="n">
        <v>2903</v>
      </c>
      <c r="G1594" s="0" t="s">
        <v>277</v>
      </c>
      <c r="H1594" s="0" t="s">
        <v>270</v>
      </c>
      <c r="I1594" s="0" t="s">
        <v>10525</v>
      </c>
    </row>
    <row r="1595" customFormat="false" ht="15" hidden="false" customHeight="false" outlineLevel="0" collapsed="false">
      <c r="A1595" s="0" t="n">
        <v>20</v>
      </c>
      <c r="B1595" s="0" t="s">
        <v>57</v>
      </c>
      <c r="C1595" s="0" t="s">
        <v>10526</v>
      </c>
      <c r="D1595" s="0" t="s">
        <v>6416</v>
      </c>
      <c r="E1595" s="0" t="s">
        <v>10527</v>
      </c>
      <c r="F1595" s="0" t="n">
        <v>2903</v>
      </c>
      <c r="G1595" s="0" t="s">
        <v>277</v>
      </c>
      <c r="H1595" s="0" t="s">
        <v>270</v>
      </c>
      <c r="I1595" s="0" t="s">
        <v>10528</v>
      </c>
    </row>
    <row r="1596" customFormat="false" ht="15" hidden="false" customHeight="false" outlineLevel="0" collapsed="false">
      <c r="A1596" s="0" t="n">
        <v>162</v>
      </c>
      <c r="B1596" s="0" t="s">
        <v>220</v>
      </c>
      <c r="C1596" s="0" t="s">
        <v>10529</v>
      </c>
      <c r="D1596" s="0" t="s">
        <v>6416</v>
      </c>
      <c r="E1596" s="2" t="s">
        <v>10530</v>
      </c>
      <c r="F1596" s="0" t="n">
        <v>5500</v>
      </c>
      <c r="G1596" s="0" t="s">
        <v>277</v>
      </c>
      <c r="H1596" s="0" t="s">
        <v>270</v>
      </c>
      <c r="I1596" s="0" t="s">
        <v>10531</v>
      </c>
    </row>
    <row r="1597" customFormat="false" ht="15" hidden="false" customHeight="false" outlineLevel="0" collapsed="false">
      <c r="A1597" s="0" t="n">
        <v>145</v>
      </c>
      <c r="B1597" s="0" t="s">
        <v>201</v>
      </c>
      <c r="C1597" s="0" t="s">
        <v>10532</v>
      </c>
      <c r="D1597" s="0" t="s">
        <v>6416</v>
      </c>
      <c r="E1597" s="0" t="s">
        <v>10533</v>
      </c>
      <c r="F1597" s="0" t="n">
        <v>68375</v>
      </c>
      <c r="G1597" s="0" t="s">
        <v>277</v>
      </c>
      <c r="H1597" s="0" t="s">
        <v>270</v>
      </c>
      <c r="I1597" s="0" t="s">
        <v>10534</v>
      </c>
    </row>
    <row r="1598" customFormat="false" ht="15" hidden="false" customHeight="false" outlineLevel="0" collapsed="false">
      <c r="A1598" s="0" t="n">
        <v>50</v>
      </c>
      <c r="B1598" s="0" t="s">
        <v>97</v>
      </c>
      <c r="C1598" s="0" t="s">
        <v>10535</v>
      </c>
      <c r="D1598" s="0" t="s">
        <v>6560</v>
      </c>
      <c r="E1598" s="0" t="s">
        <v>10536</v>
      </c>
      <c r="F1598" s="0" t="n">
        <v>1357</v>
      </c>
      <c r="G1598" s="0" t="s">
        <v>277</v>
      </c>
      <c r="H1598" s="0" t="s">
        <v>270</v>
      </c>
      <c r="I1598" s="0" t="s">
        <v>10537</v>
      </c>
    </row>
    <row r="1599" customFormat="false" ht="15" hidden="false" customHeight="false" outlineLevel="0" collapsed="false">
      <c r="A1599" s="0" t="n">
        <v>179</v>
      </c>
      <c r="B1599" s="0" t="s">
        <v>240</v>
      </c>
      <c r="C1599" s="0" t="s">
        <v>10538</v>
      </c>
      <c r="D1599" s="0" t="s">
        <v>6416</v>
      </c>
      <c r="E1599" s="0" t="s">
        <v>10539</v>
      </c>
      <c r="F1599" s="0" t="n">
        <v>2903</v>
      </c>
      <c r="G1599" s="0" t="s">
        <v>277</v>
      </c>
      <c r="H1599" s="0" t="s">
        <v>270</v>
      </c>
      <c r="I1599" s="0" t="s">
        <v>10540</v>
      </c>
    </row>
    <row r="1600" customFormat="false" ht="15" hidden="false" customHeight="false" outlineLevel="0" collapsed="false">
      <c r="A1600" s="0" t="n">
        <v>41</v>
      </c>
      <c r="B1600" s="0" t="s">
        <v>84</v>
      </c>
      <c r="C1600" s="0" t="s">
        <v>10541</v>
      </c>
      <c r="D1600" s="0" t="s">
        <v>6416</v>
      </c>
      <c r="E1600" s="0" t="s">
        <v>10542</v>
      </c>
      <c r="F1600" s="0" t="n">
        <v>7205</v>
      </c>
      <c r="G1600" s="0" t="s">
        <v>277</v>
      </c>
      <c r="H1600" s="0" t="s">
        <v>270</v>
      </c>
      <c r="I1600" s="0" t="s">
        <v>10543</v>
      </c>
    </row>
    <row r="1601" customFormat="false" ht="15" hidden="false" customHeight="false" outlineLevel="0" collapsed="false">
      <c r="A1601" s="0" t="n">
        <v>125</v>
      </c>
      <c r="B1601" s="0" t="s">
        <v>180</v>
      </c>
      <c r="C1601" s="0" t="s">
        <v>10544</v>
      </c>
      <c r="D1601" s="0" t="s">
        <v>6416</v>
      </c>
      <c r="E1601" s="0" t="s">
        <v>10545</v>
      </c>
      <c r="F1601" s="0" t="n">
        <v>2622</v>
      </c>
      <c r="G1601" s="0" t="s">
        <v>277</v>
      </c>
      <c r="H1601" s="0" t="s">
        <v>270</v>
      </c>
      <c r="I1601" s="0" t="s">
        <v>10546</v>
      </c>
    </row>
    <row r="1602" customFormat="false" ht="15" hidden="false" customHeight="false" outlineLevel="0" collapsed="false">
      <c r="A1602" s="0" t="n">
        <v>172</v>
      </c>
      <c r="B1602" s="0" t="s">
        <v>232</v>
      </c>
      <c r="C1602" s="0" t="s">
        <v>10547</v>
      </c>
      <c r="D1602" s="0" t="s">
        <v>6416</v>
      </c>
      <c r="E1602" s="0" t="s">
        <v>10548</v>
      </c>
      <c r="F1602" s="0" t="n">
        <v>1463</v>
      </c>
      <c r="G1602" s="0" t="s">
        <v>277</v>
      </c>
      <c r="H1602" s="0" t="s">
        <v>270</v>
      </c>
      <c r="I1602" s="0" t="s">
        <v>10549</v>
      </c>
    </row>
    <row r="1603" customFormat="false" ht="15" hidden="false" customHeight="false" outlineLevel="0" collapsed="false">
      <c r="A1603" s="0" t="n">
        <v>59</v>
      </c>
      <c r="B1603" s="0" t="s">
        <v>109</v>
      </c>
      <c r="C1603" s="0" t="s">
        <v>10550</v>
      </c>
      <c r="D1603" s="0" t="s">
        <v>6416</v>
      </c>
      <c r="E1603" s="0" t="s">
        <v>10551</v>
      </c>
      <c r="F1603" s="0" t="n">
        <v>2903</v>
      </c>
      <c r="G1603" s="0" t="s">
        <v>277</v>
      </c>
      <c r="H1603" s="0" t="s">
        <v>270</v>
      </c>
      <c r="I1603" s="0" t="s">
        <v>10552</v>
      </c>
    </row>
    <row r="1604" customFormat="false" ht="15" hidden="false" customHeight="false" outlineLevel="0" collapsed="false">
      <c r="A1604" s="0" t="n">
        <v>99</v>
      </c>
      <c r="B1604" s="0" t="s">
        <v>153</v>
      </c>
      <c r="C1604" s="0" t="s">
        <v>10553</v>
      </c>
      <c r="D1604" s="0" t="s">
        <v>6416</v>
      </c>
      <c r="E1604" s="0" t="s">
        <v>10554</v>
      </c>
      <c r="F1604" s="0" t="n">
        <v>2307</v>
      </c>
      <c r="G1604" s="0" t="s">
        <v>277</v>
      </c>
      <c r="H1604" s="0" t="s">
        <v>270</v>
      </c>
      <c r="I1604" s="0" t="s">
        <v>10555</v>
      </c>
    </row>
    <row r="1605" customFormat="false" ht="15" hidden="false" customHeight="false" outlineLevel="0" collapsed="false">
      <c r="A1605" s="0" t="n">
        <v>88</v>
      </c>
      <c r="B1605" s="0" t="s">
        <v>140</v>
      </c>
      <c r="C1605" s="0" t="s">
        <v>10556</v>
      </c>
      <c r="D1605" s="0" t="s">
        <v>6416</v>
      </c>
      <c r="E1605" s="0" t="s">
        <v>10557</v>
      </c>
      <c r="F1605" s="0" t="n">
        <v>2299</v>
      </c>
      <c r="G1605" s="0" t="s">
        <v>277</v>
      </c>
      <c r="H1605" s="0" t="s">
        <v>270</v>
      </c>
      <c r="I1605" s="0" t="s">
        <v>10558</v>
      </c>
    </row>
    <row r="1606" customFormat="false" ht="15" hidden="false" customHeight="false" outlineLevel="0" collapsed="false">
      <c r="A1606" s="0" t="n">
        <v>175</v>
      </c>
      <c r="B1606" s="0" t="s">
        <v>235</v>
      </c>
      <c r="C1606" s="0" t="s">
        <v>10559</v>
      </c>
      <c r="D1606" s="0" t="s">
        <v>6416</v>
      </c>
      <c r="E1606" s="0" t="s">
        <v>10560</v>
      </c>
      <c r="F1606" s="0" t="n">
        <v>2248</v>
      </c>
      <c r="G1606" s="0" t="s">
        <v>277</v>
      </c>
      <c r="H1606" s="0" t="s">
        <v>270</v>
      </c>
      <c r="I1606" s="0" t="s">
        <v>10561</v>
      </c>
    </row>
    <row r="1607" customFormat="false" ht="15" hidden="false" customHeight="false" outlineLevel="0" collapsed="false">
      <c r="A1607" s="0" t="n">
        <v>145</v>
      </c>
      <c r="B1607" s="0" t="s">
        <v>201</v>
      </c>
      <c r="C1607" s="0" t="s">
        <v>10562</v>
      </c>
      <c r="D1607" s="0" t="s">
        <v>6560</v>
      </c>
      <c r="E1607" s="0" t="s">
        <v>10563</v>
      </c>
      <c r="F1607" s="0" t="n">
        <v>1681</v>
      </c>
      <c r="G1607" s="0" t="s">
        <v>277</v>
      </c>
      <c r="H1607" s="0" t="s">
        <v>270</v>
      </c>
      <c r="I1607" s="0" t="s">
        <v>10564</v>
      </c>
    </row>
    <row r="1608" customFormat="false" ht="15" hidden="false" customHeight="false" outlineLevel="0" collapsed="false">
      <c r="A1608" s="0" t="n">
        <v>106</v>
      </c>
      <c r="B1608" s="0" t="s">
        <v>160</v>
      </c>
      <c r="C1608" s="0" t="s">
        <v>10565</v>
      </c>
      <c r="D1608" s="0" t="s">
        <v>6416</v>
      </c>
      <c r="E1608" s="0" t="s">
        <v>10566</v>
      </c>
      <c r="F1608" s="0" t="n">
        <v>2903</v>
      </c>
      <c r="G1608" s="0" t="s">
        <v>277</v>
      </c>
      <c r="H1608" s="0" t="s">
        <v>270</v>
      </c>
      <c r="I1608" s="0" t="s">
        <v>10567</v>
      </c>
    </row>
    <row r="1609" customFormat="false" ht="15" hidden="false" customHeight="false" outlineLevel="0" collapsed="false">
      <c r="A1609" s="0" t="n">
        <v>175</v>
      </c>
      <c r="B1609" s="0" t="s">
        <v>235</v>
      </c>
      <c r="C1609" s="0" t="s">
        <v>10568</v>
      </c>
      <c r="D1609" s="0" t="s">
        <v>6416</v>
      </c>
      <c r="E1609" s="0" t="s">
        <v>10569</v>
      </c>
      <c r="F1609" s="0" t="n">
        <v>259</v>
      </c>
      <c r="G1609" s="0" t="s">
        <v>277</v>
      </c>
      <c r="H1609" s="0" t="s">
        <v>270</v>
      </c>
      <c r="I1609" s="0" t="s">
        <v>10570</v>
      </c>
    </row>
    <row r="1610" customFormat="false" ht="15" hidden="false" customHeight="false" outlineLevel="0" collapsed="false">
      <c r="A1610" s="0" t="n">
        <v>84</v>
      </c>
      <c r="B1610" s="0" t="s">
        <v>135</v>
      </c>
      <c r="C1610" s="0" t="s">
        <v>10571</v>
      </c>
      <c r="D1610" s="0" t="s">
        <v>6416</v>
      </c>
      <c r="E1610" s="0" t="s">
        <v>10572</v>
      </c>
      <c r="F1610" s="0" t="n">
        <v>1303</v>
      </c>
      <c r="G1610" s="0" t="s">
        <v>277</v>
      </c>
      <c r="H1610" s="0" t="s">
        <v>270</v>
      </c>
      <c r="I1610" s="0" t="s">
        <v>10573</v>
      </c>
    </row>
    <row r="1611" customFormat="false" ht="15" hidden="false" customHeight="false" outlineLevel="0" collapsed="false">
      <c r="A1611" s="0" t="n">
        <v>34</v>
      </c>
      <c r="B1611" s="0" t="s">
        <v>75</v>
      </c>
      <c r="C1611" s="0" t="s">
        <v>10574</v>
      </c>
      <c r="D1611" s="0" t="s">
        <v>6416</v>
      </c>
      <c r="E1611" s="0" t="s">
        <v>10575</v>
      </c>
      <c r="F1611" s="0" t="n">
        <v>2903</v>
      </c>
      <c r="G1611" s="0" t="s">
        <v>277</v>
      </c>
      <c r="H1611" s="0" t="s">
        <v>270</v>
      </c>
      <c r="I1611" s="0" t="s">
        <v>10576</v>
      </c>
    </row>
    <row r="1612" customFormat="false" ht="15" hidden="false" customHeight="false" outlineLevel="0" collapsed="false">
      <c r="A1612" s="0" t="n">
        <v>167</v>
      </c>
      <c r="B1612" s="0" t="s">
        <v>226</v>
      </c>
      <c r="C1612" s="0" t="s">
        <v>10577</v>
      </c>
      <c r="D1612" s="0" t="s">
        <v>6416</v>
      </c>
      <c r="E1612" s="0" t="s">
        <v>10578</v>
      </c>
      <c r="F1612" s="0" t="n">
        <v>2269</v>
      </c>
      <c r="G1612" s="0" t="s">
        <v>277</v>
      </c>
      <c r="H1612" s="0" t="s">
        <v>270</v>
      </c>
      <c r="I1612" s="0" t="s">
        <v>10579</v>
      </c>
    </row>
    <row r="1613" customFormat="false" ht="15" hidden="false" customHeight="false" outlineLevel="0" collapsed="false">
      <c r="A1613" s="0" t="n">
        <v>9</v>
      </c>
      <c r="B1613" s="0" t="s">
        <v>42</v>
      </c>
      <c r="C1613" s="0" t="s">
        <v>10580</v>
      </c>
      <c r="D1613" s="0" t="s">
        <v>6416</v>
      </c>
      <c r="E1613" s="0" t="s">
        <v>10581</v>
      </c>
      <c r="F1613" s="0" t="n">
        <v>2754</v>
      </c>
      <c r="G1613" s="0" t="s">
        <v>277</v>
      </c>
      <c r="H1613" s="0" t="s">
        <v>270</v>
      </c>
      <c r="I1613" s="0" t="s">
        <v>10582</v>
      </c>
    </row>
    <row r="1614" customFormat="false" ht="15" hidden="false" customHeight="false" outlineLevel="0" collapsed="false">
      <c r="A1614" s="0" t="n">
        <v>164</v>
      </c>
      <c r="B1614" s="0" t="s">
        <v>222</v>
      </c>
      <c r="C1614" s="0" t="s">
        <v>10583</v>
      </c>
      <c r="D1614" s="0" t="s">
        <v>6425</v>
      </c>
      <c r="E1614" s="0" t="s">
        <v>10584</v>
      </c>
      <c r="F1614" s="0" t="n">
        <v>7358</v>
      </c>
      <c r="G1614" s="0" t="s">
        <v>277</v>
      </c>
      <c r="H1614" s="0" t="s">
        <v>270</v>
      </c>
      <c r="I1614" s="0" t="s">
        <v>10585</v>
      </c>
    </row>
    <row r="1615" customFormat="false" ht="15" hidden="false" customHeight="false" outlineLevel="0" collapsed="false">
      <c r="A1615" s="0" t="n">
        <v>47</v>
      </c>
      <c r="B1615" s="0" t="s">
        <v>94</v>
      </c>
      <c r="C1615" s="0" t="s">
        <v>10586</v>
      </c>
      <c r="D1615" s="0" t="s">
        <v>6416</v>
      </c>
      <c r="E1615" s="0" t="s">
        <v>10587</v>
      </c>
      <c r="F1615" s="0" t="n">
        <v>2384</v>
      </c>
      <c r="G1615" s="0" t="s">
        <v>277</v>
      </c>
      <c r="H1615" s="0" t="s">
        <v>270</v>
      </c>
      <c r="I1615" s="0" t="s">
        <v>10588</v>
      </c>
    </row>
    <row r="1616" customFormat="false" ht="15" hidden="false" customHeight="false" outlineLevel="0" collapsed="false">
      <c r="A1616" s="0" t="n">
        <v>3</v>
      </c>
      <c r="B1616" s="0" t="s">
        <v>32</v>
      </c>
      <c r="C1616" s="0" t="s">
        <v>10589</v>
      </c>
      <c r="D1616" s="0" t="s">
        <v>6416</v>
      </c>
      <c r="E1616" s="0" t="s">
        <v>10590</v>
      </c>
      <c r="F1616" s="0" t="n">
        <v>4739</v>
      </c>
      <c r="G1616" s="0" t="s">
        <v>277</v>
      </c>
      <c r="H1616" s="0" t="s">
        <v>270</v>
      </c>
      <c r="I1616" s="0" t="s">
        <v>10591</v>
      </c>
    </row>
    <row r="1617" customFormat="false" ht="15" hidden="false" customHeight="false" outlineLevel="0" collapsed="false">
      <c r="A1617" s="0" t="n">
        <v>33</v>
      </c>
      <c r="B1617" s="0" t="s">
        <v>73</v>
      </c>
      <c r="C1617" s="0" t="s">
        <v>10592</v>
      </c>
      <c r="D1617" s="0" t="s">
        <v>6416</v>
      </c>
      <c r="E1617" s="0" t="s">
        <v>10593</v>
      </c>
      <c r="F1617" s="0" t="n">
        <v>2903</v>
      </c>
      <c r="G1617" s="0" t="s">
        <v>277</v>
      </c>
      <c r="H1617" s="0" t="s">
        <v>270</v>
      </c>
      <c r="I1617" s="0" t="s">
        <v>10594</v>
      </c>
    </row>
    <row r="1618" customFormat="false" ht="15" hidden="false" customHeight="false" outlineLevel="0" collapsed="false">
      <c r="A1618" s="0" t="n">
        <v>154</v>
      </c>
      <c r="B1618" s="0" t="s">
        <v>211</v>
      </c>
      <c r="C1618" s="0" t="s">
        <v>10595</v>
      </c>
      <c r="D1618" s="0" t="s">
        <v>6416</v>
      </c>
      <c r="E1618" s="0" t="s">
        <v>10596</v>
      </c>
      <c r="F1618" s="0" t="n">
        <v>5384</v>
      </c>
      <c r="G1618" s="0" t="s">
        <v>277</v>
      </c>
      <c r="H1618" s="0" t="s">
        <v>270</v>
      </c>
      <c r="I1618" s="0" t="s">
        <v>10597</v>
      </c>
    </row>
    <row r="1619" customFormat="false" ht="15" hidden="false" customHeight="false" outlineLevel="0" collapsed="false">
      <c r="A1619" s="0" t="n">
        <v>77</v>
      </c>
      <c r="B1619" s="0" t="s">
        <v>128</v>
      </c>
      <c r="C1619" s="0" t="s">
        <v>10598</v>
      </c>
      <c r="D1619" s="0" t="s">
        <v>6416</v>
      </c>
      <c r="E1619" s="0" t="s">
        <v>10599</v>
      </c>
      <c r="F1619" s="0" t="n">
        <v>3057</v>
      </c>
      <c r="G1619" s="0" t="s">
        <v>277</v>
      </c>
      <c r="H1619" s="0" t="s">
        <v>270</v>
      </c>
      <c r="I1619" s="0" t="s">
        <v>10600</v>
      </c>
    </row>
    <row r="1620" customFormat="false" ht="15" hidden="false" customHeight="false" outlineLevel="0" collapsed="false">
      <c r="A1620" s="0" t="n">
        <v>53</v>
      </c>
      <c r="B1620" s="0" t="s">
        <v>101</v>
      </c>
      <c r="C1620" s="0" t="s">
        <v>10601</v>
      </c>
      <c r="D1620" s="0" t="s">
        <v>6416</v>
      </c>
      <c r="E1620" s="0" t="s">
        <v>10602</v>
      </c>
      <c r="F1620" s="0" t="n">
        <v>2077</v>
      </c>
      <c r="G1620" s="0" t="s">
        <v>277</v>
      </c>
      <c r="H1620" s="0" t="s">
        <v>270</v>
      </c>
      <c r="I1620" s="0" t="s">
        <v>10603</v>
      </c>
    </row>
    <row r="1621" customFormat="false" ht="15" hidden="false" customHeight="false" outlineLevel="0" collapsed="false">
      <c r="A1621" s="0" t="n">
        <v>70</v>
      </c>
      <c r="B1621" s="0" t="s">
        <v>121</v>
      </c>
      <c r="C1621" s="0" t="s">
        <v>10604</v>
      </c>
      <c r="D1621" s="0" t="s">
        <v>6416</v>
      </c>
      <c r="E1621" s="0" t="s">
        <v>10605</v>
      </c>
      <c r="F1621" s="0" t="n">
        <v>2903</v>
      </c>
      <c r="G1621" s="0" t="s">
        <v>277</v>
      </c>
      <c r="H1621" s="0" t="s">
        <v>270</v>
      </c>
      <c r="I1621" s="0" t="s">
        <v>10606</v>
      </c>
    </row>
    <row r="1622" customFormat="false" ht="15" hidden="false" customHeight="false" outlineLevel="0" collapsed="false">
      <c r="A1622" s="0" t="n">
        <v>3</v>
      </c>
      <c r="B1622" s="0" t="s">
        <v>32</v>
      </c>
      <c r="C1622" s="0" t="s">
        <v>10607</v>
      </c>
      <c r="D1622" s="0" t="s">
        <v>6416</v>
      </c>
      <c r="E1622" s="0" t="s">
        <v>10608</v>
      </c>
      <c r="F1622" s="0" t="n">
        <v>2903</v>
      </c>
      <c r="G1622" s="0" t="s">
        <v>277</v>
      </c>
      <c r="H1622" s="0" t="s">
        <v>270</v>
      </c>
      <c r="I1622" s="0" t="s">
        <v>10609</v>
      </c>
    </row>
    <row r="1623" customFormat="false" ht="15" hidden="false" customHeight="false" outlineLevel="0" collapsed="false">
      <c r="A1623" s="0" t="n">
        <v>109</v>
      </c>
      <c r="B1623" s="0" t="s">
        <v>163</v>
      </c>
      <c r="C1623" s="0" t="s">
        <v>10610</v>
      </c>
      <c r="D1623" s="0" t="s">
        <v>6416</v>
      </c>
      <c r="E1623" s="0" t="s">
        <v>10611</v>
      </c>
      <c r="F1623" s="0" t="n">
        <v>2764</v>
      </c>
      <c r="G1623" s="0" t="s">
        <v>277</v>
      </c>
      <c r="H1623" s="0" t="s">
        <v>270</v>
      </c>
      <c r="I1623" s="0" t="s">
        <v>10612</v>
      </c>
    </row>
    <row r="1624" customFormat="false" ht="15" hidden="false" customHeight="false" outlineLevel="0" collapsed="false">
      <c r="A1624" s="0" t="n">
        <v>164</v>
      </c>
      <c r="B1624" s="0" t="s">
        <v>222</v>
      </c>
      <c r="C1624" s="0" t="s">
        <v>10613</v>
      </c>
      <c r="D1624" s="0" t="s">
        <v>6425</v>
      </c>
      <c r="E1624" s="0" t="s">
        <v>10614</v>
      </c>
      <c r="F1624" s="0" t="n">
        <v>2752</v>
      </c>
      <c r="G1624" s="0" t="s">
        <v>277</v>
      </c>
      <c r="H1624" s="0" t="s">
        <v>270</v>
      </c>
      <c r="I1624" s="0" t="s">
        <v>10615</v>
      </c>
    </row>
    <row r="1625" customFormat="false" ht="15" hidden="false" customHeight="false" outlineLevel="0" collapsed="false">
      <c r="A1625" s="0" t="n">
        <v>99</v>
      </c>
      <c r="B1625" s="0" t="s">
        <v>153</v>
      </c>
      <c r="C1625" s="0" t="s">
        <v>10616</v>
      </c>
      <c r="D1625" s="0" t="s">
        <v>6416</v>
      </c>
      <c r="E1625" s="0" t="s">
        <v>10617</v>
      </c>
      <c r="F1625" s="0" t="n">
        <v>1822</v>
      </c>
      <c r="G1625" s="0" t="s">
        <v>277</v>
      </c>
      <c r="H1625" s="0" t="s">
        <v>270</v>
      </c>
      <c r="I1625" s="0" t="s">
        <v>10618</v>
      </c>
    </row>
    <row r="1626" customFormat="false" ht="15" hidden="false" customHeight="false" outlineLevel="0" collapsed="false">
      <c r="A1626" s="0" t="n">
        <v>72</v>
      </c>
      <c r="B1626" s="0" t="s">
        <v>123</v>
      </c>
      <c r="C1626" s="0" t="s">
        <v>10619</v>
      </c>
      <c r="D1626" s="0" t="s">
        <v>6416</v>
      </c>
      <c r="E1626" s="0" t="s">
        <v>10620</v>
      </c>
      <c r="F1626" s="0" t="n">
        <v>1373</v>
      </c>
      <c r="G1626" s="0" t="s">
        <v>277</v>
      </c>
      <c r="H1626" s="0" t="s">
        <v>270</v>
      </c>
      <c r="I1626" s="0" t="s">
        <v>10621</v>
      </c>
    </row>
    <row r="1627" customFormat="false" ht="15" hidden="false" customHeight="false" outlineLevel="0" collapsed="false">
      <c r="A1627" s="0" t="n">
        <v>33</v>
      </c>
      <c r="B1627" s="0" t="s">
        <v>73</v>
      </c>
      <c r="C1627" s="0" t="s">
        <v>10622</v>
      </c>
      <c r="D1627" s="0" t="s">
        <v>6416</v>
      </c>
      <c r="E1627" s="0" t="s">
        <v>73</v>
      </c>
      <c r="F1627" s="0" t="n">
        <v>7872</v>
      </c>
      <c r="G1627" s="0" t="s">
        <v>277</v>
      </c>
      <c r="H1627" s="0" t="s">
        <v>270</v>
      </c>
      <c r="I1627" s="0" t="s">
        <v>10623</v>
      </c>
    </row>
    <row r="1628" customFormat="false" ht="15" hidden="false" customHeight="false" outlineLevel="0" collapsed="false">
      <c r="A1628" s="0" t="n">
        <v>64</v>
      </c>
      <c r="B1628" s="0" t="s">
        <v>115</v>
      </c>
      <c r="C1628" s="0" t="s">
        <v>10624</v>
      </c>
      <c r="D1628" s="0" t="s">
        <v>6416</v>
      </c>
      <c r="E1628" s="0" t="s">
        <v>10625</v>
      </c>
      <c r="F1628" s="0" t="n">
        <v>2903</v>
      </c>
      <c r="G1628" s="0" t="s">
        <v>277</v>
      </c>
      <c r="H1628" s="0" t="s">
        <v>270</v>
      </c>
      <c r="I1628" s="0" t="s">
        <v>10626</v>
      </c>
    </row>
    <row r="1629" customFormat="false" ht="15" hidden="false" customHeight="false" outlineLevel="0" collapsed="false">
      <c r="A1629" s="0" t="n">
        <v>178</v>
      </c>
      <c r="B1629" s="0" t="s">
        <v>239</v>
      </c>
      <c r="C1629" s="0" t="s">
        <v>10627</v>
      </c>
      <c r="D1629" s="0" t="s">
        <v>6416</v>
      </c>
      <c r="E1629" s="0" t="s">
        <v>10628</v>
      </c>
      <c r="F1629" s="0" t="n">
        <v>1461</v>
      </c>
      <c r="G1629" s="0" t="s">
        <v>277</v>
      </c>
      <c r="H1629" s="0" t="s">
        <v>270</v>
      </c>
      <c r="I1629" s="0" t="s">
        <v>10629</v>
      </c>
    </row>
    <row r="1630" customFormat="false" ht="15" hidden="false" customHeight="false" outlineLevel="0" collapsed="false">
      <c r="A1630" s="0" t="n">
        <v>176</v>
      </c>
      <c r="B1630" s="0" t="s">
        <v>237</v>
      </c>
      <c r="C1630" s="0" t="s">
        <v>10630</v>
      </c>
      <c r="D1630" s="0" t="s">
        <v>6560</v>
      </c>
      <c r="E1630" s="0" t="s">
        <v>10631</v>
      </c>
      <c r="F1630" s="0" t="n">
        <v>11469</v>
      </c>
      <c r="G1630" s="0" t="s">
        <v>277</v>
      </c>
      <c r="H1630" s="0" t="s">
        <v>270</v>
      </c>
      <c r="I1630" s="0" t="s">
        <v>10632</v>
      </c>
    </row>
    <row r="1631" customFormat="false" ht="15" hidden="false" customHeight="false" outlineLevel="0" collapsed="false">
      <c r="A1631" s="0" t="n">
        <v>166</v>
      </c>
      <c r="B1631" s="0" t="s">
        <v>225</v>
      </c>
      <c r="C1631" s="0" t="s">
        <v>10633</v>
      </c>
      <c r="D1631" s="0" t="s">
        <v>6416</v>
      </c>
      <c r="E1631" s="0" t="s">
        <v>10634</v>
      </c>
      <c r="F1631" s="0" t="n">
        <v>8240</v>
      </c>
      <c r="G1631" s="0" t="s">
        <v>277</v>
      </c>
      <c r="H1631" s="0" t="s">
        <v>270</v>
      </c>
      <c r="I1631" s="0" t="s">
        <v>10635</v>
      </c>
    </row>
    <row r="1632" customFormat="false" ht="15" hidden="false" customHeight="false" outlineLevel="0" collapsed="false">
      <c r="A1632" s="0" t="n">
        <v>116</v>
      </c>
      <c r="B1632" s="0" t="s">
        <v>170</v>
      </c>
      <c r="C1632" s="0" t="s">
        <v>10636</v>
      </c>
      <c r="D1632" s="0" t="s">
        <v>6416</v>
      </c>
      <c r="E1632" s="0" t="s">
        <v>10637</v>
      </c>
      <c r="F1632" s="0" t="n">
        <v>1306</v>
      </c>
      <c r="G1632" s="0" t="s">
        <v>277</v>
      </c>
      <c r="H1632" s="0" t="s">
        <v>270</v>
      </c>
      <c r="I1632" s="0" t="s">
        <v>10638</v>
      </c>
    </row>
    <row r="1633" customFormat="false" ht="15" hidden="false" customHeight="false" outlineLevel="0" collapsed="false">
      <c r="A1633" s="0" t="n">
        <v>7</v>
      </c>
      <c r="B1633" s="0" t="s">
        <v>40</v>
      </c>
      <c r="C1633" s="0" t="s">
        <v>10639</v>
      </c>
      <c r="D1633" s="0" t="s">
        <v>6416</v>
      </c>
      <c r="E1633" s="0" t="s">
        <v>10640</v>
      </c>
      <c r="F1633" s="0" t="n">
        <v>2903</v>
      </c>
      <c r="G1633" s="0" t="s">
        <v>277</v>
      </c>
      <c r="H1633" s="0" t="s">
        <v>270</v>
      </c>
      <c r="I1633" s="0" t="s">
        <v>10641</v>
      </c>
    </row>
    <row r="1634" customFormat="false" ht="15" hidden="false" customHeight="false" outlineLevel="0" collapsed="false">
      <c r="A1634" s="0" t="n">
        <v>11</v>
      </c>
      <c r="B1634" s="0" t="s">
        <v>44</v>
      </c>
      <c r="C1634" s="0" t="s">
        <v>10642</v>
      </c>
      <c r="D1634" s="0" t="s">
        <v>6560</v>
      </c>
      <c r="E1634" s="0" t="s">
        <v>10643</v>
      </c>
      <c r="F1634" s="0" t="n">
        <v>1452</v>
      </c>
      <c r="G1634" s="0" t="s">
        <v>277</v>
      </c>
      <c r="H1634" s="0" t="s">
        <v>270</v>
      </c>
      <c r="I1634" s="0" t="s">
        <v>10644</v>
      </c>
    </row>
    <row r="1635" customFormat="false" ht="15" hidden="false" customHeight="false" outlineLevel="0" collapsed="false">
      <c r="A1635" s="0" t="n">
        <v>10</v>
      </c>
      <c r="B1635" s="0" t="s">
        <v>43</v>
      </c>
      <c r="C1635" s="0" t="s">
        <v>10645</v>
      </c>
      <c r="D1635" s="0" t="s">
        <v>6425</v>
      </c>
      <c r="E1635" s="0" t="s">
        <v>10646</v>
      </c>
      <c r="F1635" s="0" t="n">
        <v>8810</v>
      </c>
      <c r="G1635" s="0" t="s">
        <v>277</v>
      </c>
      <c r="H1635" s="0" t="s">
        <v>270</v>
      </c>
      <c r="I1635" s="0" t="s">
        <v>10647</v>
      </c>
    </row>
    <row r="1636" customFormat="false" ht="15" hidden="false" customHeight="false" outlineLevel="0" collapsed="false">
      <c r="A1636" s="0" t="n">
        <v>102</v>
      </c>
      <c r="B1636" s="0" t="s">
        <v>156</v>
      </c>
      <c r="C1636" s="0" t="s">
        <v>10648</v>
      </c>
      <c r="D1636" s="0" t="s">
        <v>6416</v>
      </c>
      <c r="E1636" s="0" t="s">
        <v>10649</v>
      </c>
      <c r="F1636" s="0" t="n">
        <v>1841</v>
      </c>
      <c r="G1636" s="0" t="s">
        <v>277</v>
      </c>
      <c r="H1636" s="0" t="s">
        <v>270</v>
      </c>
      <c r="I1636" s="0" t="s">
        <v>10650</v>
      </c>
    </row>
    <row r="1637" customFormat="false" ht="15" hidden="false" customHeight="false" outlineLevel="0" collapsed="false">
      <c r="A1637" s="0" t="n">
        <v>133</v>
      </c>
      <c r="B1637" s="0" t="s">
        <v>188</v>
      </c>
      <c r="C1637" s="0" t="s">
        <v>10651</v>
      </c>
      <c r="D1637" s="0" t="s">
        <v>6416</v>
      </c>
      <c r="E1637" s="0" t="s">
        <v>10652</v>
      </c>
      <c r="F1637" s="0" t="n">
        <v>1339</v>
      </c>
      <c r="G1637" s="0" t="s">
        <v>277</v>
      </c>
      <c r="H1637" s="0" t="s">
        <v>270</v>
      </c>
      <c r="I1637" s="0" t="s">
        <v>10653</v>
      </c>
    </row>
    <row r="1638" customFormat="false" ht="15" hidden="false" customHeight="false" outlineLevel="0" collapsed="false">
      <c r="A1638" s="0" t="n">
        <v>38</v>
      </c>
      <c r="B1638" s="0" t="s">
        <v>79</v>
      </c>
      <c r="C1638" s="0" t="s">
        <v>10654</v>
      </c>
      <c r="D1638" s="0" t="s">
        <v>6560</v>
      </c>
      <c r="E1638" s="0" t="s">
        <v>10655</v>
      </c>
      <c r="F1638" s="0" t="n">
        <v>7121</v>
      </c>
      <c r="G1638" s="0" t="s">
        <v>277</v>
      </c>
      <c r="H1638" s="0" t="s">
        <v>270</v>
      </c>
      <c r="I1638" s="0" t="s">
        <v>10656</v>
      </c>
    </row>
    <row r="1639" customFormat="false" ht="15" hidden="false" customHeight="false" outlineLevel="0" collapsed="false">
      <c r="A1639" s="0" t="n">
        <v>72</v>
      </c>
      <c r="B1639" s="0" t="s">
        <v>123</v>
      </c>
      <c r="C1639" s="0" t="s">
        <v>10657</v>
      </c>
      <c r="D1639" s="0" t="s">
        <v>6416</v>
      </c>
      <c r="E1639" s="0" t="s">
        <v>10658</v>
      </c>
      <c r="F1639" s="0" t="n">
        <v>2881</v>
      </c>
      <c r="G1639" s="0" t="s">
        <v>277</v>
      </c>
      <c r="H1639" s="0" t="s">
        <v>270</v>
      </c>
      <c r="I1639" s="0" t="s">
        <v>10659</v>
      </c>
    </row>
    <row r="1640" customFormat="false" ht="15" hidden="false" customHeight="false" outlineLevel="0" collapsed="false">
      <c r="A1640" s="0" t="n">
        <v>110</v>
      </c>
      <c r="B1640" s="0" t="s">
        <v>164</v>
      </c>
      <c r="C1640" s="0" t="s">
        <v>10660</v>
      </c>
      <c r="D1640" s="0" t="s">
        <v>6416</v>
      </c>
      <c r="E1640" s="0" t="s">
        <v>10661</v>
      </c>
      <c r="F1640" s="0" t="n">
        <v>2903</v>
      </c>
      <c r="G1640" s="0" t="s">
        <v>277</v>
      </c>
      <c r="H1640" s="0" t="s">
        <v>270</v>
      </c>
      <c r="I1640" s="0" t="s">
        <v>10662</v>
      </c>
    </row>
    <row r="1641" customFormat="false" ht="15" hidden="false" customHeight="false" outlineLevel="0" collapsed="false">
      <c r="A1641" s="0" t="n">
        <v>98</v>
      </c>
      <c r="B1641" s="0" t="s">
        <v>152</v>
      </c>
      <c r="C1641" s="0" t="s">
        <v>10663</v>
      </c>
      <c r="D1641" s="0" t="s">
        <v>6416</v>
      </c>
      <c r="E1641" s="0" t="s">
        <v>10664</v>
      </c>
      <c r="F1641" s="0" t="n">
        <v>9151</v>
      </c>
      <c r="G1641" s="0" t="s">
        <v>277</v>
      </c>
      <c r="H1641" s="0" t="s">
        <v>270</v>
      </c>
      <c r="I1641" s="0" t="s">
        <v>10665</v>
      </c>
    </row>
    <row r="1642" customFormat="false" ht="15" hidden="false" customHeight="false" outlineLevel="0" collapsed="false">
      <c r="A1642" s="0" t="n">
        <v>11</v>
      </c>
      <c r="B1642" s="0" t="s">
        <v>44</v>
      </c>
      <c r="C1642" s="0" t="s">
        <v>10666</v>
      </c>
      <c r="D1642" s="0" t="s">
        <v>6425</v>
      </c>
      <c r="E1642" s="0" t="s">
        <v>10667</v>
      </c>
      <c r="F1642" s="0" t="n">
        <v>6077</v>
      </c>
      <c r="G1642" s="0" t="s">
        <v>277</v>
      </c>
      <c r="H1642" s="0" t="s">
        <v>270</v>
      </c>
      <c r="I1642" s="0" t="s">
        <v>10668</v>
      </c>
    </row>
    <row r="1643" customFormat="false" ht="15" hidden="false" customHeight="false" outlineLevel="0" collapsed="false">
      <c r="A1643" s="0" t="n">
        <v>73</v>
      </c>
      <c r="B1643" s="0" t="s">
        <v>124</v>
      </c>
      <c r="C1643" s="0" t="s">
        <v>10669</v>
      </c>
      <c r="D1643" s="0" t="s">
        <v>6416</v>
      </c>
      <c r="E1643" s="0" t="s">
        <v>10670</v>
      </c>
      <c r="F1643" s="0" t="n">
        <v>1837</v>
      </c>
      <c r="G1643" s="0" t="s">
        <v>277</v>
      </c>
      <c r="H1643" s="0" t="s">
        <v>270</v>
      </c>
      <c r="I1643" s="0" t="s">
        <v>10671</v>
      </c>
    </row>
    <row r="1644" customFormat="false" ht="15" hidden="false" customHeight="false" outlineLevel="0" collapsed="false">
      <c r="A1644" s="0" t="n">
        <v>115</v>
      </c>
      <c r="B1644" s="0" t="s">
        <v>169</v>
      </c>
      <c r="C1644" s="0" t="s">
        <v>10672</v>
      </c>
      <c r="D1644" s="0" t="s">
        <v>6416</v>
      </c>
      <c r="E1644" s="0" t="s">
        <v>10673</v>
      </c>
      <c r="F1644" s="0" t="n">
        <v>2903</v>
      </c>
      <c r="G1644" s="0" t="s">
        <v>277</v>
      </c>
      <c r="H1644" s="0" t="s">
        <v>270</v>
      </c>
      <c r="I1644" s="0" t="s">
        <v>10674</v>
      </c>
    </row>
    <row r="1645" customFormat="false" ht="15" hidden="false" customHeight="false" outlineLevel="0" collapsed="false">
      <c r="A1645" s="0" t="n">
        <v>79</v>
      </c>
      <c r="B1645" s="0" t="s">
        <v>130</v>
      </c>
      <c r="C1645" s="0" t="s">
        <v>10675</v>
      </c>
      <c r="D1645" s="0" t="s">
        <v>6416</v>
      </c>
      <c r="E1645" s="0" t="s">
        <v>10676</v>
      </c>
      <c r="F1645" s="0" t="n">
        <v>2903</v>
      </c>
      <c r="G1645" s="0" t="s">
        <v>277</v>
      </c>
      <c r="H1645" s="0" t="s">
        <v>270</v>
      </c>
      <c r="I1645" s="0" t="s">
        <v>10677</v>
      </c>
    </row>
    <row r="1646" customFormat="false" ht="15" hidden="false" customHeight="false" outlineLevel="0" collapsed="false">
      <c r="A1646" s="0" t="n">
        <v>75</v>
      </c>
      <c r="B1646" s="0" t="s">
        <v>126</v>
      </c>
      <c r="C1646" s="0" t="s">
        <v>10678</v>
      </c>
      <c r="D1646" s="0" t="s">
        <v>6416</v>
      </c>
      <c r="E1646" s="0" t="s">
        <v>10679</v>
      </c>
      <c r="F1646" s="0" t="n">
        <v>4390</v>
      </c>
      <c r="G1646" s="0" t="s">
        <v>277</v>
      </c>
      <c r="H1646" s="0" t="s">
        <v>270</v>
      </c>
      <c r="I1646" s="0" t="s">
        <v>10680</v>
      </c>
    </row>
    <row r="1647" customFormat="false" ht="15" hidden="false" customHeight="false" outlineLevel="0" collapsed="false">
      <c r="A1647" s="0" t="n">
        <v>34</v>
      </c>
      <c r="B1647" s="0" t="s">
        <v>75</v>
      </c>
      <c r="C1647" s="0" t="s">
        <v>10681</v>
      </c>
      <c r="D1647" s="0" t="s">
        <v>6076</v>
      </c>
      <c r="E1647" s="0" t="s">
        <v>10682</v>
      </c>
      <c r="F1647" s="0" t="n">
        <v>939</v>
      </c>
      <c r="G1647" s="0" t="s">
        <v>277</v>
      </c>
      <c r="H1647" s="0" t="s">
        <v>270</v>
      </c>
      <c r="I1647" s="0" t="s">
        <v>10683</v>
      </c>
    </row>
    <row r="1648" customFormat="false" ht="15" hidden="false" customHeight="false" outlineLevel="0" collapsed="false">
      <c r="A1648" s="0" t="n">
        <v>26</v>
      </c>
      <c r="B1648" s="0" t="s">
        <v>65</v>
      </c>
      <c r="C1648" s="0" t="s">
        <v>10684</v>
      </c>
      <c r="D1648" s="0" t="s">
        <v>6416</v>
      </c>
      <c r="E1648" s="0" t="s">
        <v>10685</v>
      </c>
      <c r="F1648" s="0" t="n">
        <v>13958</v>
      </c>
      <c r="G1648" s="0" t="s">
        <v>277</v>
      </c>
      <c r="H1648" s="0" t="s">
        <v>270</v>
      </c>
      <c r="I1648" s="0" t="s">
        <v>10686</v>
      </c>
    </row>
    <row r="1649" customFormat="false" ht="15" hidden="false" customHeight="false" outlineLevel="0" collapsed="false">
      <c r="A1649" s="0" t="n">
        <v>106</v>
      </c>
      <c r="B1649" s="0" t="s">
        <v>160</v>
      </c>
      <c r="C1649" s="0" t="s">
        <v>10687</v>
      </c>
      <c r="D1649" s="0" t="s">
        <v>6416</v>
      </c>
      <c r="E1649" s="0" t="s">
        <v>10688</v>
      </c>
      <c r="F1649" s="0" t="n">
        <v>10862</v>
      </c>
      <c r="G1649" s="0" t="s">
        <v>277</v>
      </c>
      <c r="H1649" s="0" t="s">
        <v>270</v>
      </c>
      <c r="I1649" s="0" t="s">
        <v>10689</v>
      </c>
    </row>
    <row r="1650" customFormat="false" ht="15" hidden="false" customHeight="false" outlineLevel="0" collapsed="false">
      <c r="A1650" s="0" t="n">
        <v>120</v>
      </c>
      <c r="B1650" s="0" t="s">
        <v>175</v>
      </c>
      <c r="C1650" s="0" t="s">
        <v>10690</v>
      </c>
      <c r="D1650" s="0" t="s">
        <v>91</v>
      </c>
      <c r="E1650" s="0" t="s">
        <v>10691</v>
      </c>
      <c r="F1650" s="0" t="n">
        <v>2663</v>
      </c>
      <c r="G1650" s="0" t="s">
        <v>277</v>
      </c>
      <c r="H1650" s="0" t="s">
        <v>270</v>
      </c>
      <c r="I1650" s="0" t="s">
        <v>10692</v>
      </c>
    </row>
    <row r="1651" customFormat="false" ht="15" hidden="false" customHeight="false" outlineLevel="0" collapsed="false">
      <c r="A1651" s="0" t="n">
        <v>146</v>
      </c>
      <c r="B1651" s="0" t="s">
        <v>202</v>
      </c>
      <c r="C1651" s="0" t="s">
        <v>10693</v>
      </c>
      <c r="D1651" s="0" t="s">
        <v>6416</v>
      </c>
      <c r="E1651" s="0" t="s">
        <v>10694</v>
      </c>
      <c r="F1651" s="0" t="n">
        <v>6826</v>
      </c>
      <c r="G1651" s="0" t="s">
        <v>277</v>
      </c>
      <c r="H1651" s="0" t="s">
        <v>270</v>
      </c>
      <c r="I1651" s="0" t="s">
        <v>10695</v>
      </c>
    </row>
    <row r="1652" customFormat="false" ht="15" hidden="false" customHeight="false" outlineLevel="0" collapsed="false">
      <c r="A1652" s="0" t="n">
        <v>152</v>
      </c>
      <c r="B1652" s="0" t="s">
        <v>209</v>
      </c>
      <c r="C1652" s="0" t="s">
        <v>10696</v>
      </c>
      <c r="D1652" s="0" t="s">
        <v>6416</v>
      </c>
      <c r="E1652" s="0" t="s">
        <v>10697</v>
      </c>
      <c r="F1652" s="0" t="n">
        <v>1058</v>
      </c>
      <c r="G1652" s="0" t="s">
        <v>277</v>
      </c>
      <c r="H1652" s="0" t="s">
        <v>270</v>
      </c>
      <c r="I1652" s="0" t="s">
        <v>10698</v>
      </c>
    </row>
    <row r="1653" customFormat="false" ht="15" hidden="false" customHeight="false" outlineLevel="0" collapsed="false">
      <c r="A1653" s="0" t="n">
        <v>48</v>
      </c>
      <c r="B1653" s="0" t="s">
        <v>95</v>
      </c>
      <c r="C1653" s="0" t="s">
        <v>10699</v>
      </c>
      <c r="D1653" s="0" t="s">
        <v>6416</v>
      </c>
      <c r="E1653" s="0" t="s">
        <v>10700</v>
      </c>
      <c r="F1653" s="0" t="n">
        <v>5412</v>
      </c>
      <c r="G1653" s="0" t="s">
        <v>277</v>
      </c>
      <c r="H1653" s="0" t="s">
        <v>270</v>
      </c>
      <c r="I1653" s="0" t="s">
        <v>10701</v>
      </c>
    </row>
    <row r="1654" customFormat="false" ht="15" hidden="false" customHeight="false" outlineLevel="0" collapsed="false">
      <c r="A1654" s="0" t="n">
        <v>163</v>
      </c>
      <c r="B1654" s="0" t="s">
        <v>221</v>
      </c>
      <c r="C1654" s="0" t="s">
        <v>10702</v>
      </c>
      <c r="D1654" s="0" t="s">
        <v>6416</v>
      </c>
      <c r="E1654" s="0" t="s">
        <v>10703</v>
      </c>
      <c r="F1654" s="0" t="n">
        <v>10596</v>
      </c>
      <c r="G1654" s="0" t="s">
        <v>277</v>
      </c>
      <c r="H1654" s="0" t="s">
        <v>270</v>
      </c>
      <c r="I1654" s="0" t="s">
        <v>10704</v>
      </c>
    </row>
    <row r="1655" customFormat="false" ht="15" hidden="false" customHeight="false" outlineLevel="0" collapsed="false">
      <c r="A1655" s="0" t="n">
        <v>175</v>
      </c>
      <c r="B1655" s="0" t="s">
        <v>235</v>
      </c>
      <c r="C1655" s="0" t="s">
        <v>10705</v>
      </c>
      <c r="D1655" s="0" t="s">
        <v>6416</v>
      </c>
      <c r="E1655" s="2" t="s">
        <v>10706</v>
      </c>
      <c r="F1655" s="0" t="n">
        <v>1803</v>
      </c>
      <c r="G1655" s="0" t="s">
        <v>277</v>
      </c>
      <c r="H1655" s="0" t="s">
        <v>270</v>
      </c>
      <c r="I1655" s="0" t="s">
        <v>10707</v>
      </c>
    </row>
    <row r="1656" customFormat="false" ht="15" hidden="false" customHeight="false" outlineLevel="0" collapsed="false">
      <c r="A1656" s="0" t="n">
        <v>171</v>
      </c>
      <c r="B1656" s="0" t="s">
        <v>231</v>
      </c>
      <c r="C1656" s="0" t="s">
        <v>10708</v>
      </c>
      <c r="D1656" s="0" t="s">
        <v>6416</v>
      </c>
      <c r="E1656" s="0" t="s">
        <v>10709</v>
      </c>
      <c r="F1656" s="0" t="n">
        <v>2903</v>
      </c>
      <c r="G1656" s="0" t="s">
        <v>277</v>
      </c>
      <c r="H1656" s="0" t="s">
        <v>270</v>
      </c>
      <c r="I1656" s="0" t="s">
        <v>10710</v>
      </c>
    </row>
    <row r="1657" customFormat="false" ht="15" hidden="false" customHeight="false" outlineLevel="0" collapsed="false">
      <c r="A1657" s="0" t="n">
        <v>146</v>
      </c>
      <c r="B1657" s="0" t="s">
        <v>202</v>
      </c>
      <c r="C1657" s="0" t="s">
        <v>10711</v>
      </c>
      <c r="D1657" s="0" t="s">
        <v>6416</v>
      </c>
      <c r="E1657" s="0" t="s">
        <v>10712</v>
      </c>
      <c r="F1657" s="0" t="n">
        <v>69170</v>
      </c>
      <c r="G1657" s="0" t="s">
        <v>277</v>
      </c>
      <c r="H1657" s="0" t="s">
        <v>270</v>
      </c>
      <c r="I1657" s="0" t="s">
        <v>10713</v>
      </c>
    </row>
    <row r="1658" customFormat="false" ht="15" hidden="false" customHeight="false" outlineLevel="0" collapsed="false">
      <c r="A1658" s="0" t="n">
        <v>125</v>
      </c>
      <c r="B1658" s="0" t="s">
        <v>180</v>
      </c>
      <c r="C1658" s="0" t="s">
        <v>10714</v>
      </c>
      <c r="D1658" s="0" t="s">
        <v>6416</v>
      </c>
      <c r="E1658" s="0" t="s">
        <v>10715</v>
      </c>
      <c r="F1658" s="0" t="n">
        <v>8255</v>
      </c>
      <c r="G1658" s="0" t="s">
        <v>277</v>
      </c>
      <c r="H1658" s="0" t="s">
        <v>270</v>
      </c>
      <c r="I1658" s="0" t="s">
        <v>10716</v>
      </c>
    </row>
    <row r="1659" customFormat="false" ht="15" hidden="false" customHeight="false" outlineLevel="0" collapsed="false">
      <c r="A1659" s="0" t="n">
        <v>148</v>
      </c>
      <c r="B1659" s="0" t="s">
        <v>204</v>
      </c>
      <c r="C1659" s="0" t="s">
        <v>10717</v>
      </c>
      <c r="D1659" s="0" t="s">
        <v>6416</v>
      </c>
      <c r="E1659" s="0" t="s">
        <v>10718</v>
      </c>
      <c r="F1659" s="0" t="n">
        <v>2903</v>
      </c>
      <c r="G1659" s="0" t="s">
        <v>277</v>
      </c>
      <c r="H1659" s="0" t="s">
        <v>270</v>
      </c>
      <c r="I1659" s="0" t="s">
        <v>10719</v>
      </c>
    </row>
    <row r="1660" customFormat="false" ht="15" hidden="false" customHeight="false" outlineLevel="0" collapsed="false">
      <c r="A1660" s="0" t="n">
        <v>121</v>
      </c>
      <c r="B1660" s="0" t="s">
        <v>176</v>
      </c>
      <c r="C1660" s="0" t="s">
        <v>10720</v>
      </c>
      <c r="D1660" s="0" t="s">
        <v>6416</v>
      </c>
      <c r="E1660" s="0" t="s">
        <v>10721</v>
      </c>
      <c r="F1660" s="0" t="n">
        <v>2264</v>
      </c>
      <c r="G1660" s="0" t="s">
        <v>277</v>
      </c>
      <c r="H1660" s="0" t="s">
        <v>270</v>
      </c>
      <c r="I1660" s="0" t="s">
        <v>10722</v>
      </c>
    </row>
    <row r="1661" customFormat="false" ht="15" hidden="false" customHeight="false" outlineLevel="0" collapsed="false">
      <c r="A1661" s="0" t="n">
        <v>146</v>
      </c>
      <c r="B1661" s="0" t="s">
        <v>202</v>
      </c>
      <c r="C1661" s="0" t="s">
        <v>10723</v>
      </c>
      <c r="D1661" s="0" t="s">
        <v>6416</v>
      </c>
      <c r="E1661" s="0" t="s">
        <v>10724</v>
      </c>
      <c r="F1661" s="0" t="n">
        <v>2903</v>
      </c>
      <c r="G1661" s="0" t="s">
        <v>277</v>
      </c>
      <c r="H1661" s="0" t="s">
        <v>270</v>
      </c>
      <c r="I1661" s="0" t="s">
        <v>10725</v>
      </c>
    </row>
    <row r="1662" customFormat="false" ht="15" hidden="false" customHeight="false" outlineLevel="0" collapsed="false">
      <c r="A1662" s="0" t="n">
        <v>173</v>
      </c>
      <c r="B1662" s="0" t="s">
        <v>233</v>
      </c>
      <c r="C1662" s="0" t="s">
        <v>10726</v>
      </c>
      <c r="D1662" s="0" t="s">
        <v>6416</v>
      </c>
      <c r="E1662" s="0" t="s">
        <v>10727</v>
      </c>
      <c r="F1662" s="0" t="n">
        <v>2628</v>
      </c>
      <c r="G1662" s="0" t="s">
        <v>277</v>
      </c>
      <c r="H1662" s="0" t="s">
        <v>270</v>
      </c>
      <c r="I1662" s="0" t="s">
        <v>10728</v>
      </c>
    </row>
    <row r="1663" customFormat="false" ht="15" hidden="false" customHeight="false" outlineLevel="0" collapsed="false">
      <c r="A1663" s="0" t="n">
        <v>175</v>
      </c>
      <c r="B1663" s="0" t="s">
        <v>235</v>
      </c>
      <c r="C1663" s="0" t="s">
        <v>10729</v>
      </c>
      <c r="D1663" s="0" t="s">
        <v>6416</v>
      </c>
      <c r="E1663" s="0" t="s">
        <v>10730</v>
      </c>
      <c r="F1663" s="0" t="n">
        <v>4238</v>
      </c>
      <c r="G1663" s="0" t="s">
        <v>277</v>
      </c>
      <c r="H1663" s="0" t="s">
        <v>270</v>
      </c>
      <c r="I1663" s="0" t="s">
        <v>10731</v>
      </c>
    </row>
    <row r="1664" customFormat="false" ht="15" hidden="false" customHeight="false" outlineLevel="0" collapsed="false">
      <c r="A1664" s="0" t="n">
        <v>119</v>
      </c>
      <c r="B1664" s="0" t="s">
        <v>173</v>
      </c>
      <c r="C1664" s="0" t="s">
        <v>10732</v>
      </c>
      <c r="D1664" s="0" t="s">
        <v>6416</v>
      </c>
      <c r="E1664" s="0" t="s">
        <v>10733</v>
      </c>
      <c r="F1664" s="0" t="n">
        <v>2029</v>
      </c>
      <c r="G1664" s="0" t="s">
        <v>277</v>
      </c>
      <c r="H1664" s="0" t="s">
        <v>270</v>
      </c>
      <c r="I1664" s="0" t="s">
        <v>10734</v>
      </c>
    </row>
    <row r="1665" customFormat="false" ht="15" hidden="false" customHeight="false" outlineLevel="0" collapsed="false">
      <c r="A1665" s="0" t="n">
        <v>39</v>
      </c>
      <c r="B1665" s="0" t="s">
        <v>81</v>
      </c>
      <c r="C1665" s="0" t="s">
        <v>10735</v>
      </c>
      <c r="D1665" s="0" t="s">
        <v>6416</v>
      </c>
      <c r="E1665" s="0" t="s">
        <v>10736</v>
      </c>
      <c r="F1665" s="0" t="n">
        <v>2903</v>
      </c>
      <c r="G1665" s="0" t="s">
        <v>277</v>
      </c>
      <c r="H1665" s="0" t="s">
        <v>270</v>
      </c>
      <c r="I1665" s="0" t="s">
        <v>10737</v>
      </c>
    </row>
    <row r="1666" customFormat="false" ht="15" hidden="false" customHeight="false" outlineLevel="0" collapsed="false">
      <c r="A1666" s="0" t="n">
        <v>76</v>
      </c>
      <c r="B1666" s="0" t="s">
        <v>127</v>
      </c>
      <c r="C1666" s="0" t="s">
        <v>10738</v>
      </c>
      <c r="D1666" s="0" t="s">
        <v>6416</v>
      </c>
      <c r="E1666" s="0" t="s">
        <v>10739</v>
      </c>
      <c r="F1666" s="0" t="n">
        <v>1883</v>
      </c>
      <c r="G1666" s="0" t="s">
        <v>277</v>
      </c>
      <c r="H1666" s="0" t="s">
        <v>270</v>
      </c>
      <c r="I1666" s="0" t="s">
        <v>10740</v>
      </c>
    </row>
    <row r="1667" customFormat="false" ht="15" hidden="false" customHeight="false" outlineLevel="0" collapsed="false">
      <c r="A1667" s="0" t="n">
        <v>134</v>
      </c>
      <c r="B1667" s="0" t="s">
        <v>190</v>
      </c>
      <c r="C1667" s="0" t="s">
        <v>10741</v>
      </c>
      <c r="D1667" s="0" t="s">
        <v>91</v>
      </c>
      <c r="E1667" s="0" t="s">
        <v>10742</v>
      </c>
      <c r="F1667" s="0" t="n">
        <v>3011</v>
      </c>
      <c r="G1667" s="0" t="s">
        <v>277</v>
      </c>
      <c r="H1667" s="0" t="s">
        <v>270</v>
      </c>
      <c r="I1667" s="0" t="s">
        <v>10743</v>
      </c>
    </row>
    <row r="1668" customFormat="false" ht="15" hidden="false" customHeight="false" outlineLevel="0" collapsed="false">
      <c r="A1668" s="0" t="n">
        <v>172</v>
      </c>
      <c r="B1668" s="0" t="s">
        <v>232</v>
      </c>
      <c r="C1668" s="0" t="s">
        <v>10744</v>
      </c>
      <c r="D1668" s="0" t="s">
        <v>6416</v>
      </c>
      <c r="E1668" s="0" t="s">
        <v>10745</v>
      </c>
      <c r="F1668" s="0" t="n">
        <v>2903</v>
      </c>
      <c r="G1668" s="0" t="s">
        <v>277</v>
      </c>
      <c r="H1668" s="0" t="s">
        <v>270</v>
      </c>
      <c r="I1668" s="0" t="s">
        <v>10746</v>
      </c>
    </row>
    <row r="1669" customFormat="false" ht="15" hidden="false" customHeight="false" outlineLevel="0" collapsed="false">
      <c r="A1669" s="0" t="n">
        <v>2</v>
      </c>
      <c r="B1669" s="0" t="s">
        <v>29</v>
      </c>
      <c r="C1669" s="0" t="s">
        <v>10747</v>
      </c>
      <c r="D1669" s="0" t="s">
        <v>6416</v>
      </c>
      <c r="E1669" s="0" t="s">
        <v>10748</v>
      </c>
      <c r="F1669" s="0" t="n">
        <v>2439</v>
      </c>
      <c r="G1669" s="0" t="s">
        <v>277</v>
      </c>
      <c r="H1669" s="0" t="s">
        <v>270</v>
      </c>
      <c r="I1669" s="0" t="s">
        <v>10749</v>
      </c>
    </row>
    <row r="1670" customFormat="false" ht="15" hidden="false" customHeight="false" outlineLevel="0" collapsed="false">
      <c r="A1670" s="0" t="n">
        <v>121</v>
      </c>
      <c r="B1670" s="0" t="s">
        <v>176</v>
      </c>
      <c r="C1670" s="0" t="s">
        <v>10750</v>
      </c>
      <c r="D1670" s="0" t="s">
        <v>6425</v>
      </c>
      <c r="E1670" s="0" t="s">
        <v>10751</v>
      </c>
      <c r="F1670" s="0" t="n">
        <v>7517</v>
      </c>
      <c r="G1670" s="0" t="s">
        <v>277</v>
      </c>
      <c r="H1670" s="0" t="s">
        <v>270</v>
      </c>
      <c r="I1670" s="0" t="s">
        <v>10752</v>
      </c>
    </row>
    <row r="1671" customFormat="false" ht="15" hidden="false" customHeight="false" outlineLevel="0" collapsed="false">
      <c r="A1671" s="0" t="n">
        <v>134</v>
      </c>
      <c r="B1671" s="0" t="s">
        <v>190</v>
      </c>
      <c r="C1671" s="0" t="s">
        <v>10753</v>
      </c>
      <c r="D1671" s="0" t="s">
        <v>6416</v>
      </c>
      <c r="E1671" s="0" t="s">
        <v>10754</v>
      </c>
      <c r="F1671" s="0" t="n">
        <v>4023</v>
      </c>
      <c r="G1671" s="0" t="s">
        <v>277</v>
      </c>
      <c r="H1671" s="0" t="s">
        <v>270</v>
      </c>
      <c r="I1671" s="0" t="s">
        <v>10755</v>
      </c>
    </row>
    <row r="1672" customFormat="false" ht="15" hidden="false" customHeight="false" outlineLevel="0" collapsed="false">
      <c r="A1672" s="0" t="n">
        <v>52</v>
      </c>
      <c r="B1672" s="0" t="s">
        <v>100</v>
      </c>
      <c r="C1672" s="0" t="s">
        <v>10756</v>
      </c>
      <c r="D1672" s="0" t="s">
        <v>6416</v>
      </c>
      <c r="E1672" s="0" t="s">
        <v>10757</v>
      </c>
      <c r="F1672" s="0" t="n">
        <v>1139</v>
      </c>
      <c r="G1672" s="0" t="s">
        <v>277</v>
      </c>
      <c r="H1672" s="0" t="s">
        <v>270</v>
      </c>
      <c r="I1672" s="0" t="s">
        <v>10758</v>
      </c>
    </row>
    <row r="1673" customFormat="false" ht="15" hidden="false" customHeight="false" outlineLevel="0" collapsed="false">
      <c r="A1673" s="0" t="n">
        <v>92</v>
      </c>
      <c r="B1673" s="0" t="s">
        <v>144</v>
      </c>
      <c r="C1673" s="0" t="s">
        <v>10759</v>
      </c>
      <c r="D1673" s="0" t="s">
        <v>6416</v>
      </c>
      <c r="E1673" s="0" t="s">
        <v>10760</v>
      </c>
      <c r="F1673" s="0" t="n">
        <v>2326</v>
      </c>
      <c r="G1673" s="0" t="s">
        <v>277</v>
      </c>
      <c r="H1673" s="0" t="s">
        <v>270</v>
      </c>
      <c r="I1673" s="0" t="s">
        <v>10761</v>
      </c>
    </row>
    <row r="1674" customFormat="false" ht="15" hidden="false" customHeight="false" outlineLevel="0" collapsed="false">
      <c r="A1674" s="0" t="n">
        <v>175</v>
      </c>
      <c r="B1674" s="0" t="s">
        <v>235</v>
      </c>
      <c r="C1674" s="0" t="s">
        <v>10762</v>
      </c>
      <c r="D1674" s="0" t="s">
        <v>6416</v>
      </c>
      <c r="E1674" s="0" t="s">
        <v>10763</v>
      </c>
      <c r="F1674" s="0" t="n">
        <v>2931</v>
      </c>
      <c r="G1674" s="0" t="s">
        <v>277</v>
      </c>
      <c r="H1674" s="0" t="s">
        <v>270</v>
      </c>
      <c r="I1674" s="0" t="s">
        <v>10764</v>
      </c>
    </row>
    <row r="1675" customFormat="false" ht="15" hidden="false" customHeight="false" outlineLevel="0" collapsed="false">
      <c r="A1675" s="0" t="n">
        <v>169</v>
      </c>
      <c r="B1675" s="0" t="s">
        <v>229</v>
      </c>
      <c r="C1675" s="0" t="s">
        <v>10765</v>
      </c>
      <c r="D1675" s="0" t="s">
        <v>6416</v>
      </c>
      <c r="E1675" s="0" t="s">
        <v>10766</v>
      </c>
      <c r="F1675" s="0" t="n">
        <v>2903</v>
      </c>
      <c r="G1675" s="0" t="s">
        <v>277</v>
      </c>
      <c r="H1675" s="0" t="s">
        <v>270</v>
      </c>
      <c r="I1675" s="0" t="s">
        <v>10767</v>
      </c>
    </row>
    <row r="1676" customFormat="false" ht="15" hidden="false" customHeight="false" outlineLevel="0" collapsed="false">
      <c r="A1676" s="0" t="n">
        <v>87</v>
      </c>
      <c r="B1676" s="0" t="s">
        <v>139</v>
      </c>
      <c r="C1676" s="0" t="s">
        <v>10768</v>
      </c>
      <c r="D1676" s="0" t="s">
        <v>6416</v>
      </c>
      <c r="E1676" s="0" t="s">
        <v>10769</v>
      </c>
      <c r="F1676" s="0" t="n">
        <v>2240</v>
      </c>
      <c r="G1676" s="0" t="s">
        <v>277</v>
      </c>
      <c r="H1676" s="0" t="s">
        <v>270</v>
      </c>
      <c r="I1676" s="0" t="s">
        <v>10770</v>
      </c>
    </row>
    <row r="1677" customFormat="false" ht="15" hidden="false" customHeight="false" outlineLevel="0" collapsed="false">
      <c r="A1677" s="0" t="n">
        <v>150</v>
      </c>
      <c r="B1677" s="0" t="s">
        <v>207</v>
      </c>
      <c r="C1677" s="0" t="s">
        <v>10771</v>
      </c>
      <c r="D1677" s="0" t="s">
        <v>6416</v>
      </c>
      <c r="E1677" s="0" t="s">
        <v>10772</v>
      </c>
      <c r="F1677" s="0" t="n">
        <v>240</v>
      </c>
      <c r="G1677" s="0" t="s">
        <v>277</v>
      </c>
      <c r="H1677" s="0" t="s">
        <v>270</v>
      </c>
      <c r="I1677" s="0" t="s">
        <v>10773</v>
      </c>
    </row>
    <row r="1678" customFormat="false" ht="15" hidden="false" customHeight="false" outlineLevel="0" collapsed="false">
      <c r="A1678" s="0" t="n">
        <v>175</v>
      </c>
      <c r="B1678" s="0" t="s">
        <v>235</v>
      </c>
      <c r="C1678" s="0" t="s">
        <v>10774</v>
      </c>
      <c r="D1678" s="0" t="s">
        <v>6416</v>
      </c>
      <c r="E1678" s="0" t="s">
        <v>10775</v>
      </c>
      <c r="F1678" s="0" t="n">
        <v>15447</v>
      </c>
      <c r="G1678" s="0" t="s">
        <v>277</v>
      </c>
      <c r="H1678" s="0" t="s">
        <v>270</v>
      </c>
      <c r="I1678" s="0" t="s">
        <v>10776</v>
      </c>
    </row>
    <row r="1679" customFormat="false" ht="15" hidden="false" customHeight="false" outlineLevel="0" collapsed="false">
      <c r="A1679" s="0" t="n">
        <v>69</v>
      </c>
      <c r="B1679" s="0" t="s">
        <v>120</v>
      </c>
      <c r="C1679" s="0" t="s">
        <v>10777</v>
      </c>
      <c r="D1679" s="0" t="s">
        <v>6076</v>
      </c>
      <c r="E1679" s="0" t="s">
        <v>10778</v>
      </c>
      <c r="F1679" s="0" t="n">
        <v>1270</v>
      </c>
      <c r="G1679" s="0" t="s">
        <v>277</v>
      </c>
      <c r="H1679" s="0" t="s">
        <v>270</v>
      </c>
      <c r="I1679" s="0" t="s">
        <v>10779</v>
      </c>
    </row>
    <row r="1680" customFormat="false" ht="15" hidden="false" customHeight="false" outlineLevel="0" collapsed="false">
      <c r="A1680" s="0" t="n">
        <v>115</v>
      </c>
      <c r="B1680" s="0" t="s">
        <v>169</v>
      </c>
      <c r="C1680" s="0" t="s">
        <v>10780</v>
      </c>
      <c r="D1680" s="0" t="s">
        <v>6425</v>
      </c>
      <c r="E1680" s="0" t="s">
        <v>10781</v>
      </c>
      <c r="F1680" s="0" t="n">
        <v>10302</v>
      </c>
      <c r="G1680" s="0" t="s">
        <v>277</v>
      </c>
      <c r="H1680" s="0" t="s">
        <v>270</v>
      </c>
      <c r="I1680" s="0" t="s">
        <v>10782</v>
      </c>
    </row>
    <row r="1681" customFormat="false" ht="15" hidden="false" customHeight="false" outlineLevel="0" collapsed="false">
      <c r="A1681" s="0" t="n">
        <v>151</v>
      </c>
      <c r="B1681" s="0" t="s">
        <v>208</v>
      </c>
      <c r="C1681" s="0" t="s">
        <v>10783</v>
      </c>
      <c r="D1681" s="0" t="s">
        <v>6416</v>
      </c>
      <c r="E1681" s="0" t="s">
        <v>10784</v>
      </c>
      <c r="F1681" s="0" t="n">
        <v>240</v>
      </c>
      <c r="G1681" s="0" t="s">
        <v>277</v>
      </c>
      <c r="H1681" s="0" t="s">
        <v>270</v>
      </c>
      <c r="I1681" s="0" t="s">
        <v>10785</v>
      </c>
    </row>
    <row r="1682" customFormat="false" ht="15" hidden="false" customHeight="false" outlineLevel="0" collapsed="false">
      <c r="A1682" s="0" t="n">
        <v>48</v>
      </c>
      <c r="B1682" s="0" t="s">
        <v>95</v>
      </c>
      <c r="C1682" s="0" t="s">
        <v>10786</v>
      </c>
      <c r="D1682" s="0" t="s">
        <v>6560</v>
      </c>
      <c r="E1682" s="0" t="s">
        <v>10787</v>
      </c>
      <c r="F1682" s="0" t="n">
        <v>11359</v>
      </c>
      <c r="G1682" s="0" t="s">
        <v>277</v>
      </c>
      <c r="H1682" s="0" t="s">
        <v>270</v>
      </c>
      <c r="I1682" s="0" t="s">
        <v>10788</v>
      </c>
    </row>
    <row r="1683" customFormat="false" ht="15" hidden="false" customHeight="false" outlineLevel="0" collapsed="false">
      <c r="A1683" s="0" t="n">
        <v>60</v>
      </c>
      <c r="B1683" s="0" t="s">
        <v>110</v>
      </c>
      <c r="C1683" s="0" t="s">
        <v>10789</v>
      </c>
      <c r="D1683" s="0" t="s">
        <v>6425</v>
      </c>
      <c r="E1683" s="0" t="s">
        <v>10790</v>
      </c>
      <c r="F1683" s="0" t="n">
        <v>240</v>
      </c>
      <c r="G1683" s="0" t="s">
        <v>277</v>
      </c>
      <c r="H1683" s="0" t="s">
        <v>270</v>
      </c>
      <c r="I1683" s="0" t="s">
        <v>10791</v>
      </c>
    </row>
    <row r="1684" customFormat="false" ht="15" hidden="false" customHeight="false" outlineLevel="0" collapsed="false">
      <c r="A1684" s="0" t="n">
        <v>120</v>
      </c>
      <c r="B1684" s="0" t="s">
        <v>175</v>
      </c>
      <c r="C1684" s="0" t="s">
        <v>10792</v>
      </c>
      <c r="D1684" s="0" t="s">
        <v>6416</v>
      </c>
      <c r="E1684" s="0" t="s">
        <v>10793</v>
      </c>
      <c r="F1684" s="0" t="n">
        <v>6106</v>
      </c>
      <c r="G1684" s="0" t="s">
        <v>277</v>
      </c>
      <c r="H1684" s="0" t="s">
        <v>270</v>
      </c>
      <c r="I1684" s="0" t="s">
        <v>10794</v>
      </c>
    </row>
    <row r="1685" customFormat="false" ht="15" hidden="false" customHeight="false" outlineLevel="0" collapsed="false">
      <c r="A1685" s="0" t="n">
        <v>92</v>
      </c>
      <c r="B1685" s="0" t="s">
        <v>144</v>
      </c>
      <c r="C1685" s="0" t="s">
        <v>10795</v>
      </c>
      <c r="D1685" s="0" t="s">
        <v>6425</v>
      </c>
      <c r="E1685" s="0" t="s">
        <v>10796</v>
      </c>
      <c r="F1685" s="0" t="n">
        <v>240</v>
      </c>
      <c r="G1685" s="0" t="s">
        <v>277</v>
      </c>
      <c r="H1685" s="0" t="s">
        <v>270</v>
      </c>
      <c r="I1685" s="0" t="s">
        <v>10797</v>
      </c>
    </row>
    <row r="1686" customFormat="false" ht="15" hidden="false" customHeight="false" outlineLevel="0" collapsed="false">
      <c r="A1686" s="0" t="n">
        <v>161</v>
      </c>
      <c r="B1686" s="0" t="s">
        <v>219</v>
      </c>
      <c r="C1686" s="0" t="s">
        <v>10798</v>
      </c>
      <c r="D1686" s="0" t="s">
        <v>6416</v>
      </c>
      <c r="E1686" s="0" t="s">
        <v>10799</v>
      </c>
      <c r="F1686" s="0" t="n">
        <v>2903</v>
      </c>
      <c r="G1686" s="0" t="s">
        <v>277</v>
      </c>
      <c r="H1686" s="0" t="s">
        <v>270</v>
      </c>
      <c r="I1686" s="0" t="s">
        <v>10800</v>
      </c>
    </row>
    <row r="1687" customFormat="false" ht="15" hidden="false" customHeight="false" outlineLevel="0" collapsed="false">
      <c r="A1687" s="0" t="n">
        <v>27</v>
      </c>
      <c r="B1687" s="0" t="s">
        <v>66</v>
      </c>
      <c r="C1687" s="0" t="s">
        <v>10801</v>
      </c>
      <c r="D1687" s="0" t="s">
        <v>6416</v>
      </c>
      <c r="E1687" s="0" t="s">
        <v>10802</v>
      </c>
      <c r="F1687" s="0" t="n">
        <v>4121</v>
      </c>
      <c r="G1687" s="0" t="s">
        <v>277</v>
      </c>
      <c r="H1687" s="0" t="s">
        <v>270</v>
      </c>
      <c r="I1687" s="0" t="s">
        <v>10803</v>
      </c>
    </row>
    <row r="1688" customFormat="false" ht="15" hidden="false" customHeight="false" outlineLevel="0" collapsed="false">
      <c r="A1688" s="0" t="n">
        <v>77</v>
      </c>
      <c r="B1688" s="0" t="s">
        <v>128</v>
      </c>
      <c r="C1688" s="0" t="s">
        <v>10804</v>
      </c>
      <c r="D1688" s="0" t="s">
        <v>6416</v>
      </c>
      <c r="E1688" s="0" t="s">
        <v>10805</v>
      </c>
      <c r="F1688" s="0" t="n">
        <v>6127</v>
      </c>
      <c r="G1688" s="0" t="s">
        <v>277</v>
      </c>
      <c r="H1688" s="0" t="s">
        <v>270</v>
      </c>
      <c r="I1688" s="0" t="s">
        <v>10806</v>
      </c>
    </row>
    <row r="1689" customFormat="false" ht="15" hidden="false" customHeight="false" outlineLevel="0" collapsed="false">
      <c r="A1689" s="0" t="n">
        <v>151</v>
      </c>
      <c r="B1689" s="0" t="s">
        <v>208</v>
      </c>
      <c r="C1689" s="0" t="s">
        <v>10807</v>
      </c>
      <c r="D1689" s="0" t="s">
        <v>7622</v>
      </c>
      <c r="E1689" s="0" t="s">
        <v>10808</v>
      </c>
      <c r="F1689" s="0" t="n">
        <v>240</v>
      </c>
      <c r="G1689" s="0" t="s">
        <v>277</v>
      </c>
      <c r="H1689" s="0" t="s">
        <v>270</v>
      </c>
      <c r="I1689" s="0" t="s">
        <v>10809</v>
      </c>
    </row>
    <row r="1690" customFormat="false" ht="15" hidden="false" customHeight="false" outlineLevel="0" collapsed="false">
      <c r="A1690" s="0" t="n">
        <v>118</v>
      </c>
      <c r="B1690" s="0" t="s">
        <v>172</v>
      </c>
      <c r="C1690" s="0" t="s">
        <v>10810</v>
      </c>
      <c r="D1690" s="0" t="s">
        <v>6416</v>
      </c>
      <c r="E1690" s="0" t="s">
        <v>10811</v>
      </c>
      <c r="F1690" s="0" t="n">
        <v>2151</v>
      </c>
      <c r="G1690" s="0" t="s">
        <v>277</v>
      </c>
      <c r="H1690" s="0" t="s">
        <v>270</v>
      </c>
      <c r="I1690" s="0" t="s">
        <v>10812</v>
      </c>
    </row>
    <row r="1691" customFormat="false" ht="15" hidden="false" customHeight="false" outlineLevel="0" collapsed="false">
      <c r="A1691" s="0" t="n">
        <v>106</v>
      </c>
      <c r="B1691" s="0" t="s">
        <v>160</v>
      </c>
      <c r="C1691" s="0" t="s">
        <v>10813</v>
      </c>
      <c r="D1691" s="0" t="s">
        <v>6416</v>
      </c>
      <c r="E1691" s="0" t="s">
        <v>10814</v>
      </c>
      <c r="F1691" s="0" t="n">
        <v>240</v>
      </c>
      <c r="G1691" s="0" t="s">
        <v>277</v>
      </c>
      <c r="H1691" s="0" t="s">
        <v>270</v>
      </c>
      <c r="I1691" s="0" t="s">
        <v>10815</v>
      </c>
    </row>
    <row r="1692" customFormat="false" ht="15" hidden="false" customHeight="false" outlineLevel="0" collapsed="false">
      <c r="A1692" s="0" t="n">
        <v>99</v>
      </c>
      <c r="B1692" s="0" t="s">
        <v>153</v>
      </c>
      <c r="C1692" s="0" t="s">
        <v>10816</v>
      </c>
      <c r="D1692" s="0" t="s">
        <v>6416</v>
      </c>
      <c r="E1692" s="0" t="s">
        <v>10817</v>
      </c>
      <c r="F1692" s="0" t="n">
        <v>240</v>
      </c>
      <c r="G1692" s="0" t="s">
        <v>277</v>
      </c>
      <c r="H1692" s="0" t="s">
        <v>270</v>
      </c>
      <c r="I1692" s="0" t="s">
        <v>10818</v>
      </c>
    </row>
    <row r="1693" customFormat="false" ht="15" hidden="false" customHeight="false" outlineLevel="0" collapsed="false">
      <c r="A1693" s="0" t="n">
        <v>112</v>
      </c>
      <c r="B1693" s="0" t="s">
        <v>166</v>
      </c>
      <c r="C1693" s="0" t="s">
        <v>10819</v>
      </c>
      <c r="D1693" s="0" t="s">
        <v>6416</v>
      </c>
      <c r="E1693" s="0" t="s">
        <v>10820</v>
      </c>
      <c r="F1693" s="0" t="n">
        <v>6262</v>
      </c>
      <c r="G1693" s="0" t="s">
        <v>277</v>
      </c>
      <c r="H1693" s="0" t="s">
        <v>270</v>
      </c>
      <c r="I1693" s="0" t="s">
        <v>10821</v>
      </c>
    </row>
    <row r="1694" customFormat="false" ht="15" hidden="false" customHeight="false" outlineLevel="0" collapsed="false">
      <c r="A1694" s="0" t="n">
        <v>77</v>
      </c>
      <c r="B1694" s="0" t="s">
        <v>128</v>
      </c>
      <c r="C1694" s="0" t="s">
        <v>10822</v>
      </c>
      <c r="D1694" s="0" t="s">
        <v>6416</v>
      </c>
      <c r="E1694" s="0" t="s">
        <v>10823</v>
      </c>
      <c r="F1694" s="0" t="n">
        <v>2903</v>
      </c>
      <c r="G1694" s="0" t="s">
        <v>277</v>
      </c>
      <c r="H1694" s="0" t="s">
        <v>270</v>
      </c>
      <c r="I1694" s="0" t="s">
        <v>10824</v>
      </c>
    </row>
    <row r="1695" customFormat="false" ht="15" hidden="false" customHeight="false" outlineLevel="0" collapsed="false">
      <c r="A1695" s="0" t="n">
        <v>22</v>
      </c>
      <c r="B1695" s="0" t="s">
        <v>59</v>
      </c>
      <c r="C1695" s="0" t="s">
        <v>10825</v>
      </c>
      <c r="D1695" s="0" t="s">
        <v>6425</v>
      </c>
      <c r="E1695" s="0" t="s">
        <v>10826</v>
      </c>
      <c r="F1695" s="0" t="n">
        <v>240</v>
      </c>
      <c r="G1695" s="0" t="s">
        <v>277</v>
      </c>
      <c r="H1695" s="0" t="s">
        <v>270</v>
      </c>
      <c r="I1695" s="0" t="s">
        <v>10827</v>
      </c>
    </row>
    <row r="1696" customFormat="false" ht="15" hidden="false" customHeight="false" outlineLevel="0" collapsed="false">
      <c r="A1696" s="0" t="n">
        <v>54</v>
      </c>
      <c r="B1696" s="0" t="s">
        <v>102</v>
      </c>
      <c r="C1696" s="0" t="s">
        <v>10828</v>
      </c>
      <c r="D1696" s="0" t="s">
        <v>6416</v>
      </c>
      <c r="E1696" s="0" t="s">
        <v>10829</v>
      </c>
      <c r="F1696" s="0" t="n">
        <v>2903</v>
      </c>
      <c r="G1696" s="0" t="s">
        <v>277</v>
      </c>
      <c r="H1696" s="0" t="s">
        <v>270</v>
      </c>
      <c r="I1696" s="0" t="s">
        <v>10830</v>
      </c>
    </row>
    <row r="1697" customFormat="false" ht="15" hidden="false" customHeight="false" outlineLevel="0" collapsed="false">
      <c r="A1697" s="0" t="n">
        <v>163</v>
      </c>
      <c r="B1697" s="0" t="s">
        <v>221</v>
      </c>
      <c r="C1697" s="0" t="s">
        <v>10831</v>
      </c>
      <c r="D1697" s="0" t="s">
        <v>6076</v>
      </c>
      <c r="E1697" s="0" t="s">
        <v>10832</v>
      </c>
      <c r="F1697" s="0" t="n">
        <v>1570</v>
      </c>
      <c r="G1697" s="0" t="s">
        <v>277</v>
      </c>
      <c r="H1697" s="0" t="s">
        <v>270</v>
      </c>
      <c r="I1697" s="0" t="s">
        <v>10833</v>
      </c>
    </row>
    <row r="1698" customFormat="false" ht="15" hidden="false" customHeight="false" outlineLevel="0" collapsed="false">
      <c r="A1698" s="0" t="n">
        <v>159</v>
      </c>
      <c r="B1698" s="0" t="s">
        <v>217</v>
      </c>
      <c r="C1698" s="0" t="s">
        <v>10834</v>
      </c>
      <c r="D1698" s="0" t="s">
        <v>6416</v>
      </c>
      <c r="E1698" s="0" t="s">
        <v>10835</v>
      </c>
      <c r="F1698" s="0" t="n">
        <v>240</v>
      </c>
      <c r="G1698" s="0" t="s">
        <v>277</v>
      </c>
      <c r="H1698" s="0" t="s">
        <v>270</v>
      </c>
      <c r="I1698" s="0" t="s">
        <v>10836</v>
      </c>
    </row>
    <row r="1699" customFormat="false" ht="15" hidden="false" customHeight="false" outlineLevel="0" collapsed="false">
      <c r="A1699" s="0" t="n">
        <v>157</v>
      </c>
      <c r="B1699" s="0" t="s">
        <v>215</v>
      </c>
      <c r="C1699" s="0" t="s">
        <v>10837</v>
      </c>
      <c r="D1699" s="0" t="s">
        <v>6416</v>
      </c>
      <c r="E1699" s="0" t="s">
        <v>10838</v>
      </c>
      <c r="F1699" s="0" t="n">
        <v>2903</v>
      </c>
      <c r="G1699" s="0" t="s">
        <v>277</v>
      </c>
      <c r="H1699" s="0" t="s">
        <v>270</v>
      </c>
      <c r="I1699" s="0" t="s">
        <v>10839</v>
      </c>
    </row>
    <row r="1700" customFormat="false" ht="15" hidden="false" customHeight="false" outlineLevel="0" collapsed="false">
      <c r="A1700" s="0" t="n">
        <v>24</v>
      </c>
      <c r="B1700" s="0" t="s">
        <v>62</v>
      </c>
      <c r="C1700" s="0" t="s">
        <v>10840</v>
      </c>
      <c r="D1700" s="0" t="s">
        <v>6416</v>
      </c>
      <c r="E1700" s="0" t="s">
        <v>10841</v>
      </c>
      <c r="F1700" s="0" t="n">
        <v>1131</v>
      </c>
      <c r="G1700" s="0" t="s">
        <v>277</v>
      </c>
      <c r="H1700" s="0" t="s">
        <v>270</v>
      </c>
      <c r="I1700" s="0" t="s">
        <v>10842</v>
      </c>
    </row>
    <row r="1701" customFormat="false" ht="15" hidden="false" customHeight="false" outlineLevel="0" collapsed="false">
      <c r="A1701" s="0" t="n">
        <v>122</v>
      </c>
      <c r="B1701" s="0" t="s">
        <v>177</v>
      </c>
      <c r="C1701" s="0" t="s">
        <v>10843</v>
      </c>
      <c r="D1701" s="0" t="s">
        <v>6416</v>
      </c>
      <c r="E1701" s="0" t="s">
        <v>10844</v>
      </c>
      <c r="F1701" s="0" t="n">
        <v>2903</v>
      </c>
      <c r="G1701" s="0" t="s">
        <v>277</v>
      </c>
      <c r="H1701" s="0" t="s">
        <v>270</v>
      </c>
      <c r="I1701" s="0" t="s">
        <v>10845</v>
      </c>
    </row>
    <row r="1702" customFormat="false" ht="15" hidden="false" customHeight="false" outlineLevel="0" collapsed="false">
      <c r="A1702" s="0" t="n">
        <v>163</v>
      </c>
      <c r="B1702" s="0" t="s">
        <v>221</v>
      </c>
      <c r="C1702" s="0" t="s">
        <v>10846</v>
      </c>
      <c r="D1702" s="0" t="s">
        <v>6416</v>
      </c>
      <c r="E1702" s="0" t="s">
        <v>10847</v>
      </c>
      <c r="F1702" s="0" t="n">
        <v>14867</v>
      </c>
      <c r="G1702" s="0" t="s">
        <v>277</v>
      </c>
      <c r="H1702" s="0" t="s">
        <v>270</v>
      </c>
      <c r="I1702" s="0" t="s">
        <v>10848</v>
      </c>
    </row>
    <row r="1703" customFormat="false" ht="15" hidden="false" customHeight="false" outlineLevel="0" collapsed="false">
      <c r="A1703" s="0" t="n">
        <v>123</v>
      </c>
      <c r="B1703" s="0" t="s">
        <v>178</v>
      </c>
      <c r="C1703" s="0" t="s">
        <v>10849</v>
      </c>
      <c r="D1703" s="0" t="s">
        <v>6416</v>
      </c>
      <c r="E1703" s="0" t="s">
        <v>10850</v>
      </c>
      <c r="F1703" s="0" t="n">
        <v>2903</v>
      </c>
      <c r="G1703" s="0" t="s">
        <v>277</v>
      </c>
      <c r="H1703" s="0" t="s">
        <v>270</v>
      </c>
      <c r="I1703" s="0" t="s">
        <v>10851</v>
      </c>
    </row>
    <row r="1704" customFormat="false" ht="15" hidden="false" customHeight="false" outlineLevel="0" collapsed="false">
      <c r="A1704" s="0" t="n">
        <v>105</v>
      </c>
      <c r="B1704" s="0" t="s">
        <v>159</v>
      </c>
      <c r="C1704" s="0" t="s">
        <v>10852</v>
      </c>
      <c r="D1704" s="0" t="s">
        <v>6786</v>
      </c>
      <c r="E1704" s="0" t="s">
        <v>10853</v>
      </c>
      <c r="F1704" s="0" t="n">
        <v>240</v>
      </c>
      <c r="G1704" s="0" t="s">
        <v>277</v>
      </c>
      <c r="H1704" s="0" t="s">
        <v>270</v>
      </c>
      <c r="I1704" s="0" t="s">
        <v>10854</v>
      </c>
    </row>
    <row r="1705" customFormat="false" ht="15" hidden="false" customHeight="false" outlineLevel="0" collapsed="false">
      <c r="A1705" s="0" t="n">
        <v>69</v>
      </c>
      <c r="B1705" s="0" t="s">
        <v>120</v>
      </c>
      <c r="C1705" s="0" t="s">
        <v>10855</v>
      </c>
      <c r="D1705" s="0" t="s">
        <v>6416</v>
      </c>
      <c r="E1705" s="0" t="s">
        <v>10856</v>
      </c>
      <c r="F1705" s="0" t="n">
        <v>3753</v>
      </c>
      <c r="G1705" s="0" t="s">
        <v>277</v>
      </c>
      <c r="H1705" s="0" t="s">
        <v>270</v>
      </c>
      <c r="I1705" s="0" t="s">
        <v>10857</v>
      </c>
    </row>
    <row r="1706" customFormat="false" ht="15" hidden="false" customHeight="false" outlineLevel="0" collapsed="false">
      <c r="A1706" s="0" t="n">
        <v>1</v>
      </c>
      <c r="B1706" s="0" t="s">
        <v>26</v>
      </c>
      <c r="C1706" s="0" t="s">
        <v>10858</v>
      </c>
      <c r="D1706" s="0" t="s">
        <v>6416</v>
      </c>
      <c r="E1706" s="0" t="s">
        <v>10859</v>
      </c>
      <c r="F1706" s="0" t="n">
        <v>1512</v>
      </c>
      <c r="G1706" s="0" t="s">
        <v>277</v>
      </c>
      <c r="H1706" s="0" t="s">
        <v>270</v>
      </c>
      <c r="I1706" s="0" t="s">
        <v>10860</v>
      </c>
    </row>
    <row r="1707" customFormat="false" ht="15" hidden="false" customHeight="false" outlineLevel="0" collapsed="false">
      <c r="A1707" s="0" t="n">
        <v>26</v>
      </c>
      <c r="B1707" s="0" t="s">
        <v>65</v>
      </c>
      <c r="C1707" s="0" t="s">
        <v>10861</v>
      </c>
      <c r="D1707" s="0" t="s">
        <v>6425</v>
      </c>
      <c r="E1707" s="0" t="s">
        <v>10862</v>
      </c>
      <c r="F1707" s="0" t="n">
        <v>240</v>
      </c>
      <c r="G1707" s="0" t="s">
        <v>277</v>
      </c>
      <c r="H1707" s="0" t="s">
        <v>270</v>
      </c>
      <c r="I1707" s="0" t="s">
        <v>10863</v>
      </c>
    </row>
    <row r="1708" customFormat="false" ht="15" hidden="false" customHeight="false" outlineLevel="0" collapsed="false">
      <c r="A1708" s="0" t="n">
        <v>56</v>
      </c>
      <c r="B1708" s="0" t="s">
        <v>104</v>
      </c>
      <c r="C1708" s="0" t="s">
        <v>10864</v>
      </c>
      <c r="D1708" s="0" t="s">
        <v>6416</v>
      </c>
      <c r="E1708" s="0" t="s">
        <v>10865</v>
      </c>
      <c r="F1708" s="0" t="n">
        <v>3461</v>
      </c>
      <c r="G1708" s="0" t="s">
        <v>277</v>
      </c>
      <c r="H1708" s="0" t="s">
        <v>270</v>
      </c>
      <c r="I1708" s="0" t="s">
        <v>10866</v>
      </c>
    </row>
    <row r="1709" customFormat="false" ht="15" hidden="false" customHeight="false" outlineLevel="0" collapsed="false">
      <c r="A1709" s="0" t="n">
        <v>71</v>
      </c>
      <c r="B1709" s="0" t="s">
        <v>122</v>
      </c>
      <c r="C1709" s="0" t="s">
        <v>10867</v>
      </c>
      <c r="D1709" s="0" t="s">
        <v>6560</v>
      </c>
      <c r="E1709" s="0" t="s">
        <v>10868</v>
      </c>
      <c r="F1709" s="0" t="n">
        <v>240</v>
      </c>
      <c r="G1709" s="0" t="s">
        <v>277</v>
      </c>
      <c r="H1709" s="0" t="s">
        <v>270</v>
      </c>
      <c r="I1709" s="0" t="s">
        <v>10869</v>
      </c>
    </row>
    <row r="1710" customFormat="false" ht="15" hidden="false" customHeight="false" outlineLevel="0" collapsed="false">
      <c r="A1710" s="0" t="n">
        <v>19</v>
      </c>
      <c r="B1710" s="0" t="s">
        <v>55</v>
      </c>
      <c r="C1710" s="0" t="s">
        <v>10870</v>
      </c>
      <c r="D1710" s="0" t="s">
        <v>6416</v>
      </c>
      <c r="E1710" s="0" t="s">
        <v>10871</v>
      </c>
      <c r="F1710" s="0" t="n">
        <v>2903</v>
      </c>
      <c r="G1710" s="0" t="s">
        <v>277</v>
      </c>
      <c r="H1710" s="0" t="s">
        <v>270</v>
      </c>
      <c r="I1710" s="0" t="s">
        <v>10872</v>
      </c>
    </row>
    <row r="1711" customFormat="false" ht="15" hidden="false" customHeight="false" outlineLevel="0" collapsed="false">
      <c r="A1711" s="0" t="n">
        <v>129</v>
      </c>
      <c r="B1711" s="0" t="s">
        <v>184</v>
      </c>
      <c r="C1711" s="0" t="s">
        <v>10873</v>
      </c>
      <c r="D1711" s="0" t="s">
        <v>6416</v>
      </c>
      <c r="E1711" s="0" t="s">
        <v>10874</v>
      </c>
      <c r="F1711" s="0" t="n">
        <v>2903</v>
      </c>
      <c r="G1711" s="0" t="s">
        <v>277</v>
      </c>
      <c r="H1711" s="0" t="s">
        <v>270</v>
      </c>
      <c r="I1711" s="0" t="s">
        <v>10875</v>
      </c>
    </row>
    <row r="1712" customFormat="false" ht="15" hidden="false" customHeight="false" outlineLevel="0" collapsed="false">
      <c r="A1712" s="0" t="n">
        <v>99</v>
      </c>
      <c r="B1712" s="0" t="s">
        <v>153</v>
      </c>
      <c r="C1712" s="0" t="s">
        <v>10876</v>
      </c>
      <c r="D1712" s="0" t="s">
        <v>6416</v>
      </c>
      <c r="E1712" s="0" t="s">
        <v>10877</v>
      </c>
      <c r="F1712" s="0" t="n">
        <v>2903</v>
      </c>
      <c r="G1712" s="0" t="s">
        <v>277</v>
      </c>
      <c r="H1712" s="0" t="s">
        <v>270</v>
      </c>
      <c r="I1712" s="0" t="s">
        <v>10878</v>
      </c>
    </row>
    <row r="1713" customFormat="false" ht="15" hidden="false" customHeight="false" outlineLevel="0" collapsed="false">
      <c r="A1713" s="0" t="n">
        <v>175</v>
      </c>
      <c r="B1713" s="0" t="s">
        <v>235</v>
      </c>
      <c r="C1713" s="0" t="s">
        <v>10879</v>
      </c>
      <c r="D1713" s="0" t="s">
        <v>6416</v>
      </c>
      <c r="E1713" s="0" t="s">
        <v>10880</v>
      </c>
      <c r="F1713" s="0" t="n">
        <v>4189</v>
      </c>
      <c r="G1713" s="0" t="s">
        <v>277</v>
      </c>
      <c r="H1713" s="0" t="s">
        <v>270</v>
      </c>
      <c r="I1713" s="0" t="s">
        <v>10881</v>
      </c>
    </row>
    <row r="1714" customFormat="false" ht="15" hidden="false" customHeight="false" outlineLevel="0" collapsed="false">
      <c r="A1714" s="0" t="n">
        <v>179</v>
      </c>
      <c r="B1714" s="0" t="s">
        <v>240</v>
      </c>
      <c r="C1714" s="0" t="s">
        <v>10882</v>
      </c>
      <c r="D1714" s="0" t="s">
        <v>6416</v>
      </c>
      <c r="E1714" s="0" t="s">
        <v>10883</v>
      </c>
      <c r="F1714" s="0" t="n">
        <v>240</v>
      </c>
      <c r="G1714" s="0" t="s">
        <v>277</v>
      </c>
      <c r="H1714" s="0" t="s">
        <v>270</v>
      </c>
      <c r="I1714" s="0" t="s">
        <v>10884</v>
      </c>
    </row>
    <row r="1715" customFormat="false" ht="15" hidden="false" customHeight="false" outlineLevel="0" collapsed="false">
      <c r="A1715" s="0" t="n">
        <v>175</v>
      </c>
      <c r="B1715" s="0" t="s">
        <v>235</v>
      </c>
      <c r="C1715" s="0" t="s">
        <v>10885</v>
      </c>
      <c r="D1715" s="0" t="s">
        <v>6560</v>
      </c>
      <c r="E1715" s="0" t="s">
        <v>10886</v>
      </c>
      <c r="F1715" s="0" t="n">
        <v>1751</v>
      </c>
      <c r="G1715" s="0" t="s">
        <v>277</v>
      </c>
      <c r="H1715" s="0" t="s">
        <v>270</v>
      </c>
      <c r="I1715" s="0" t="s">
        <v>10887</v>
      </c>
    </row>
    <row r="1716" customFormat="false" ht="15" hidden="false" customHeight="false" outlineLevel="0" collapsed="false">
      <c r="A1716" s="0" t="n">
        <v>58</v>
      </c>
      <c r="B1716" s="0" t="s">
        <v>107</v>
      </c>
      <c r="C1716" s="0" t="s">
        <v>10888</v>
      </c>
      <c r="D1716" s="0" t="s">
        <v>6416</v>
      </c>
      <c r="E1716" s="0" t="s">
        <v>10889</v>
      </c>
      <c r="F1716" s="0" t="n">
        <v>240</v>
      </c>
      <c r="G1716" s="0" t="s">
        <v>277</v>
      </c>
      <c r="H1716" s="0" t="s">
        <v>270</v>
      </c>
      <c r="I1716" s="0" t="s">
        <v>10890</v>
      </c>
    </row>
    <row r="1717" customFormat="false" ht="15" hidden="false" customHeight="false" outlineLevel="0" collapsed="false">
      <c r="A1717" s="0" t="n">
        <v>178</v>
      </c>
      <c r="B1717" s="0" t="s">
        <v>239</v>
      </c>
      <c r="C1717" s="0" t="s">
        <v>10891</v>
      </c>
      <c r="D1717" s="0" t="s">
        <v>6416</v>
      </c>
      <c r="E1717" s="0" t="s">
        <v>10892</v>
      </c>
      <c r="F1717" s="0" t="n">
        <v>2903</v>
      </c>
      <c r="G1717" s="0" t="s">
        <v>277</v>
      </c>
      <c r="H1717" s="0" t="s">
        <v>270</v>
      </c>
      <c r="I1717" s="0" t="s">
        <v>10893</v>
      </c>
    </row>
    <row r="1718" customFormat="false" ht="15" hidden="false" customHeight="false" outlineLevel="0" collapsed="false">
      <c r="A1718" s="0" t="n">
        <v>160</v>
      </c>
      <c r="B1718" s="0" t="s">
        <v>218</v>
      </c>
      <c r="C1718" s="0" t="s">
        <v>10894</v>
      </c>
      <c r="D1718" s="0" t="s">
        <v>6416</v>
      </c>
      <c r="E1718" s="0" t="s">
        <v>10895</v>
      </c>
      <c r="F1718" s="0" t="n">
        <v>240</v>
      </c>
      <c r="G1718" s="0" t="s">
        <v>277</v>
      </c>
      <c r="H1718" s="0" t="s">
        <v>270</v>
      </c>
      <c r="I1718" s="0" t="s">
        <v>10896</v>
      </c>
    </row>
    <row r="1719" customFormat="false" ht="15" hidden="false" customHeight="false" outlineLevel="0" collapsed="false">
      <c r="A1719" s="0" t="n">
        <v>143</v>
      </c>
      <c r="B1719" s="0" t="s">
        <v>199</v>
      </c>
      <c r="C1719" s="0" t="s">
        <v>10897</v>
      </c>
      <c r="D1719" s="0" t="s">
        <v>6416</v>
      </c>
      <c r="E1719" s="0" t="s">
        <v>10898</v>
      </c>
      <c r="F1719" s="0" t="n">
        <v>2903</v>
      </c>
      <c r="G1719" s="0" t="s">
        <v>277</v>
      </c>
      <c r="H1719" s="0" t="s">
        <v>270</v>
      </c>
      <c r="I1719" s="0" t="s">
        <v>10899</v>
      </c>
    </row>
    <row r="1720" customFormat="false" ht="15" hidden="false" customHeight="false" outlineLevel="0" collapsed="false">
      <c r="A1720" s="0" t="n">
        <v>152</v>
      </c>
      <c r="B1720" s="0" t="s">
        <v>209</v>
      </c>
      <c r="C1720" s="0" t="s">
        <v>10900</v>
      </c>
      <c r="D1720" s="0" t="s">
        <v>6416</v>
      </c>
      <c r="E1720" s="0" t="s">
        <v>10901</v>
      </c>
      <c r="F1720" s="0" t="n">
        <v>2903</v>
      </c>
      <c r="G1720" s="0" t="s">
        <v>277</v>
      </c>
      <c r="H1720" s="0" t="s">
        <v>270</v>
      </c>
      <c r="I1720" s="0" t="s">
        <v>10902</v>
      </c>
    </row>
    <row r="1721" customFormat="false" ht="15" hidden="false" customHeight="false" outlineLevel="0" collapsed="false">
      <c r="A1721" s="0" t="n">
        <v>165</v>
      </c>
      <c r="B1721" s="0" t="s">
        <v>223</v>
      </c>
      <c r="C1721" s="0" t="s">
        <v>10903</v>
      </c>
      <c r="D1721" s="0" t="s">
        <v>6416</v>
      </c>
      <c r="E1721" s="0" t="s">
        <v>10904</v>
      </c>
      <c r="F1721" s="0" t="n">
        <v>3978</v>
      </c>
      <c r="G1721" s="0" t="s">
        <v>277</v>
      </c>
      <c r="H1721" s="0" t="s">
        <v>270</v>
      </c>
      <c r="I1721" s="0" t="s">
        <v>10905</v>
      </c>
    </row>
    <row r="1722" customFormat="false" ht="15" hidden="false" customHeight="false" outlineLevel="0" collapsed="false">
      <c r="A1722" s="0" t="n">
        <v>82</v>
      </c>
      <c r="B1722" s="0" t="s">
        <v>133</v>
      </c>
      <c r="C1722" s="0" t="s">
        <v>10906</v>
      </c>
      <c r="D1722" s="0" t="s">
        <v>6416</v>
      </c>
      <c r="E1722" s="0" t="s">
        <v>10907</v>
      </c>
      <c r="F1722" s="0" t="n">
        <v>240</v>
      </c>
      <c r="G1722" s="0" t="s">
        <v>277</v>
      </c>
      <c r="H1722" s="0" t="s">
        <v>270</v>
      </c>
      <c r="I1722" s="0" t="s">
        <v>10908</v>
      </c>
    </row>
    <row r="1723" customFormat="false" ht="15" hidden="false" customHeight="false" outlineLevel="0" collapsed="false">
      <c r="A1723" s="0" t="n">
        <v>89</v>
      </c>
      <c r="B1723" s="0" t="s">
        <v>141</v>
      </c>
      <c r="C1723" s="0" t="s">
        <v>10909</v>
      </c>
      <c r="D1723" s="0" t="s">
        <v>6416</v>
      </c>
      <c r="E1723" s="0" t="s">
        <v>10910</v>
      </c>
      <c r="F1723" s="0" t="n">
        <v>2903</v>
      </c>
      <c r="G1723" s="0" t="s">
        <v>277</v>
      </c>
      <c r="H1723" s="0" t="s">
        <v>270</v>
      </c>
      <c r="I1723" s="0" t="s">
        <v>10911</v>
      </c>
    </row>
    <row r="1724" customFormat="false" ht="15" hidden="false" customHeight="false" outlineLevel="0" collapsed="false">
      <c r="A1724" s="0" t="n">
        <v>19</v>
      </c>
      <c r="B1724" s="0" t="s">
        <v>55</v>
      </c>
      <c r="C1724" s="0" t="s">
        <v>10912</v>
      </c>
      <c r="D1724" s="0" t="s">
        <v>6416</v>
      </c>
      <c r="E1724" s="0" t="s">
        <v>10913</v>
      </c>
      <c r="F1724" s="0" t="n">
        <v>11648</v>
      </c>
      <c r="G1724" s="0" t="s">
        <v>277</v>
      </c>
      <c r="H1724" s="0" t="s">
        <v>270</v>
      </c>
      <c r="I1724" s="0" t="s">
        <v>10914</v>
      </c>
    </row>
    <row r="1725" customFormat="false" ht="15" hidden="false" customHeight="false" outlineLevel="0" collapsed="false">
      <c r="A1725" s="0" t="n">
        <v>162</v>
      </c>
      <c r="B1725" s="0" t="s">
        <v>220</v>
      </c>
      <c r="C1725" s="0" t="s">
        <v>10915</v>
      </c>
      <c r="D1725" s="0" t="s">
        <v>6416</v>
      </c>
      <c r="E1725" s="0" t="s">
        <v>10916</v>
      </c>
      <c r="F1725" s="0" t="n">
        <v>10825</v>
      </c>
      <c r="G1725" s="0" t="s">
        <v>277</v>
      </c>
      <c r="H1725" s="0" t="s">
        <v>270</v>
      </c>
      <c r="I1725" s="0" t="s">
        <v>10917</v>
      </c>
    </row>
    <row r="1726" customFormat="false" ht="15" hidden="false" customHeight="false" outlineLevel="0" collapsed="false">
      <c r="A1726" s="0" t="n">
        <v>15</v>
      </c>
      <c r="B1726" s="0" t="s">
        <v>50</v>
      </c>
      <c r="C1726" s="0" t="s">
        <v>10918</v>
      </c>
      <c r="D1726" s="0" t="s">
        <v>6416</v>
      </c>
      <c r="E1726" s="0" t="s">
        <v>10919</v>
      </c>
      <c r="F1726" s="0" t="n">
        <v>240</v>
      </c>
      <c r="G1726" s="0" t="s">
        <v>277</v>
      </c>
      <c r="H1726" s="0" t="s">
        <v>270</v>
      </c>
      <c r="I1726" s="0" t="s">
        <v>10920</v>
      </c>
    </row>
    <row r="1727" customFormat="false" ht="41.75" hidden="false" customHeight="false" outlineLevel="0" collapsed="false">
      <c r="A1727" s="0" t="n">
        <v>53</v>
      </c>
      <c r="B1727" s="0" t="s">
        <v>101</v>
      </c>
      <c r="C1727" s="0" t="s">
        <v>10921</v>
      </c>
      <c r="D1727" s="0" t="s">
        <v>6425</v>
      </c>
      <c r="E1727" s="3" t="s">
        <v>10922</v>
      </c>
      <c r="F1727" s="0" t="n">
        <v>2484</v>
      </c>
      <c r="G1727" s="0" t="s">
        <v>277</v>
      </c>
      <c r="H1727" s="0" t="s">
        <v>270</v>
      </c>
      <c r="I1727" s="0" t="s">
        <v>10923</v>
      </c>
    </row>
    <row r="1728" customFormat="false" ht="15" hidden="false" customHeight="false" outlineLevel="0" collapsed="false">
      <c r="A1728" s="0" t="n">
        <v>14</v>
      </c>
      <c r="B1728" s="0" t="s">
        <v>49</v>
      </c>
      <c r="C1728" s="0" t="s">
        <v>10924</v>
      </c>
      <c r="D1728" s="0" t="s">
        <v>6416</v>
      </c>
      <c r="E1728" s="0" t="s">
        <v>10925</v>
      </c>
      <c r="F1728" s="0" t="n">
        <v>2903</v>
      </c>
      <c r="G1728" s="0" t="s">
        <v>277</v>
      </c>
      <c r="H1728" s="0" t="s">
        <v>270</v>
      </c>
      <c r="I1728" s="0" t="s">
        <v>10926</v>
      </c>
    </row>
    <row r="1729" customFormat="false" ht="15" hidden="false" customHeight="false" outlineLevel="0" collapsed="false">
      <c r="A1729" s="0" t="n">
        <v>154</v>
      </c>
      <c r="B1729" s="0" t="s">
        <v>211</v>
      </c>
      <c r="C1729" s="0" t="s">
        <v>10927</v>
      </c>
      <c r="D1729" s="0" t="s">
        <v>6416</v>
      </c>
      <c r="E1729" s="0" t="s">
        <v>10928</v>
      </c>
      <c r="F1729" s="0" t="n">
        <v>4985</v>
      </c>
      <c r="G1729" s="0" t="s">
        <v>277</v>
      </c>
      <c r="H1729" s="0" t="s">
        <v>270</v>
      </c>
      <c r="I1729" s="0" t="s">
        <v>10929</v>
      </c>
    </row>
    <row r="1730" customFormat="false" ht="15" hidden="false" customHeight="false" outlineLevel="0" collapsed="false">
      <c r="A1730" s="0" t="n">
        <v>27</v>
      </c>
      <c r="B1730" s="0" t="s">
        <v>66</v>
      </c>
      <c r="C1730" s="0" t="s">
        <v>10930</v>
      </c>
      <c r="D1730" s="0" t="s">
        <v>6416</v>
      </c>
      <c r="E1730" s="0" t="s">
        <v>10931</v>
      </c>
      <c r="F1730" s="0" t="n">
        <v>240</v>
      </c>
      <c r="G1730" s="0" t="s">
        <v>277</v>
      </c>
      <c r="H1730" s="0" t="s">
        <v>270</v>
      </c>
      <c r="I1730" s="0" t="s">
        <v>10932</v>
      </c>
    </row>
    <row r="1731" customFormat="false" ht="15" hidden="false" customHeight="false" outlineLevel="0" collapsed="false">
      <c r="A1731" s="0" t="n">
        <v>115</v>
      </c>
      <c r="B1731" s="0" t="s">
        <v>169</v>
      </c>
      <c r="C1731" s="0" t="s">
        <v>10933</v>
      </c>
      <c r="D1731" s="0" t="s">
        <v>6416</v>
      </c>
      <c r="E1731" s="0" t="s">
        <v>10934</v>
      </c>
      <c r="F1731" s="0" t="n">
        <v>240</v>
      </c>
      <c r="G1731" s="0" t="s">
        <v>277</v>
      </c>
      <c r="H1731" s="0" t="s">
        <v>270</v>
      </c>
      <c r="I1731" s="0" t="s">
        <v>10935</v>
      </c>
    </row>
    <row r="1732" customFormat="false" ht="15" hidden="false" customHeight="false" outlineLevel="0" collapsed="false">
      <c r="A1732" s="0" t="n">
        <v>146</v>
      </c>
      <c r="B1732" s="0" t="s">
        <v>202</v>
      </c>
      <c r="C1732" s="0" t="s">
        <v>10936</v>
      </c>
      <c r="D1732" s="0" t="s">
        <v>6425</v>
      </c>
      <c r="E1732" s="0" t="s">
        <v>10937</v>
      </c>
      <c r="F1732" s="0" t="n">
        <v>240</v>
      </c>
      <c r="G1732" s="0" t="s">
        <v>277</v>
      </c>
      <c r="H1732" s="0" t="s">
        <v>270</v>
      </c>
      <c r="I1732" s="0" t="s">
        <v>10938</v>
      </c>
    </row>
    <row r="1733" customFormat="false" ht="15" hidden="false" customHeight="false" outlineLevel="0" collapsed="false">
      <c r="A1733" s="0" t="n">
        <v>116</v>
      </c>
      <c r="B1733" s="0" t="s">
        <v>170</v>
      </c>
      <c r="C1733" s="0" t="s">
        <v>10939</v>
      </c>
      <c r="D1733" s="0" t="s">
        <v>6416</v>
      </c>
      <c r="E1733" s="0" t="s">
        <v>10940</v>
      </c>
      <c r="F1733" s="0" t="n">
        <v>3280</v>
      </c>
      <c r="G1733" s="0" t="s">
        <v>277</v>
      </c>
      <c r="H1733" s="0" t="s">
        <v>270</v>
      </c>
      <c r="I1733" s="0" t="s">
        <v>10941</v>
      </c>
    </row>
    <row r="1734" customFormat="false" ht="15" hidden="false" customHeight="false" outlineLevel="0" collapsed="false">
      <c r="A1734" s="0" t="n">
        <v>173</v>
      </c>
      <c r="B1734" s="0" t="s">
        <v>233</v>
      </c>
      <c r="C1734" s="0" t="s">
        <v>10942</v>
      </c>
      <c r="D1734" s="0" t="s">
        <v>6416</v>
      </c>
      <c r="E1734" s="0" t="s">
        <v>10943</v>
      </c>
      <c r="F1734" s="0" t="n">
        <v>1596</v>
      </c>
      <c r="G1734" s="0" t="s">
        <v>277</v>
      </c>
      <c r="H1734" s="0" t="s">
        <v>270</v>
      </c>
      <c r="I1734" s="0" t="s">
        <v>10944</v>
      </c>
    </row>
    <row r="1735" customFormat="false" ht="15" hidden="false" customHeight="false" outlineLevel="0" collapsed="false">
      <c r="A1735" s="0" t="n">
        <v>44</v>
      </c>
      <c r="B1735" s="0" t="s">
        <v>88</v>
      </c>
      <c r="C1735" s="0" t="s">
        <v>10945</v>
      </c>
      <c r="D1735" s="0" t="s">
        <v>6416</v>
      </c>
      <c r="E1735" s="0" t="s">
        <v>10946</v>
      </c>
      <c r="F1735" s="0" t="n">
        <v>240</v>
      </c>
      <c r="G1735" s="0" t="s">
        <v>277</v>
      </c>
      <c r="H1735" s="0" t="s">
        <v>270</v>
      </c>
      <c r="I1735" s="0" t="s">
        <v>10947</v>
      </c>
    </row>
    <row r="1736" customFormat="false" ht="15" hidden="false" customHeight="false" outlineLevel="0" collapsed="false">
      <c r="A1736" s="0" t="n">
        <v>96</v>
      </c>
      <c r="B1736" s="0" t="s">
        <v>149</v>
      </c>
      <c r="C1736" s="0" t="s">
        <v>10948</v>
      </c>
      <c r="D1736" s="0" t="s">
        <v>6416</v>
      </c>
      <c r="E1736" s="0" t="s">
        <v>10949</v>
      </c>
      <c r="F1736" s="0" t="n">
        <v>2267</v>
      </c>
      <c r="G1736" s="0" t="s">
        <v>277</v>
      </c>
      <c r="H1736" s="0" t="s">
        <v>270</v>
      </c>
      <c r="I1736" s="0" t="s">
        <v>10950</v>
      </c>
    </row>
    <row r="1737" customFormat="false" ht="15" hidden="false" customHeight="false" outlineLevel="0" collapsed="false">
      <c r="A1737" s="0" t="n">
        <v>31</v>
      </c>
      <c r="B1737" s="0" t="s">
        <v>71</v>
      </c>
      <c r="C1737" s="0" t="s">
        <v>10951</v>
      </c>
      <c r="D1737" s="0" t="s">
        <v>6416</v>
      </c>
      <c r="E1737" s="0" t="s">
        <v>10952</v>
      </c>
      <c r="F1737" s="0" t="n">
        <v>240</v>
      </c>
      <c r="G1737" s="0" t="s">
        <v>277</v>
      </c>
      <c r="H1737" s="0" t="s">
        <v>270</v>
      </c>
      <c r="I1737" s="0" t="s">
        <v>10953</v>
      </c>
    </row>
    <row r="1738" customFormat="false" ht="15" hidden="false" customHeight="false" outlineLevel="0" collapsed="false">
      <c r="A1738" s="0" t="n">
        <v>168</v>
      </c>
      <c r="B1738" s="0" t="s">
        <v>227</v>
      </c>
      <c r="C1738" s="0" t="s">
        <v>10954</v>
      </c>
      <c r="D1738" s="0" t="s">
        <v>6416</v>
      </c>
      <c r="E1738" s="0" t="s">
        <v>10955</v>
      </c>
      <c r="F1738" s="0" t="n">
        <v>240</v>
      </c>
      <c r="G1738" s="0" t="s">
        <v>277</v>
      </c>
      <c r="H1738" s="0" t="s">
        <v>270</v>
      </c>
      <c r="I1738" s="0" t="s">
        <v>10956</v>
      </c>
    </row>
    <row r="1739" customFormat="false" ht="15" hidden="false" customHeight="false" outlineLevel="0" collapsed="false">
      <c r="A1739" s="0" t="n">
        <v>163</v>
      </c>
      <c r="B1739" s="0" t="s">
        <v>221</v>
      </c>
      <c r="C1739" s="0" t="s">
        <v>10957</v>
      </c>
      <c r="D1739" s="0" t="s">
        <v>10958</v>
      </c>
      <c r="E1739" s="0" t="s">
        <v>10959</v>
      </c>
      <c r="F1739" s="0" t="n">
        <v>240</v>
      </c>
      <c r="G1739" s="0" t="s">
        <v>277</v>
      </c>
      <c r="H1739" s="0" t="s">
        <v>270</v>
      </c>
      <c r="I1739" s="0" t="s">
        <v>10960</v>
      </c>
    </row>
    <row r="1740" customFormat="false" ht="15" hidden="false" customHeight="false" outlineLevel="0" collapsed="false">
      <c r="A1740" s="0" t="n">
        <v>164</v>
      </c>
      <c r="B1740" s="0" t="s">
        <v>222</v>
      </c>
      <c r="C1740" s="0" t="s">
        <v>10961</v>
      </c>
      <c r="D1740" s="0" t="s">
        <v>6425</v>
      </c>
      <c r="E1740" s="0" t="s">
        <v>10962</v>
      </c>
      <c r="F1740" s="0" t="n">
        <v>2288</v>
      </c>
      <c r="G1740" s="0" t="s">
        <v>277</v>
      </c>
      <c r="H1740" s="0" t="s">
        <v>270</v>
      </c>
      <c r="I1740" s="0" t="s">
        <v>10963</v>
      </c>
    </row>
    <row r="1741" customFormat="false" ht="15" hidden="false" customHeight="false" outlineLevel="0" collapsed="false">
      <c r="A1741" s="0" t="n">
        <v>2</v>
      </c>
      <c r="B1741" s="0" t="s">
        <v>29</v>
      </c>
      <c r="C1741" s="0" t="s">
        <v>10964</v>
      </c>
      <c r="D1741" s="0" t="s">
        <v>6416</v>
      </c>
      <c r="E1741" s="0" t="s">
        <v>10965</v>
      </c>
      <c r="F1741" s="0" t="n">
        <v>2742</v>
      </c>
      <c r="G1741" s="0" t="s">
        <v>277</v>
      </c>
      <c r="H1741" s="0" t="s">
        <v>270</v>
      </c>
      <c r="I1741" s="0" t="s">
        <v>10966</v>
      </c>
    </row>
    <row r="1742" customFormat="false" ht="15" hidden="false" customHeight="false" outlineLevel="0" collapsed="false">
      <c r="A1742" s="0" t="n">
        <v>166</v>
      </c>
      <c r="B1742" s="0" t="s">
        <v>225</v>
      </c>
      <c r="C1742" s="0" t="s">
        <v>10967</v>
      </c>
      <c r="D1742" s="0" t="s">
        <v>6416</v>
      </c>
      <c r="E1742" s="0" t="s">
        <v>10968</v>
      </c>
      <c r="F1742" s="0" t="n">
        <v>240</v>
      </c>
      <c r="G1742" s="0" t="s">
        <v>277</v>
      </c>
      <c r="H1742" s="0" t="s">
        <v>270</v>
      </c>
      <c r="I1742" s="0" t="s">
        <v>10969</v>
      </c>
    </row>
    <row r="1743" customFormat="false" ht="15" hidden="false" customHeight="false" outlineLevel="0" collapsed="false">
      <c r="A1743" s="0" t="n">
        <v>120</v>
      </c>
      <c r="B1743" s="0" t="s">
        <v>175</v>
      </c>
      <c r="C1743" s="0" t="s">
        <v>10970</v>
      </c>
      <c r="D1743" s="0" t="s">
        <v>6560</v>
      </c>
      <c r="E1743" s="0" t="s">
        <v>10971</v>
      </c>
      <c r="F1743" s="0" t="n">
        <v>4952</v>
      </c>
      <c r="G1743" s="0" t="s">
        <v>277</v>
      </c>
      <c r="H1743" s="0" t="s">
        <v>270</v>
      </c>
      <c r="I1743" s="0" t="s">
        <v>10972</v>
      </c>
    </row>
    <row r="1744" customFormat="false" ht="15" hidden="false" customHeight="false" outlineLevel="0" collapsed="false">
      <c r="A1744" s="0" t="n">
        <v>128</v>
      </c>
      <c r="B1744" s="0" t="s">
        <v>183</v>
      </c>
      <c r="C1744" s="0" t="s">
        <v>10973</v>
      </c>
      <c r="D1744" s="0" t="s">
        <v>6416</v>
      </c>
      <c r="E1744" s="0" t="s">
        <v>10974</v>
      </c>
      <c r="F1744" s="0" t="n">
        <v>1232</v>
      </c>
      <c r="G1744" s="0" t="s">
        <v>277</v>
      </c>
      <c r="H1744" s="0" t="s">
        <v>270</v>
      </c>
      <c r="I1744" s="0" t="s">
        <v>10975</v>
      </c>
    </row>
    <row r="1745" customFormat="false" ht="15" hidden="false" customHeight="false" outlineLevel="0" collapsed="false">
      <c r="A1745" s="0" t="n">
        <v>155</v>
      </c>
      <c r="B1745" s="0" t="s">
        <v>212</v>
      </c>
      <c r="C1745" s="0" t="s">
        <v>10976</v>
      </c>
      <c r="D1745" s="0" t="s">
        <v>6416</v>
      </c>
      <c r="E1745" s="0" t="s">
        <v>10977</v>
      </c>
      <c r="F1745" s="0" t="n">
        <v>2775</v>
      </c>
      <c r="G1745" s="0" t="s">
        <v>277</v>
      </c>
      <c r="H1745" s="0" t="s">
        <v>270</v>
      </c>
      <c r="I1745" s="0" t="s">
        <v>10978</v>
      </c>
    </row>
    <row r="1746" customFormat="false" ht="15" hidden="false" customHeight="false" outlineLevel="0" collapsed="false">
      <c r="A1746" s="0" t="n">
        <v>162</v>
      </c>
      <c r="B1746" s="0" t="s">
        <v>220</v>
      </c>
      <c r="C1746" s="0" t="s">
        <v>10979</v>
      </c>
      <c r="D1746" s="0" t="s">
        <v>6425</v>
      </c>
      <c r="E1746" s="0" t="s">
        <v>10980</v>
      </c>
      <c r="F1746" s="0" t="n">
        <v>10952</v>
      </c>
      <c r="G1746" s="0" t="s">
        <v>277</v>
      </c>
      <c r="H1746" s="0" t="s">
        <v>270</v>
      </c>
      <c r="I1746" s="0" t="s">
        <v>10981</v>
      </c>
    </row>
    <row r="1747" customFormat="false" ht="15" hidden="false" customHeight="false" outlineLevel="0" collapsed="false">
      <c r="A1747" s="0" t="n">
        <v>69</v>
      </c>
      <c r="B1747" s="0" t="s">
        <v>120</v>
      </c>
      <c r="C1747" s="0" t="s">
        <v>10982</v>
      </c>
      <c r="D1747" s="0" t="s">
        <v>6416</v>
      </c>
      <c r="E1747" s="0" t="s">
        <v>10983</v>
      </c>
      <c r="F1747" s="0" t="n">
        <v>5055</v>
      </c>
      <c r="G1747" s="0" t="s">
        <v>277</v>
      </c>
      <c r="H1747" s="0" t="s">
        <v>270</v>
      </c>
      <c r="I1747" s="0" t="s">
        <v>10984</v>
      </c>
    </row>
    <row r="1748" customFormat="false" ht="15" hidden="false" customHeight="false" outlineLevel="0" collapsed="false">
      <c r="A1748" s="0" t="n">
        <v>62</v>
      </c>
      <c r="B1748" s="0" t="s">
        <v>113</v>
      </c>
      <c r="C1748" s="0" t="s">
        <v>10985</v>
      </c>
      <c r="D1748" s="0" t="s">
        <v>6416</v>
      </c>
      <c r="E1748" s="0" t="s">
        <v>10986</v>
      </c>
      <c r="F1748" s="0" t="n">
        <v>240</v>
      </c>
      <c r="G1748" s="0" t="s">
        <v>277</v>
      </c>
      <c r="H1748" s="0" t="s">
        <v>270</v>
      </c>
      <c r="I1748" s="0" t="s">
        <v>10987</v>
      </c>
    </row>
    <row r="1749" customFormat="false" ht="15" hidden="false" customHeight="false" outlineLevel="0" collapsed="false">
      <c r="A1749" s="0" t="n">
        <v>84</v>
      </c>
      <c r="B1749" s="0" t="s">
        <v>135</v>
      </c>
      <c r="C1749" s="0" t="s">
        <v>10988</v>
      </c>
      <c r="D1749" s="0" t="s">
        <v>6416</v>
      </c>
      <c r="E1749" s="0" t="s">
        <v>10989</v>
      </c>
      <c r="F1749" s="0" t="n">
        <v>828</v>
      </c>
      <c r="G1749" s="0" t="s">
        <v>277</v>
      </c>
      <c r="H1749" s="0" t="s">
        <v>270</v>
      </c>
      <c r="I1749" s="0" t="s">
        <v>10990</v>
      </c>
    </row>
    <row r="1750" customFormat="false" ht="15" hidden="false" customHeight="false" outlineLevel="0" collapsed="false">
      <c r="A1750" s="0" t="n">
        <v>164</v>
      </c>
      <c r="B1750" s="0" t="s">
        <v>222</v>
      </c>
      <c r="C1750" s="0" t="s">
        <v>10991</v>
      </c>
      <c r="D1750" s="0" t="s">
        <v>6425</v>
      </c>
      <c r="E1750" s="0" t="s">
        <v>10992</v>
      </c>
      <c r="F1750" s="0" t="n">
        <v>256</v>
      </c>
      <c r="G1750" s="0" t="s">
        <v>277</v>
      </c>
      <c r="H1750" s="0" t="s">
        <v>270</v>
      </c>
      <c r="I1750" s="0" t="s">
        <v>10993</v>
      </c>
    </row>
    <row r="1751" customFormat="false" ht="15" hidden="false" customHeight="false" outlineLevel="0" collapsed="false">
      <c r="A1751" s="0" t="n">
        <v>148</v>
      </c>
      <c r="B1751" s="0" t="s">
        <v>204</v>
      </c>
      <c r="C1751" s="0" t="s">
        <v>10994</v>
      </c>
      <c r="D1751" s="0" t="s">
        <v>6560</v>
      </c>
      <c r="E1751" s="0" t="s">
        <v>10995</v>
      </c>
      <c r="F1751" s="0" t="n">
        <v>1097</v>
      </c>
      <c r="G1751" s="0" t="s">
        <v>277</v>
      </c>
      <c r="H1751" s="0" t="s">
        <v>270</v>
      </c>
      <c r="I1751" s="0" t="s">
        <v>10996</v>
      </c>
    </row>
    <row r="1752" customFormat="false" ht="15" hidden="false" customHeight="false" outlineLevel="0" collapsed="false">
      <c r="A1752" s="0" t="n">
        <v>29</v>
      </c>
      <c r="B1752" s="0" t="s">
        <v>68</v>
      </c>
      <c r="C1752" s="0" t="s">
        <v>10997</v>
      </c>
      <c r="D1752" s="0" t="s">
        <v>6416</v>
      </c>
      <c r="E1752" s="0" t="s">
        <v>10998</v>
      </c>
      <c r="F1752" s="0" t="n">
        <v>240</v>
      </c>
      <c r="G1752" s="0" t="s">
        <v>277</v>
      </c>
      <c r="H1752" s="0" t="s">
        <v>270</v>
      </c>
      <c r="I1752" s="0" t="s">
        <v>10999</v>
      </c>
    </row>
    <row r="1753" customFormat="false" ht="15" hidden="false" customHeight="false" outlineLevel="0" collapsed="false">
      <c r="A1753" s="0" t="n">
        <v>24</v>
      </c>
      <c r="B1753" s="0" t="s">
        <v>62</v>
      </c>
      <c r="C1753" s="0" t="s">
        <v>11000</v>
      </c>
      <c r="D1753" s="0" t="s">
        <v>6416</v>
      </c>
      <c r="E1753" s="0" t="s">
        <v>11001</v>
      </c>
      <c r="F1753" s="0" t="n">
        <v>5988</v>
      </c>
      <c r="G1753" s="0" t="s">
        <v>277</v>
      </c>
      <c r="H1753" s="0" t="s">
        <v>270</v>
      </c>
      <c r="I1753" s="0" t="s">
        <v>11002</v>
      </c>
    </row>
    <row r="1754" customFormat="false" ht="15" hidden="false" customHeight="false" outlineLevel="0" collapsed="false">
      <c r="A1754" s="0" t="n">
        <v>38</v>
      </c>
      <c r="B1754" s="0" t="s">
        <v>79</v>
      </c>
      <c r="C1754" s="0" t="s">
        <v>11003</v>
      </c>
      <c r="D1754" s="0" t="s">
        <v>6416</v>
      </c>
      <c r="E1754" s="0" t="s">
        <v>11004</v>
      </c>
      <c r="F1754" s="0" t="n">
        <v>5240</v>
      </c>
      <c r="G1754" s="0" t="s">
        <v>277</v>
      </c>
      <c r="H1754" s="0" t="s">
        <v>270</v>
      </c>
      <c r="I1754" s="0" t="s">
        <v>11005</v>
      </c>
    </row>
    <row r="1755" customFormat="false" ht="15" hidden="false" customHeight="false" outlineLevel="0" collapsed="false">
      <c r="A1755" s="0" t="n">
        <v>99</v>
      </c>
      <c r="B1755" s="0" t="s">
        <v>153</v>
      </c>
      <c r="C1755" s="0" t="s">
        <v>11006</v>
      </c>
      <c r="D1755" s="0" t="s">
        <v>6416</v>
      </c>
      <c r="E1755" s="0" t="s">
        <v>11007</v>
      </c>
      <c r="F1755" s="0" t="n">
        <v>4217</v>
      </c>
      <c r="G1755" s="0" t="s">
        <v>277</v>
      </c>
      <c r="H1755" s="0" t="s">
        <v>270</v>
      </c>
      <c r="I1755" s="0" t="s">
        <v>11008</v>
      </c>
    </row>
    <row r="1756" customFormat="false" ht="15" hidden="false" customHeight="false" outlineLevel="0" collapsed="false">
      <c r="A1756" s="0" t="n">
        <v>138</v>
      </c>
      <c r="B1756" s="0" t="s">
        <v>194</v>
      </c>
      <c r="C1756" s="0" t="s">
        <v>11009</v>
      </c>
      <c r="D1756" s="0" t="s">
        <v>6076</v>
      </c>
      <c r="E1756" s="0" t="s">
        <v>11010</v>
      </c>
      <c r="F1756" s="0" t="n">
        <v>240</v>
      </c>
      <c r="G1756" s="0" t="s">
        <v>277</v>
      </c>
      <c r="H1756" s="0" t="s">
        <v>270</v>
      </c>
      <c r="I1756" s="0" t="s">
        <v>11011</v>
      </c>
    </row>
    <row r="1757" customFormat="false" ht="15" hidden="false" customHeight="false" outlineLevel="0" collapsed="false">
      <c r="A1757" s="0" t="n">
        <v>109</v>
      </c>
      <c r="B1757" s="0" t="s">
        <v>163</v>
      </c>
      <c r="C1757" s="0" t="s">
        <v>11012</v>
      </c>
      <c r="D1757" s="0" t="s">
        <v>7622</v>
      </c>
      <c r="E1757" s="0" t="s">
        <v>11013</v>
      </c>
      <c r="F1757" s="0" t="n">
        <v>240</v>
      </c>
      <c r="G1757" s="0" t="s">
        <v>277</v>
      </c>
      <c r="H1757" s="0" t="s">
        <v>270</v>
      </c>
      <c r="I1757" s="0" t="s">
        <v>11014</v>
      </c>
    </row>
    <row r="1758" customFormat="false" ht="41.75" hidden="false" customHeight="false" outlineLevel="0" collapsed="false">
      <c r="A1758" s="0" t="n">
        <v>138</v>
      </c>
      <c r="B1758" s="0" t="s">
        <v>194</v>
      </c>
      <c r="C1758" s="0" t="s">
        <v>11015</v>
      </c>
      <c r="D1758" s="0" t="s">
        <v>6416</v>
      </c>
      <c r="E1758" s="3" t="s">
        <v>11016</v>
      </c>
      <c r="F1758" s="0" t="n">
        <v>4403</v>
      </c>
      <c r="G1758" s="0" t="s">
        <v>277</v>
      </c>
      <c r="H1758" s="0" t="s">
        <v>270</v>
      </c>
      <c r="I1758" s="0" t="s">
        <v>11017</v>
      </c>
    </row>
    <row r="1759" customFormat="false" ht="15" hidden="false" customHeight="false" outlineLevel="0" collapsed="false">
      <c r="A1759" s="0" t="n">
        <v>171</v>
      </c>
      <c r="B1759" s="0" t="s">
        <v>231</v>
      </c>
      <c r="C1759" s="0" t="s">
        <v>11018</v>
      </c>
      <c r="D1759" s="0" t="s">
        <v>6416</v>
      </c>
      <c r="E1759" s="0" t="s">
        <v>11019</v>
      </c>
      <c r="F1759" s="0" t="n">
        <v>240</v>
      </c>
      <c r="G1759" s="0" t="s">
        <v>277</v>
      </c>
      <c r="H1759" s="0" t="s">
        <v>270</v>
      </c>
      <c r="I1759" s="0" t="s">
        <v>11020</v>
      </c>
    </row>
    <row r="1760" customFormat="false" ht="15" hidden="false" customHeight="false" outlineLevel="0" collapsed="false">
      <c r="A1760" s="0" t="n">
        <v>53</v>
      </c>
      <c r="B1760" s="0" t="s">
        <v>101</v>
      </c>
      <c r="C1760" s="0" t="s">
        <v>11021</v>
      </c>
      <c r="D1760" s="0" t="s">
        <v>6416</v>
      </c>
      <c r="E1760" s="0" t="s">
        <v>11022</v>
      </c>
      <c r="F1760" s="0" t="n">
        <v>240</v>
      </c>
      <c r="G1760" s="0" t="s">
        <v>277</v>
      </c>
      <c r="H1760" s="0" t="s">
        <v>270</v>
      </c>
      <c r="I1760" s="0" t="s">
        <v>11023</v>
      </c>
    </row>
    <row r="1761" customFormat="false" ht="15" hidden="false" customHeight="false" outlineLevel="0" collapsed="false">
      <c r="A1761" s="0" t="n">
        <v>164</v>
      </c>
      <c r="B1761" s="0" t="s">
        <v>222</v>
      </c>
      <c r="C1761" s="0" t="s">
        <v>11024</v>
      </c>
      <c r="D1761" s="0" t="s">
        <v>6425</v>
      </c>
      <c r="E1761" s="0" t="s">
        <v>11025</v>
      </c>
      <c r="F1761" s="0" t="n">
        <v>1436</v>
      </c>
      <c r="G1761" s="0" t="s">
        <v>277</v>
      </c>
      <c r="H1761" s="0" t="s">
        <v>270</v>
      </c>
      <c r="I1761" s="0" t="s">
        <v>11026</v>
      </c>
    </row>
    <row r="1762" customFormat="false" ht="15" hidden="false" customHeight="false" outlineLevel="0" collapsed="false">
      <c r="A1762" s="0" t="n">
        <v>30</v>
      </c>
      <c r="B1762" s="0" t="s">
        <v>70</v>
      </c>
      <c r="C1762" s="0" t="s">
        <v>11027</v>
      </c>
      <c r="D1762" s="0" t="s">
        <v>6416</v>
      </c>
      <c r="E1762" s="0" t="s">
        <v>11028</v>
      </c>
      <c r="F1762" s="0" t="n">
        <v>240</v>
      </c>
      <c r="G1762" s="0" t="s">
        <v>277</v>
      </c>
      <c r="H1762" s="0" t="s">
        <v>270</v>
      </c>
      <c r="I1762" s="0" t="s">
        <v>11029</v>
      </c>
    </row>
    <row r="1763" customFormat="false" ht="15" hidden="false" customHeight="false" outlineLevel="0" collapsed="false">
      <c r="A1763" s="0" t="n">
        <v>132</v>
      </c>
      <c r="B1763" s="0" t="s">
        <v>187</v>
      </c>
      <c r="C1763" s="0" t="s">
        <v>11030</v>
      </c>
      <c r="D1763" s="0" t="s">
        <v>6416</v>
      </c>
      <c r="E1763" s="0" t="s">
        <v>11031</v>
      </c>
      <c r="F1763" s="0" t="n">
        <v>2536</v>
      </c>
      <c r="G1763" s="0" t="s">
        <v>277</v>
      </c>
      <c r="H1763" s="0" t="s">
        <v>270</v>
      </c>
      <c r="I1763" s="0" t="s">
        <v>11032</v>
      </c>
    </row>
    <row r="1764" customFormat="false" ht="15" hidden="false" customHeight="false" outlineLevel="0" collapsed="false">
      <c r="A1764" s="0" t="n">
        <v>173</v>
      </c>
      <c r="B1764" s="0" t="s">
        <v>233</v>
      </c>
      <c r="C1764" s="0" t="s">
        <v>11033</v>
      </c>
      <c r="D1764" s="0" t="s">
        <v>6416</v>
      </c>
      <c r="E1764" s="0" t="s">
        <v>11034</v>
      </c>
      <c r="F1764" s="0" t="n">
        <v>240</v>
      </c>
      <c r="G1764" s="0" t="s">
        <v>277</v>
      </c>
      <c r="H1764" s="0" t="s">
        <v>270</v>
      </c>
      <c r="I1764" s="0" t="s">
        <v>11035</v>
      </c>
    </row>
    <row r="1765" customFormat="false" ht="41.75" hidden="false" customHeight="false" outlineLevel="0" collapsed="false">
      <c r="A1765" s="0" t="n">
        <v>169</v>
      </c>
      <c r="B1765" s="0" t="s">
        <v>229</v>
      </c>
      <c r="C1765" s="0" t="s">
        <v>11036</v>
      </c>
      <c r="D1765" s="0" t="s">
        <v>6416</v>
      </c>
      <c r="E1765" s="3" t="s">
        <v>11037</v>
      </c>
      <c r="F1765" s="0" t="n">
        <v>5644</v>
      </c>
      <c r="G1765" s="0" t="s">
        <v>277</v>
      </c>
      <c r="H1765" s="0" t="s">
        <v>270</v>
      </c>
      <c r="I1765" s="0" t="s">
        <v>11038</v>
      </c>
    </row>
    <row r="1766" customFormat="false" ht="15" hidden="false" customHeight="false" outlineLevel="0" collapsed="false">
      <c r="A1766" s="0" t="n">
        <v>147</v>
      </c>
      <c r="B1766" s="0" t="s">
        <v>203</v>
      </c>
      <c r="C1766" s="0" t="s">
        <v>11039</v>
      </c>
      <c r="D1766" s="0" t="s">
        <v>6416</v>
      </c>
      <c r="E1766" s="0" t="s">
        <v>11040</v>
      </c>
      <c r="F1766" s="0" t="n">
        <v>240</v>
      </c>
      <c r="G1766" s="0" t="s">
        <v>277</v>
      </c>
      <c r="H1766" s="0" t="s">
        <v>270</v>
      </c>
      <c r="I1766" s="0" t="s">
        <v>11041</v>
      </c>
    </row>
    <row r="1767" customFormat="false" ht="15" hidden="false" customHeight="false" outlineLevel="0" collapsed="false">
      <c r="A1767" s="0" t="n">
        <v>13</v>
      </c>
      <c r="B1767" s="0" t="s">
        <v>47</v>
      </c>
      <c r="C1767" s="0" t="s">
        <v>11042</v>
      </c>
      <c r="D1767" s="0" t="s">
        <v>6416</v>
      </c>
      <c r="E1767" s="0" t="s">
        <v>11043</v>
      </c>
      <c r="F1767" s="0" t="n">
        <v>6836</v>
      </c>
      <c r="G1767" s="0" t="s">
        <v>277</v>
      </c>
      <c r="H1767" s="0" t="s">
        <v>270</v>
      </c>
      <c r="I1767" s="0" t="s">
        <v>11044</v>
      </c>
    </row>
    <row r="1768" customFormat="false" ht="15" hidden="false" customHeight="false" outlineLevel="0" collapsed="false">
      <c r="A1768" s="0" t="n">
        <v>128</v>
      </c>
      <c r="B1768" s="0" t="s">
        <v>183</v>
      </c>
      <c r="C1768" s="0" t="s">
        <v>11045</v>
      </c>
      <c r="D1768" s="0" t="s">
        <v>6416</v>
      </c>
      <c r="E1768" s="0" t="s">
        <v>11046</v>
      </c>
      <c r="F1768" s="0" t="n">
        <v>240</v>
      </c>
      <c r="G1768" s="0" t="s">
        <v>277</v>
      </c>
      <c r="H1768" s="0" t="s">
        <v>270</v>
      </c>
      <c r="I1768" s="0" t="s">
        <v>11047</v>
      </c>
    </row>
    <row r="1769" customFormat="false" ht="15" hidden="false" customHeight="false" outlineLevel="0" collapsed="false">
      <c r="A1769" s="0" t="n">
        <v>173</v>
      </c>
      <c r="B1769" s="0" t="s">
        <v>233</v>
      </c>
      <c r="C1769" s="0" t="s">
        <v>11048</v>
      </c>
      <c r="D1769" s="0" t="s">
        <v>6416</v>
      </c>
      <c r="E1769" s="0" t="s">
        <v>11049</v>
      </c>
      <c r="F1769" s="0" t="n">
        <v>240</v>
      </c>
      <c r="G1769" s="0" t="s">
        <v>277</v>
      </c>
      <c r="H1769" s="0" t="s">
        <v>270</v>
      </c>
      <c r="I1769" s="0" t="s">
        <v>11050</v>
      </c>
    </row>
    <row r="1770" customFormat="false" ht="15" hidden="false" customHeight="false" outlineLevel="0" collapsed="false">
      <c r="A1770" s="0" t="n">
        <v>177</v>
      </c>
      <c r="B1770" s="0" t="s">
        <v>238</v>
      </c>
      <c r="C1770" s="0" t="s">
        <v>11051</v>
      </c>
      <c r="D1770" s="0" t="s">
        <v>6560</v>
      </c>
      <c r="E1770" s="0" t="s">
        <v>11052</v>
      </c>
      <c r="F1770" s="0" t="n">
        <v>240</v>
      </c>
      <c r="G1770" s="0" t="s">
        <v>277</v>
      </c>
      <c r="H1770" s="0" t="s">
        <v>270</v>
      </c>
      <c r="I1770" s="0" t="s">
        <v>11053</v>
      </c>
    </row>
    <row r="1771" customFormat="false" ht="15" hidden="false" customHeight="false" outlineLevel="0" collapsed="false">
      <c r="A1771" s="0" t="n">
        <v>121</v>
      </c>
      <c r="B1771" s="0" t="s">
        <v>176</v>
      </c>
      <c r="C1771" s="0" t="s">
        <v>11054</v>
      </c>
      <c r="D1771" s="0" t="s">
        <v>6416</v>
      </c>
      <c r="E1771" s="0" t="s">
        <v>11055</v>
      </c>
      <c r="F1771" s="0" t="n">
        <v>3314</v>
      </c>
      <c r="G1771" s="0" t="s">
        <v>277</v>
      </c>
      <c r="H1771" s="0" t="s">
        <v>270</v>
      </c>
      <c r="I1771" s="0" t="s">
        <v>11056</v>
      </c>
    </row>
    <row r="1772" customFormat="false" ht="15" hidden="false" customHeight="false" outlineLevel="0" collapsed="false">
      <c r="A1772" s="0" t="n">
        <v>1</v>
      </c>
      <c r="B1772" s="0" t="s">
        <v>26</v>
      </c>
      <c r="C1772" s="0" t="s">
        <v>11057</v>
      </c>
      <c r="D1772" s="0" t="s">
        <v>6416</v>
      </c>
      <c r="E1772" s="0" t="s">
        <v>11058</v>
      </c>
      <c r="F1772" s="0" t="n">
        <v>4566</v>
      </c>
      <c r="G1772" s="0" t="s">
        <v>277</v>
      </c>
      <c r="H1772" s="0" t="s">
        <v>270</v>
      </c>
      <c r="I1772" s="0" t="s">
        <v>11059</v>
      </c>
    </row>
    <row r="1773" customFormat="false" ht="15" hidden="false" customHeight="false" outlineLevel="0" collapsed="false">
      <c r="A1773" s="0" t="n">
        <v>135</v>
      </c>
      <c r="B1773" s="0" t="s">
        <v>191</v>
      </c>
      <c r="C1773" s="0" t="s">
        <v>11060</v>
      </c>
      <c r="D1773" s="0" t="s">
        <v>6416</v>
      </c>
      <c r="E1773" s="0" t="s">
        <v>11061</v>
      </c>
      <c r="F1773" s="0" t="n">
        <v>240</v>
      </c>
      <c r="G1773" s="0" t="s">
        <v>277</v>
      </c>
      <c r="H1773" s="0" t="s">
        <v>270</v>
      </c>
      <c r="I1773" s="0" t="s">
        <v>11062</v>
      </c>
    </row>
    <row r="1774" customFormat="false" ht="15" hidden="false" customHeight="false" outlineLevel="0" collapsed="false">
      <c r="A1774" s="0" t="n">
        <v>3</v>
      </c>
      <c r="B1774" s="0" t="s">
        <v>32</v>
      </c>
      <c r="C1774" s="0" t="s">
        <v>11063</v>
      </c>
      <c r="D1774" s="0" t="s">
        <v>6416</v>
      </c>
      <c r="E1774" s="0" t="s">
        <v>11064</v>
      </c>
      <c r="F1774" s="0" t="n">
        <v>3500</v>
      </c>
      <c r="G1774" s="0" t="s">
        <v>277</v>
      </c>
      <c r="H1774" s="0" t="s">
        <v>270</v>
      </c>
      <c r="I1774" s="0" t="s">
        <v>11065</v>
      </c>
    </row>
    <row r="1775" customFormat="false" ht="15" hidden="false" customHeight="false" outlineLevel="0" collapsed="false">
      <c r="A1775" s="0" t="n">
        <v>147</v>
      </c>
      <c r="B1775" s="0" t="s">
        <v>203</v>
      </c>
      <c r="C1775" s="0" t="s">
        <v>11066</v>
      </c>
      <c r="D1775" s="0" t="s">
        <v>6560</v>
      </c>
      <c r="E1775" s="0" t="s">
        <v>11067</v>
      </c>
      <c r="F1775" s="0" t="n">
        <v>5186</v>
      </c>
      <c r="G1775" s="0" t="s">
        <v>277</v>
      </c>
      <c r="H1775" s="0" t="s">
        <v>270</v>
      </c>
      <c r="I1775" s="0" t="s">
        <v>11068</v>
      </c>
    </row>
    <row r="1776" customFormat="false" ht="15" hidden="false" customHeight="false" outlineLevel="0" collapsed="false">
      <c r="A1776" s="0" t="n">
        <v>148</v>
      </c>
      <c r="B1776" s="0" t="s">
        <v>204</v>
      </c>
      <c r="C1776" s="0" t="s">
        <v>11069</v>
      </c>
      <c r="D1776" s="0" t="s">
        <v>6560</v>
      </c>
      <c r="E1776" s="0" t="s">
        <v>11070</v>
      </c>
      <c r="F1776" s="0" t="n">
        <v>2910</v>
      </c>
      <c r="G1776" s="0" t="s">
        <v>277</v>
      </c>
      <c r="H1776" s="0" t="s">
        <v>270</v>
      </c>
      <c r="I1776" s="0" t="s">
        <v>11071</v>
      </c>
    </row>
    <row r="1777" customFormat="false" ht="15" hidden="false" customHeight="false" outlineLevel="0" collapsed="false">
      <c r="A1777" s="0" t="n">
        <v>117</v>
      </c>
      <c r="B1777" s="0" t="s">
        <v>171</v>
      </c>
      <c r="C1777" s="0" t="s">
        <v>11072</v>
      </c>
      <c r="D1777" s="0" t="s">
        <v>6416</v>
      </c>
      <c r="E1777" s="0" t="s">
        <v>11073</v>
      </c>
      <c r="F1777" s="0" t="n">
        <v>240</v>
      </c>
      <c r="G1777" s="0" t="s">
        <v>277</v>
      </c>
      <c r="H1777" s="0" t="s">
        <v>270</v>
      </c>
      <c r="I1777" s="0" t="s">
        <v>11074</v>
      </c>
    </row>
    <row r="1778" customFormat="false" ht="15" hidden="false" customHeight="false" outlineLevel="0" collapsed="false">
      <c r="A1778" s="0" t="n">
        <v>177</v>
      </c>
      <c r="B1778" s="0" t="s">
        <v>238</v>
      </c>
      <c r="C1778" s="0" t="s">
        <v>11075</v>
      </c>
      <c r="D1778" s="0" t="s">
        <v>6416</v>
      </c>
      <c r="E1778" s="0" t="s">
        <v>11076</v>
      </c>
      <c r="F1778" s="0" t="n">
        <v>2945</v>
      </c>
      <c r="G1778" s="0" t="s">
        <v>277</v>
      </c>
      <c r="H1778" s="0" t="s">
        <v>270</v>
      </c>
      <c r="I1778" s="0" t="s">
        <v>11077</v>
      </c>
    </row>
    <row r="1779" customFormat="false" ht="15" hidden="false" customHeight="false" outlineLevel="0" collapsed="false">
      <c r="A1779" s="0" t="n">
        <v>23</v>
      </c>
      <c r="B1779" s="0" t="s">
        <v>61</v>
      </c>
      <c r="C1779" s="0" t="s">
        <v>11078</v>
      </c>
      <c r="D1779" s="0" t="s">
        <v>6416</v>
      </c>
      <c r="E1779" s="0" t="s">
        <v>11079</v>
      </c>
      <c r="F1779" s="0" t="n">
        <v>240</v>
      </c>
      <c r="G1779" s="0" t="s">
        <v>277</v>
      </c>
      <c r="H1779" s="0" t="s">
        <v>270</v>
      </c>
      <c r="I1779" s="0" t="s">
        <v>11080</v>
      </c>
    </row>
    <row r="1780" customFormat="false" ht="15" hidden="false" customHeight="false" outlineLevel="0" collapsed="false">
      <c r="A1780" s="0" t="n">
        <v>153</v>
      </c>
      <c r="B1780" s="0" t="s">
        <v>210</v>
      </c>
      <c r="C1780" s="0" t="s">
        <v>11081</v>
      </c>
      <c r="D1780" s="0" t="s">
        <v>6416</v>
      </c>
      <c r="E1780" s="0" t="s">
        <v>11082</v>
      </c>
      <c r="F1780" s="0" t="n">
        <v>1687</v>
      </c>
      <c r="G1780" s="0" t="s">
        <v>277</v>
      </c>
      <c r="H1780" s="0" t="s">
        <v>270</v>
      </c>
      <c r="I1780" s="0" t="s">
        <v>11083</v>
      </c>
    </row>
    <row r="1781" customFormat="false" ht="15" hidden="false" customHeight="false" outlineLevel="0" collapsed="false">
      <c r="A1781" s="0" t="n">
        <v>96</v>
      </c>
      <c r="B1781" s="0" t="s">
        <v>149</v>
      </c>
      <c r="C1781" s="0" t="s">
        <v>11084</v>
      </c>
      <c r="D1781" s="0" t="s">
        <v>6416</v>
      </c>
      <c r="E1781" s="0" t="s">
        <v>11085</v>
      </c>
      <c r="F1781" s="0" t="n">
        <v>1069</v>
      </c>
      <c r="G1781" s="0" t="s">
        <v>277</v>
      </c>
      <c r="H1781" s="0" t="s">
        <v>270</v>
      </c>
      <c r="I1781" s="0" t="s">
        <v>11086</v>
      </c>
    </row>
    <row r="1782" customFormat="false" ht="15" hidden="false" customHeight="false" outlineLevel="0" collapsed="false">
      <c r="A1782" s="0" t="n">
        <v>97</v>
      </c>
      <c r="B1782" s="0" t="s">
        <v>151</v>
      </c>
      <c r="C1782" s="0" t="s">
        <v>11087</v>
      </c>
      <c r="D1782" s="0" t="s">
        <v>6416</v>
      </c>
      <c r="E1782" s="0" t="s">
        <v>11088</v>
      </c>
      <c r="F1782" s="0" t="n">
        <v>2335</v>
      </c>
      <c r="G1782" s="0" t="s">
        <v>277</v>
      </c>
      <c r="H1782" s="0" t="s">
        <v>270</v>
      </c>
      <c r="I1782" s="0" t="s">
        <v>11089</v>
      </c>
    </row>
    <row r="1783" customFormat="false" ht="15" hidden="false" customHeight="false" outlineLevel="0" collapsed="false">
      <c r="A1783" s="0" t="n">
        <v>4</v>
      </c>
      <c r="B1783" s="0" t="s">
        <v>34</v>
      </c>
      <c r="C1783" s="0" t="s">
        <v>11090</v>
      </c>
      <c r="D1783" s="0" t="s">
        <v>6416</v>
      </c>
      <c r="E1783" s="0" t="s">
        <v>11091</v>
      </c>
      <c r="F1783" s="0" t="n">
        <v>6974</v>
      </c>
      <c r="G1783" s="0" t="s">
        <v>277</v>
      </c>
      <c r="H1783" s="0" t="s">
        <v>270</v>
      </c>
      <c r="I1783" s="0" t="s">
        <v>11092</v>
      </c>
    </row>
    <row r="1784" customFormat="false" ht="15" hidden="false" customHeight="false" outlineLevel="0" collapsed="false">
      <c r="A1784" s="0" t="n">
        <v>153</v>
      </c>
      <c r="B1784" s="0" t="s">
        <v>210</v>
      </c>
      <c r="C1784" s="0" t="s">
        <v>11093</v>
      </c>
      <c r="D1784" s="0" t="s">
        <v>6416</v>
      </c>
      <c r="E1784" s="0" t="s">
        <v>11094</v>
      </c>
      <c r="F1784" s="0" t="n">
        <v>1025</v>
      </c>
      <c r="G1784" s="0" t="s">
        <v>277</v>
      </c>
      <c r="H1784" s="0" t="s">
        <v>270</v>
      </c>
      <c r="I1784" s="0" t="s">
        <v>11095</v>
      </c>
    </row>
    <row r="1785" customFormat="false" ht="15" hidden="false" customHeight="false" outlineLevel="0" collapsed="false">
      <c r="A1785" s="0" t="n">
        <v>38</v>
      </c>
      <c r="B1785" s="0" t="s">
        <v>79</v>
      </c>
      <c r="C1785" s="0" t="s">
        <v>11096</v>
      </c>
      <c r="D1785" s="0" t="s">
        <v>6416</v>
      </c>
      <c r="E1785" s="0" t="s">
        <v>11097</v>
      </c>
      <c r="F1785" s="0" t="n">
        <v>868</v>
      </c>
      <c r="G1785" s="0" t="s">
        <v>277</v>
      </c>
      <c r="H1785" s="0" t="s">
        <v>270</v>
      </c>
      <c r="I1785" s="0" t="s">
        <v>11098</v>
      </c>
    </row>
    <row r="1786" customFormat="false" ht="15" hidden="false" customHeight="false" outlineLevel="0" collapsed="false">
      <c r="A1786" s="0" t="n">
        <v>136</v>
      </c>
      <c r="B1786" s="0" t="s">
        <v>192</v>
      </c>
      <c r="C1786" s="0" t="s">
        <v>11099</v>
      </c>
      <c r="D1786" s="0" t="s">
        <v>7622</v>
      </c>
      <c r="E1786" s="0" t="s">
        <v>11100</v>
      </c>
      <c r="F1786" s="0" t="n">
        <v>240</v>
      </c>
      <c r="G1786" s="0" t="s">
        <v>277</v>
      </c>
      <c r="H1786" s="0" t="s">
        <v>270</v>
      </c>
      <c r="I1786" s="0" t="s">
        <v>11101</v>
      </c>
    </row>
    <row r="1787" customFormat="false" ht="15" hidden="false" customHeight="false" outlineLevel="0" collapsed="false">
      <c r="A1787" s="0" t="n">
        <v>78</v>
      </c>
      <c r="B1787" s="0" t="s">
        <v>129</v>
      </c>
      <c r="C1787" s="0" t="s">
        <v>11102</v>
      </c>
      <c r="D1787" s="0" t="s">
        <v>6416</v>
      </c>
      <c r="E1787" s="0" t="s">
        <v>11103</v>
      </c>
      <c r="F1787" s="0" t="n">
        <v>2209</v>
      </c>
      <c r="G1787" s="0" t="s">
        <v>277</v>
      </c>
      <c r="H1787" s="0" t="s">
        <v>270</v>
      </c>
      <c r="I1787" s="0" t="s">
        <v>11104</v>
      </c>
    </row>
    <row r="1788" customFormat="false" ht="15" hidden="false" customHeight="false" outlineLevel="0" collapsed="false">
      <c r="A1788" s="0" t="n">
        <v>104</v>
      </c>
      <c r="B1788" s="0" t="s">
        <v>158</v>
      </c>
      <c r="C1788" s="0" t="s">
        <v>11105</v>
      </c>
      <c r="D1788" s="0" t="s">
        <v>6416</v>
      </c>
      <c r="E1788" s="0" t="s">
        <v>11106</v>
      </c>
      <c r="F1788" s="0" t="n">
        <v>3829</v>
      </c>
      <c r="G1788" s="0" t="s">
        <v>277</v>
      </c>
      <c r="H1788" s="0" t="s">
        <v>270</v>
      </c>
      <c r="I1788" s="0" t="s">
        <v>11107</v>
      </c>
    </row>
    <row r="1789" customFormat="false" ht="15" hidden="false" customHeight="false" outlineLevel="0" collapsed="false">
      <c r="A1789" s="0" t="n">
        <v>174</v>
      </c>
      <c r="B1789" s="0" t="s">
        <v>234</v>
      </c>
      <c r="C1789" s="0" t="s">
        <v>11108</v>
      </c>
      <c r="D1789" s="0" t="s">
        <v>6416</v>
      </c>
      <c r="E1789" s="0" t="s">
        <v>11109</v>
      </c>
      <c r="F1789" s="0" t="n">
        <v>2133</v>
      </c>
      <c r="G1789" s="0" t="s">
        <v>277</v>
      </c>
      <c r="H1789" s="0" t="s">
        <v>270</v>
      </c>
      <c r="I1789" s="0" t="s">
        <v>11110</v>
      </c>
    </row>
    <row r="1790" customFormat="false" ht="15" hidden="false" customHeight="false" outlineLevel="0" collapsed="false">
      <c r="A1790" s="0" t="n">
        <v>56</v>
      </c>
      <c r="B1790" s="0" t="s">
        <v>104</v>
      </c>
      <c r="C1790" s="0" t="s">
        <v>11111</v>
      </c>
      <c r="D1790" s="0" t="s">
        <v>6416</v>
      </c>
      <c r="E1790" s="0" t="s">
        <v>11112</v>
      </c>
      <c r="F1790" s="0" t="n">
        <v>2126</v>
      </c>
      <c r="G1790" s="0" t="s">
        <v>277</v>
      </c>
      <c r="H1790" s="0" t="s">
        <v>270</v>
      </c>
      <c r="I1790" s="0" t="s">
        <v>11113</v>
      </c>
    </row>
    <row r="1791" customFormat="false" ht="41.75" hidden="false" customHeight="false" outlineLevel="0" collapsed="false">
      <c r="A1791" s="0" t="n">
        <v>179</v>
      </c>
      <c r="B1791" s="0" t="s">
        <v>240</v>
      </c>
      <c r="C1791" s="0" t="s">
        <v>11114</v>
      </c>
      <c r="D1791" s="0" t="s">
        <v>6416</v>
      </c>
      <c r="E1791" s="3" t="s">
        <v>11115</v>
      </c>
      <c r="F1791" s="0" t="n">
        <v>5045</v>
      </c>
      <c r="G1791" s="0" t="s">
        <v>277</v>
      </c>
      <c r="H1791" s="0" t="s">
        <v>270</v>
      </c>
      <c r="I1791" s="0" t="s">
        <v>11116</v>
      </c>
    </row>
    <row r="1792" customFormat="false" ht="15" hidden="false" customHeight="false" outlineLevel="0" collapsed="false">
      <c r="A1792" s="0" t="n">
        <v>34</v>
      </c>
      <c r="B1792" s="0" t="s">
        <v>75</v>
      </c>
      <c r="C1792" s="0" t="s">
        <v>11117</v>
      </c>
      <c r="D1792" s="0" t="s">
        <v>6416</v>
      </c>
      <c r="E1792" s="0" t="s">
        <v>11118</v>
      </c>
      <c r="F1792" s="0" t="n">
        <v>291</v>
      </c>
      <c r="G1792" s="0" t="s">
        <v>277</v>
      </c>
      <c r="H1792" s="0" t="s">
        <v>270</v>
      </c>
      <c r="I1792" s="0" t="s">
        <v>11119</v>
      </c>
    </row>
    <row r="1793" customFormat="false" ht="15" hidden="false" customHeight="false" outlineLevel="0" collapsed="false">
      <c r="A1793" s="0" t="n">
        <v>84</v>
      </c>
      <c r="B1793" s="0" t="s">
        <v>135</v>
      </c>
      <c r="C1793" s="0" t="s">
        <v>11120</v>
      </c>
      <c r="D1793" s="0" t="s">
        <v>6416</v>
      </c>
      <c r="E1793" s="0" t="s">
        <v>11121</v>
      </c>
      <c r="F1793" s="0" t="n">
        <v>775</v>
      </c>
      <c r="G1793" s="0" t="s">
        <v>277</v>
      </c>
      <c r="H1793" s="0" t="s">
        <v>270</v>
      </c>
      <c r="I1793" s="0" t="s">
        <v>11122</v>
      </c>
    </row>
    <row r="1794" customFormat="false" ht="15" hidden="false" customHeight="false" outlineLevel="0" collapsed="false">
      <c r="A1794" s="0" t="n">
        <v>15</v>
      </c>
      <c r="B1794" s="0" t="s">
        <v>50</v>
      </c>
      <c r="C1794" s="0" t="s">
        <v>11123</v>
      </c>
      <c r="D1794" s="0" t="s">
        <v>6416</v>
      </c>
      <c r="E1794" s="0" t="s">
        <v>11124</v>
      </c>
      <c r="F1794" s="0" t="n">
        <v>1182</v>
      </c>
      <c r="G1794" s="0" t="s">
        <v>277</v>
      </c>
      <c r="H1794" s="0" t="s">
        <v>270</v>
      </c>
      <c r="I1794" s="0" t="s">
        <v>11125</v>
      </c>
    </row>
    <row r="1795" customFormat="false" ht="15" hidden="false" customHeight="false" outlineLevel="0" collapsed="false">
      <c r="A1795" s="0" t="n">
        <v>9</v>
      </c>
      <c r="B1795" s="0" t="s">
        <v>42</v>
      </c>
      <c r="C1795" s="0" t="s">
        <v>11126</v>
      </c>
      <c r="D1795" s="0" t="s">
        <v>6416</v>
      </c>
      <c r="E1795" s="0" t="s">
        <v>11127</v>
      </c>
      <c r="F1795" s="0" t="n">
        <v>2515</v>
      </c>
      <c r="G1795" s="0" t="s">
        <v>277</v>
      </c>
      <c r="H1795" s="0" t="s">
        <v>270</v>
      </c>
      <c r="I1795" s="0" t="s">
        <v>11128</v>
      </c>
    </row>
    <row r="1796" customFormat="false" ht="15" hidden="false" customHeight="false" outlineLevel="0" collapsed="false">
      <c r="A1796" s="0" t="n">
        <v>111</v>
      </c>
      <c r="B1796" s="0" t="s">
        <v>165</v>
      </c>
      <c r="C1796" s="0" t="s">
        <v>11129</v>
      </c>
      <c r="D1796" s="0" t="s">
        <v>6416</v>
      </c>
      <c r="E1796" s="0" t="s">
        <v>11130</v>
      </c>
      <c r="F1796" s="0" t="n">
        <v>5589</v>
      </c>
      <c r="G1796" s="0" t="s">
        <v>277</v>
      </c>
      <c r="H1796" s="0" t="s">
        <v>270</v>
      </c>
      <c r="I1796" s="0" t="s">
        <v>11131</v>
      </c>
    </row>
    <row r="1797" customFormat="false" ht="15" hidden="false" customHeight="false" outlineLevel="0" collapsed="false">
      <c r="A1797" s="0" t="n">
        <v>61</v>
      </c>
      <c r="B1797" s="0" t="s">
        <v>111</v>
      </c>
      <c r="C1797" s="0" t="s">
        <v>11132</v>
      </c>
      <c r="D1797" s="0" t="s">
        <v>6416</v>
      </c>
      <c r="E1797" s="0" t="s">
        <v>11133</v>
      </c>
      <c r="F1797" s="0" t="n">
        <v>4824</v>
      </c>
      <c r="G1797" s="0" t="s">
        <v>277</v>
      </c>
      <c r="H1797" s="0" t="s">
        <v>293</v>
      </c>
      <c r="I1797" s="0" t="s">
        <v>11134</v>
      </c>
    </row>
    <row r="1798" customFormat="false" ht="15" hidden="false" customHeight="false" outlineLevel="0" collapsed="false">
      <c r="A1798" s="0" t="n">
        <v>61</v>
      </c>
      <c r="B1798" s="0" t="s">
        <v>111</v>
      </c>
      <c r="C1798" s="0" t="s">
        <v>11135</v>
      </c>
      <c r="D1798" s="0" t="s">
        <v>6416</v>
      </c>
      <c r="E1798" s="0" t="s">
        <v>11136</v>
      </c>
      <c r="F1798" s="0" t="n">
        <v>1985</v>
      </c>
      <c r="G1798" s="0" t="s">
        <v>277</v>
      </c>
      <c r="H1798" s="0" t="s">
        <v>293</v>
      </c>
      <c r="I1798" s="0" t="s">
        <v>11137</v>
      </c>
    </row>
    <row r="1799" customFormat="false" ht="15" hidden="false" customHeight="false" outlineLevel="0" collapsed="false">
      <c r="A1799" s="0" t="n">
        <v>61</v>
      </c>
      <c r="B1799" s="0" t="s">
        <v>111</v>
      </c>
      <c r="C1799" s="0" t="s">
        <v>11138</v>
      </c>
      <c r="D1799" s="0" t="s">
        <v>6786</v>
      </c>
      <c r="E1799" s="0" t="s">
        <v>11139</v>
      </c>
      <c r="F1799" s="0" t="n">
        <v>16743</v>
      </c>
      <c r="G1799" s="0" t="s">
        <v>277</v>
      </c>
      <c r="H1799" s="0" t="s">
        <v>293</v>
      </c>
      <c r="I1799" s="0" t="s">
        <v>11140</v>
      </c>
    </row>
    <row r="1800" customFormat="false" ht="15" hidden="false" customHeight="false" outlineLevel="0" collapsed="false">
      <c r="A1800" s="0" t="n">
        <v>61</v>
      </c>
      <c r="B1800" s="0" t="s">
        <v>111</v>
      </c>
      <c r="C1800" s="0" t="s">
        <v>11141</v>
      </c>
      <c r="D1800" s="0" t="s">
        <v>6416</v>
      </c>
      <c r="E1800" s="0" t="s">
        <v>11142</v>
      </c>
      <c r="F1800" s="0" t="n">
        <v>1597</v>
      </c>
      <c r="G1800" s="0" t="s">
        <v>277</v>
      </c>
      <c r="H1800" s="0" t="s">
        <v>293</v>
      </c>
      <c r="I1800" s="0" t="s">
        <v>11143</v>
      </c>
    </row>
    <row r="1801" customFormat="false" ht="15" hidden="false" customHeight="false" outlineLevel="0" collapsed="false">
      <c r="A1801" s="0" t="n">
        <v>61</v>
      </c>
      <c r="B1801" s="0" t="s">
        <v>111</v>
      </c>
      <c r="C1801" s="0" t="s">
        <v>11144</v>
      </c>
      <c r="D1801" s="0" t="s">
        <v>7622</v>
      </c>
      <c r="E1801" s="0" t="s">
        <v>11145</v>
      </c>
      <c r="F1801" s="0" t="n">
        <v>609</v>
      </c>
      <c r="G1801" s="0" t="s">
        <v>277</v>
      </c>
      <c r="H1801" s="0" t="s">
        <v>293</v>
      </c>
      <c r="I1801" s="0" t="s">
        <v>11146</v>
      </c>
    </row>
    <row r="1802" customFormat="false" ht="15" hidden="false" customHeight="false" outlineLevel="0" collapsed="false">
      <c r="A1802" s="0" t="n">
        <v>65</v>
      </c>
      <c r="B1802" s="0" t="s">
        <v>116</v>
      </c>
      <c r="C1802" s="0" t="s">
        <v>11147</v>
      </c>
      <c r="D1802" s="0" t="s">
        <v>6416</v>
      </c>
      <c r="E1802" s="0" t="s">
        <v>11148</v>
      </c>
      <c r="F1802" s="0" t="n">
        <v>3221</v>
      </c>
      <c r="G1802" s="0" t="s">
        <v>277</v>
      </c>
      <c r="H1802" s="0" t="s">
        <v>293</v>
      </c>
      <c r="I1802" s="0" t="s">
        <v>11149</v>
      </c>
    </row>
    <row r="1803" customFormat="false" ht="15" hidden="false" customHeight="false" outlineLevel="0" collapsed="false">
      <c r="A1803" s="0" t="n">
        <v>65</v>
      </c>
      <c r="B1803" s="0" t="s">
        <v>116</v>
      </c>
      <c r="C1803" s="0" t="s">
        <v>11150</v>
      </c>
      <c r="D1803" s="0" t="s">
        <v>6425</v>
      </c>
      <c r="F1803" s="0" t="n">
        <v>1688</v>
      </c>
      <c r="G1803" s="0" t="s">
        <v>277</v>
      </c>
      <c r="H1803" s="0" t="s">
        <v>293</v>
      </c>
      <c r="I1803" s="0" t="s">
        <v>11151</v>
      </c>
    </row>
    <row r="1804" customFormat="false" ht="15" hidden="false" customHeight="false" outlineLevel="0" collapsed="false">
      <c r="A1804" s="0" t="n">
        <v>61</v>
      </c>
      <c r="B1804" s="0" t="s">
        <v>111</v>
      </c>
      <c r="C1804" s="0" t="s">
        <v>11152</v>
      </c>
      <c r="D1804" s="0" t="s">
        <v>6416</v>
      </c>
      <c r="E1804" s="0" t="s">
        <v>11153</v>
      </c>
      <c r="F1804" s="0" t="n">
        <v>473</v>
      </c>
      <c r="G1804" s="0" t="s">
        <v>277</v>
      </c>
      <c r="H1804" s="0" t="s">
        <v>293</v>
      </c>
      <c r="I1804" s="0" t="s">
        <v>11154</v>
      </c>
    </row>
    <row r="1805" customFormat="false" ht="15" hidden="false" customHeight="false" outlineLevel="0" collapsed="false">
      <c r="A1805" s="0" t="n">
        <v>65</v>
      </c>
      <c r="B1805" s="0" t="s">
        <v>116</v>
      </c>
      <c r="C1805" s="0" t="s">
        <v>11155</v>
      </c>
      <c r="D1805" s="0" t="s">
        <v>6786</v>
      </c>
      <c r="F1805" s="0" t="n">
        <v>2307</v>
      </c>
      <c r="G1805" s="0" t="s">
        <v>277</v>
      </c>
      <c r="H1805" s="0" t="s">
        <v>293</v>
      </c>
      <c r="I1805" s="0" t="s">
        <v>11156</v>
      </c>
    </row>
    <row r="1806" customFormat="false" ht="15" hidden="false" customHeight="false" outlineLevel="0" collapsed="false">
      <c r="A1806" s="0" t="n">
        <v>61</v>
      </c>
      <c r="B1806" s="0" t="s">
        <v>111</v>
      </c>
      <c r="C1806" s="0" t="s">
        <v>11157</v>
      </c>
      <c r="D1806" s="0" t="s">
        <v>6416</v>
      </c>
      <c r="E1806" s="0" t="s">
        <v>11158</v>
      </c>
      <c r="F1806" s="0" t="n">
        <v>839</v>
      </c>
      <c r="G1806" s="0" t="s">
        <v>277</v>
      </c>
      <c r="H1806" s="0" t="s">
        <v>293</v>
      </c>
      <c r="I1806" s="0" t="s">
        <v>11159</v>
      </c>
    </row>
    <row r="1807" customFormat="false" ht="15" hidden="false" customHeight="false" outlineLevel="0" collapsed="false">
      <c r="A1807" s="0" t="n">
        <v>65</v>
      </c>
      <c r="B1807" s="0" t="s">
        <v>116</v>
      </c>
      <c r="C1807" s="0" t="s">
        <v>11160</v>
      </c>
      <c r="D1807" s="0" t="s">
        <v>6425</v>
      </c>
      <c r="E1807" s="0" t="s">
        <v>11161</v>
      </c>
      <c r="F1807" s="0" t="n">
        <v>1881</v>
      </c>
      <c r="G1807" s="0" t="s">
        <v>277</v>
      </c>
      <c r="H1807" s="0" t="s">
        <v>293</v>
      </c>
      <c r="I1807" s="0" t="s">
        <v>11162</v>
      </c>
    </row>
    <row r="1808" customFormat="false" ht="15" hidden="false" customHeight="false" outlineLevel="0" collapsed="false">
      <c r="A1808" s="0" t="n">
        <v>65</v>
      </c>
      <c r="B1808" s="0" t="s">
        <v>116</v>
      </c>
      <c r="C1808" s="0" t="s">
        <v>11163</v>
      </c>
      <c r="D1808" s="0" t="s">
        <v>6786</v>
      </c>
      <c r="F1808" s="0" t="n">
        <v>2397</v>
      </c>
      <c r="G1808" s="0" t="s">
        <v>277</v>
      </c>
      <c r="H1808" s="0" t="s">
        <v>293</v>
      </c>
      <c r="I1808" s="0" t="s">
        <v>11164</v>
      </c>
    </row>
    <row r="1809" customFormat="false" ht="15" hidden="false" customHeight="false" outlineLevel="0" collapsed="false">
      <c r="A1809" s="0" t="n">
        <v>65</v>
      </c>
      <c r="B1809" s="0" t="s">
        <v>116</v>
      </c>
      <c r="C1809" s="0" t="s">
        <v>11165</v>
      </c>
      <c r="D1809" s="0" t="s">
        <v>6416</v>
      </c>
      <c r="E1809" s="0" t="s">
        <v>11166</v>
      </c>
      <c r="F1809" s="0" t="n">
        <v>4360</v>
      </c>
      <c r="G1809" s="0" t="s">
        <v>277</v>
      </c>
      <c r="H1809" s="0" t="s">
        <v>293</v>
      </c>
      <c r="I1809" s="0" t="s">
        <v>11167</v>
      </c>
    </row>
    <row r="1810" customFormat="false" ht="15" hidden="false" customHeight="false" outlineLevel="0" collapsed="false">
      <c r="A1810" s="0" t="n">
        <v>61</v>
      </c>
      <c r="B1810" s="0" t="s">
        <v>111</v>
      </c>
      <c r="C1810" s="0" t="s">
        <v>11168</v>
      </c>
      <c r="D1810" s="0" t="s">
        <v>6416</v>
      </c>
      <c r="E1810" s="0" t="s">
        <v>11169</v>
      </c>
      <c r="F1810" s="0" t="n">
        <v>2743</v>
      </c>
      <c r="G1810" s="0" t="s">
        <v>277</v>
      </c>
      <c r="H1810" s="0" t="s">
        <v>293</v>
      </c>
      <c r="I1810" s="0" t="s">
        <v>11170</v>
      </c>
    </row>
    <row r="1811" customFormat="false" ht="15" hidden="false" customHeight="false" outlineLevel="0" collapsed="false">
      <c r="A1811" s="0" t="n">
        <v>65</v>
      </c>
      <c r="B1811" s="0" t="s">
        <v>116</v>
      </c>
      <c r="C1811" s="0" t="s">
        <v>11171</v>
      </c>
      <c r="D1811" s="0" t="s">
        <v>6416</v>
      </c>
      <c r="E1811" s="0" t="s">
        <v>11172</v>
      </c>
      <c r="F1811" s="0" t="n">
        <v>2233</v>
      </c>
      <c r="G1811" s="0" t="s">
        <v>277</v>
      </c>
      <c r="H1811" s="0" t="s">
        <v>293</v>
      </c>
      <c r="I1811" s="0" t="s">
        <v>11173</v>
      </c>
    </row>
    <row r="1812" customFormat="false" ht="15" hidden="false" customHeight="false" outlineLevel="0" collapsed="false">
      <c r="A1812" s="0" t="n">
        <v>61</v>
      </c>
      <c r="B1812" s="0" t="s">
        <v>111</v>
      </c>
      <c r="C1812" s="0" t="s">
        <v>11174</v>
      </c>
      <c r="D1812" s="0" t="s">
        <v>500</v>
      </c>
      <c r="E1812" s="0" t="s">
        <v>11175</v>
      </c>
      <c r="F1812" s="0" t="n">
        <v>493</v>
      </c>
      <c r="G1812" s="0" t="s">
        <v>277</v>
      </c>
      <c r="H1812" s="0" t="s">
        <v>293</v>
      </c>
      <c r="I1812" s="0" t="s">
        <v>11176</v>
      </c>
    </row>
    <row r="1813" customFormat="false" ht="15" hidden="false" customHeight="false" outlineLevel="0" collapsed="false">
      <c r="A1813" s="0" t="n">
        <v>62</v>
      </c>
      <c r="B1813" s="0" t="s">
        <v>113</v>
      </c>
      <c r="C1813" s="0" t="s">
        <v>11177</v>
      </c>
      <c r="D1813" s="0" t="s">
        <v>6416</v>
      </c>
      <c r="E1813" s="0" t="s">
        <v>11178</v>
      </c>
      <c r="F1813" s="0" t="n">
        <v>4195</v>
      </c>
      <c r="G1813" s="0" t="s">
        <v>277</v>
      </c>
      <c r="H1813" s="0" t="s">
        <v>293</v>
      </c>
      <c r="I1813" s="0" t="s">
        <v>11179</v>
      </c>
    </row>
    <row r="1814" customFormat="false" ht="15" hidden="false" customHeight="false" outlineLevel="0" collapsed="false">
      <c r="A1814" s="0" t="n">
        <v>65</v>
      </c>
      <c r="B1814" s="0" t="s">
        <v>116</v>
      </c>
      <c r="C1814" s="0" t="s">
        <v>11180</v>
      </c>
      <c r="D1814" s="0" t="s">
        <v>6560</v>
      </c>
      <c r="F1814" s="0" t="n">
        <v>879</v>
      </c>
      <c r="G1814" s="0" t="s">
        <v>277</v>
      </c>
      <c r="H1814" s="0" t="s">
        <v>293</v>
      </c>
      <c r="I1814" s="0" t="s">
        <v>11181</v>
      </c>
    </row>
    <row r="1815" customFormat="false" ht="15" hidden="false" customHeight="false" outlineLevel="0" collapsed="false">
      <c r="A1815" s="0" t="n">
        <v>61</v>
      </c>
      <c r="B1815" s="0" t="s">
        <v>111</v>
      </c>
      <c r="C1815" s="0" t="s">
        <v>11182</v>
      </c>
      <c r="D1815" s="0" t="s">
        <v>6786</v>
      </c>
      <c r="E1815" s="0" t="s">
        <v>11183</v>
      </c>
      <c r="F1815" s="0" t="n">
        <v>448</v>
      </c>
      <c r="G1815" s="0" t="s">
        <v>277</v>
      </c>
      <c r="H1815" s="0" t="s">
        <v>293</v>
      </c>
      <c r="I1815" s="0" t="s">
        <v>11184</v>
      </c>
    </row>
    <row r="1816" customFormat="false" ht="15" hidden="false" customHeight="false" outlineLevel="0" collapsed="false">
      <c r="A1816" s="0" t="n">
        <v>65</v>
      </c>
      <c r="B1816" s="0" t="s">
        <v>116</v>
      </c>
      <c r="C1816" s="0" t="s">
        <v>11185</v>
      </c>
      <c r="D1816" s="0" t="s">
        <v>6786</v>
      </c>
      <c r="F1816" s="0" t="n">
        <v>2339</v>
      </c>
      <c r="G1816" s="0" t="s">
        <v>277</v>
      </c>
      <c r="H1816" s="0" t="s">
        <v>293</v>
      </c>
      <c r="I1816" s="0" t="s">
        <v>11186</v>
      </c>
    </row>
    <row r="1817" customFormat="false" ht="15" hidden="false" customHeight="false" outlineLevel="0" collapsed="false">
      <c r="A1817" s="0" t="n">
        <v>61</v>
      </c>
      <c r="B1817" s="0" t="s">
        <v>111</v>
      </c>
      <c r="C1817" s="0" t="s">
        <v>11187</v>
      </c>
      <c r="D1817" s="0" t="s">
        <v>6425</v>
      </c>
      <c r="E1817" s="0" t="s">
        <v>11188</v>
      </c>
      <c r="F1817" s="0" t="n">
        <v>1356</v>
      </c>
      <c r="G1817" s="0" t="s">
        <v>277</v>
      </c>
      <c r="H1817" s="0" t="s">
        <v>293</v>
      </c>
      <c r="I1817" s="0" t="s">
        <v>11189</v>
      </c>
    </row>
    <row r="1818" customFormat="false" ht="15" hidden="false" customHeight="false" outlineLevel="0" collapsed="false">
      <c r="A1818" s="0" t="n">
        <v>65</v>
      </c>
      <c r="B1818" s="0" t="s">
        <v>116</v>
      </c>
      <c r="C1818" s="0" t="s">
        <v>11190</v>
      </c>
      <c r="D1818" s="0" t="s">
        <v>335</v>
      </c>
      <c r="F1818" s="0" t="n">
        <v>759</v>
      </c>
      <c r="G1818" s="0" t="s">
        <v>277</v>
      </c>
      <c r="H1818" s="0" t="s">
        <v>293</v>
      </c>
      <c r="I1818" s="0" t="s">
        <v>11191</v>
      </c>
    </row>
    <row r="1819" customFormat="false" ht="15" hidden="false" customHeight="false" outlineLevel="0" collapsed="false">
      <c r="A1819" s="0" t="n">
        <v>61</v>
      </c>
      <c r="B1819" s="0" t="s">
        <v>111</v>
      </c>
      <c r="C1819" s="0" t="s">
        <v>11192</v>
      </c>
      <c r="D1819" s="0" t="s">
        <v>6425</v>
      </c>
      <c r="E1819" s="0" t="s">
        <v>11193</v>
      </c>
      <c r="F1819" s="0" t="n">
        <v>1414</v>
      </c>
      <c r="G1819" s="0" t="s">
        <v>277</v>
      </c>
      <c r="H1819" s="0" t="s">
        <v>293</v>
      </c>
      <c r="I1819" s="0" t="s">
        <v>11194</v>
      </c>
    </row>
    <row r="1820" customFormat="false" ht="15" hidden="false" customHeight="false" outlineLevel="0" collapsed="false">
      <c r="A1820" s="0" t="n">
        <v>65</v>
      </c>
      <c r="B1820" s="0" t="s">
        <v>116</v>
      </c>
      <c r="C1820" s="0" t="s">
        <v>11195</v>
      </c>
      <c r="D1820" s="0" t="s">
        <v>6416</v>
      </c>
      <c r="E1820" s="0" t="s">
        <v>11196</v>
      </c>
      <c r="F1820" s="0" t="n">
        <v>2281</v>
      </c>
      <c r="G1820" s="0" t="s">
        <v>277</v>
      </c>
      <c r="H1820" s="0" t="s">
        <v>293</v>
      </c>
      <c r="I1820" s="0" t="s">
        <v>11197</v>
      </c>
    </row>
    <row r="1821" customFormat="false" ht="15" hidden="false" customHeight="false" outlineLevel="0" collapsed="false">
      <c r="A1821" s="0" t="n">
        <v>125</v>
      </c>
      <c r="B1821" s="0" t="s">
        <v>180</v>
      </c>
      <c r="C1821" s="0" t="s">
        <v>11198</v>
      </c>
      <c r="D1821" s="0" t="s">
        <v>6416</v>
      </c>
      <c r="E1821" s="0" t="s">
        <v>11199</v>
      </c>
      <c r="F1821" s="0" t="n">
        <v>240</v>
      </c>
      <c r="G1821" s="0" t="s">
        <v>277</v>
      </c>
      <c r="H1821" s="0" t="s">
        <v>270</v>
      </c>
      <c r="I1821" s="0" t="s">
        <v>11200</v>
      </c>
    </row>
    <row r="1822" customFormat="false" ht="15" hidden="false" customHeight="false" outlineLevel="0" collapsed="false">
      <c r="A1822" s="0" t="n">
        <v>61</v>
      </c>
      <c r="B1822" s="0" t="s">
        <v>111</v>
      </c>
      <c r="C1822" s="0" t="s">
        <v>11201</v>
      </c>
      <c r="D1822" s="0" t="s">
        <v>6416</v>
      </c>
      <c r="E1822" s="0" t="s">
        <v>11202</v>
      </c>
      <c r="F1822" s="0" t="n">
        <v>880</v>
      </c>
      <c r="G1822" s="0" t="s">
        <v>277</v>
      </c>
      <c r="H1822" s="0" t="s">
        <v>293</v>
      </c>
      <c r="I1822" s="0" t="s">
        <v>11203</v>
      </c>
    </row>
    <row r="1823" customFormat="false" ht="15" hidden="false" customHeight="false" outlineLevel="0" collapsed="false">
      <c r="A1823" s="0" t="n">
        <v>62</v>
      </c>
      <c r="B1823" s="0" t="s">
        <v>113</v>
      </c>
      <c r="C1823" s="0" t="s">
        <v>11204</v>
      </c>
      <c r="D1823" s="0" t="s">
        <v>6786</v>
      </c>
      <c r="E1823" s="2" t="s">
        <v>11205</v>
      </c>
      <c r="F1823" s="0" t="n">
        <v>616</v>
      </c>
      <c r="G1823" s="0" t="s">
        <v>277</v>
      </c>
      <c r="H1823" s="0" t="s">
        <v>293</v>
      </c>
      <c r="I1823" s="0" t="s">
        <v>11206</v>
      </c>
    </row>
    <row r="1824" customFormat="false" ht="15" hidden="false" customHeight="false" outlineLevel="0" collapsed="false">
      <c r="A1824" s="0" t="n">
        <v>65</v>
      </c>
      <c r="B1824" s="0" t="s">
        <v>116</v>
      </c>
      <c r="C1824" s="0" t="s">
        <v>11207</v>
      </c>
      <c r="D1824" s="0" t="s">
        <v>6560</v>
      </c>
      <c r="F1824" s="0" t="n">
        <v>1251</v>
      </c>
      <c r="G1824" s="0" t="s">
        <v>277</v>
      </c>
      <c r="H1824" s="0" t="s">
        <v>293</v>
      </c>
      <c r="I1824" s="0" t="s">
        <v>11208</v>
      </c>
    </row>
    <row r="1825" customFormat="false" ht="15" hidden="false" customHeight="false" outlineLevel="0" collapsed="false">
      <c r="A1825" s="0" t="n">
        <v>65</v>
      </c>
      <c r="B1825" s="0" t="s">
        <v>116</v>
      </c>
      <c r="C1825" s="0" t="s">
        <v>11209</v>
      </c>
      <c r="D1825" s="0" t="s">
        <v>6425</v>
      </c>
      <c r="F1825" s="0" t="n">
        <v>2034</v>
      </c>
      <c r="G1825" s="0" t="s">
        <v>277</v>
      </c>
      <c r="H1825" s="0" t="s">
        <v>293</v>
      </c>
      <c r="I1825" s="0" t="s">
        <v>11210</v>
      </c>
    </row>
    <row r="1826" customFormat="false" ht="15" hidden="false" customHeight="false" outlineLevel="0" collapsed="false">
      <c r="A1826" s="0" t="n">
        <v>61</v>
      </c>
      <c r="B1826" s="0" t="s">
        <v>111</v>
      </c>
      <c r="C1826" s="0" t="s">
        <v>11211</v>
      </c>
      <c r="D1826" s="0" t="s">
        <v>6560</v>
      </c>
      <c r="E1826" s="0" t="s">
        <v>11212</v>
      </c>
      <c r="F1826" s="0" t="n">
        <v>3092</v>
      </c>
      <c r="G1826" s="0" t="s">
        <v>277</v>
      </c>
      <c r="H1826" s="0" t="s">
        <v>293</v>
      </c>
      <c r="I1826" s="0" t="s">
        <v>11213</v>
      </c>
    </row>
    <row r="1827" customFormat="false" ht="15" hidden="false" customHeight="false" outlineLevel="0" collapsed="false">
      <c r="A1827" s="0" t="n">
        <v>66</v>
      </c>
      <c r="B1827" s="0" t="s">
        <v>117</v>
      </c>
      <c r="C1827" s="0" t="s">
        <v>11214</v>
      </c>
      <c r="D1827" s="0" t="s">
        <v>6416</v>
      </c>
      <c r="E1827" s="0" t="s">
        <v>11215</v>
      </c>
      <c r="F1827" s="0" t="n">
        <v>9241</v>
      </c>
      <c r="G1827" s="0" t="s">
        <v>277</v>
      </c>
      <c r="H1827" s="0" t="s">
        <v>293</v>
      </c>
      <c r="I1827" s="0" t="s">
        <v>11216</v>
      </c>
    </row>
    <row r="1828" customFormat="false" ht="15" hidden="false" customHeight="false" outlineLevel="0" collapsed="false">
      <c r="A1828" s="0" t="n">
        <v>65</v>
      </c>
      <c r="B1828" s="0" t="s">
        <v>116</v>
      </c>
      <c r="C1828" s="0" t="s">
        <v>11217</v>
      </c>
      <c r="D1828" s="0" t="s">
        <v>6786</v>
      </c>
      <c r="F1828" s="0" t="n">
        <v>4779</v>
      </c>
      <c r="G1828" s="0" t="s">
        <v>277</v>
      </c>
      <c r="H1828" s="0" t="s">
        <v>293</v>
      </c>
      <c r="I1828" s="0" t="s">
        <v>11218</v>
      </c>
    </row>
    <row r="1829" customFormat="false" ht="15" hidden="false" customHeight="false" outlineLevel="0" collapsed="false">
      <c r="A1829" s="0" t="n">
        <v>61</v>
      </c>
      <c r="B1829" s="0" t="s">
        <v>111</v>
      </c>
      <c r="C1829" s="0" t="s">
        <v>11219</v>
      </c>
      <c r="D1829" s="0" t="s">
        <v>6786</v>
      </c>
      <c r="E1829" s="0" t="s">
        <v>11220</v>
      </c>
      <c r="F1829" s="0" t="n">
        <v>631</v>
      </c>
      <c r="G1829" s="0" t="s">
        <v>277</v>
      </c>
      <c r="H1829" s="0" t="s">
        <v>293</v>
      </c>
      <c r="I1829" s="0" t="s">
        <v>11221</v>
      </c>
    </row>
    <row r="1830" customFormat="false" ht="15" hidden="false" customHeight="false" outlineLevel="0" collapsed="false">
      <c r="A1830" s="0" t="n">
        <v>65</v>
      </c>
      <c r="B1830" s="0" t="s">
        <v>116</v>
      </c>
      <c r="C1830" s="0" t="s">
        <v>11222</v>
      </c>
      <c r="D1830" s="0" t="s">
        <v>335</v>
      </c>
      <c r="F1830" s="0" t="n">
        <v>3236</v>
      </c>
      <c r="G1830" s="0" t="s">
        <v>277</v>
      </c>
      <c r="H1830" s="0" t="s">
        <v>293</v>
      </c>
      <c r="I1830" s="0" t="s">
        <v>11223</v>
      </c>
    </row>
    <row r="1831" customFormat="false" ht="15" hidden="false" customHeight="false" outlineLevel="0" collapsed="false">
      <c r="A1831" s="0" t="n">
        <v>62</v>
      </c>
      <c r="B1831" s="0" t="s">
        <v>113</v>
      </c>
      <c r="C1831" s="0" t="s">
        <v>11224</v>
      </c>
      <c r="D1831" s="0" t="s">
        <v>6416</v>
      </c>
      <c r="E1831" s="0" t="s">
        <v>11225</v>
      </c>
      <c r="F1831" s="0" t="n">
        <v>11789</v>
      </c>
      <c r="G1831" s="0" t="s">
        <v>277</v>
      </c>
      <c r="H1831" s="0" t="s">
        <v>293</v>
      </c>
      <c r="I1831" s="0" t="s">
        <v>11226</v>
      </c>
    </row>
    <row r="1832" customFormat="false" ht="15" hidden="false" customHeight="false" outlineLevel="0" collapsed="false">
      <c r="A1832" s="0" t="n">
        <v>61</v>
      </c>
      <c r="B1832" s="0" t="s">
        <v>111</v>
      </c>
      <c r="C1832" s="0" t="s">
        <v>11227</v>
      </c>
      <c r="D1832" s="0" t="s">
        <v>6416</v>
      </c>
      <c r="E1832" s="0" t="s">
        <v>11228</v>
      </c>
      <c r="F1832" s="0" t="n">
        <v>2860</v>
      </c>
      <c r="G1832" s="0" t="s">
        <v>277</v>
      </c>
      <c r="H1832" s="0" t="s">
        <v>293</v>
      </c>
      <c r="I1832" s="0" t="s">
        <v>11229</v>
      </c>
    </row>
    <row r="1833" customFormat="false" ht="15" hidden="false" customHeight="false" outlineLevel="0" collapsed="false">
      <c r="A1833" s="0" t="n">
        <v>61</v>
      </c>
      <c r="B1833" s="0" t="s">
        <v>111</v>
      </c>
      <c r="C1833" s="0" t="s">
        <v>11230</v>
      </c>
      <c r="D1833" s="0" t="s">
        <v>6416</v>
      </c>
      <c r="E1833" s="0" t="s">
        <v>11231</v>
      </c>
      <c r="F1833" s="0" t="n">
        <v>557</v>
      </c>
      <c r="G1833" s="0" t="s">
        <v>277</v>
      </c>
      <c r="H1833" s="0" t="s">
        <v>293</v>
      </c>
      <c r="I1833" s="0" t="s">
        <v>11232</v>
      </c>
    </row>
    <row r="1834" customFormat="false" ht="15" hidden="false" customHeight="false" outlineLevel="0" collapsed="false">
      <c r="A1834" s="0" t="n">
        <v>109</v>
      </c>
      <c r="B1834" s="0" t="s">
        <v>163</v>
      </c>
      <c r="C1834" s="0" t="s">
        <v>11233</v>
      </c>
      <c r="D1834" s="0" t="s">
        <v>6416</v>
      </c>
      <c r="F1834" s="0" t="n">
        <v>4512</v>
      </c>
      <c r="G1834" s="0" t="s">
        <v>277</v>
      </c>
      <c r="H1834" s="0" t="s">
        <v>270</v>
      </c>
      <c r="I1834" s="0" t="s">
        <v>11234</v>
      </c>
    </row>
    <row r="1835" customFormat="false" ht="15" hidden="false" customHeight="false" outlineLevel="0" collapsed="false">
      <c r="A1835" s="0" t="n">
        <v>65</v>
      </c>
      <c r="B1835" s="0" t="s">
        <v>116</v>
      </c>
      <c r="C1835" s="0" t="s">
        <v>11235</v>
      </c>
      <c r="D1835" s="0" t="s">
        <v>6416</v>
      </c>
      <c r="E1835" s="0" t="s">
        <v>11236</v>
      </c>
      <c r="F1835" s="0" t="n">
        <v>3428</v>
      </c>
      <c r="G1835" s="0" t="s">
        <v>277</v>
      </c>
      <c r="H1835" s="0" t="s">
        <v>293</v>
      </c>
      <c r="I1835" s="0" t="s">
        <v>11237</v>
      </c>
    </row>
    <row r="1836" customFormat="false" ht="15" hidden="false" customHeight="false" outlineLevel="0" collapsed="false">
      <c r="A1836" s="0" t="n">
        <v>61</v>
      </c>
      <c r="B1836" s="0" t="s">
        <v>111</v>
      </c>
      <c r="C1836" s="0" t="s">
        <v>11238</v>
      </c>
      <c r="D1836" s="0" t="s">
        <v>6425</v>
      </c>
      <c r="E1836" s="0" t="s">
        <v>11239</v>
      </c>
      <c r="F1836" s="0" t="n">
        <v>2725</v>
      </c>
      <c r="G1836" s="0" t="s">
        <v>277</v>
      </c>
      <c r="H1836" s="0" t="s">
        <v>293</v>
      </c>
      <c r="I1836" s="0" t="s">
        <v>11240</v>
      </c>
    </row>
    <row r="1837" customFormat="false" ht="15" hidden="false" customHeight="false" outlineLevel="0" collapsed="false">
      <c r="A1837" s="0" t="n">
        <v>65</v>
      </c>
      <c r="B1837" s="0" t="s">
        <v>116</v>
      </c>
      <c r="C1837" s="0" t="s">
        <v>11241</v>
      </c>
      <c r="D1837" s="0" t="s">
        <v>6786</v>
      </c>
      <c r="F1837" s="0" t="n">
        <v>2322</v>
      </c>
      <c r="G1837" s="0" t="s">
        <v>277</v>
      </c>
      <c r="H1837" s="0" t="s">
        <v>293</v>
      </c>
      <c r="I1837" s="0" t="s">
        <v>11242</v>
      </c>
    </row>
    <row r="1838" customFormat="false" ht="15" hidden="false" customHeight="false" outlineLevel="0" collapsed="false">
      <c r="A1838" s="0" t="n">
        <v>61</v>
      </c>
      <c r="B1838" s="0" t="s">
        <v>111</v>
      </c>
      <c r="C1838" s="0" t="s">
        <v>11243</v>
      </c>
      <c r="D1838" s="0" t="s">
        <v>6425</v>
      </c>
      <c r="E1838" s="0" t="s">
        <v>11244</v>
      </c>
      <c r="F1838" s="0" t="n">
        <v>1548</v>
      </c>
      <c r="G1838" s="0" t="s">
        <v>277</v>
      </c>
      <c r="H1838" s="0" t="s">
        <v>293</v>
      </c>
      <c r="I1838" s="0" t="s">
        <v>11245</v>
      </c>
    </row>
    <row r="1839" customFormat="false" ht="15" hidden="false" customHeight="false" outlineLevel="0" collapsed="false">
      <c r="A1839" s="0" t="n">
        <v>65</v>
      </c>
      <c r="B1839" s="0" t="s">
        <v>116</v>
      </c>
      <c r="C1839" s="0" t="s">
        <v>11246</v>
      </c>
      <c r="D1839" s="0" t="s">
        <v>6425</v>
      </c>
      <c r="F1839" s="0" t="n">
        <v>1995</v>
      </c>
      <c r="G1839" s="0" t="s">
        <v>277</v>
      </c>
      <c r="H1839" s="0" t="s">
        <v>293</v>
      </c>
      <c r="I1839" s="0" t="s">
        <v>11247</v>
      </c>
    </row>
    <row r="1840" customFormat="false" ht="15" hidden="false" customHeight="false" outlineLevel="0" collapsed="false">
      <c r="A1840" s="0" t="n">
        <v>155</v>
      </c>
      <c r="B1840" s="0" t="s">
        <v>212</v>
      </c>
      <c r="C1840" s="0" t="s">
        <v>11248</v>
      </c>
      <c r="D1840" s="0" t="s">
        <v>6416</v>
      </c>
      <c r="F1840" s="0" t="n">
        <v>439</v>
      </c>
      <c r="G1840" s="0" t="s">
        <v>277</v>
      </c>
      <c r="H1840" s="0" t="s">
        <v>270</v>
      </c>
      <c r="I1840" s="0" t="s">
        <v>11249</v>
      </c>
    </row>
    <row r="1841" customFormat="false" ht="15" hidden="false" customHeight="false" outlineLevel="0" collapsed="false">
      <c r="A1841" s="0" t="n">
        <v>61</v>
      </c>
      <c r="B1841" s="0" t="s">
        <v>111</v>
      </c>
      <c r="C1841" s="0" t="s">
        <v>11250</v>
      </c>
      <c r="D1841" s="0" t="s">
        <v>6416</v>
      </c>
      <c r="E1841" s="0" t="s">
        <v>11251</v>
      </c>
      <c r="F1841" s="0" t="n">
        <v>519</v>
      </c>
      <c r="G1841" s="0" t="s">
        <v>277</v>
      </c>
      <c r="H1841" s="0" t="s">
        <v>293</v>
      </c>
      <c r="I1841" s="0" t="s">
        <v>11252</v>
      </c>
    </row>
    <row r="1842" customFormat="false" ht="15" hidden="false" customHeight="false" outlineLevel="0" collapsed="false">
      <c r="A1842" s="0" t="n">
        <v>65</v>
      </c>
      <c r="B1842" s="0" t="s">
        <v>116</v>
      </c>
      <c r="C1842" s="0" t="s">
        <v>11253</v>
      </c>
      <c r="D1842" s="0" t="s">
        <v>6425</v>
      </c>
      <c r="F1842" s="0" t="n">
        <v>1863</v>
      </c>
      <c r="G1842" s="0" t="s">
        <v>277</v>
      </c>
      <c r="H1842" s="0" t="s">
        <v>293</v>
      </c>
      <c r="I1842" s="0" t="s">
        <v>11254</v>
      </c>
    </row>
    <row r="1843" customFormat="false" ht="15" hidden="false" customHeight="false" outlineLevel="0" collapsed="false">
      <c r="A1843" s="0" t="n">
        <v>62</v>
      </c>
      <c r="B1843" s="0" t="s">
        <v>113</v>
      </c>
      <c r="C1843" s="0" t="s">
        <v>11255</v>
      </c>
      <c r="D1843" s="0" t="s">
        <v>6416</v>
      </c>
      <c r="E1843" s="0" t="s">
        <v>11256</v>
      </c>
      <c r="F1843" s="0" t="n">
        <v>10178</v>
      </c>
      <c r="G1843" s="0" t="s">
        <v>277</v>
      </c>
      <c r="H1843" s="0" t="s">
        <v>293</v>
      </c>
      <c r="I1843" s="0" t="s">
        <v>11257</v>
      </c>
    </row>
    <row r="1844" customFormat="false" ht="15" hidden="false" customHeight="false" outlineLevel="0" collapsed="false">
      <c r="A1844" s="0" t="n">
        <v>65</v>
      </c>
      <c r="B1844" s="0" t="s">
        <v>116</v>
      </c>
      <c r="C1844" s="0" t="s">
        <v>11258</v>
      </c>
      <c r="D1844" s="0" t="s">
        <v>6425</v>
      </c>
      <c r="E1844" s="0" t="s">
        <v>11259</v>
      </c>
      <c r="F1844" s="0" t="n">
        <v>5853</v>
      </c>
      <c r="G1844" s="0" t="s">
        <v>277</v>
      </c>
      <c r="H1844" s="0" t="s">
        <v>293</v>
      </c>
      <c r="I1844" s="0" t="s">
        <v>11260</v>
      </c>
    </row>
    <row r="1845" customFormat="false" ht="15" hidden="false" customHeight="false" outlineLevel="0" collapsed="false">
      <c r="A1845" s="0" t="n">
        <v>66</v>
      </c>
      <c r="B1845" s="0" t="s">
        <v>117</v>
      </c>
      <c r="C1845" s="0" t="s">
        <v>11261</v>
      </c>
      <c r="D1845" s="0" t="s">
        <v>6416</v>
      </c>
      <c r="E1845" s="0" t="s">
        <v>11262</v>
      </c>
      <c r="F1845" s="0" t="n">
        <v>8270</v>
      </c>
      <c r="G1845" s="0" t="s">
        <v>277</v>
      </c>
      <c r="H1845" s="0" t="s">
        <v>293</v>
      </c>
      <c r="I1845" s="0" t="s">
        <v>11263</v>
      </c>
    </row>
    <row r="1846" customFormat="false" ht="15" hidden="false" customHeight="false" outlineLevel="0" collapsed="false">
      <c r="A1846" s="0" t="n">
        <v>61</v>
      </c>
      <c r="B1846" s="0" t="s">
        <v>111</v>
      </c>
      <c r="C1846" s="0" t="s">
        <v>11264</v>
      </c>
      <c r="D1846" s="0" t="s">
        <v>6416</v>
      </c>
      <c r="E1846" s="0" t="s">
        <v>11265</v>
      </c>
      <c r="F1846" s="0" t="n">
        <v>2778</v>
      </c>
      <c r="G1846" s="0" t="s">
        <v>277</v>
      </c>
      <c r="H1846" s="0" t="s">
        <v>293</v>
      </c>
      <c r="I1846" s="0" t="s">
        <v>11266</v>
      </c>
    </row>
    <row r="1847" customFormat="false" ht="15" hidden="false" customHeight="false" outlineLevel="0" collapsed="false">
      <c r="A1847" s="0" t="n">
        <v>39</v>
      </c>
      <c r="B1847" s="0" t="s">
        <v>81</v>
      </c>
      <c r="C1847" s="0" t="s">
        <v>11267</v>
      </c>
      <c r="D1847" s="0" t="s">
        <v>6416</v>
      </c>
      <c r="E1847" s="0" t="s">
        <v>11268</v>
      </c>
      <c r="F1847" s="0" t="n">
        <v>240</v>
      </c>
      <c r="G1847" s="0" t="s">
        <v>277</v>
      </c>
      <c r="H1847" s="0" t="s">
        <v>270</v>
      </c>
      <c r="I1847" s="0" t="s">
        <v>11269</v>
      </c>
    </row>
    <row r="1848" customFormat="false" ht="15" hidden="false" customHeight="false" outlineLevel="0" collapsed="false">
      <c r="A1848" s="0" t="n">
        <v>65</v>
      </c>
      <c r="B1848" s="0" t="s">
        <v>116</v>
      </c>
      <c r="C1848" s="0" t="s">
        <v>11270</v>
      </c>
      <c r="D1848" s="0" t="s">
        <v>6425</v>
      </c>
      <c r="F1848" s="0" t="n">
        <v>1423</v>
      </c>
      <c r="G1848" s="0" t="s">
        <v>277</v>
      </c>
      <c r="H1848" s="0" t="s">
        <v>293</v>
      </c>
      <c r="I1848" s="0" t="s">
        <v>11271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20"/>
    <col collapsed="false" customWidth="true" hidden="false" outlineLevel="0" max="3" min="3" style="0" width="17"/>
    <col collapsed="false" customWidth="true" hidden="false" outlineLevel="0" max="4" min="4" style="0" width="11"/>
    <col collapsed="false" customWidth="true" hidden="false" outlineLevel="0" max="6" min="5" style="0" width="13"/>
    <col collapsed="false" customWidth="true" hidden="false" outlineLevel="0" max="7" min="7" style="0" width="39"/>
    <col collapsed="false" customWidth="true" hidden="false" outlineLevel="0" max="8" min="8" style="0" width="12"/>
  </cols>
  <sheetData>
    <row r="1" customFormat="false" ht="15" hidden="false" customHeight="false" outlineLevel="0" collapsed="false">
      <c r="A1" s="1" t="s">
        <v>11272</v>
      </c>
      <c r="B1" s="1" t="s">
        <v>11273</v>
      </c>
      <c r="C1" s="1" t="s">
        <v>261</v>
      </c>
      <c r="D1" s="1" t="s">
        <v>11274</v>
      </c>
      <c r="E1" s="1" t="s">
        <v>11275</v>
      </c>
      <c r="F1" s="1" t="s">
        <v>11276</v>
      </c>
      <c r="G1" s="1" t="s">
        <v>265</v>
      </c>
      <c r="H1" s="1" t="s">
        <v>11277</v>
      </c>
    </row>
    <row r="2" customFormat="false" ht="15" hidden="false" customHeight="false" outlineLevel="0" collapsed="false">
      <c r="A2" s="0" t="s">
        <v>298</v>
      </c>
      <c r="B2" s="0" t="s">
        <v>11278</v>
      </c>
      <c r="C2" s="0" t="s">
        <v>33</v>
      </c>
      <c r="D2" s="0" t="n">
        <v>244</v>
      </c>
      <c r="E2" s="0" t="n">
        <v>236</v>
      </c>
      <c r="F2" s="0" t="n">
        <v>224</v>
      </c>
      <c r="H2" s="0" t="s">
        <v>277</v>
      </c>
    </row>
    <row r="3" customFormat="false" ht="15" hidden="false" customHeight="false" outlineLevel="0" collapsed="false">
      <c r="A3" s="0" t="s">
        <v>2264</v>
      </c>
      <c r="B3" s="0" t="s">
        <v>11279</v>
      </c>
      <c r="C3" s="0" t="s">
        <v>33</v>
      </c>
      <c r="D3" s="0" t="n">
        <v>231</v>
      </c>
      <c r="E3" s="0" t="n">
        <v>231</v>
      </c>
      <c r="F3" s="0" t="n">
        <v>189</v>
      </c>
      <c r="G3" s="0" t="s">
        <v>11280</v>
      </c>
      <c r="H3" s="0" t="s">
        <v>277</v>
      </c>
    </row>
    <row r="4" customFormat="false" ht="15" hidden="false" customHeight="false" outlineLevel="0" collapsed="false">
      <c r="A4" s="0" t="s">
        <v>558</v>
      </c>
      <c r="B4" s="0" t="s">
        <v>11279</v>
      </c>
      <c r="C4" s="0" t="s">
        <v>33</v>
      </c>
      <c r="D4" s="0" t="n">
        <v>94</v>
      </c>
      <c r="E4" s="0" t="n">
        <v>94</v>
      </c>
      <c r="F4" s="0" t="n">
        <v>91</v>
      </c>
      <c r="G4" s="0" t="s">
        <v>11281</v>
      </c>
      <c r="H4" s="0" t="s">
        <v>277</v>
      </c>
    </row>
    <row r="5" customFormat="false" ht="15" hidden="false" customHeight="false" outlineLevel="0" collapsed="false">
      <c r="A5" s="0" t="s">
        <v>1848</v>
      </c>
      <c r="B5" s="0" t="s">
        <v>11279</v>
      </c>
      <c r="C5" s="0" t="s">
        <v>33</v>
      </c>
      <c r="D5" s="0" t="n">
        <v>104</v>
      </c>
      <c r="E5" s="0" t="n">
        <v>104</v>
      </c>
      <c r="F5" s="0" t="n">
        <v>87</v>
      </c>
      <c r="G5" s="0" t="s">
        <v>11282</v>
      </c>
      <c r="H5" s="0" t="s">
        <v>277</v>
      </c>
    </row>
    <row r="6" customFormat="false" ht="15" hidden="false" customHeight="false" outlineLevel="0" collapsed="false">
      <c r="A6" s="0" t="s">
        <v>3461</v>
      </c>
      <c r="B6" s="0" t="s">
        <v>11279</v>
      </c>
      <c r="C6" s="0" t="s">
        <v>33</v>
      </c>
      <c r="D6" s="0" t="n">
        <v>98</v>
      </c>
      <c r="E6" s="0" t="n">
        <v>98</v>
      </c>
      <c r="F6" s="0" t="n">
        <v>81</v>
      </c>
      <c r="G6" s="0" t="s">
        <v>11283</v>
      </c>
      <c r="H6" s="0" t="s">
        <v>277</v>
      </c>
    </row>
    <row r="7" customFormat="false" ht="15" hidden="false" customHeight="false" outlineLevel="0" collapsed="false">
      <c r="A7" s="0" t="s">
        <v>1696</v>
      </c>
      <c r="B7" s="0" t="s">
        <v>11284</v>
      </c>
      <c r="C7" s="0" t="s">
        <v>33</v>
      </c>
      <c r="D7" s="0" t="n">
        <v>115</v>
      </c>
      <c r="E7" s="0" t="n">
        <v>97</v>
      </c>
      <c r="F7" s="0" t="n">
        <v>75</v>
      </c>
      <c r="H7" s="0" t="s">
        <v>277</v>
      </c>
    </row>
    <row r="8" customFormat="false" ht="15" hidden="false" customHeight="false" outlineLevel="0" collapsed="false">
      <c r="A8" s="0" t="s">
        <v>286</v>
      </c>
      <c r="B8" s="0" t="s">
        <v>11279</v>
      </c>
      <c r="C8" s="0" t="s">
        <v>33</v>
      </c>
      <c r="D8" s="0" t="n">
        <v>89</v>
      </c>
      <c r="E8" s="0" t="n">
        <v>0</v>
      </c>
      <c r="F8" s="0" t="n">
        <v>63</v>
      </c>
      <c r="G8" s="0" t="s">
        <v>11285</v>
      </c>
      <c r="H8" s="0" t="s">
        <v>277</v>
      </c>
    </row>
    <row r="9" customFormat="false" ht="15" hidden="false" customHeight="false" outlineLevel="0" collapsed="false">
      <c r="A9" s="0" t="s">
        <v>537</v>
      </c>
      <c r="B9" s="0" t="s">
        <v>11279</v>
      </c>
      <c r="C9" s="0" t="s">
        <v>33</v>
      </c>
      <c r="D9" s="0" t="n">
        <v>88</v>
      </c>
      <c r="E9" s="0" t="n">
        <v>88</v>
      </c>
      <c r="F9" s="0" t="n">
        <v>59</v>
      </c>
      <c r="G9" s="0" t="s">
        <v>11286</v>
      </c>
      <c r="H9" s="0" t="s">
        <v>277</v>
      </c>
    </row>
    <row r="10" customFormat="false" ht="15" hidden="false" customHeight="false" outlineLevel="0" collapsed="false">
      <c r="A10" s="0" t="s">
        <v>1256</v>
      </c>
      <c r="B10" s="0" t="s">
        <v>11279</v>
      </c>
      <c r="C10" s="0" t="s">
        <v>33</v>
      </c>
      <c r="D10" s="0" t="n">
        <v>64</v>
      </c>
      <c r="E10" s="0" t="n">
        <v>64</v>
      </c>
      <c r="F10" s="0" t="n">
        <v>45</v>
      </c>
      <c r="G10" s="0" t="s">
        <v>11287</v>
      </c>
      <c r="H10" s="0" t="s">
        <v>277</v>
      </c>
    </row>
    <row r="11" customFormat="false" ht="15" hidden="false" customHeight="false" outlineLevel="0" collapsed="false">
      <c r="A11" s="0" t="s">
        <v>292</v>
      </c>
      <c r="B11" s="0" t="s">
        <v>11279</v>
      </c>
      <c r="C11" s="0" t="s">
        <v>33</v>
      </c>
      <c r="D11" s="0" t="n">
        <v>45</v>
      </c>
      <c r="E11" s="0" t="n">
        <v>45</v>
      </c>
      <c r="F11" s="0" t="n">
        <v>44</v>
      </c>
      <c r="G11" s="0" t="s">
        <v>11288</v>
      </c>
      <c r="H11" s="0" t="s">
        <v>277</v>
      </c>
    </row>
    <row r="12" customFormat="false" ht="15" hidden="false" customHeight="false" outlineLevel="0" collapsed="false">
      <c r="A12" s="0" t="s">
        <v>3059</v>
      </c>
      <c r="B12" s="0" t="s">
        <v>11279</v>
      </c>
      <c r="C12" s="0" t="s">
        <v>33</v>
      </c>
      <c r="D12" s="0" t="n">
        <v>51</v>
      </c>
      <c r="E12" s="0" t="n">
        <v>51</v>
      </c>
      <c r="F12" s="0" t="n">
        <v>44</v>
      </c>
      <c r="G12" s="0" t="s">
        <v>11289</v>
      </c>
      <c r="H12" s="0" t="s">
        <v>277</v>
      </c>
    </row>
    <row r="13" customFormat="false" ht="15" hidden="false" customHeight="false" outlineLevel="0" collapsed="false">
      <c r="A13" s="0" t="s">
        <v>3327</v>
      </c>
      <c r="B13" s="0" t="s">
        <v>11279</v>
      </c>
      <c r="C13" s="0" t="s">
        <v>33</v>
      </c>
      <c r="D13" s="0" t="n">
        <v>68</v>
      </c>
      <c r="E13" s="0" t="n">
        <v>68</v>
      </c>
      <c r="F13" s="0" t="n">
        <v>40</v>
      </c>
      <c r="G13" s="0" t="s">
        <v>11289</v>
      </c>
      <c r="H13" s="0" t="s">
        <v>277</v>
      </c>
    </row>
    <row r="14" customFormat="false" ht="15" hidden="false" customHeight="false" outlineLevel="0" collapsed="false">
      <c r="A14" s="0" t="s">
        <v>1424</v>
      </c>
      <c r="B14" s="0" t="s">
        <v>11279</v>
      </c>
      <c r="C14" s="0" t="s">
        <v>33</v>
      </c>
      <c r="D14" s="0" t="n">
        <v>33</v>
      </c>
      <c r="E14" s="0" t="n">
        <v>33</v>
      </c>
      <c r="F14" s="0" t="n">
        <v>32</v>
      </c>
      <c r="G14" s="0" t="s">
        <v>11290</v>
      </c>
      <c r="H14" s="0" t="s">
        <v>277</v>
      </c>
    </row>
    <row r="15" customFormat="false" ht="15" hidden="false" customHeight="false" outlineLevel="0" collapsed="false">
      <c r="A15" s="0" t="s">
        <v>3979</v>
      </c>
      <c r="B15" s="0" t="s">
        <v>11279</v>
      </c>
      <c r="C15" s="0" t="s">
        <v>33</v>
      </c>
      <c r="D15" s="0" t="n">
        <v>32</v>
      </c>
      <c r="E15" s="0" t="n">
        <v>32</v>
      </c>
      <c r="F15" s="0" t="n">
        <v>32</v>
      </c>
      <c r="G15" s="0" t="s">
        <v>11282</v>
      </c>
      <c r="H15" s="0" t="s">
        <v>277</v>
      </c>
    </row>
    <row r="16" customFormat="false" ht="15" hidden="false" customHeight="false" outlineLevel="0" collapsed="false">
      <c r="A16" s="0" t="s">
        <v>384</v>
      </c>
      <c r="B16" s="0" t="s">
        <v>11279</v>
      </c>
      <c r="C16" s="0" t="s">
        <v>33</v>
      </c>
      <c r="D16" s="0" t="n">
        <v>30</v>
      </c>
      <c r="E16" s="0" t="n">
        <v>30</v>
      </c>
      <c r="F16" s="0" t="n">
        <v>29</v>
      </c>
      <c r="G16" s="0" t="s">
        <v>11291</v>
      </c>
      <c r="H16" s="0" t="s">
        <v>277</v>
      </c>
    </row>
    <row r="17" customFormat="false" ht="15" hidden="false" customHeight="false" outlineLevel="0" collapsed="false">
      <c r="A17" s="0" t="s">
        <v>1031</v>
      </c>
      <c r="B17" s="0" t="s">
        <v>11279</v>
      </c>
      <c r="C17" s="0" t="s">
        <v>33</v>
      </c>
      <c r="D17" s="0" t="n">
        <v>71</v>
      </c>
      <c r="E17" s="0" t="n">
        <v>71</v>
      </c>
      <c r="F17" s="0" t="n">
        <v>27</v>
      </c>
      <c r="G17" s="0" t="s">
        <v>11292</v>
      </c>
      <c r="H17" s="0" t="s">
        <v>277</v>
      </c>
    </row>
    <row r="18" customFormat="false" ht="15" hidden="false" customHeight="false" outlineLevel="0" collapsed="false">
      <c r="A18" s="0" t="s">
        <v>937</v>
      </c>
      <c r="B18" s="0" t="s">
        <v>11279</v>
      </c>
      <c r="C18" s="0" t="s">
        <v>33</v>
      </c>
      <c r="D18" s="0" t="n">
        <v>35</v>
      </c>
      <c r="E18" s="0" t="n">
        <v>35</v>
      </c>
      <c r="F18" s="0" t="n">
        <v>22</v>
      </c>
      <c r="G18" s="0" t="s">
        <v>11293</v>
      </c>
      <c r="H18" s="0" t="s">
        <v>277</v>
      </c>
    </row>
    <row r="19" customFormat="false" ht="15" hidden="false" customHeight="false" outlineLevel="0" collapsed="false">
      <c r="A19" s="0" t="s">
        <v>1163</v>
      </c>
      <c r="B19" s="0" t="s">
        <v>11279</v>
      </c>
      <c r="C19" s="0" t="s">
        <v>33</v>
      </c>
      <c r="D19" s="0" t="n">
        <v>43</v>
      </c>
      <c r="E19" s="0" t="n">
        <v>43</v>
      </c>
      <c r="F19" s="0" t="n">
        <v>19</v>
      </c>
      <c r="G19" s="0" t="s">
        <v>11294</v>
      </c>
      <c r="H19" s="0" t="s">
        <v>277</v>
      </c>
    </row>
    <row r="20" customFormat="false" ht="15" hidden="false" customHeight="false" outlineLevel="0" collapsed="false">
      <c r="A20" s="0" t="s">
        <v>4178</v>
      </c>
      <c r="B20" s="0" t="s">
        <v>11279</v>
      </c>
      <c r="C20" s="0" t="s">
        <v>33</v>
      </c>
      <c r="D20" s="0" t="n">
        <v>16</v>
      </c>
      <c r="E20" s="0" t="n">
        <v>16</v>
      </c>
      <c r="F20" s="0" t="n">
        <v>16</v>
      </c>
      <c r="G20" s="0" t="s">
        <v>11295</v>
      </c>
      <c r="H20" s="0" t="s">
        <v>277</v>
      </c>
    </row>
    <row r="21" customFormat="false" ht="15" hidden="false" customHeight="false" outlineLevel="0" collapsed="false">
      <c r="A21" s="0" t="s">
        <v>4327</v>
      </c>
      <c r="B21" s="0" t="s">
        <v>11279</v>
      </c>
      <c r="C21" s="0" t="s">
        <v>33</v>
      </c>
      <c r="D21" s="0" t="n">
        <v>12</v>
      </c>
      <c r="E21" s="0" t="n">
        <v>12</v>
      </c>
      <c r="F21" s="0" t="n">
        <v>11</v>
      </c>
      <c r="G21" s="0" t="s">
        <v>11286</v>
      </c>
      <c r="H21" s="0" t="s">
        <v>277</v>
      </c>
    </row>
    <row r="22" customFormat="false" ht="15" hidden="false" customHeight="false" outlineLevel="0" collapsed="false">
      <c r="A22" s="0" t="s">
        <v>3285</v>
      </c>
      <c r="B22" s="0" t="s">
        <v>11279</v>
      </c>
      <c r="C22" s="0" t="s">
        <v>33</v>
      </c>
      <c r="D22" s="0" t="n">
        <v>11</v>
      </c>
      <c r="E22" s="0" t="n">
        <v>11</v>
      </c>
      <c r="F22" s="0" t="n">
        <v>10</v>
      </c>
      <c r="G22" s="0" t="s">
        <v>11282</v>
      </c>
      <c r="H22" s="0" t="s">
        <v>277</v>
      </c>
    </row>
    <row r="23" customFormat="false" ht="15" hidden="false" customHeight="false" outlineLevel="0" collapsed="false">
      <c r="A23" s="0" t="s">
        <v>4120</v>
      </c>
      <c r="B23" s="0" t="s">
        <v>11279</v>
      </c>
      <c r="C23" s="0" t="s">
        <v>33</v>
      </c>
      <c r="D23" s="0" t="n">
        <v>10</v>
      </c>
      <c r="E23" s="0" t="n">
        <v>10</v>
      </c>
      <c r="F23" s="0" t="n">
        <v>10</v>
      </c>
      <c r="G23" s="0" t="s">
        <v>11282</v>
      </c>
      <c r="H23" s="0" t="s">
        <v>277</v>
      </c>
    </row>
    <row r="24" customFormat="false" ht="15" hidden="false" customHeight="false" outlineLevel="0" collapsed="false">
      <c r="A24" s="0" t="s">
        <v>269</v>
      </c>
      <c r="B24" s="0" t="s">
        <v>11279</v>
      </c>
      <c r="C24" s="0" t="s">
        <v>33</v>
      </c>
      <c r="D24" s="0" t="n">
        <v>22</v>
      </c>
      <c r="E24" s="0" t="n">
        <v>0</v>
      </c>
      <c r="F24" s="0" t="n">
        <v>10</v>
      </c>
      <c r="G24" s="0" t="s">
        <v>11296</v>
      </c>
      <c r="H24" s="0" t="s">
        <v>277</v>
      </c>
    </row>
    <row r="25" customFormat="false" ht="15" hidden="false" customHeight="false" outlineLevel="0" collapsed="false">
      <c r="A25" s="0" t="s">
        <v>1564</v>
      </c>
      <c r="B25" s="0" t="s">
        <v>11279</v>
      </c>
      <c r="C25" s="0" t="s">
        <v>33</v>
      </c>
      <c r="D25" s="0" t="n">
        <v>8</v>
      </c>
      <c r="E25" s="0" t="n">
        <v>8</v>
      </c>
      <c r="F25" s="0" t="n">
        <v>8</v>
      </c>
      <c r="G25" s="0" t="s">
        <v>11297</v>
      </c>
      <c r="H25" s="0" t="s">
        <v>277</v>
      </c>
    </row>
    <row r="26" customFormat="false" ht="15" hidden="false" customHeight="false" outlineLevel="0" collapsed="false">
      <c r="A26" s="0" t="s">
        <v>1617</v>
      </c>
      <c r="B26" s="0" t="s">
        <v>11279</v>
      </c>
      <c r="C26" s="0" t="s">
        <v>33</v>
      </c>
      <c r="D26" s="0" t="n">
        <v>5</v>
      </c>
      <c r="E26" s="0" t="n">
        <v>5</v>
      </c>
      <c r="F26" s="0" t="n">
        <v>5</v>
      </c>
      <c r="G26" s="0" t="s">
        <v>11298</v>
      </c>
      <c r="H26" s="0" t="s">
        <v>277</v>
      </c>
    </row>
    <row r="27" customFormat="false" ht="15" hidden="false" customHeight="false" outlineLevel="0" collapsed="false">
      <c r="A27" s="0" t="s">
        <v>1650</v>
      </c>
      <c r="B27" s="0" t="s">
        <v>11279</v>
      </c>
      <c r="C27" s="0" t="s">
        <v>33</v>
      </c>
      <c r="D27" s="0" t="n">
        <v>5</v>
      </c>
      <c r="E27" s="0" t="n">
        <v>5</v>
      </c>
      <c r="F27" s="0" t="n">
        <v>4</v>
      </c>
      <c r="G27" s="0" t="s">
        <v>11299</v>
      </c>
      <c r="H27" s="0" t="s">
        <v>277</v>
      </c>
    </row>
    <row r="28" customFormat="false" ht="15" hidden="false" customHeight="false" outlineLevel="0" collapsed="false">
      <c r="A28" s="0" t="s">
        <v>1839</v>
      </c>
      <c r="B28" s="0" t="s">
        <v>11279</v>
      </c>
      <c r="C28" s="0" t="s">
        <v>33</v>
      </c>
      <c r="D28" s="0" t="n">
        <v>2</v>
      </c>
      <c r="E28" s="0" t="n">
        <v>2</v>
      </c>
      <c r="F28" s="0" t="n">
        <v>2</v>
      </c>
      <c r="G28" s="0" t="s">
        <v>11300</v>
      </c>
      <c r="H28" s="0" t="s">
        <v>277</v>
      </c>
    </row>
    <row r="29" customFormat="false" ht="15" hidden="false" customHeight="false" outlineLevel="0" collapsed="false">
      <c r="A29" s="0" t="s">
        <v>280</v>
      </c>
      <c r="B29" s="0" t="s">
        <v>11279</v>
      </c>
      <c r="C29" s="0" t="s">
        <v>33</v>
      </c>
      <c r="D29" s="0" t="n">
        <v>7</v>
      </c>
      <c r="E29" s="0" t="n">
        <v>0</v>
      </c>
      <c r="F29" s="0" t="n">
        <v>2</v>
      </c>
      <c r="G29" s="0" t="s">
        <v>11301</v>
      </c>
      <c r="H29" s="0" t="s">
        <v>277</v>
      </c>
    </row>
    <row r="30" customFormat="false" ht="15" hidden="false" customHeight="false" outlineLevel="0" collapsed="false">
      <c r="A30" s="0" t="s">
        <v>4917</v>
      </c>
      <c r="B30" s="0" t="s">
        <v>11279</v>
      </c>
      <c r="C30" s="0" t="s">
        <v>33</v>
      </c>
      <c r="D30" s="0" t="n">
        <v>5</v>
      </c>
      <c r="E30" s="0" t="n">
        <v>0</v>
      </c>
      <c r="F30" s="0" t="n">
        <v>2</v>
      </c>
      <c r="G30" s="0" t="s">
        <v>11302</v>
      </c>
      <c r="H30" s="0" t="s">
        <v>277</v>
      </c>
    </row>
    <row r="31" customFormat="false" ht="15" hidden="false" customHeight="false" outlineLevel="0" collapsed="false">
      <c r="A31" s="0" t="s">
        <v>11303</v>
      </c>
      <c r="B31" s="0" t="s">
        <v>11279</v>
      </c>
      <c r="C31" s="0" t="s">
        <v>27</v>
      </c>
      <c r="D31" s="0" t="n">
        <v>0</v>
      </c>
      <c r="E31" s="0" t="n">
        <v>0</v>
      </c>
      <c r="F31" s="0" t="n">
        <v>0</v>
      </c>
      <c r="H31" s="0" t="s">
        <v>277</v>
      </c>
    </row>
    <row r="32" customFormat="false" ht="15" hidden="false" customHeight="false" outlineLevel="0" collapsed="false">
      <c r="A32" s="0" t="s">
        <v>11304</v>
      </c>
      <c r="B32" s="0" t="s">
        <v>11279</v>
      </c>
      <c r="C32" s="0" t="s">
        <v>27</v>
      </c>
      <c r="D32" s="0" t="n">
        <v>0</v>
      </c>
      <c r="E32" s="0" t="n">
        <v>0</v>
      </c>
      <c r="F32" s="0" t="n">
        <v>0</v>
      </c>
      <c r="H32" s="0" t="s">
        <v>277</v>
      </c>
    </row>
    <row r="33" customFormat="false" ht="15" hidden="false" customHeight="false" outlineLevel="0" collapsed="false">
      <c r="A33" s="0" t="s">
        <v>11305</v>
      </c>
      <c r="B33" s="0" t="s">
        <v>11279</v>
      </c>
      <c r="C33" s="0" t="s">
        <v>30</v>
      </c>
      <c r="D33" s="0" t="n">
        <v>0</v>
      </c>
      <c r="E33" s="0" t="n">
        <v>0</v>
      </c>
      <c r="F33" s="0" t="n">
        <v>0</v>
      </c>
      <c r="G33" s="0" t="s">
        <v>11306</v>
      </c>
      <c r="H33" s="0" t="s">
        <v>277</v>
      </c>
    </row>
    <row r="34" customFormat="false" ht="15" hidden="false" customHeight="false" outlineLevel="0" collapsed="false">
      <c r="A34" s="0" t="s">
        <v>11307</v>
      </c>
      <c r="B34" s="0" t="s">
        <v>11279</v>
      </c>
      <c r="C34" s="0" t="s">
        <v>39</v>
      </c>
      <c r="D34" s="0" t="n">
        <v>0</v>
      </c>
      <c r="E34" s="0" t="n">
        <v>0</v>
      </c>
      <c r="F34" s="0" t="n">
        <v>0</v>
      </c>
      <c r="H34" s="0" t="s">
        <v>277</v>
      </c>
    </row>
    <row r="35" customFormat="false" ht="15" hidden="false" customHeight="false" outlineLevel="0" collapsed="false">
      <c r="A35" s="0" t="s">
        <v>11308</v>
      </c>
      <c r="B35" s="0" t="s">
        <v>11279</v>
      </c>
      <c r="C35" s="0" t="s">
        <v>39</v>
      </c>
      <c r="D35" s="0" t="n">
        <v>0</v>
      </c>
      <c r="E35" s="0" t="n">
        <v>0</v>
      </c>
      <c r="F35" s="0" t="n">
        <v>0</v>
      </c>
      <c r="H35" s="0" t="s">
        <v>277</v>
      </c>
    </row>
    <row r="36" customFormat="false" ht="15" hidden="false" customHeight="false" outlineLevel="0" collapsed="false">
      <c r="A36" s="0" t="s">
        <v>11309</v>
      </c>
      <c r="B36" s="0" t="s">
        <v>11279</v>
      </c>
      <c r="C36" s="0" t="s">
        <v>39</v>
      </c>
      <c r="D36" s="0" t="n">
        <v>0</v>
      </c>
      <c r="E36" s="0" t="n">
        <v>0</v>
      </c>
      <c r="F36" s="0" t="n">
        <v>0</v>
      </c>
      <c r="H36" s="0" t="s">
        <v>277</v>
      </c>
    </row>
    <row r="37" customFormat="false" ht="15" hidden="false" customHeight="false" outlineLevel="0" collapsed="false">
      <c r="A37" s="0" t="s">
        <v>11310</v>
      </c>
      <c r="B37" s="0" t="s">
        <v>11279</v>
      </c>
      <c r="C37" s="0" t="s">
        <v>30</v>
      </c>
      <c r="D37" s="0" t="n">
        <v>0</v>
      </c>
      <c r="E37" s="0" t="n">
        <v>0</v>
      </c>
      <c r="F37" s="0" t="n">
        <v>0</v>
      </c>
      <c r="G37" s="0" t="s">
        <v>11306</v>
      </c>
      <c r="H37" s="0" t="s">
        <v>277</v>
      </c>
    </row>
    <row r="38" customFormat="false" ht="15" hidden="false" customHeight="false" outlineLevel="0" collapsed="false">
      <c r="A38" s="0" t="s">
        <v>11311</v>
      </c>
      <c r="B38" s="0" t="s">
        <v>11279</v>
      </c>
      <c r="C38" s="0" t="s">
        <v>39</v>
      </c>
      <c r="D38" s="0" t="n">
        <v>0</v>
      </c>
      <c r="E38" s="0" t="n">
        <v>0</v>
      </c>
      <c r="F38" s="0" t="n">
        <v>0</v>
      </c>
      <c r="H38" s="0" t="s">
        <v>277</v>
      </c>
    </row>
    <row r="39" customFormat="false" ht="15" hidden="false" customHeight="false" outlineLevel="0" collapsed="false">
      <c r="A39" s="0" t="s">
        <v>11312</v>
      </c>
      <c r="B39" s="0" t="s">
        <v>11279</v>
      </c>
      <c r="C39" s="0" t="s">
        <v>27</v>
      </c>
      <c r="D39" s="0" t="n">
        <v>0</v>
      </c>
      <c r="E39" s="0" t="n">
        <v>0</v>
      </c>
      <c r="F39" s="0" t="n">
        <v>0</v>
      </c>
      <c r="H39" s="0" t="s">
        <v>277</v>
      </c>
    </row>
    <row r="40" customFormat="false" ht="15" hidden="false" customHeight="false" outlineLevel="0" collapsed="false">
      <c r="A40" s="0" t="s">
        <v>11313</v>
      </c>
      <c r="B40" s="0" t="s">
        <v>11279</v>
      </c>
      <c r="C40" s="0" t="s">
        <v>30</v>
      </c>
      <c r="D40" s="0" t="n">
        <v>0</v>
      </c>
      <c r="E40" s="0" t="n">
        <v>0</v>
      </c>
      <c r="F40" s="0" t="n">
        <v>0</v>
      </c>
      <c r="G40" s="0" t="s">
        <v>11306</v>
      </c>
      <c r="H40" s="0" t="s">
        <v>277</v>
      </c>
    </row>
    <row r="41" customFormat="false" ht="15" hidden="false" customHeight="false" outlineLevel="0" collapsed="false">
      <c r="A41" s="0" t="s">
        <v>11314</v>
      </c>
      <c r="B41" s="0" t="s">
        <v>11279</v>
      </c>
      <c r="C41" s="0" t="s">
        <v>27</v>
      </c>
      <c r="D41" s="0" t="n">
        <v>0</v>
      </c>
      <c r="E41" s="0" t="n">
        <v>0</v>
      </c>
      <c r="F41" s="0" t="n">
        <v>0</v>
      </c>
      <c r="H41" s="0" t="s">
        <v>277</v>
      </c>
    </row>
    <row r="42" customFormat="false" ht="15" hidden="false" customHeight="false" outlineLevel="0" collapsed="false">
      <c r="A42" s="0" t="s">
        <v>11315</v>
      </c>
      <c r="B42" s="0" t="s">
        <v>11279</v>
      </c>
      <c r="C42" s="0" t="s">
        <v>27</v>
      </c>
      <c r="D42" s="0" t="n">
        <v>0</v>
      </c>
      <c r="E42" s="0" t="n">
        <v>0</v>
      </c>
      <c r="F42" s="0" t="n">
        <v>0</v>
      </c>
      <c r="H42" s="0" t="s">
        <v>277</v>
      </c>
    </row>
    <row r="43" customFormat="false" ht="15" hidden="false" customHeight="false" outlineLevel="0" collapsed="false">
      <c r="A43" s="0" t="s">
        <v>11316</v>
      </c>
      <c r="B43" s="0" t="s">
        <v>11279</v>
      </c>
      <c r="C43" s="0" t="s">
        <v>33</v>
      </c>
      <c r="D43" s="0" t="n">
        <v>0</v>
      </c>
      <c r="E43" s="0" t="n">
        <v>0</v>
      </c>
      <c r="F43" s="0" t="n">
        <v>0</v>
      </c>
      <c r="G43" s="0" t="s">
        <v>11283</v>
      </c>
      <c r="H43" s="0" t="s">
        <v>277</v>
      </c>
    </row>
    <row r="44" customFormat="false" ht="15" hidden="false" customHeight="false" outlineLevel="0" collapsed="false">
      <c r="A44" s="0" t="s">
        <v>11317</v>
      </c>
      <c r="B44" s="0" t="s">
        <v>11279</v>
      </c>
      <c r="C44" s="0" t="s">
        <v>30</v>
      </c>
      <c r="D44" s="0" t="n">
        <v>0</v>
      </c>
      <c r="E44" s="0" t="n">
        <v>0</v>
      </c>
      <c r="F44" s="0" t="n">
        <v>0</v>
      </c>
      <c r="G44" s="0" t="s">
        <v>11306</v>
      </c>
      <c r="H44" s="0" t="s">
        <v>277</v>
      </c>
    </row>
    <row r="45" customFormat="false" ht="15" hidden="false" customHeight="false" outlineLevel="0" collapsed="false">
      <c r="A45" s="0" t="s">
        <v>11318</v>
      </c>
      <c r="B45" s="0" t="s">
        <v>11279</v>
      </c>
      <c r="C45" s="0" t="s">
        <v>39</v>
      </c>
      <c r="D45" s="0" t="n">
        <v>0</v>
      </c>
      <c r="E45" s="0" t="n">
        <v>0</v>
      </c>
      <c r="F45" s="0" t="n">
        <v>0</v>
      </c>
      <c r="H45" s="0" t="s">
        <v>277</v>
      </c>
    </row>
    <row r="46" customFormat="false" ht="15" hidden="false" customHeight="false" outlineLevel="0" collapsed="false">
      <c r="A46" s="0" t="s">
        <v>11319</v>
      </c>
      <c r="B46" s="0" t="s">
        <v>11279</v>
      </c>
      <c r="C46" s="0" t="s">
        <v>27</v>
      </c>
      <c r="D46" s="0" t="n">
        <v>0</v>
      </c>
      <c r="E46" s="0" t="n">
        <v>0</v>
      </c>
      <c r="F46" s="0" t="n">
        <v>0</v>
      </c>
      <c r="H46" s="0" t="s">
        <v>277</v>
      </c>
    </row>
    <row r="47" customFormat="false" ht="15" hidden="false" customHeight="false" outlineLevel="0" collapsed="false">
      <c r="A47" s="0" t="s">
        <v>11320</v>
      </c>
      <c r="B47" s="0" t="s">
        <v>11279</v>
      </c>
      <c r="C47" s="0" t="s">
        <v>27</v>
      </c>
      <c r="D47" s="0" t="n">
        <v>0</v>
      </c>
      <c r="E47" s="0" t="n">
        <v>0</v>
      </c>
      <c r="F47" s="0" t="n">
        <v>0</v>
      </c>
      <c r="H47" s="0" t="s">
        <v>277</v>
      </c>
    </row>
    <row r="48" customFormat="false" ht="15" hidden="false" customHeight="false" outlineLevel="0" collapsed="false">
      <c r="A48" s="0" t="s">
        <v>11321</v>
      </c>
      <c r="B48" s="0" t="s">
        <v>11279</v>
      </c>
      <c r="C48" s="0" t="s">
        <v>27</v>
      </c>
      <c r="D48" s="0" t="n">
        <v>0</v>
      </c>
      <c r="E48" s="0" t="n">
        <v>0</v>
      </c>
      <c r="F48" s="0" t="n">
        <v>0</v>
      </c>
      <c r="H48" s="0" t="s">
        <v>277</v>
      </c>
    </row>
    <row r="49" customFormat="false" ht="15" hidden="false" customHeight="false" outlineLevel="0" collapsed="false">
      <c r="A49" s="0" t="s">
        <v>11322</v>
      </c>
      <c r="B49" s="0" t="s">
        <v>11279</v>
      </c>
      <c r="C49" s="0" t="s">
        <v>33</v>
      </c>
      <c r="D49" s="0" t="n">
        <v>0</v>
      </c>
      <c r="E49" s="0" t="n">
        <v>0</v>
      </c>
      <c r="F49" s="0" t="n">
        <v>0</v>
      </c>
      <c r="G49" s="0" t="s">
        <v>11283</v>
      </c>
      <c r="H49" s="0" t="s">
        <v>277</v>
      </c>
    </row>
    <row r="50" customFormat="false" ht="15" hidden="false" customHeight="false" outlineLevel="0" collapsed="false">
      <c r="A50" s="0" t="s">
        <v>11323</v>
      </c>
      <c r="B50" s="0" t="s">
        <v>11279</v>
      </c>
      <c r="C50" s="0" t="s">
        <v>30</v>
      </c>
      <c r="D50" s="0" t="n">
        <v>0</v>
      </c>
      <c r="E50" s="0" t="n">
        <v>0</v>
      </c>
      <c r="F50" s="0" t="n">
        <v>0</v>
      </c>
      <c r="G50" s="0" t="s">
        <v>11306</v>
      </c>
      <c r="H50" s="0" t="s">
        <v>277</v>
      </c>
    </row>
    <row r="51" customFormat="false" ht="15" hidden="false" customHeight="false" outlineLevel="0" collapsed="false">
      <c r="A51" s="0" t="s">
        <v>11324</v>
      </c>
      <c r="B51" s="0" t="s">
        <v>11279</v>
      </c>
      <c r="C51" s="0" t="s">
        <v>33</v>
      </c>
      <c r="D51" s="0" t="n">
        <v>0</v>
      </c>
      <c r="E51" s="0" t="n">
        <v>0</v>
      </c>
      <c r="F51" s="0" t="n">
        <v>0</v>
      </c>
      <c r="G51" s="0" t="s">
        <v>11325</v>
      </c>
      <c r="H51" s="0" t="s">
        <v>277</v>
      </c>
    </row>
    <row r="52" customFormat="false" ht="15" hidden="false" customHeight="false" outlineLevel="0" collapsed="false">
      <c r="A52" s="0" t="s">
        <v>11326</v>
      </c>
      <c r="B52" s="0" t="s">
        <v>11279</v>
      </c>
      <c r="C52" s="0" t="s">
        <v>33</v>
      </c>
      <c r="D52" s="0" t="n">
        <v>0</v>
      </c>
      <c r="E52" s="0" t="n">
        <v>0</v>
      </c>
      <c r="F52" s="0" t="n">
        <v>0</v>
      </c>
      <c r="G52" s="0" t="s">
        <v>11325</v>
      </c>
      <c r="H52" s="0" t="s">
        <v>277</v>
      </c>
    </row>
    <row r="53" customFormat="false" ht="15" hidden="false" customHeight="false" outlineLevel="0" collapsed="false">
      <c r="A53" s="0" t="s">
        <v>11327</v>
      </c>
      <c r="B53" s="0" t="s">
        <v>11279</v>
      </c>
      <c r="C53" s="0" t="s">
        <v>30</v>
      </c>
      <c r="D53" s="0" t="n">
        <v>0</v>
      </c>
      <c r="E53" s="0" t="n">
        <v>0</v>
      </c>
      <c r="F53" s="0" t="n">
        <v>0</v>
      </c>
      <c r="G53" s="0" t="s">
        <v>11306</v>
      </c>
      <c r="H53" s="0" t="s">
        <v>277</v>
      </c>
    </row>
    <row r="54" customFormat="false" ht="15" hidden="false" customHeight="false" outlineLevel="0" collapsed="false">
      <c r="A54" s="0" t="s">
        <v>11328</v>
      </c>
      <c r="B54" s="0" t="s">
        <v>11279</v>
      </c>
      <c r="C54" s="0" t="s">
        <v>39</v>
      </c>
      <c r="D54" s="0" t="n">
        <v>0</v>
      </c>
      <c r="E54" s="0" t="n">
        <v>0</v>
      </c>
      <c r="F54" s="0" t="n">
        <v>0</v>
      </c>
      <c r="H54" s="0" t="s">
        <v>277</v>
      </c>
    </row>
    <row r="55" customFormat="false" ht="15" hidden="false" customHeight="false" outlineLevel="0" collapsed="false">
      <c r="A55" s="0" t="s">
        <v>11329</v>
      </c>
      <c r="B55" s="0" t="s">
        <v>11279</v>
      </c>
      <c r="C55" s="0" t="s">
        <v>39</v>
      </c>
      <c r="D55" s="0" t="n">
        <v>0</v>
      </c>
      <c r="E55" s="0" t="n">
        <v>0</v>
      </c>
      <c r="F55" s="0" t="n">
        <v>0</v>
      </c>
      <c r="H55" s="0" t="s">
        <v>277</v>
      </c>
    </row>
    <row r="56" customFormat="false" ht="15" hidden="false" customHeight="false" outlineLevel="0" collapsed="false">
      <c r="A56" s="0" t="s">
        <v>11330</v>
      </c>
      <c r="B56" s="0" t="s">
        <v>11279</v>
      </c>
      <c r="C56" s="0" t="s">
        <v>39</v>
      </c>
      <c r="D56" s="0" t="n">
        <v>0</v>
      </c>
      <c r="E56" s="0" t="n">
        <v>0</v>
      </c>
      <c r="F56" s="0" t="n">
        <v>0</v>
      </c>
      <c r="H56" s="0" t="s">
        <v>277</v>
      </c>
    </row>
    <row r="57" customFormat="false" ht="15" hidden="false" customHeight="false" outlineLevel="0" collapsed="false">
      <c r="A57" s="0" t="s">
        <v>11331</v>
      </c>
      <c r="B57" s="0" t="s">
        <v>11279</v>
      </c>
      <c r="C57" s="0" t="s">
        <v>27</v>
      </c>
      <c r="D57" s="0" t="n">
        <v>0</v>
      </c>
      <c r="E57" s="0" t="n">
        <v>0</v>
      </c>
      <c r="F57" s="0" t="n">
        <v>0</v>
      </c>
      <c r="H57" s="0" t="s">
        <v>277</v>
      </c>
    </row>
    <row r="58" customFormat="false" ht="15" hidden="false" customHeight="false" outlineLevel="0" collapsed="false">
      <c r="A58" s="0" t="s">
        <v>11332</v>
      </c>
      <c r="B58" s="0" t="s">
        <v>11279</v>
      </c>
      <c r="C58" s="0" t="s">
        <v>27</v>
      </c>
      <c r="D58" s="0" t="n">
        <v>0</v>
      </c>
      <c r="E58" s="0" t="n">
        <v>0</v>
      </c>
      <c r="F58" s="0" t="n">
        <v>0</v>
      </c>
      <c r="H58" s="0" t="s">
        <v>277</v>
      </c>
    </row>
    <row r="59" customFormat="false" ht="15" hidden="false" customHeight="false" outlineLevel="0" collapsed="false">
      <c r="A59" s="0" t="s">
        <v>11333</v>
      </c>
      <c r="B59" s="0" t="s">
        <v>11279</v>
      </c>
      <c r="C59" s="0" t="s">
        <v>33</v>
      </c>
      <c r="D59" s="0" t="n">
        <v>0</v>
      </c>
      <c r="E59" s="0" t="n">
        <v>0</v>
      </c>
      <c r="F59" s="0" t="n">
        <v>0</v>
      </c>
      <c r="G59" s="0" t="s">
        <v>11334</v>
      </c>
      <c r="H59" s="0" t="s">
        <v>277</v>
      </c>
    </row>
    <row r="60" customFormat="false" ht="15" hidden="false" customHeight="false" outlineLevel="0" collapsed="false">
      <c r="A60" s="0" t="s">
        <v>11335</v>
      </c>
      <c r="B60" s="0" t="s">
        <v>11279</v>
      </c>
      <c r="C60" s="0" t="s">
        <v>30</v>
      </c>
      <c r="D60" s="0" t="n">
        <v>0</v>
      </c>
      <c r="E60" s="0" t="n">
        <v>0</v>
      </c>
      <c r="F60" s="0" t="n">
        <v>0</v>
      </c>
      <c r="G60" s="0" t="s">
        <v>11306</v>
      </c>
      <c r="H60" s="0" t="s">
        <v>277</v>
      </c>
    </row>
    <row r="61" customFormat="false" ht="15" hidden="false" customHeight="false" outlineLevel="0" collapsed="false">
      <c r="A61" s="0" t="s">
        <v>11336</v>
      </c>
      <c r="B61" s="0" t="s">
        <v>11279</v>
      </c>
      <c r="C61" s="0" t="s">
        <v>39</v>
      </c>
      <c r="D61" s="0" t="n">
        <v>0</v>
      </c>
      <c r="E61" s="0" t="n">
        <v>0</v>
      </c>
      <c r="F61" s="0" t="n">
        <v>0</v>
      </c>
      <c r="H61" s="0" t="s">
        <v>277</v>
      </c>
    </row>
    <row r="62" customFormat="false" ht="15" hidden="false" customHeight="false" outlineLevel="0" collapsed="false">
      <c r="A62" s="0" t="s">
        <v>11337</v>
      </c>
      <c r="B62" s="0" t="s">
        <v>11279</v>
      </c>
      <c r="C62" s="0" t="s">
        <v>30</v>
      </c>
      <c r="D62" s="0" t="n">
        <v>0</v>
      </c>
      <c r="E62" s="0" t="n">
        <v>0</v>
      </c>
      <c r="F62" s="0" t="n">
        <v>0</v>
      </c>
      <c r="G62" s="0" t="s">
        <v>11306</v>
      </c>
      <c r="H62" s="0" t="s">
        <v>277</v>
      </c>
    </row>
    <row r="63" customFormat="false" ht="15" hidden="false" customHeight="false" outlineLevel="0" collapsed="false">
      <c r="A63" s="0" t="s">
        <v>11338</v>
      </c>
      <c r="B63" s="0" t="s">
        <v>11279</v>
      </c>
      <c r="C63" s="0" t="s">
        <v>30</v>
      </c>
      <c r="D63" s="0" t="n">
        <v>0</v>
      </c>
      <c r="E63" s="0" t="n">
        <v>0</v>
      </c>
      <c r="F63" s="0" t="n">
        <v>0</v>
      </c>
      <c r="G63" s="0" t="s">
        <v>11306</v>
      </c>
      <c r="H63" s="0" t="s">
        <v>277</v>
      </c>
    </row>
    <row r="64" customFormat="false" ht="15" hidden="false" customHeight="false" outlineLevel="0" collapsed="false">
      <c r="A64" s="0" t="s">
        <v>11339</v>
      </c>
      <c r="B64" s="0" t="s">
        <v>11279</v>
      </c>
      <c r="C64" s="0" t="s">
        <v>33</v>
      </c>
      <c r="D64" s="0" t="n">
        <v>0</v>
      </c>
      <c r="E64" s="0" t="n">
        <v>0</v>
      </c>
      <c r="F64" s="0" t="n">
        <v>0</v>
      </c>
      <c r="G64" s="0" t="s">
        <v>11340</v>
      </c>
      <c r="H64" s="0" t="s">
        <v>277</v>
      </c>
    </row>
    <row r="65" customFormat="false" ht="15" hidden="false" customHeight="false" outlineLevel="0" collapsed="false">
      <c r="A65" s="0" t="s">
        <v>11341</v>
      </c>
      <c r="B65" s="0" t="s">
        <v>11279</v>
      </c>
      <c r="C65" s="0" t="s">
        <v>27</v>
      </c>
      <c r="D65" s="0" t="n">
        <v>0</v>
      </c>
      <c r="E65" s="0" t="n">
        <v>0</v>
      </c>
      <c r="F65" s="0" t="n">
        <v>0</v>
      </c>
      <c r="H65" s="0" t="s">
        <v>277</v>
      </c>
    </row>
    <row r="66" customFormat="false" ht="15" hidden="false" customHeight="false" outlineLevel="0" collapsed="false">
      <c r="A66" s="0" t="s">
        <v>11342</v>
      </c>
      <c r="B66" s="0" t="s">
        <v>11279</v>
      </c>
      <c r="C66" s="0" t="s">
        <v>30</v>
      </c>
      <c r="D66" s="0" t="n">
        <v>0</v>
      </c>
      <c r="E66" s="0" t="n">
        <v>0</v>
      </c>
      <c r="F66" s="0" t="n">
        <v>0</v>
      </c>
      <c r="G66" s="0" t="s">
        <v>11306</v>
      </c>
      <c r="H66" s="0" t="s">
        <v>277</v>
      </c>
    </row>
    <row r="67" customFormat="false" ht="15" hidden="false" customHeight="false" outlineLevel="0" collapsed="false">
      <c r="A67" s="0" t="s">
        <v>11343</v>
      </c>
      <c r="B67" s="0" t="s">
        <v>11279</v>
      </c>
      <c r="C67" s="0" t="s">
        <v>39</v>
      </c>
      <c r="D67" s="0" t="n">
        <v>0</v>
      </c>
      <c r="E67" s="0" t="n">
        <v>0</v>
      </c>
      <c r="F67" s="0" t="n">
        <v>0</v>
      </c>
      <c r="H67" s="0" t="s">
        <v>277</v>
      </c>
    </row>
    <row r="68" customFormat="false" ht="15" hidden="false" customHeight="false" outlineLevel="0" collapsed="false">
      <c r="A68" s="0" t="s">
        <v>11344</v>
      </c>
      <c r="B68" s="0" t="s">
        <v>11279</v>
      </c>
      <c r="C68" s="0" t="s">
        <v>30</v>
      </c>
      <c r="D68" s="0" t="n">
        <v>0</v>
      </c>
      <c r="E68" s="0" t="n">
        <v>0</v>
      </c>
      <c r="F68" s="0" t="n">
        <v>0</v>
      </c>
      <c r="G68" s="0" t="s">
        <v>11306</v>
      </c>
      <c r="H68" s="0" t="s">
        <v>277</v>
      </c>
    </row>
    <row r="69" customFormat="false" ht="15" hidden="false" customHeight="false" outlineLevel="0" collapsed="false">
      <c r="A69" s="0" t="s">
        <v>11345</v>
      </c>
      <c r="B69" s="0" t="s">
        <v>11279</v>
      </c>
      <c r="C69" s="0" t="s">
        <v>33</v>
      </c>
      <c r="D69" s="0" t="n">
        <v>0</v>
      </c>
      <c r="E69" s="0" t="n">
        <v>0</v>
      </c>
      <c r="F69" s="0" t="n">
        <v>0</v>
      </c>
      <c r="G69" s="0" t="s">
        <v>11346</v>
      </c>
      <c r="H69" s="0" t="s">
        <v>277</v>
      </c>
    </row>
    <row r="70" customFormat="false" ht="15" hidden="false" customHeight="false" outlineLevel="0" collapsed="false">
      <c r="A70" s="0" t="s">
        <v>11347</v>
      </c>
      <c r="B70" s="0" t="s">
        <v>11348</v>
      </c>
      <c r="C70" s="0" t="s">
        <v>33</v>
      </c>
      <c r="D70" s="0" t="n">
        <v>14</v>
      </c>
      <c r="E70" s="0" t="n">
        <v>14</v>
      </c>
      <c r="F70" s="0" t="n">
        <v>0</v>
      </c>
      <c r="G70" s="0" t="s">
        <v>11349</v>
      </c>
      <c r="H70" s="0" t="s">
        <v>277</v>
      </c>
    </row>
    <row r="71" customFormat="false" ht="15" hidden="false" customHeight="false" outlineLevel="0" collapsed="false">
      <c r="A71" s="0" t="s">
        <v>11350</v>
      </c>
      <c r="B71" s="0" t="s">
        <v>11348</v>
      </c>
      <c r="C71" s="0" t="s">
        <v>33</v>
      </c>
      <c r="D71" s="0" t="n">
        <v>30</v>
      </c>
      <c r="E71" s="0" t="n">
        <v>30</v>
      </c>
      <c r="F71" s="0" t="n">
        <v>0</v>
      </c>
      <c r="G71" s="0" t="s">
        <v>11351</v>
      </c>
      <c r="H71" s="0" t="s">
        <v>277</v>
      </c>
    </row>
    <row r="72" customFormat="false" ht="15" hidden="false" customHeight="false" outlineLevel="0" collapsed="false">
      <c r="A72" s="0" t="s">
        <v>11352</v>
      </c>
      <c r="B72" s="0" t="s">
        <v>11348</v>
      </c>
      <c r="C72" s="0" t="s">
        <v>33</v>
      </c>
      <c r="D72" s="0" t="n">
        <v>102</v>
      </c>
      <c r="E72" s="0" t="n">
        <v>58</v>
      </c>
      <c r="F72" s="0" t="n">
        <v>0</v>
      </c>
      <c r="G72" s="0" t="s">
        <v>11353</v>
      </c>
      <c r="H72" s="0" t="s">
        <v>277</v>
      </c>
    </row>
    <row r="73" customFormat="false" ht="15" hidden="false" customHeight="false" outlineLevel="0" collapsed="false">
      <c r="A73" s="0" t="s">
        <v>11354</v>
      </c>
      <c r="B73" s="0" t="s">
        <v>11348</v>
      </c>
      <c r="C73" s="0" t="s">
        <v>33</v>
      </c>
      <c r="D73" s="0" t="n">
        <v>54</v>
      </c>
      <c r="E73" s="0" t="n">
        <v>54</v>
      </c>
      <c r="F73" s="0" t="n">
        <v>0</v>
      </c>
      <c r="G73" s="0" t="s">
        <v>11355</v>
      </c>
      <c r="H73" s="0" t="s">
        <v>277</v>
      </c>
    </row>
    <row r="74" customFormat="false" ht="15" hidden="false" customHeight="false" outlineLevel="0" collapsed="false">
      <c r="A74" s="0" t="s">
        <v>11356</v>
      </c>
      <c r="B74" s="0" t="s">
        <v>11348</v>
      </c>
      <c r="C74" s="0" t="s">
        <v>33</v>
      </c>
      <c r="D74" s="0" t="n">
        <v>15</v>
      </c>
      <c r="E74" s="0" t="n">
        <v>0</v>
      </c>
      <c r="F74" s="0" t="n">
        <v>0</v>
      </c>
      <c r="G74" s="0" t="s">
        <v>11357</v>
      </c>
      <c r="H74" s="0" t="s">
        <v>277</v>
      </c>
    </row>
    <row r="75" customFormat="false" ht="15" hidden="false" customHeight="false" outlineLevel="0" collapsed="false">
      <c r="A75" s="0" t="s">
        <v>11358</v>
      </c>
      <c r="B75" s="0" t="s">
        <v>11348</v>
      </c>
      <c r="C75" s="0" t="s">
        <v>33</v>
      </c>
      <c r="D75" s="0" t="n">
        <v>14</v>
      </c>
      <c r="E75" s="0" t="n">
        <v>0</v>
      </c>
      <c r="F75" s="0" t="n">
        <v>0</v>
      </c>
      <c r="G75" s="0" t="s">
        <v>11359</v>
      </c>
      <c r="H75" s="0" t="s">
        <v>277</v>
      </c>
    </row>
    <row r="76" customFormat="false" ht="15" hidden="false" customHeight="false" outlineLevel="0" collapsed="false">
      <c r="A76" s="0" t="s">
        <v>11360</v>
      </c>
      <c r="B76" s="0" t="s">
        <v>11348</v>
      </c>
      <c r="C76" s="0" t="s">
        <v>33</v>
      </c>
      <c r="D76" s="0" t="n">
        <v>10</v>
      </c>
      <c r="E76" s="0" t="n">
        <v>0</v>
      </c>
      <c r="F76" s="0" t="n">
        <v>0</v>
      </c>
      <c r="G76" s="0" t="s">
        <v>11361</v>
      </c>
      <c r="H76" s="0" t="s">
        <v>277</v>
      </c>
    </row>
    <row r="77" customFormat="false" ht="15" hidden="false" customHeight="false" outlineLevel="0" collapsed="false">
      <c r="A77" s="0" t="s">
        <v>11362</v>
      </c>
      <c r="B77" s="0" t="s">
        <v>11279</v>
      </c>
      <c r="C77" s="0" t="s">
        <v>106</v>
      </c>
      <c r="D77" s="0" t="n">
        <v>32</v>
      </c>
      <c r="E77" s="0" t="n">
        <v>32</v>
      </c>
      <c r="F77" s="0" t="n">
        <v>0</v>
      </c>
      <c r="G77" s="0" t="s">
        <v>11363</v>
      </c>
      <c r="H77" s="0" t="s">
        <v>277</v>
      </c>
    </row>
    <row r="78" customFormat="false" ht="15" hidden="false" customHeight="false" outlineLevel="0" collapsed="false">
      <c r="A78" s="0" t="s">
        <v>11364</v>
      </c>
      <c r="B78" s="0" t="s">
        <v>11279</v>
      </c>
      <c r="C78" s="0" t="s">
        <v>30</v>
      </c>
      <c r="D78" s="0" t="n">
        <v>0</v>
      </c>
      <c r="E78" s="0" t="n">
        <v>0</v>
      </c>
      <c r="F78" s="0" t="n">
        <v>0</v>
      </c>
      <c r="G78" s="0" t="s">
        <v>11306</v>
      </c>
      <c r="H78" s="0" t="s">
        <v>277</v>
      </c>
    </row>
    <row r="79" customFormat="false" ht="15" hidden="false" customHeight="false" outlineLevel="0" collapsed="false">
      <c r="A79" s="0" t="s">
        <v>11365</v>
      </c>
      <c r="B79" s="0" t="s">
        <v>11348</v>
      </c>
      <c r="C79" s="0" t="s">
        <v>11366</v>
      </c>
      <c r="D79" s="0" t="n">
        <v>0</v>
      </c>
      <c r="E79" s="0" t="n">
        <v>0</v>
      </c>
      <c r="F79" s="0" t="n">
        <v>0</v>
      </c>
      <c r="G79" s="0" t="s">
        <v>11367</v>
      </c>
      <c r="H79" s="0" t="s">
        <v>277</v>
      </c>
    </row>
    <row r="80" customFormat="false" ht="15" hidden="false" customHeight="false" outlineLevel="0" collapsed="false">
      <c r="A80" s="0" t="s">
        <v>11368</v>
      </c>
      <c r="B80" s="0" t="s">
        <v>11348</v>
      </c>
      <c r="C80" s="0" t="s">
        <v>11366</v>
      </c>
      <c r="D80" s="0" t="n">
        <v>0</v>
      </c>
      <c r="E80" s="0" t="n">
        <v>0</v>
      </c>
      <c r="F80" s="0" t="n">
        <v>0</v>
      </c>
      <c r="G80" s="0" t="s">
        <v>11369</v>
      </c>
      <c r="H80" s="0" t="s">
        <v>277</v>
      </c>
    </row>
    <row r="81" customFormat="false" ht="15" hidden="false" customHeight="false" outlineLevel="0" collapsed="false">
      <c r="A81" s="0" t="s">
        <v>11370</v>
      </c>
      <c r="B81" s="0" t="s">
        <v>11279</v>
      </c>
      <c r="C81" s="0" t="s">
        <v>30</v>
      </c>
      <c r="D81" s="0" t="n">
        <v>0</v>
      </c>
      <c r="E81" s="0" t="n">
        <v>0</v>
      </c>
      <c r="F81" s="0" t="n">
        <v>0</v>
      </c>
      <c r="G81" s="0" t="s">
        <v>11306</v>
      </c>
      <c r="H81" s="0" t="s">
        <v>277</v>
      </c>
    </row>
    <row r="82" customFormat="false" ht="15" hidden="false" customHeight="false" outlineLevel="0" collapsed="false">
      <c r="A82" s="0" t="s">
        <v>11371</v>
      </c>
      <c r="B82" s="0" t="s">
        <v>11279</v>
      </c>
      <c r="C82" s="0" t="s">
        <v>33</v>
      </c>
      <c r="D82" s="0" t="n">
        <v>0</v>
      </c>
      <c r="E82" s="0" t="n">
        <v>0</v>
      </c>
      <c r="F82" s="0" t="n">
        <v>0</v>
      </c>
      <c r="G82" s="0" t="s">
        <v>11372</v>
      </c>
      <c r="H82" s="0" t="s">
        <v>277</v>
      </c>
    </row>
    <row r="83" customFormat="false" ht="15" hidden="false" customHeight="false" outlineLevel="0" collapsed="false">
      <c r="A83" s="0" t="s">
        <v>11373</v>
      </c>
      <c r="B83" s="0" t="s">
        <v>11374</v>
      </c>
      <c r="C83" s="0" t="s">
        <v>11375</v>
      </c>
      <c r="D83" s="0" t="n">
        <v>0</v>
      </c>
      <c r="E83" s="0" t="n">
        <v>0</v>
      </c>
      <c r="F83" s="0" t="n">
        <v>0</v>
      </c>
      <c r="G83" s="0" t="s">
        <v>11376</v>
      </c>
      <c r="H83" s="0" t="s">
        <v>277</v>
      </c>
    </row>
    <row r="84" customFormat="false" ht="15" hidden="false" customHeight="false" outlineLevel="0" collapsed="false">
      <c r="A84" s="0" t="s">
        <v>11377</v>
      </c>
      <c r="B84" s="0" t="s">
        <v>11279</v>
      </c>
      <c r="C84" s="0" t="s">
        <v>33</v>
      </c>
      <c r="D84" s="0" t="n">
        <v>0</v>
      </c>
      <c r="E84" s="0" t="n">
        <v>0</v>
      </c>
      <c r="F84" s="0" t="n">
        <v>0</v>
      </c>
      <c r="G84" s="0" t="s">
        <v>11378</v>
      </c>
      <c r="H84" s="0" t="s">
        <v>277</v>
      </c>
    </row>
    <row r="85" customFormat="false" ht="15" hidden="false" customHeight="false" outlineLevel="0" collapsed="false">
      <c r="A85" s="0" t="s">
        <v>11379</v>
      </c>
      <c r="B85" s="0" t="s">
        <v>11279</v>
      </c>
      <c r="C85" s="0" t="s">
        <v>33</v>
      </c>
      <c r="D85" s="0" t="n">
        <v>0</v>
      </c>
      <c r="E85" s="0" t="n">
        <v>0</v>
      </c>
      <c r="F85" s="0" t="n">
        <v>0</v>
      </c>
      <c r="G85" s="0" t="s">
        <v>11380</v>
      </c>
      <c r="H85" s="0" t="s">
        <v>277</v>
      </c>
    </row>
    <row r="86" customFormat="false" ht="15" hidden="false" customHeight="false" outlineLevel="0" collapsed="false">
      <c r="A86" s="0" t="s">
        <v>11381</v>
      </c>
      <c r="B86" s="0" t="s">
        <v>11279</v>
      </c>
      <c r="C86" s="0" t="s">
        <v>33</v>
      </c>
      <c r="D86" s="0" t="n">
        <v>1</v>
      </c>
      <c r="E86" s="0" t="n">
        <v>0</v>
      </c>
      <c r="F86" s="0" t="n">
        <v>0</v>
      </c>
      <c r="G86" s="0" t="s">
        <v>11382</v>
      </c>
      <c r="H86" s="0" t="s">
        <v>277</v>
      </c>
    </row>
    <row r="87" customFormat="false" ht="15" hidden="false" customHeight="false" outlineLevel="0" collapsed="false">
      <c r="A87" s="0" t="s">
        <v>11383</v>
      </c>
      <c r="B87" s="0" t="s">
        <v>11279</v>
      </c>
      <c r="C87" s="0" t="s">
        <v>33</v>
      </c>
      <c r="D87" s="0" t="n">
        <v>18</v>
      </c>
      <c r="E87" s="0" t="n">
        <v>0</v>
      </c>
      <c r="F87" s="0" t="n">
        <v>0</v>
      </c>
      <c r="G87" s="0" t="s">
        <v>11285</v>
      </c>
      <c r="H87" s="0" t="s">
        <v>277</v>
      </c>
    </row>
    <row r="88" customFormat="false" ht="15" hidden="false" customHeight="false" outlineLevel="0" collapsed="false">
      <c r="A88" s="0" t="s">
        <v>11384</v>
      </c>
      <c r="B88" s="0" t="s">
        <v>11279</v>
      </c>
      <c r="C88" s="0" t="s">
        <v>33</v>
      </c>
      <c r="D88" s="0" t="n">
        <v>12</v>
      </c>
      <c r="E88" s="0" t="n">
        <v>0</v>
      </c>
      <c r="F88" s="0" t="n">
        <v>0</v>
      </c>
      <c r="G88" s="0" t="s">
        <v>11385</v>
      </c>
      <c r="H88" s="0" t="s">
        <v>277</v>
      </c>
    </row>
    <row r="89" customFormat="false" ht="15" hidden="false" customHeight="false" outlineLevel="0" collapsed="false">
      <c r="A89" s="0" t="s">
        <v>11386</v>
      </c>
      <c r="B89" s="0" t="s">
        <v>11279</v>
      </c>
      <c r="C89" s="0" t="s">
        <v>33</v>
      </c>
      <c r="D89" s="0" t="n">
        <v>0</v>
      </c>
      <c r="E89" s="0" t="n">
        <v>0</v>
      </c>
      <c r="F89" s="0" t="n">
        <v>0</v>
      </c>
      <c r="G89" s="0" t="s">
        <v>11283</v>
      </c>
      <c r="H89" s="0" t="s">
        <v>277</v>
      </c>
    </row>
    <row r="90" customFormat="false" ht="15" hidden="false" customHeight="false" outlineLevel="0" collapsed="false">
      <c r="A90" s="0" t="s">
        <v>11387</v>
      </c>
      <c r="B90" s="0" t="s">
        <v>11279</v>
      </c>
      <c r="C90" s="0" t="s">
        <v>33</v>
      </c>
      <c r="D90" s="0" t="n">
        <v>0</v>
      </c>
      <c r="E90" s="0" t="n">
        <v>0</v>
      </c>
      <c r="F90" s="0" t="n">
        <v>0</v>
      </c>
      <c r="G90" s="0" t="s">
        <v>11388</v>
      </c>
      <c r="H90" s="0" t="s">
        <v>277</v>
      </c>
    </row>
    <row r="91" customFormat="false" ht="15" hidden="false" customHeight="false" outlineLevel="0" collapsed="false">
      <c r="A91" s="0" t="s">
        <v>11389</v>
      </c>
      <c r="B91" s="0" t="s">
        <v>11279</v>
      </c>
      <c r="C91" s="0" t="s">
        <v>33</v>
      </c>
      <c r="D91" s="0" t="n">
        <v>0</v>
      </c>
      <c r="E91" s="0" t="n">
        <v>0</v>
      </c>
      <c r="F91" s="0" t="n">
        <v>0</v>
      </c>
      <c r="G91" s="0" t="s">
        <v>11285</v>
      </c>
      <c r="H91" s="0" t="s">
        <v>277</v>
      </c>
    </row>
    <row r="92" customFormat="false" ht="15" hidden="false" customHeight="false" outlineLevel="0" collapsed="false">
      <c r="A92" s="0" t="s">
        <v>11390</v>
      </c>
      <c r="B92" s="0" t="s">
        <v>11279</v>
      </c>
      <c r="C92" s="0" t="s">
        <v>39</v>
      </c>
      <c r="D92" s="0" t="n">
        <v>0</v>
      </c>
      <c r="E92" s="0" t="n">
        <v>0</v>
      </c>
      <c r="F92" s="0" t="n">
        <v>0</v>
      </c>
      <c r="H92" s="0" t="s">
        <v>277</v>
      </c>
    </row>
    <row r="93" customFormat="false" ht="15" hidden="false" customHeight="false" outlineLevel="0" collapsed="false">
      <c r="A93" s="0" t="s">
        <v>11391</v>
      </c>
      <c r="B93" s="0" t="s">
        <v>11279</v>
      </c>
      <c r="C93" s="0" t="s">
        <v>33</v>
      </c>
      <c r="D93" s="0" t="n">
        <v>0</v>
      </c>
      <c r="E93" s="0" t="n">
        <v>0</v>
      </c>
      <c r="F93" s="0" t="n">
        <v>0</v>
      </c>
      <c r="G93" s="0" t="s">
        <v>11392</v>
      </c>
      <c r="H93" s="0" t="s">
        <v>277</v>
      </c>
    </row>
    <row r="94" customFormat="false" ht="15" hidden="false" customHeight="false" outlineLevel="0" collapsed="false">
      <c r="A94" s="0" t="s">
        <v>11393</v>
      </c>
      <c r="B94" s="0" t="s">
        <v>11279</v>
      </c>
      <c r="C94" s="0" t="s">
        <v>33</v>
      </c>
      <c r="D94" s="0" t="n">
        <v>0</v>
      </c>
      <c r="E94" s="0" t="n">
        <v>0</v>
      </c>
      <c r="F94" s="0" t="n">
        <v>0</v>
      </c>
      <c r="G94" s="0" t="s">
        <v>11392</v>
      </c>
      <c r="H94" s="0" t="s">
        <v>277</v>
      </c>
    </row>
    <row r="95" customFormat="false" ht="15" hidden="false" customHeight="false" outlineLevel="0" collapsed="false">
      <c r="A95" s="0" t="s">
        <v>11394</v>
      </c>
      <c r="B95" s="0" t="s">
        <v>11279</v>
      </c>
      <c r="C95" s="0" t="s">
        <v>39</v>
      </c>
      <c r="D95" s="0" t="n">
        <v>0</v>
      </c>
      <c r="E95" s="0" t="n">
        <v>0</v>
      </c>
      <c r="F95" s="0" t="n">
        <v>0</v>
      </c>
      <c r="H95" s="0" t="s">
        <v>277</v>
      </c>
    </row>
    <row r="96" customFormat="false" ht="15" hidden="false" customHeight="false" outlineLevel="0" collapsed="false">
      <c r="A96" s="0" t="s">
        <v>11395</v>
      </c>
      <c r="B96" s="0" t="s">
        <v>11279</v>
      </c>
      <c r="C96" s="0" t="s">
        <v>39</v>
      </c>
      <c r="D96" s="0" t="n">
        <v>0</v>
      </c>
      <c r="E96" s="0" t="n">
        <v>0</v>
      </c>
      <c r="F96" s="0" t="n">
        <v>0</v>
      </c>
      <c r="H96" s="0" t="s">
        <v>277</v>
      </c>
    </row>
    <row r="97" customFormat="false" ht="15" hidden="false" customHeight="false" outlineLevel="0" collapsed="false">
      <c r="A97" s="0" t="s">
        <v>11396</v>
      </c>
      <c r="B97" s="0" t="s">
        <v>11279</v>
      </c>
      <c r="C97" s="0" t="s">
        <v>39</v>
      </c>
      <c r="D97" s="0" t="n">
        <v>0</v>
      </c>
      <c r="E97" s="0" t="n">
        <v>0</v>
      </c>
      <c r="F97" s="0" t="n">
        <v>0</v>
      </c>
      <c r="H97" s="0" t="s">
        <v>277</v>
      </c>
    </row>
    <row r="98" customFormat="false" ht="15" hidden="false" customHeight="false" outlineLevel="0" collapsed="false">
      <c r="A98" s="0" t="s">
        <v>11397</v>
      </c>
      <c r="B98" s="0" t="s">
        <v>11279</v>
      </c>
      <c r="C98" s="0" t="s">
        <v>33</v>
      </c>
      <c r="D98" s="0" t="n">
        <v>0</v>
      </c>
      <c r="E98" s="0" t="n">
        <v>0</v>
      </c>
      <c r="F98" s="0" t="n">
        <v>0</v>
      </c>
      <c r="G98" s="0" t="s">
        <v>11285</v>
      </c>
      <c r="H98" s="0" t="s">
        <v>277</v>
      </c>
    </row>
    <row r="99" customFormat="false" ht="15" hidden="false" customHeight="false" outlineLevel="0" collapsed="false">
      <c r="A99" s="0" t="s">
        <v>11398</v>
      </c>
      <c r="B99" s="0" t="s">
        <v>11279</v>
      </c>
      <c r="C99" s="0" t="s">
        <v>39</v>
      </c>
      <c r="D99" s="0" t="n">
        <v>0</v>
      </c>
      <c r="E99" s="0" t="n">
        <v>0</v>
      </c>
      <c r="F99" s="0" t="n">
        <v>0</v>
      </c>
      <c r="H99" s="0" t="s">
        <v>277</v>
      </c>
    </row>
    <row r="100" customFormat="false" ht="15" hidden="false" customHeight="false" outlineLevel="0" collapsed="false">
      <c r="A100" s="0" t="s">
        <v>11399</v>
      </c>
      <c r="B100" s="0" t="s">
        <v>11279</v>
      </c>
      <c r="C100" s="0" t="s">
        <v>33</v>
      </c>
      <c r="D100" s="0" t="n">
        <v>0</v>
      </c>
      <c r="E100" s="0" t="n">
        <v>0</v>
      </c>
      <c r="F100" s="0" t="n">
        <v>0</v>
      </c>
      <c r="G100" s="0" t="s">
        <v>11400</v>
      </c>
      <c r="H100" s="0" t="s">
        <v>277</v>
      </c>
    </row>
    <row r="101" customFormat="false" ht="15" hidden="false" customHeight="false" outlineLevel="0" collapsed="false">
      <c r="A101" s="0" t="s">
        <v>11401</v>
      </c>
      <c r="B101" s="0" t="s">
        <v>11279</v>
      </c>
      <c r="C101" s="0" t="s">
        <v>33</v>
      </c>
      <c r="D101" s="0" t="n">
        <v>1</v>
      </c>
      <c r="E101" s="0" t="n">
        <v>0</v>
      </c>
      <c r="F101" s="0" t="n">
        <v>0</v>
      </c>
      <c r="G101" s="0" t="s">
        <v>11402</v>
      </c>
      <c r="H101" s="0" t="s">
        <v>277</v>
      </c>
    </row>
    <row r="102" customFormat="false" ht="15" hidden="false" customHeight="false" outlineLevel="0" collapsed="false">
      <c r="A102" s="0" t="s">
        <v>11403</v>
      </c>
      <c r="B102" s="0" t="s">
        <v>11279</v>
      </c>
      <c r="C102" s="0" t="s">
        <v>33</v>
      </c>
      <c r="D102" s="0" t="n">
        <v>0</v>
      </c>
      <c r="E102" s="0" t="n">
        <v>0</v>
      </c>
      <c r="F102" s="0" t="n">
        <v>0</v>
      </c>
      <c r="G102" s="0" t="s">
        <v>11404</v>
      </c>
      <c r="H102" s="0" t="s">
        <v>277</v>
      </c>
    </row>
    <row r="103" customFormat="false" ht="15" hidden="false" customHeight="false" outlineLevel="0" collapsed="false">
      <c r="A103" s="0" t="s">
        <v>11405</v>
      </c>
      <c r="B103" s="0" t="s">
        <v>11279</v>
      </c>
      <c r="C103" s="0" t="s">
        <v>33</v>
      </c>
      <c r="D103" s="0" t="n">
        <v>0</v>
      </c>
      <c r="E103" s="0" t="n">
        <v>0</v>
      </c>
      <c r="F103" s="0" t="n">
        <v>0</v>
      </c>
      <c r="G103" s="0" t="s">
        <v>11285</v>
      </c>
      <c r="H103" s="0" t="s">
        <v>277</v>
      </c>
    </row>
    <row r="104" customFormat="false" ht="15" hidden="false" customHeight="false" outlineLevel="0" collapsed="false">
      <c r="A104" s="0" t="s">
        <v>11406</v>
      </c>
      <c r="B104" s="0" t="s">
        <v>11279</v>
      </c>
      <c r="C104" s="0" t="s">
        <v>39</v>
      </c>
      <c r="D104" s="0" t="n">
        <v>0</v>
      </c>
      <c r="E104" s="0" t="n">
        <v>0</v>
      </c>
      <c r="F104" s="0" t="n">
        <v>0</v>
      </c>
      <c r="H104" s="0" t="s">
        <v>277</v>
      </c>
    </row>
    <row r="105" customFormat="false" ht="15" hidden="false" customHeight="false" outlineLevel="0" collapsed="false">
      <c r="A105" s="0" t="s">
        <v>11407</v>
      </c>
      <c r="B105" s="0" t="s">
        <v>11279</v>
      </c>
      <c r="C105" s="0" t="s">
        <v>39</v>
      </c>
      <c r="D105" s="0" t="n">
        <v>0</v>
      </c>
      <c r="E105" s="0" t="n">
        <v>0</v>
      </c>
      <c r="F105" s="0" t="n">
        <v>0</v>
      </c>
      <c r="H105" s="0" t="s">
        <v>277</v>
      </c>
    </row>
    <row r="106" customFormat="false" ht="15" hidden="false" customHeight="false" outlineLevel="0" collapsed="false">
      <c r="A106" s="0" t="s">
        <v>11408</v>
      </c>
      <c r="B106" s="0" t="s">
        <v>11279</v>
      </c>
      <c r="C106" s="0" t="s">
        <v>106</v>
      </c>
      <c r="D106" s="0" t="n">
        <v>0</v>
      </c>
      <c r="E106" s="0" t="n">
        <v>0</v>
      </c>
      <c r="F106" s="0" t="n">
        <v>0</v>
      </c>
      <c r="G106" s="0" t="s">
        <v>11283</v>
      </c>
      <c r="H106" s="0" t="s">
        <v>277</v>
      </c>
    </row>
    <row r="107" customFormat="false" ht="15" hidden="false" customHeight="false" outlineLevel="0" collapsed="false">
      <c r="A107" s="0" t="s">
        <v>11409</v>
      </c>
      <c r="B107" s="0" t="s">
        <v>11279</v>
      </c>
      <c r="C107" s="0" t="s">
        <v>33</v>
      </c>
      <c r="D107" s="0" t="n">
        <v>0</v>
      </c>
      <c r="E107" s="0" t="n">
        <v>0</v>
      </c>
      <c r="F107" s="0" t="n">
        <v>0</v>
      </c>
      <c r="G107" s="0" t="s">
        <v>11285</v>
      </c>
      <c r="H107" s="0" t="s">
        <v>277</v>
      </c>
    </row>
    <row r="108" customFormat="false" ht="15" hidden="false" customHeight="false" outlineLevel="0" collapsed="false">
      <c r="A108" s="0" t="s">
        <v>11410</v>
      </c>
      <c r="B108" s="0" t="s">
        <v>11279</v>
      </c>
      <c r="C108" s="0" t="s">
        <v>33</v>
      </c>
      <c r="D108" s="0" t="n">
        <v>0</v>
      </c>
      <c r="E108" s="0" t="n">
        <v>0</v>
      </c>
      <c r="F108" s="0" t="n">
        <v>0</v>
      </c>
      <c r="G108" s="0" t="s">
        <v>11283</v>
      </c>
      <c r="H108" s="0" t="s">
        <v>277</v>
      </c>
    </row>
    <row r="109" customFormat="false" ht="15" hidden="false" customHeight="false" outlineLevel="0" collapsed="false">
      <c r="A109" s="0" t="s">
        <v>11411</v>
      </c>
      <c r="B109" s="0" t="s">
        <v>11279</v>
      </c>
      <c r="C109" s="0" t="s">
        <v>106</v>
      </c>
      <c r="D109" s="0" t="n">
        <v>0</v>
      </c>
      <c r="E109" s="0" t="n">
        <v>0</v>
      </c>
      <c r="F109" s="0" t="n">
        <v>0</v>
      </c>
      <c r="G109" s="0" t="s">
        <v>11283</v>
      </c>
      <c r="H109" s="0" t="s">
        <v>277</v>
      </c>
    </row>
    <row r="110" customFormat="false" ht="15" hidden="false" customHeight="false" outlineLevel="0" collapsed="false">
      <c r="A110" s="0" t="s">
        <v>11412</v>
      </c>
      <c r="B110" s="0" t="s">
        <v>11279</v>
      </c>
      <c r="C110" s="0" t="s">
        <v>39</v>
      </c>
      <c r="D110" s="0" t="n">
        <v>0</v>
      </c>
      <c r="E110" s="0" t="n">
        <v>0</v>
      </c>
      <c r="F110" s="0" t="n">
        <v>0</v>
      </c>
      <c r="H110" s="0" t="s">
        <v>277</v>
      </c>
    </row>
    <row r="111" customFormat="false" ht="15" hidden="false" customHeight="false" outlineLevel="0" collapsed="false">
      <c r="A111" s="0" t="s">
        <v>11413</v>
      </c>
      <c r="B111" s="0" t="s">
        <v>11279</v>
      </c>
      <c r="C111" s="0" t="s">
        <v>39</v>
      </c>
      <c r="D111" s="0" t="n">
        <v>0</v>
      </c>
      <c r="E111" s="0" t="n">
        <v>0</v>
      </c>
      <c r="F111" s="0" t="n">
        <v>0</v>
      </c>
      <c r="H111" s="0" t="s">
        <v>277</v>
      </c>
    </row>
    <row r="112" customFormat="false" ht="15" hidden="false" customHeight="false" outlineLevel="0" collapsed="false">
      <c r="A112" s="0" t="s">
        <v>11414</v>
      </c>
      <c r="B112" s="0" t="s">
        <v>11279</v>
      </c>
      <c r="C112" s="0" t="s">
        <v>39</v>
      </c>
      <c r="D112" s="0" t="n">
        <v>0</v>
      </c>
      <c r="E112" s="0" t="n">
        <v>0</v>
      </c>
      <c r="F112" s="0" t="n">
        <v>0</v>
      </c>
      <c r="H112" s="0" t="s">
        <v>277</v>
      </c>
    </row>
    <row r="113" customFormat="false" ht="15" hidden="false" customHeight="false" outlineLevel="0" collapsed="false">
      <c r="A113" s="0" t="s">
        <v>11415</v>
      </c>
      <c r="B113" s="0" t="s">
        <v>11279</v>
      </c>
      <c r="C113" s="0" t="s">
        <v>39</v>
      </c>
      <c r="D113" s="0" t="n">
        <v>0</v>
      </c>
      <c r="E113" s="0" t="n">
        <v>0</v>
      </c>
      <c r="F113" s="0" t="n">
        <v>0</v>
      </c>
      <c r="H113" s="0" t="s">
        <v>277</v>
      </c>
    </row>
    <row r="114" customFormat="false" ht="15" hidden="false" customHeight="false" outlineLevel="0" collapsed="false">
      <c r="A114" s="0" t="s">
        <v>11416</v>
      </c>
      <c r="B114" s="0" t="s">
        <v>11279</v>
      </c>
      <c r="C114" s="0" t="s">
        <v>33</v>
      </c>
      <c r="D114" s="0" t="n">
        <v>1</v>
      </c>
      <c r="E114" s="0" t="n">
        <v>0</v>
      </c>
      <c r="F114" s="0" t="n">
        <v>0</v>
      </c>
      <c r="G114" s="0" t="s">
        <v>11388</v>
      </c>
      <c r="H114" s="0" t="s">
        <v>277</v>
      </c>
    </row>
    <row r="115" customFormat="false" ht="15" hidden="false" customHeight="false" outlineLevel="0" collapsed="false">
      <c r="A115" s="0" t="s">
        <v>11417</v>
      </c>
      <c r="B115" s="0" t="s">
        <v>11279</v>
      </c>
      <c r="C115" s="0" t="s">
        <v>33</v>
      </c>
      <c r="D115" s="0" t="n">
        <v>78</v>
      </c>
      <c r="E115" s="0" t="n">
        <v>0</v>
      </c>
      <c r="F115" s="0" t="n">
        <v>0</v>
      </c>
      <c r="G115" s="0" t="s">
        <v>11418</v>
      </c>
      <c r="H115" s="0" t="s">
        <v>277</v>
      </c>
    </row>
    <row r="116" customFormat="false" ht="15" hidden="false" customHeight="false" outlineLevel="0" collapsed="false">
      <c r="A116" s="0" t="s">
        <v>11419</v>
      </c>
      <c r="B116" s="0" t="s">
        <v>11279</v>
      </c>
      <c r="C116" s="0" t="s">
        <v>30</v>
      </c>
      <c r="D116" s="0" t="n">
        <v>0</v>
      </c>
      <c r="E116" s="0" t="n">
        <v>0</v>
      </c>
      <c r="F116" s="0" t="n">
        <v>0</v>
      </c>
      <c r="G116" s="0" t="s">
        <v>11306</v>
      </c>
      <c r="H116" s="0" t="s">
        <v>277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2" min="1" style="0" width="60"/>
    <col collapsed="false" customWidth="true" hidden="false" outlineLevel="0" max="3" min="3" style="0" width="45"/>
    <col collapsed="false" customWidth="true" hidden="false" outlineLevel="0" max="4" min="4" style="0" width="60"/>
    <col collapsed="false" customWidth="true" hidden="false" outlineLevel="0" max="5" min="5" style="0" width="12"/>
  </cols>
  <sheetData>
    <row r="1" customFormat="false" ht="15" hidden="false" customHeight="false" outlineLevel="0" collapsed="false">
      <c r="A1" s="1" t="s">
        <v>256</v>
      </c>
      <c r="B1" s="1" t="s">
        <v>6071</v>
      </c>
      <c r="C1" s="1" t="s">
        <v>11420</v>
      </c>
      <c r="D1" s="1" t="s">
        <v>11421</v>
      </c>
      <c r="E1" s="1" t="s">
        <v>11277</v>
      </c>
    </row>
    <row r="2" customFormat="false" ht="15" hidden="false" customHeight="false" outlineLevel="0" collapsed="false">
      <c r="A2" s="0" t="s">
        <v>1757</v>
      </c>
      <c r="B2" s="0" t="s">
        <v>11422</v>
      </c>
      <c r="C2" s="0" t="s">
        <v>11423</v>
      </c>
      <c r="E2" s="0" t="s">
        <v>277</v>
      </c>
    </row>
    <row r="3" customFormat="false" ht="15" hidden="false" customHeight="false" outlineLevel="0" collapsed="false">
      <c r="A3" s="0" t="s">
        <v>11424</v>
      </c>
      <c r="B3" s="0" t="s">
        <v>11425</v>
      </c>
      <c r="C3" s="0" t="s">
        <v>11423</v>
      </c>
      <c r="E3" s="0" t="s">
        <v>277</v>
      </c>
    </row>
    <row r="4" customFormat="false" ht="15" hidden="false" customHeight="false" outlineLevel="0" collapsed="false">
      <c r="A4" s="0" t="s">
        <v>11426</v>
      </c>
      <c r="B4" s="0" t="s">
        <v>11427</v>
      </c>
      <c r="C4" s="0" t="s">
        <v>11423</v>
      </c>
      <c r="E4" s="0" t="s">
        <v>277</v>
      </c>
    </row>
    <row r="5" customFormat="false" ht="15" hidden="false" customHeight="false" outlineLevel="0" collapsed="false">
      <c r="A5" s="0" t="s">
        <v>11428</v>
      </c>
      <c r="B5" s="0" t="s">
        <v>11429</v>
      </c>
      <c r="C5" s="0" t="s">
        <v>11430</v>
      </c>
      <c r="E5" s="0" t="s">
        <v>277</v>
      </c>
    </row>
    <row r="6" customFormat="false" ht="15" hidden="false" customHeight="false" outlineLevel="0" collapsed="false">
      <c r="A6" s="0" t="s">
        <v>11431</v>
      </c>
      <c r="B6" s="0" t="s">
        <v>11432</v>
      </c>
      <c r="C6" s="0" t="s">
        <v>11430</v>
      </c>
      <c r="E6" s="0" t="s">
        <v>277</v>
      </c>
    </row>
    <row r="7" customFormat="false" ht="15" hidden="false" customHeight="false" outlineLevel="0" collapsed="false">
      <c r="A7" s="0" t="s">
        <v>11433</v>
      </c>
      <c r="B7" s="0" t="s">
        <v>11434</v>
      </c>
      <c r="C7" s="0" t="s">
        <v>11430</v>
      </c>
      <c r="E7" s="0" t="s">
        <v>277</v>
      </c>
    </row>
    <row r="8" customFormat="false" ht="15" hidden="false" customHeight="false" outlineLevel="0" collapsed="false">
      <c r="A8" s="0" t="s">
        <v>11435</v>
      </c>
      <c r="B8" s="0" t="s">
        <v>11436</v>
      </c>
      <c r="C8" s="0" t="s">
        <v>11430</v>
      </c>
      <c r="E8" s="0" t="s">
        <v>277</v>
      </c>
    </row>
    <row r="9" customFormat="false" ht="15" hidden="false" customHeight="false" outlineLevel="0" collapsed="false">
      <c r="A9" s="0" t="s">
        <v>11437</v>
      </c>
      <c r="B9" s="0" t="s">
        <v>11438</v>
      </c>
      <c r="C9" s="0" t="s">
        <v>11430</v>
      </c>
      <c r="E9" s="0" t="s">
        <v>277</v>
      </c>
    </row>
    <row r="10" customFormat="false" ht="15" hidden="false" customHeight="false" outlineLevel="0" collapsed="false">
      <c r="A10" s="0" t="s">
        <v>11439</v>
      </c>
      <c r="B10" s="0" t="s">
        <v>11440</v>
      </c>
      <c r="D10" s="0" t="s">
        <v>11441</v>
      </c>
      <c r="E10" s="0" t="s">
        <v>277</v>
      </c>
    </row>
    <row r="11" customFormat="false" ht="15" hidden="false" customHeight="false" outlineLevel="0" collapsed="false">
      <c r="A11" s="0" t="s">
        <v>3054</v>
      </c>
      <c r="D11" s="0" t="s">
        <v>11442</v>
      </c>
      <c r="E11" s="0" t="s">
        <v>277</v>
      </c>
    </row>
    <row r="12" customFormat="false" ht="15" hidden="false" customHeight="false" outlineLevel="0" collapsed="false">
      <c r="A12" s="0" t="s">
        <v>11443</v>
      </c>
      <c r="B12" s="0" t="s">
        <v>11444</v>
      </c>
      <c r="D12" s="0" t="s">
        <v>11442</v>
      </c>
      <c r="E12" s="0" t="s">
        <v>277</v>
      </c>
    </row>
    <row r="13" customFormat="false" ht="15" hidden="false" customHeight="false" outlineLevel="0" collapsed="false">
      <c r="A13" s="0" t="s">
        <v>3076</v>
      </c>
      <c r="B13" s="0" t="s">
        <v>11445</v>
      </c>
      <c r="D13" s="0" t="s">
        <v>11442</v>
      </c>
      <c r="E13" s="0" t="s">
        <v>277</v>
      </c>
    </row>
    <row r="14" customFormat="false" ht="15" hidden="false" customHeight="false" outlineLevel="0" collapsed="false">
      <c r="A14" s="0" t="s">
        <v>4565</v>
      </c>
      <c r="D14" s="0" t="s">
        <v>11446</v>
      </c>
      <c r="E14" s="0" t="s">
        <v>277</v>
      </c>
    </row>
    <row r="15" customFormat="false" ht="15" hidden="false" customHeight="false" outlineLevel="0" collapsed="false">
      <c r="A15" s="0" t="s">
        <v>11447</v>
      </c>
      <c r="B15" s="0" t="s">
        <v>11440</v>
      </c>
      <c r="D15" s="0" t="s">
        <v>11441</v>
      </c>
      <c r="E15" s="0" t="s">
        <v>277</v>
      </c>
    </row>
    <row r="16" customFormat="false" ht="15" hidden="false" customHeight="false" outlineLevel="0" collapsed="false">
      <c r="A16" s="0" t="s">
        <v>11448</v>
      </c>
      <c r="D16" s="0" t="s">
        <v>11449</v>
      </c>
      <c r="E16" s="0" t="s">
        <v>277</v>
      </c>
    </row>
    <row r="17" customFormat="false" ht="15" hidden="false" customHeight="false" outlineLevel="0" collapsed="false">
      <c r="A17" s="0" t="s">
        <v>11450</v>
      </c>
      <c r="D17" s="0" t="s">
        <v>11451</v>
      </c>
      <c r="E17" s="0" t="s">
        <v>277</v>
      </c>
    </row>
    <row r="18" customFormat="false" ht="15" hidden="false" customHeight="false" outlineLevel="0" collapsed="false">
      <c r="A18" s="0" t="s">
        <v>11452</v>
      </c>
      <c r="D18" s="0" t="s">
        <v>11453</v>
      </c>
      <c r="E18" s="0" t="s">
        <v>277</v>
      </c>
    </row>
    <row r="19" customFormat="false" ht="15" hidden="false" customHeight="false" outlineLevel="0" collapsed="false">
      <c r="A19" s="0" t="s">
        <v>11454</v>
      </c>
      <c r="D19" s="0" t="s">
        <v>11455</v>
      </c>
      <c r="E19" s="0" t="s">
        <v>277</v>
      </c>
    </row>
    <row r="20" customFormat="false" ht="15" hidden="false" customHeight="false" outlineLevel="0" collapsed="false">
      <c r="A20" s="0" t="s">
        <v>11456</v>
      </c>
      <c r="B20" s="0" t="s">
        <v>11457</v>
      </c>
      <c r="D20" s="0" t="s">
        <v>11458</v>
      </c>
      <c r="E20" s="0" t="s">
        <v>277</v>
      </c>
    </row>
    <row r="21" customFormat="false" ht="15" hidden="false" customHeight="false" outlineLevel="0" collapsed="false">
      <c r="A21" s="0" t="s">
        <v>11459</v>
      </c>
      <c r="D21" s="0" t="s">
        <v>11460</v>
      </c>
      <c r="E21" s="0" t="s">
        <v>277</v>
      </c>
    </row>
    <row r="22" customFormat="false" ht="15" hidden="false" customHeight="false" outlineLevel="0" collapsed="false">
      <c r="A22" s="0" t="s">
        <v>3181</v>
      </c>
      <c r="B22" s="0" t="s">
        <v>11461</v>
      </c>
      <c r="D22" s="0" t="s">
        <v>11462</v>
      </c>
      <c r="E22" s="0" t="s">
        <v>277</v>
      </c>
    </row>
    <row r="23" customFormat="false" ht="15" hidden="false" customHeight="false" outlineLevel="0" collapsed="false">
      <c r="A23" s="0" t="s">
        <v>11463</v>
      </c>
      <c r="B23" s="0" t="s">
        <v>11464</v>
      </c>
      <c r="D23" s="0" t="s">
        <v>11465</v>
      </c>
      <c r="E23" s="0" t="s">
        <v>277</v>
      </c>
    </row>
    <row r="24" customFormat="false" ht="15" hidden="false" customHeight="false" outlineLevel="0" collapsed="false">
      <c r="A24" s="0" t="s">
        <v>11466</v>
      </c>
      <c r="D24" s="0" t="s">
        <v>11451</v>
      </c>
      <c r="E24" s="0" t="s">
        <v>277</v>
      </c>
    </row>
    <row r="25" customFormat="false" ht="15" hidden="false" customHeight="false" outlineLevel="0" collapsed="false">
      <c r="A25" s="0" t="s">
        <v>11467</v>
      </c>
      <c r="D25" s="0" t="s">
        <v>11468</v>
      </c>
      <c r="E25" s="0" t="s">
        <v>277</v>
      </c>
    </row>
    <row r="26" customFormat="false" ht="15" hidden="false" customHeight="false" outlineLevel="0" collapsed="false">
      <c r="A26" s="0" t="s">
        <v>11469</v>
      </c>
      <c r="D26" s="0" t="s">
        <v>11470</v>
      </c>
      <c r="E26" s="0" t="s">
        <v>277</v>
      </c>
    </row>
    <row r="27" customFormat="false" ht="15" hidden="false" customHeight="false" outlineLevel="0" collapsed="false">
      <c r="A27" s="0" t="s">
        <v>11471</v>
      </c>
      <c r="B27" s="0" t="s">
        <v>11472</v>
      </c>
      <c r="D27" s="0" t="s">
        <v>11442</v>
      </c>
      <c r="E27" s="0" t="s">
        <v>277</v>
      </c>
    </row>
    <row r="28" customFormat="false" ht="15" hidden="false" customHeight="false" outlineLevel="0" collapsed="false">
      <c r="A28" s="0" t="s">
        <v>11473</v>
      </c>
      <c r="D28" s="0" t="s">
        <v>11474</v>
      </c>
      <c r="E28" s="0" t="s">
        <v>277</v>
      </c>
    </row>
    <row r="29" customFormat="false" ht="15" hidden="false" customHeight="false" outlineLevel="0" collapsed="false">
      <c r="A29" s="0" t="s">
        <v>11475</v>
      </c>
      <c r="D29" s="0" t="s">
        <v>11476</v>
      </c>
      <c r="E29" s="0" t="s">
        <v>277</v>
      </c>
    </row>
    <row r="30" customFormat="false" ht="15" hidden="false" customHeight="false" outlineLevel="0" collapsed="false">
      <c r="A30" s="0" t="s">
        <v>11477</v>
      </c>
      <c r="B30" s="0" t="s">
        <v>11478</v>
      </c>
      <c r="D30" s="0" t="s">
        <v>11479</v>
      </c>
      <c r="E30" s="0" t="s">
        <v>277</v>
      </c>
    </row>
    <row r="31" customFormat="false" ht="15" hidden="false" customHeight="false" outlineLevel="0" collapsed="false">
      <c r="A31" s="0" t="s">
        <v>11480</v>
      </c>
      <c r="D31" s="0" t="s">
        <v>11481</v>
      </c>
      <c r="E31" s="0" t="s">
        <v>277</v>
      </c>
    </row>
    <row r="32" customFormat="false" ht="15" hidden="false" customHeight="false" outlineLevel="0" collapsed="false">
      <c r="A32" s="0" t="s">
        <v>11482</v>
      </c>
      <c r="D32" s="0" t="s">
        <v>11483</v>
      </c>
      <c r="E32" s="0" t="s">
        <v>277</v>
      </c>
    </row>
    <row r="33" customFormat="false" ht="15" hidden="false" customHeight="false" outlineLevel="0" collapsed="false">
      <c r="A33" s="0" t="s">
        <v>11484</v>
      </c>
      <c r="D33" s="0" t="s">
        <v>11485</v>
      </c>
      <c r="E33" s="0" t="s">
        <v>277</v>
      </c>
    </row>
    <row r="34" customFormat="false" ht="15" hidden="false" customHeight="false" outlineLevel="0" collapsed="false">
      <c r="A34" s="0" t="s">
        <v>11486</v>
      </c>
      <c r="B34" s="0" t="s">
        <v>11487</v>
      </c>
      <c r="D34" s="0" t="s">
        <v>11488</v>
      </c>
      <c r="E34" s="0" t="s">
        <v>277</v>
      </c>
    </row>
    <row r="35" customFormat="false" ht="15" hidden="false" customHeight="false" outlineLevel="0" collapsed="false">
      <c r="A35" s="0" t="s">
        <v>11489</v>
      </c>
      <c r="D35" s="0" t="s">
        <v>11490</v>
      </c>
      <c r="E35" s="0" t="s">
        <v>277</v>
      </c>
    </row>
    <row r="36" customFormat="false" ht="15" hidden="false" customHeight="false" outlineLevel="0" collapsed="false">
      <c r="A36" s="0" t="s">
        <v>11491</v>
      </c>
      <c r="D36" s="0" t="s">
        <v>11492</v>
      </c>
      <c r="E36" s="0" t="s">
        <v>277</v>
      </c>
    </row>
    <row r="37" customFormat="false" ht="15" hidden="false" customHeight="false" outlineLevel="0" collapsed="false">
      <c r="A37" s="0" t="s">
        <v>11493</v>
      </c>
      <c r="D37" s="0" t="s">
        <v>11494</v>
      </c>
      <c r="E37" s="0" t="s">
        <v>277</v>
      </c>
    </row>
    <row r="38" customFormat="false" ht="15" hidden="false" customHeight="false" outlineLevel="0" collapsed="false">
      <c r="A38" s="0" t="s">
        <v>11495</v>
      </c>
      <c r="B38" s="0" t="s">
        <v>11496</v>
      </c>
      <c r="D38" s="0" t="s">
        <v>11497</v>
      </c>
      <c r="E38" s="0" t="s">
        <v>277</v>
      </c>
    </row>
    <row r="39" customFormat="false" ht="15" hidden="false" customHeight="false" outlineLevel="0" collapsed="false">
      <c r="A39" s="0" t="s">
        <v>11498</v>
      </c>
      <c r="D39" s="0" t="s">
        <v>11499</v>
      </c>
      <c r="E39" s="0" t="s">
        <v>277</v>
      </c>
    </row>
    <row r="40" customFormat="false" ht="15" hidden="false" customHeight="false" outlineLevel="0" collapsed="false">
      <c r="A40" s="0" t="s">
        <v>11500</v>
      </c>
      <c r="D40" s="0" t="s">
        <v>11501</v>
      </c>
      <c r="E40" s="0" t="s">
        <v>277</v>
      </c>
    </row>
    <row r="41" customFormat="false" ht="15" hidden="false" customHeight="false" outlineLevel="0" collapsed="false">
      <c r="A41" s="0" t="s">
        <v>11502</v>
      </c>
      <c r="B41" s="0" t="s">
        <v>11503</v>
      </c>
      <c r="D41" s="0" t="s">
        <v>11504</v>
      </c>
      <c r="E41" s="0" t="s">
        <v>277</v>
      </c>
    </row>
    <row r="42" customFormat="false" ht="15" hidden="false" customHeight="false" outlineLevel="0" collapsed="false">
      <c r="A42" s="0" t="s">
        <v>11505</v>
      </c>
      <c r="B42" s="0" t="s">
        <v>11506</v>
      </c>
      <c r="D42" s="0" t="s">
        <v>11507</v>
      </c>
      <c r="E42" s="0" t="s">
        <v>277</v>
      </c>
    </row>
    <row r="43" customFormat="false" ht="15" hidden="false" customHeight="false" outlineLevel="0" collapsed="false">
      <c r="A43" s="0" t="s">
        <v>11508</v>
      </c>
      <c r="B43" s="0" t="s">
        <v>11509</v>
      </c>
      <c r="D43" s="0" t="s">
        <v>11510</v>
      </c>
      <c r="E43" s="0" t="s">
        <v>277</v>
      </c>
    </row>
    <row r="44" customFormat="false" ht="15" hidden="false" customHeight="false" outlineLevel="0" collapsed="false">
      <c r="A44" s="0" t="s">
        <v>11511</v>
      </c>
      <c r="B44" s="0" t="s">
        <v>11512</v>
      </c>
      <c r="D44" s="0" t="s">
        <v>11513</v>
      </c>
      <c r="E44" s="0" t="s">
        <v>277</v>
      </c>
    </row>
    <row r="45" customFormat="false" ht="15" hidden="false" customHeight="false" outlineLevel="0" collapsed="false">
      <c r="A45" s="0" t="s">
        <v>11514</v>
      </c>
      <c r="B45" s="0" t="s">
        <v>11509</v>
      </c>
      <c r="D45" s="0" t="s">
        <v>11515</v>
      </c>
      <c r="E45" s="0" t="s">
        <v>277</v>
      </c>
    </row>
    <row r="46" customFormat="false" ht="15" hidden="false" customHeight="false" outlineLevel="0" collapsed="false">
      <c r="A46" s="0" t="s">
        <v>11516</v>
      </c>
      <c r="D46" s="0" t="s">
        <v>11517</v>
      </c>
      <c r="E46" s="0" t="s">
        <v>277</v>
      </c>
    </row>
    <row r="47" customFormat="false" ht="15" hidden="false" customHeight="false" outlineLevel="0" collapsed="false">
      <c r="A47" s="0" t="s">
        <v>11518</v>
      </c>
      <c r="D47" s="0" t="s">
        <v>11519</v>
      </c>
      <c r="E47" s="0" t="s">
        <v>277</v>
      </c>
    </row>
    <row r="48" customFormat="false" ht="15" hidden="false" customHeight="false" outlineLevel="0" collapsed="false">
      <c r="A48" s="0" t="s">
        <v>11520</v>
      </c>
      <c r="B48" s="0" t="s">
        <v>11521</v>
      </c>
      <c r="D48" s="0" t="s">
        <v>11522</v>
      </c>
      <c r="E48" s="0" t="s">
        <v>277</v>
      </c>
    </row>
    <row r="49" customFormat="false" ht="15" hidden="false" customHeight="false" outlineLevel="0" collapsed="false">
      <c r="A49" s="0" t="s">
        <v>11523</v>
      </c>
      <c r="B49" s="0" t="s">
        <v>11521</v>
      </c>
      <c r="D49" s="0" t="s">
        <v>11524</v>
      </c>
      <c r="E49" s="0" t="s">
        <v>277</v>
      </c>
    </row>
    <row r="50" customFormat="false" ht="15" hidden="false" customHeight="false" outlineLevel="0" collapsed="false">
      <c r="A50" s="0" t="s">
        <v>11525</v>
      </c>
      <c r="D50" s="0" t="s">
        <v>11517</v>
      </c>
      <c r="E50" s="0" t="s">
        <v>277</v>
      </c>
    </row>
    <row r="51" customFormat="false" ht="15" hidden="false" customHeight="false" outlineLevel="0" collapsed="false">
      <c r="A51" s="0" t="s">
        <v>11526</v>
      </c>
      <c r="D51" s="0" t="s">
        <v>11527</v>
      </c>
      <c r="E51" s="0" t="s">
        <v>277</v>
      </c>
    </row>
    <row r="52" customFormat="false" ht="15" hidden="false" customHeight="false" outlineLevel="0" collapsed="false">
      <c r="A52" s="0" t="s">
        <v>11528</v>
      </c>
      <c r="B52" s="0" t="s">
        <v>11529</v>
      </c>
      <c r="D52" s="0" t="s">
        <v>11530</v>
      </c>
      <c r="E52" s="0" t="s">
        <v>277</v>
      </c>
    </row>
    <row r="53" customFormat="false" ht="15" hidden="false" customHeight="false" outlineLevel="0" collapsed="false">
      <c r="A53" s="0" t="s">
        <v>11531</v>
      </c>
      <c r="B53" s="0" t="s">
        <v>11532</v>
      </c>
      <c r="D53" s="0" t="s">
        <v>11533</v>
      </c>
      <c r="E53" s="0" t="s">
        <v>277</v>
      </c>
    </row>
    <row r="54" customFormat="false" ht="15" hidden="false" customHeight="false" outlineLevel="0" collapsed="false">
      <c r="A54" s="0" t="s">
        <v>11534</v>
      </c>
      <c r="D54" s="0" t="s">
        <v>11535</v>
      </c>
      <c r="E54" s="0" t="s">
        <v>277</v>
      </c>
    </row>
    <row r="55" customFormat="false" ht="15" hidden="false" customHeight="false" outlineLevel="0" collapsed="false">
      <c r="A55" s="0" t="s">
        <v>11536</v>
      </c>
      <c r="D55" s="0" t="s">
        <v>11537</v>
      </c>
      <c r="E55" s="0" t="s">
        <v>277</v>
      </c>
    </row>
    <row r="56" customFormat="false" ht="15" hidden="false" customHeight="false" outlineLevel="0" collapsed="false">
      <c r="A56" s="0" t="s">
        <v>11538</v>
      </c>
      <c r="D56" s="0" t="s">
        <v>11537</v>
      </c>
      <c r="E56" s="0" t="s">
        <v>277</v>
      </c>
    </row>
    <row r="57" customFormat="false" ht="15" hidden="false" customHeight="false" outlineLevel="0" collapsed="false">
      <c r="A57" s="0" t="s">
        <v>11539</v>
      </c>
      <c r="D57" s="0" t="s">
        <v>11540</v>
      </c>
      <c r="E57" s="0" t="s">
        <v>277</v>
      </c>
    </row>
    <row r="58" customFormat="false" ht="15" hidden="false" customHeight="false" outlineLevel="0" collapsed="false">
      <c r="A58" s="0" t="s">
        <v>11541</v>
      </c>
      <c r="D58" s="0" t="s">
        <v>11542</v>
      </c>
      <c r="E58" s="0" t="s">
        <v>277</v>
      </c>
    </row>
    <row r="59" customFormat="false" ht="15" hidden="false" customHeight="false" outlineLevel="0" collapsed="false">
      <c r="A59" s="0" t="s">
        <v>11543</v>
      </c>
      <c r="B59" s="0" t="s">
        <v>11544</v>
      </c>
      <c r="D59" s="0" t="s">
        <v>11545</v>
      </c>
      <c r="E59" s="0" t="s">
        <v>277</v>
      </c>
    </row>
    <row r="60" customFormat="false" ht="15" hidden="false" customHeight="false" outlineLevel="0" collapsed="false">
      <c r="A60" s="0" t="s">
        <v>11546</v>
      </c>
      <c r="B60" s="0" t="s">
        <v>11544</v>
      </c>
      <c r="D60" s="0" t="s">
        <v>11547</v>
      </c>
      <c r="E60" s="0" t="s">
        <v>277</v>
      </c>
    </row>
    <row r="61" customFormat="false" ht="15" hidden="false" customHeight="false" outlineLevel="0" collapsed="false">
      <c r="A61" s="0" t="s">
        <v>11548</v>
      </c>
      <c r="B61" s="0" t="s">
        <v>11549</v>
      </c>
      <c r="D61" s="0" t="s">
        <v>11550</v>
      </c>
      <c r="E61" s="0" t="s">
        <v>277</v>
      </c>
    </row>
    <row r="62" customFormat="false" ht="15" hidden="false" customHeight="false" outlineLevel="0" collapsed="false">
      <c r="A62" s="0" t="s">
        <v>11551</v>
      </c>
      <c r="B62" s="0" t="s">
        <v>11544</v>
      </c>
      <c r="D62" s="0" t="s">
        <v>11547</v>
      </c>
      <c r="E62" s="0" t="s">
        <v>277</v>
      </c>
    </row>
    <row r="63" customFormat="false" ht="15" hidden="false" customHeight="false" outlineLevel="0" collapsed="false">
      <c r="A63" s="0" t="s">
        <v>11552</v>
      </c>
      <c r="B63" s="0" t="s">
        <v>11544</v>
      </c>
      <c r="D63" s="0" t="s">
        <v>11545</v>
      </c>
      <c r="E63" s="0" t="s">
        <v>277</v>
      </c>
    </row>
    <row r="64" customFormat="false" ht="15" hidden="false" customHeight="false" outlineLevel="0" collapsed="false">
      <c r="A64" s="0" t="s">
        <v>11553</v>
      </c>
      <c r="B64" s="0" t="s">
        <v>11544</v>
      </c>
      <c r="D64" s="0" t="s">
        <v>11547</v>
      </c>
      <c r="E64" s="0" t="s">
        <v>277</v>
      </c>
    </row>
    <row r="65" customFormat="false" ht="15" hidden="false" customHeight="false" outlineLevel="0" collapsed="false">
      <c r="A65" s="0" t="s">
        <v>11554</v>
      </c>
      <c r="B65" s="0" t="s">
        <v>11544</v>
      </c>
      <c r="D65" s="0" t="s">
        <v>11555</v>
      </c>
      <c r="E65" s="0" t="s">
        <v>277</v>
      </c>
    </row>
    <row r="66" customFormat="false" ht="15" hidden="false" customHeight="false" outlineLevel="0" collapsed="false">
      <c r="A66" s="0" t="s">
        <v>11556</v>
      </c>
      <c r="B66" s="0" t="s">
        <v>11544</v>
      </c>
      <c r="D66" s="0" t="s">
        <v>11557</v>
      </c>
      <c r="E66" s="0" t="s">
        <v>277</v>
      </c>
    </row>
    <row r="67" customFormat="false" ht="15" hidden="false" customHeight="false" outlineLevel="0" collapsed="false">
      <c r="A67" s="0" t="s">
        <v>11558</v>
      </c>
      <c r="B67" s="0" t="s">
        <v>11544</v>
      </c>
      <c r="D67" s="0" t="s">
        <v>11559</v>
      </c>
      <c r="E67" s="0" t="s">
        <v>277</v>
      </c>
    </row>
    <row r="68" customFormat="false" ht="15" hidden="false" customHeight="false" outlineLevel="0" collapsed="false">
      <c r="A68" s="0" t="s">
        <v>11560</v>
      </c>
      <c r="B68" s="0" t="s">
        <v>11544</v>
      </c>
      <c r="D68" s="0" t="s">
        <v>11561</v>
      </c>
      <c r="E68" s="0" t="s">
        <v>277</v>
      </c>
    </row>
    <row r="69" customFormat="false" ht="15" hidden="false" customHeight="false" outlineLevel="0" collapsed="false">
      <c r="A69" s="0" t="s">
        <v>11562</v>
      </c>
      <c r="B69" s="0" t="s">
        <v>11544</v>
      </c>
      <c r="D69" s="0" t="s">
        <v>11563</v>
      </c>
      <c r="E69" s="0" t="s">
        <v>277</v>
      </c>
    </row>
    <row r="70" customFormat="false" ht="15" hidden="false" customHeight="false" outlineLevel="0" collapsed="false">
      <c r="A70" s="0" t="s">
        <v>11564</v>
      </c>
      <c r="B70" s="0" t="s">
        <v>11544</v>
      </c>
      <c r="D70" s="0" t="s">
        <v>11565</v>
      </c>
      <c r="E70" s="0" t="s">
        <v>277</v>
      </c>
    </row>
    <row r="71" customFormat="false" ht="15" hidden="false" customHeight="false" outlineLevel="0" collapsed="false">
      <c r="A71" s="0" t="s">
        <v>11566</v>
      </c>
      <c r="B71" s="0" t="s">
        <v>11567</v>
      </c>
      <c r="D71" s="0" t="s">
        <v>11568</v>
      </c>
      <c r="E71" s="0" t="s">
        <v>277</v>
      </c>
    </row>
    <row r="72" customFormat="false" ht="15" hidden="false" customHeight="false" outlineLevel="0" collapsed="false">
      <c r="A72" s="0" t="s">
        <v>11569</v>
      </c>
      <c r="B72" s="0" t="s">
        <v>11567</v>
      </c>
      <c r="D72" s="0" t="s">
        <v>11568</v>
      </c>
      <c r="E72" s="0" t="s">
        <v>277</v>
      </c>
    </row>
    <row r="73" customFormat="false" ht="15" hidden="false" customHeight="false" outlineLevel="0" collapsed="false">
      <c r="A73" s="0" t="s">
        <v>11570</v>
      </c>
      <c r="B73" s="0" t="s">
        <v>11571</v>
      </c>
      <c r="D73" s="0" t="s">
        <v>11572</v>
      </c>
      <c r="E73" s="0" t="s">
        <v>277</v>
      </c>
    </row>
    <row r="74" customFormat="false" ht="15" hidden="false" customHeight="false" outlineLevel="0" collapsed="false">
      <c r="A74" s="0" t="s">
        <v>11573</v>
      </c>
      <c r="B74" s="0" t="s">
        <v>11574</v>
      </c>
      <c r="D74" s="0" t="s">
        <v>11575</v>
      </c>
      <c r="E74" s="0" t="s">
        <v>277</v>
      </c>
    </row>
    <row r="75" customFormat="false" ht="15" hidden="false" customHeight="false" outlineLevel="0" collapsed="false">
      <c r="A75" s="0" t="s">
        <v>11576</v>
      </c>
      <c r="D75" s="0" t="s">
        <v>11577</v>
      </c>
      <c r="E75" s="0" t="s">
        <v>277</v>
      </c>
    </row>
    <row r="76" customFormat="false" ht="15" hidden="false" customHeight="false" outlineLevel="0" collapsed="false">
      <c r="A76" s="0" t="s">
        <v>11578</v>
      </c>
      <c r="D76" s="0" t="s">
        <v>11579</v>
      </c>
      <c r="E76" s="0" t="s">
        <v>277</v>
      </c>
    </row>
    <row r="77" customFormat="false" ht="15" hidden="false" customHeight="false" outlineLevel="0" collapsed="false">
      <c r="A77" s="0" t="s">
        <v>11580</v>
      </c>
      <c r="B77" s="0" t="s">
        <v>11581</v>
      </c>
      <c r="D77" s="0" t="s">
        <v>11582</v>
      </c>
      <c r="E77" s="0" t="s">
        <v>277</v>
      </c>
    </row>
    <row r="78" customFormat="false" ht="15" hidden="false" customHeight="false" outlineLevel="0" collapsed="false">
      <c r="A78" s="0" t="s">
        <v>11583</v>
      </c>
      <c r="B78" s="0" t="s">
        <v>11581</v>
      </c>
      <c r="D78" s="0" t="s">
        <v>11582</v>
      </c>
      <c r="E78" s="0" t="s">
        <v>277</v>
      </c>
    </row>
    <row r="79" customFormat="false" ht="15" hidden="false" customHeight="false" outlineLevel="0" collapsed="false">
      <c r="A79" s="0" t="s">
        <v>11584</v>
      </c>
      <c r="B79" s="0" t="s">
        <v>11581</v>
      </c>
      <c r="D79" s="0" t="s">
        <v>11585</v>
      </c>
      <c r="E79" s="0" t="s">
        <v>277</v>
      </c>
    </row>
    <row r="80" customFormat="false" ht="15" hidden="false" customHeight="false" outlineLevel="0" collapsed="false">
      <c r="A80" s="0" t="s">
        <v>11586</v>
      </c>
      <c r="D80" s="0" t="s">
        <v>11587</v>
      </c>
      <c r="E80" s="0" t="s">
        <v>277</v>
      </c>
    </row>
    <row r="81" customFormat="false" ht="15" hidden="false" customHeight="false" outlineLevel="0" collapsed="false">
      <c r="A81" s="0" t="s">
        <v>11588</v>
      </c>
      <c r="D81" s="0" t="s">
        <v>11589</v>
      </c>
      <c r="E81" s="0" t="s">
        <v>277</v>
      </c>
    </row>
    <row r="82" customFormat="false" ht="15" hidden="false" customHeight="false" outlineLevel="0" collapsed="false">
      <c r="A82" s="0" t="s">
        <v>11590</v>
      </c>
      <c r="D82" s="0" t="s">
        <v>11591</v>
      </c>
      <c r="E82" s="0" t="s">
        <v>277</v>
      </c>
    </row>
    <row r="83" customFormat="false" ht="15" hidden="false" customHeight="false" outlineLevel="0" collapsed="false">
      <c r="A83" s="0" t="s">
        <v>11592</v>
      </c>
      <c r="D83" s="0" t="s">
        <v>11593</v>
      </c>
      <c r="E83" s="0" t="s">
        <v>277</v>
      </c>
    </row>
    <row r="84" customFormat="false" ht="15" hidden="false" customHeight="false" outlineLevel="0" collapsed="false">
      <c r="A84" s="0" t="s">
        <v>11594</v>
      </c>
      <c r="D84" s="0" t="s">
        <v>11595</v>
      </c>
      <c r="E84" s="0" t="s">
        <v>277</v>
      </c>
    </row>
    <row r="85" customFormat="false" ht="15" hidden="false" customHeight="false" outlineLevel="0" collapsed="false">
      <c r="A85" s="0" t="s">
        <v>11596</v>
      </c>
      <c r="B85" s="0" t="s">
        <v>11597</v>
      </c>
      <c r="D85" s="0" t="s">
        <v>11442</v>
      </c>
      <c r="E85" s="0" t="s">
        <v>277</v>
      </c>
    </row>
    <row r="86" customFormat="false" ht="15" hidden="false" customHeight="false" outlineLevel="0" collapsed="false">
      <c r="A86" s="0" t="s">
        <v>11598</v>
      </c>
      <c r="B86" s="0" t="s">
        <v>11599</v>
      </c>
      <c r="D86" s="0" t="s">
        <v>11442</v>
      </c>
      <c r="E86" s="0" t="s">
        <v>277</v>
      </c>
    </row>
    <row r="87" customFormat="false" ht="15" hidden="false" customHeight="false" outlineLevel="0" collapsed="false">
      <c r="A87" s="0" t="s">
        <v>11600</v>
      </c>
      <c r="D87" s="0" t="s">
        <v>11601</v>
      </c>
      <c r="E87" s="0" t="s">
        <v>277</v>
      </c>
    </row>
    <row r="88" customFormat="false" ht="15" hidden="false" customHeight="false" outlineLevel="0" collapsed="false">
      <c r="A88" s="0" t="s">
        <v>11602</v>
      </c>
      <c r="B88" s="0" t="s">
        <v>11603</v>
      </c>
      <c r="D88" s="0" t="s">
        <v>11604</v>
      </c>
      <c r="E88" s="0" t="s">
        <v>277</v>
      </c>
    </row>
    <row r="89" customFormat="false" ht="15" hidden="false" customHeight="false" outlineLevel="0" collapsed="false">
      <c r="A89" s="0" t="s">
        <v>11605</v>
      </c>
      <c r="D89" s="0" t="s">
        <v>11606</v>
      </c>
      <c r="E89" s="0" t="s">
        <v>277</v>
      </c>
    </row>
    <row r="90" customFormat="false" ht="15" hidden="false" customHeight="false" outlineLevel="0" collapsed="false">
      <c r="A90" s="0" t="s">
        <v>11607</v>
      </c>
      <c r="B90" s="0" t="s">
        <v>11608</v>
      </c>
      <c r="D90" s="0" t="s">
        <v>11609</v>
      </c>
      <c r="E90" s="0" t="s">
        <v>277</v>
      </c>
    </row>
    <row r="91" customFormat="false" ht="15" hidden="false" customHeight="false" outlineLevel="0" collapsed="false">
      <c r="A91" s="0" t="s">
        <v>11610</v>
      </c>
      <c r="B91" s="0" t="s">
        <v>11611</v>
      </c>
      <c r="D91" s="0" t="s">
        <v>11442</v>
      </c>
      <c r="E91" s="0" t="s">
        <v>277</v>
      </c>
    </row>
    <row r="92" customFormat="false" ht="15" hidden="false" customHeight="false" outlineLevel="0" collapsed="false">
      <c r="A92" s="0" t="s">
        <v>11612</v>
      </c>
      <c r="B92" s="0" t="s">
        <v>11613</v>
      </c>
      <c r="D92" s="0" t="s">
        <v>11614</v>
      </c>
      <c r="E92" s="0" t="s">
        <v>277</v>
      </c>
    </row>
    <row r="93" customFormat="false" ht="15" hidden="false" customHeight="false" outlineLevel="0" collapsed="false">
      <c r="A93" s="0" t="s">
        <v>11615</v>
      </c>
      <c r="B93" s="0" t="s">
        <v>11616</v>
      </c>
      <c r="D93" s="0" t="s">
        <v>11617</v>
      </c>
      <c r="E93" s="0" t="s">
        <v>277</v>
      </c>
    </row>
    <row r="94" customFormat="false" ht="15" hidden="false" customHeight="false" outlineLevel="0" collapsed="false">
      <c r="A94" s="0" t="s">
        <v>11618</v>
      </c>
      <c r="B94" s="0" t="s">
        <v>11619</v>
      </c>
      <c r="D94" s="0" t="s">
        <v>11620</v>
      </c>
      <c r="E94" s="0" t="s">
        <v>277</v>
      </c>
    </row>
    <row r="95" customFormat="false" ht="15" hidden="false" customHeight="false" outlineLevel="0" collapsed="false">
      <c r="A95" s="0" t="s">
        <v>11621</v>
      </c>
      <c r="B95" s="0" t="s">
        <v>11622</v>
      </c>
      <c r="D95" s="0" t="s">
        <v>11623</v>
      </c>
      <c r="E95" s="0" t="s">
        <v>277</v>
      </c>
    </row>
    <row r="96" customFormat="false" ht="15" hidden="false" customHeight="false" outlineLevel="0" collapsed="false">
      <c r="A96" s="0" t="s">
        <v>11624</v>
      </c>
      <c r="B96" s="0" t="s">
        <v>11625</v>
      </c>
      <c r="D96" s="0" t="s">
        <v>11626</v>
      </c>
      <c r="E96" s="0" t="s">
        <v>277</v>
      </c>
    </row>
    <row r="97" customFormat="false" ht="15" hidden="false" customHeight="false" outlineLevel="0" collapsed="false">
      <c r="A97" s="0" t="s">
        <v>11627</v>
      </c>
      <c r="B97" s="0" t="s">
        <v>11628</v>
      </c>
      <c r="D97" s="0" t="s">
        <v>11629</v>
      </c>
      <c r="E97" s="0" t="s">
        <v>277</v>
      </c>
    </row>
    <row r="98" customFormat="false" ht="15" hidden="false" customHeight="false" outlineLevel="0" collapsed="false">
      <c r="A98" s="0" t="s">
        <v>11630</v>
      </c>
      <c r="B98" s="0" t="s">
        <v>11631</v>
      </c>
      <c r="D98" s="0" t="s">
        <v>11632</v>
      </c>
      <c r="E98" s="0" t="s">
        <v>277</v>
      </c>
    </row>
    <row r="99" customFormat="false" ht="15" hidden="false" customHeight="false" outlineLevel="0" collapsed="false">
      <c r="A99" s="0" t="s">
        <v>11633</v>
      </c>
      <c r="B99" s="0" t="s">
        <v>11634</v>
      </c>
      <c r="D99" s="0" t="s">
        <v>11635</v>
      </c>
      <c r="E99" s="0" t="s">
        <v>277</v>
      </c>
    </row>
    <row r="100" customFormat="false" ht="15" hidden="false" customHeight="false" outlineLevel="0" collapsed="false">
      <c r="A100" s="0" t="s">
        <v>11636</v>
      </c>
      <c r="B100" s="0" t="s">
        <v>11637</v>
      </c>
      <c r="D100" s="0" t="s">
        <v>11638</v>
      </c>
      <c r="E100" s="0" t="s">
        <v>277</v>
      </c>
    </row>
    <row r="101" customFormat="false" ht="15" hidden="false" customHeight="false" outlineLevel="0" collapsed="false">
      <c r="A101" s="0" t="s">
        <v>11639</v>
      </c>
      <c r="B101" s="0" t="s">
        <v>11640</v>
      </c>
      <c r="D101" s="0" t="s">
        <v>11641</v>
      </c>
      <c r="E101" s="0" t="s">
        <v>277</v>
      </c>
    </row>
    <row r="102" customFormat="false" ht="15" hidden="false" customHeight="false" outlineLevel="0" collapsed="false">
      <c r="A102" s="0" t="s">
        <v>11642</v>
      </c>
      <c r="B102" s="0" t="s">
        <v>11643</v>
      </c>
      <c r="D102" s="0" t="s">
        <v>11644</v>
      </c>
      <c r="E102" s="0" t="s">
        <v>277</v>
      </c>
    </row>
    <row r="103" customFormat="false" ht="15" hidden="false" customHeight="false" outlineLevel="0" collapsed="false">
      <c r="A103" s="0" t="s">
        <v>11645</v>
      </c>
      <c r="B103" s="0" t="s">
        <v>11646</v>
      </c>
      <c r="D103" s="0" t="s">
        <v>11647</v>
      </c>
      <c r="E103" s="0" t="s">
        <v>277</v>
      </c>
    </row>
    <row r="104" customFormat="false" ht="15" hidden="false" customHeight="false" outlineLevel="0" collapsed="false">
      <c r="A104" s="0" t="s">
        <v>11648</v>
      </c>
      <c r="B104" s="0" t="s">
        <v>11649</v>
      </c>
      <c r="D104" s="0" t="s">
        <v>11650</v>
      </c>
      <c r="E104" s="0" t="s">
        <v>277</v>
      </c>
    </row>
    <row r="105" customFormat="false" ht="15" hidden="false" customHeight="false" outlineLevel="0" collapsed="false">
      <c r="A105" s="0" t="s">
        <v>11651</v>
      </c>
      <c r="B105" s="0" t="s">
        <v>11652</v>
      </c>
      <c r="D105" s="0" t="s">
        <v>11653</v>
      </c>
      <c r="E105" s="0" t="s">
        <v>277</v>
      </c>
    </row>
    <row r="106" customFormat="false" ht="15" hidden="false" customHeight="false" outlineLevel="0" collapsed="false">
      <c r="A106" s="0" t="s">
        <v>11654</v>
      </c>
      <c r="B106" s="0" t="s">
        <v>11655</v>
      </c>
      <c r="D106" s="0" t="s">
        <v>11656</v>
      </c>
      <c r="E106" s="0" t="s">
        <v>277</v>
      </c>
    </row>
    <row r="107" customFormat="false" ht="15" hidden="false" customHeight="false" outlineLevel="0" collapsed="false">
      <c r="A107" s="0" t="s">
        <v>11657</v>
      </c>
      <c r="B107" s="0" t="s">
        <v>11658</v>
      </c>
      <c r="D107" s="0" t="s">
        <v>11659</v>
      </c>
      <c r="E107" s="0" t="s">
        <v>277</v>
      </c>
    </row>
    <row r="108" customFormat="false" ht="15" hidden="false" customHeight="false" outlineLevel="0" collapsed="false">
      <c r="A108" s="0" t="s">
        <v>11660</v>
      </c>
      <c r="B108" s="0" t="s">
        <v>11661</v>
      </c>
      <c r="D108" s="0" t="s">
        <v>11662</v>
      </c>
      <c r="E108" s="0" t="s">
        <v>277</v>
      </c>
    </row>
    <row r="109" customFormat="false" ht="15" hidden="false" customHeight="false" outlineLevel="0" collapsed="false">
      <c r="A109" s="0" t="s">
        <v>11663</v>
      </c>
      <c r="B109" s="0" t="s">
        <v>11664</v>
      </c>
      <c r="D109" s="0" t="s">
        <v>11665</v>
      </c>
      <c r="E109" s="0" t="s">
        <v>277</v>
      </c>
    </row>
    <row r="110" customFormat="false" ht="15" hidden="false" customHeight="false" outlineLevel="0" collapsed="false">
      <c r="A110" s="0" t="s">
        <v>11666</v>
      </c>
      <c r="D110" s="2" t="s">
        <v>11667</v>
      </c>
      <c r="E110" s="0" t="s">
        <v>277</v>
      </c>
    </row>
    <row r="111" customFormat="false" ht="15" hidden="false" customHeight="false" outlineLevel="0" collapsed="false">
      <c r="A111" s="0" t="s">
        <v>11668</v>
      </c>
      <c r="D111" s="0" t="s">
        <v>11669</v>
      </c>
      <c r="E111" s="0" t="s">
        <v>277</v>
      </c>
    </row>
    <row r="112" customFormat="false" ht="15" hidden="false" customHeight="false" outlineLevel="0" collapsed="false">
      <c r="A112" s="0" t="s">
        <v>11670</v>
      </c>
      <c r="B112" s="0" t="s">
        <v>11671</v>
      </c>
      <c r="D112" s="0" t="s">
        <v>11672</v>
      </c>
      <c r="E112" s="0" t="s">
        <v>277</v>
      </c>
    </row>
    <row r="113" customFormat="false" ht="15" hidden="false" customHeight="false" outlineLevel="0" collapsed="false">
      <c r="A113" s="0" t="s">
        <v>11673</v>
      </c>
      <c r="B113" s="0" t="s">
        <v>11674</v>
      </c>
      <c r="D113" s="0" t="s">
        <v>11675</v>
      </c>
      <c r="E113" s="0" t="s">
        <v>277</v>
      </c>
    </row>
    <row r="114" customFormat="false" ht="15" hidden="false" customHeight="false" outlineLevel="0" collapsed="false">
      <c r="A114" s="0" t="s">
        <v>11676</v>
      </c>
      <c r="D114" s="0" t="s">
        <v>11677</v>
      </c>
      <c r="E114" s="0" t="s">
        <v>277</v>
      </c>
    </row>
    <row r="115" customFormat="false" ht="15" hidden="false" customHeight="false" outlineLevel="0" collapsed="false">
      <c r="A115" s="0" t="s">
        <v>11678</v>
      </c>
      <c r="D115" s="0" t="s">
        <v>11669</v>
      </c>
      <c r="E115" s="0" t="s">
        <v>277</v>
      </c>
    </row>
    <row r="116" customFormat="false" ht="15" hidden="false" customHeight="false" outlineLevel="0" collapsed="false">
      <c r="A116" s="0" t="s">
        <v>11679</v>
      </c>
      <c r="D116" s="0" t="s">
        <v>11680</v>
      </c>
      <c r="E116" s="0" t="s">
        <v>277</v>
      </c>
    </row>
    <row r="117" customFormat="false" ht="15" hidden="false" customHeight="false" outlineLevel="0" collapsed="false">
      <c r="A117" s="0" t="s">
        <v>11681</v>
      </c>
      <c r="B117" s="0" t="s">
        <v>11682</v>
      </c>
      <c r="D117" s="0" t="s">
        <v>11683</v>
      </c>
      <c r="E117" s="0" t="s">
        <v>277</v>
      </c>
    </row>
    <row r="118" customFormat="false" ht="15" hidden="false" customHeight="false" outlineLevel="0" collapsed="false">
      <c r="A118" s="0" t="s">
        <v>11684</v>
      </c>
      <c r="B118" s="0" t="s">
        <v>11685</v>
      </c>
      <c r="D118" s="0" t="s">
        <v>11442</v>
      </c>
      <c r="E118" s="0" t="s">
        <v>277</v>
      </c>
    </row>
    <row r="119" customFormat="false" ht="15" hidden="false" customHeight="false" outlineLevel="0" collapsed="false">
      <c r="A119" s="0" t="s">
        <v>11686</v>
      </c>
      <c r="B119" s="0" t="s">
        <v>11685</v>
      </c>
      <c r="D119" s="0" t="s">
        <v>11442</v>
      </c>
      <c r="E119" s="0" t="s">
        <v>277</v>
      </c>
    </row>
    <row r="120" customFormat="false" ht="15" hidden="false" customHeight="false" outlineLevel="0" collapsed="false">
      <c r="A120" s="0" t="s">
        <v>11687</v>
      </c>
      <c r="D120" s="0" t="s">
        <v>11688</v>
      </c>
      <c r="E120" s="0" t="s">
        <v>277</v>
      </c>
    </row>
    <row r="121" customFormat="false" ht="15" hidden="false" customHeight="false" outlineLevel="0" collapsed="false">
      <c r="A121" s="0" t="s">
        <v>11689</v>
      </c>
      <c r="D121" s="0" t="s">
        <v>11690</v>
      </c>
      <c r="E121" s="0" t="s">
        <v>277</v>
      </c>
    </row>
    <row r="122" customFormat="false" ht="15" hidden="false" customHeight="false" outlineLevel="0" collapsed="false">
      <c r="A122" s="0" t="s">
        <v>11691</v>
      </c>
      <c r="B122" s="0" t="s">
        <v>11692</v>
      </c>
      <c r="D122" s="0" t="s">
        <v>11693</v>
      </c>
      <c r="E122" s="0" t="s">
        <v>277</v>
      </c>
    </row>
    <row r="123" customFormat="false" ht="15" hidden="false" customHeight="false" outlineLevel="0" collapsed="false">
      <c r="A123" s="0" t="s">
        <v>11694</v>
      </c>
      <c r="B123" s="0" t="s">
        <v>11695</v>
      </c>
      <c r="D123" s="0" t="s">
        <v>11696</v>
      </c>
      <c r="E123" s="0" t="s">
        <v>277</v>
      </c>
    </row>
    <row r="124" customFormat="false" ht="15" hidden="false" customHeight="false" outlineLevel="0" collapsed="false">
      <c r="A124" s="0" t="s">
        <v>11697</v>
      </c>
      <c r="D124" s="0" t="s">
        <v>11698</v>
      </c>
      <c r="E124" s="0" t="s">
        <v>277</v>
      </c>
    </row>
    <row r="125" customFormat="false" ht="15" hidden="false" customHeight="false" outlineLevel="0" collapsed="false">
      <c r="A125" s="0" t="s">
        <v>11699</v>
      </c>
      <c r="B125" s="0" t="s">
        <v>11700</v>
      </c>
      <c r="D125" s="0" t="s">
        <v>11701</v>
      </c>
      <c r="E125" s="0" t="s">
        <v>277</v>
      </c>
    </row>
    <row r="126" customFormat="false" ht="15" hidden="false" customHeight="false" outlineLevel="0" collapsed="false">
      <c r="A126" s="0" t="s">
        <v>11702</v>
      </c>
      <c r="B126" s="0" t="s">
        <v>11703</v>
      </c>
      <c r="D126" s="0" t="s">
        <v>11704</v>
      </c>
      <c r="E126" s="0" t="s">
        <v>277</v>
      </c>
    </row>
    <row r="127" customFormat="false" ht="15" hidden="false" customHeight="false" outlineLevel="0" collapsed="false">
      <c r="A127" s="0" t="s">
        <v>11705</v>
      </c>
      <c r="B127" s="0" t="s">
        <v>11706</v>
      </c>
      <c r="D127" s="0" t="s">
        <v>11707</v>
      </c>
      <c r="E127" s="0" t="s">
        <v>277</v>
      </c>
    </row>
    <row r="128" customFormat="false" ht="15" hidden="false" customHeight="false" outlineLevel="0" collapsed="false">
      <c r="A128" s="0" t="s">
        <v>11708</v>
      </c>
      <c r="B128" s="0" t="s">
        <v>11695</v>
      </c>
      <c r="D128" s="0" t="s">
        <v>11709</v>
      </c>
      <c r="E128" s="0" t="s">
        <v>277</v>
      </c>
    </row>
    <row r="129" customFormat="false" ht="15" hidden="false" customHeight="false" outlineLevel="0" collapsed="false">
      <c r="A129" s="0" t="s">
        <v>11710</v>
      </c>
      <c r="B129" s="0" t="s">
        <v>11711</v>
      </c>
      <c r="D129" s="0" t="s">
        <v>11712</v>
      </c>
      <c r="E129" s="0" t="s">
        <v>277</v>
      </c>
    </row>
    <row r="130" customFormat="false" ht="15" hidden="false" customHeight="false" outlineLevel="0" collapsed="false">
      <c r="A130" s="0" t="s">
        <v>11713</v>
      </c>
      <c r="B130" s="0" t="s">
        <v>11695</v>
      </c>
      <c r="D130" s="0" t="s">
        <v>11714</v>
      </c>
      <c r="E130" s="0" t="s">
        <v>277</v>
      </c>
    </row>
    <row r="131" customFormat="false" ht="15" hidden="false" customHeight="false" outlineLevel="0" collapsed="false">
      <c r="A131" s="0" t="s">
        <v>11715</v>
      </c>
      <c r="B131" s="0" t="s">
        <v>11716</v>
      </c>
      <c r="D131" s="0" t="s">
        <v>11717</v>
      </c>
      <c r="E131" s="0" t="s">
        <v>277</v>
      </c>
    </row>
    <row r="132" customFormat="false" ht="15" hidden="false" customHeight="false" outlineLevel="0" collapsed="false">
      <c r="A132" s="0" t="s">
        <v>11718</v>
      </c>
      <c r="B132" s="0" t="s">
        <v>11706</v>
      </c>
      <c r="D132" s="0" t="s">
        <v>11707</v>
      </c>
      <c r="E132" s="0" t="s">
        <v>277</v>
      </c>
    </row>
    <row r="133" customFormat="false" ht="15" hidden="false" customHeight="false" outlineLevel="0" collapsed="false">
      <c r="A133" s="0" t="s">
        <v>11719</v>
      </c>
      <c r="B133" s="0" t="s">
        <v>11706</v>
      </c>
      <c r="D133" s="0" t="s">
        <v>11707</v>
      </c>
      <c r="E133" s="0" t="s">
        <v>277</v>
      </c>
    </row>
    <row r="134" customFormat="false" ht="15" hidden="false" customHeight="false" outlineLevel="0" collapsed="false">
      <c r="A134" s="0" t="s">
        <v>11720</v>
      </c>
      <c r="D134" s="0" t="s">
        <v>11442</v>
      </c>
      <c r="E134" s="0" t="s">
        <v>277</v>
      </c>
    </row>
    <row r="135" customFormat="false" ht="15" hidden="false" customHeight="false" outlineLevel="0" collapsed="false">
      <c r="A135" s="0" t="s">
        <v>11721</v>
      </c>
      <c r="D135" s="0" t="s">
        <v>11722</v>
      </c>
      <c r="E135" s="0" t="s">
        <v>277</v>
      </c>
    </row>
    <row r="136" customFormat="false" ht="15" hidden="false" customHeight="false" outlineLevel="0" collapsed="false">
      <c r="A136" s="0" t="s">
        <v>11723</v>
      </c>
      <c r="D136" s="0" t="s">
        <v>11442</v>
      </c>
      <c r="E136" s="0" t="s">
        <v>277</v>
      </c>
    </row>
    <row r="137" customFormat="false" ht="15" hidden="false" customHeight="false" outlineLevel="0" collapsed="false">
      <c r="A137" s="0" t="s">
        <v>11724</v>
      </c>
      <c r="D137" s="0" t="s">
        <v>11725</v>
      </c>
      <c r="E137" s="0" t="s">
        <v>277</v>
      </c>
    </row>
    <row r="138" customFormat="false" ht="15" hidden="false" customHeight="false" outlineLevel="0" collapsed="false">
      <c r="A138" s="0" t="s">
        <v>11726</v>
      </c>
      <c r="B138" s="0" t="s">
        <v>11727</v>
      </c>
      <c r="D138" s="0" t="s">
        <v>11728</v>
      </c>
      <c r="E138" s="0" t="s">
        <v>277</v>
      </c>
    </row>
    <row r="139" customFormat="false" ht="15" hidden="false" customHeight="false" outlineLevel="0" collapsed="false">
      <c r="A139" s="0" t="s">
        <v>11729</v>
      </c>
      <c r="B139" s="0" t="s">
        <v>11730</v>
      </c>
      <c r="D139" s="0" t="s">
        <v>11731</v>
      </c>
      <c r="E139" s="0" t="s">
        <v>277</v>
      </c>
    </row>
    <row r="140" customFormat="false" ht="15" hidden="false" customHeight="false" outlineLevel="0" collapsed="false">
      <c r="A140" s="0" t="s">
        <v>11732</v>
      </c>
      <c r="D140" s="0" t="s">
        <v>11733</v>
      </c>
      <c r="E140" s="0" t="s">
        <v>277</v>
      </c>
    </row>
    <row r="141" customFormat="false" ht="15" hidden="false" customHeight="false" outlineLevel="0" collapsed="false">
      <c r="A141" s="0" t="s">
        <v>11734</v>
      </c>
      <c r="B141" s="0" t="s">
        <v>11730</v>
      </c>
      <c r="D141" s="0" t="s">
        <v>11731</v>
      </c>
      <c r="E141" s="0" t="s">
        <v>277</v>
      </c>
    </row>
    <row r="142" customFormat="false" ht="15" hidden="false" customHeight="false" outlineLevel="0" collapsed="false">
      <c r="A142" s="0" t="s">
        <v>11735</v>
      </c>
      <c r="D142" s="0" t="s">
        <v>11733</v>
      </c>
      <c r="E142" s="0" t="s">
        <v>277</v>
      </c>
    </row>
    <row r="143" customFormat="false" ht="15" hidden="false" customHeight="false" outlineLevel="0" collapsed="false">
      <c r="A143" s="0" t="s">
        <v>11736</v>
      </c>
      <c r="B143" s="0" t="s">
        <v>11737</v>
      </c>
      <c r="D143" s="0" t="s">
        <v>11738</v>
      </c>
      <c r="E143" s="0" t="s">
        <v>277</v>
      </c>
    </row>
    <row r="144" customFormat="false" ht="15" hidden="false" customHeight="false" outlineLevel="0" collapsed="false">
      <c r="A144" s="0" t="s">
        <v>11739</v>
      </c>
      <c r="D144" s="0" t="s">
        <v>11740</v>
      </c>
      <c r="E144" s="0" t="s">
        <v>277</v>
      </c>
    </row>
    <row r="145" customFormat="false" ht="15" hidden="false" customHeight="false" outlineLevel="0" collapsed="false">
      <c r="A145" s="0" t="s">
        <v>11741</v>
      </c>
      <c r="D145" s="0" t="s">
        <v>11742</v>
      </c>
      <c r="E145" s="0" t="s">
        <v>277</v>
      </c>
    </row>
    <row r="146" customFormat="false" ht="15" hidden="false" customHeight="false" outlineLevel="0" collapsed="false">
      <c r="A146" s="0" t="s">
        <v>11743</v>
      </c>
      <c r="B146" s="0" t="s">
        <v>11744</v>
      </c>
      <c r="D146" s="0" t="s">
        <v>11745</v>
      </c>
      <c r="E146" s="0" t="s">
        <v>277</v>
      </c>
    </row>
    <row r="147" customFormat="false" ht="15" hidden="false" customHeight="false" outlineLevel="0" collapsed="false">
      <c r="A147" s="0" t="s">
        <v>11746</v>
      </c>
      <c r="B147" s="0" t="s">
        <v>11747</v>
      </c>
      <c r="D147" s="0" t="s">
        <v>11748</v>
      </c>
      <c r="E147" s="0" t="s">
        <v>277</v>
      </c>
    </row>
    <row r="148" customFormat="false" ht="15" hidden="false" customHeight="false" outlineLevel="0" collapsed="false">
      <c r="A148" s="0" t="s">
        <v>11749</v>
      </c>
      <c r="B148" s="0" t="s">
        <v>11750</v>
      </c>
      <c r="D148" s="0" t="s">
        <v>11751</v>
      </c>
      <c r="E148" s="0" t="s">
        <v>277</v>
      </c>
    </row>
    <row r="149" customFormat="false" ht="15" hidden="false" customHeight="false" outlineLevel="0" collapsed="false">
      <c r="A149" s="0" t="s">
        <v>11752</v>
      </c>
      <c r="B149" s="0" t="s">
        <v>11753</v>
      </c>
      <c r="D149" s="0" t="s">
        <v>11754</v>
      </c>
      <c r="E149" s="0" t="s">
        <v>277</v>
      </c>
    </row>
    <row r="150" customFormat="false" ht="15" hidden="false" customHeight="false" outlineLevel="0" collapsed="false">
      <c r="A150" s="0" t="s">
        <v>11755</v>
      </c>
      <c r="B150" s="0" t="s">
        <v>11753</v>
      </c>
      <c r="D150" s="0" t="s">
        <v>11754</v>
      </c>
      <c r="E150" s="0" t="s">
        <v>277</v>
      </c>
    </row>
    <row r="151" customFormat="false" ht="15" hidden="false" customHeight="false" outlineLevel="0" collapsed="false">
      <c r="A151" s="0" t="s">
        <v>11756</v>
      </c>
      <c r="B151" s="0" t="s">
        <v>11757</v>
      </c>
      <c r="D151" s="0" t="s">
        <v>11758</v>
      </c>
      <c r="E151" s="0" t="s">
        <v>277</v>
      </c>
    </row>
    <row r="152" customFormat="false" ht="15" hidden="false" customHeight="false" outlineLevel="0" collapsed="false">
      <c r="A152" s="0" t="s">
        <v>11759</v>
      </c>
      <c r="B152" s="0" t="s">
        <v>11757</v>
      </c>
      <c r="D152" s="0" t="s">
        <v>11758</v>
      </c>
      <c r="E152" s="0" t="s">
        <v>277</v>
      </c>
    </row>
    <row r="153" customFormat="false" ht="15" hidden="false" customHeight="false" outlineLevel="0" collapsed="false">
      <c r="A153" s="0" t="s">
        <v>11760</v>
      </c>
      <c r="D153" s="0" t="s">
        <v>11761</v>
      </c>
      <c r="E153" s="0" t="s">
        <v>277</v>
      </c>
    </row>
    <row r="154" customFormat="false" ht="15" hidden="false" customHeight="false" outlineLevel="0" collapsed="false">
      <c r="A154" s="0" t="s">
        <v>11762</v>
      </c>
      <c r="B154" s="0" t="s">
        <v>11763</v>
      </c>
      <c r="D154" s="0" t="s">
        <v>11764</v>
      </c>
      <c r="E154" s="0" t="s">
        <v>277</v>
      </c>
    </row>
    <row r="155" customFormat="false" ht="15" hidden="false" customHeight="false" outlineLevel="0" collapsed="false">
      <c r="A155" s="0" t="s">
        <v>11765</v>
      </c>
      <c r="B155" s="0" t="s">
        <v>11544</v>
      </c>
      <c r="D155" s="0" t="s">
        <v>11766</v>
      </c>
      <c r="E155" s="0" t="s">
        <v>277</v>
      </c>
    </row>
    <row r="156" customFormat="false" ht="15" hidden="false" customHeight="false" outlineLevel="0" collapsed="false">
      <c r="A156" s="0" t="s">
        <v>11767</v>
      </c>
      <c r="B156" s="0" t="s">
        <v>11768</v>
      </c>
      <c r="D156" s="0" t="s">
        <v>11769</v>
      </c>
      <c r="E156" s="0" t="s">
        <v>277</v>
      </c>
    </row>
    <row r="157" customFormat="false" ht="15" hidden="false" customHeight="false" outlineLevel="0" collapsed="false">
      <c r="A157" s="0" t="s">
        <v>11770</v>
      </c>
      <c r="B157" s="0" t="s">
        <v>11544</v>
      </c>
      <c r="D157" s="0" t="s">
        <v>11766</v>
      </c>
      <c r="E157" s="0" t="s">
        <v>277</v>
      </c>
    </row>
    <row r="158" customFormat="false" ht="15" hidden="false" customHeight="false" outlineLevel="0" collapsed="false">
      <c r="A158" s="0" t="s">
        <v>11771</v>
      </c>
      <c r="D158" s="0" t="s">
        <v>11772</v>
      </c>
      <c r="E158" s="0" t="s">
        <v>277</v>
      </c>
    </row>
    <row r="159" customFormat="false" ht="15" hidden="false" customHeight="false" outlineLevel="0" collapsed="false">
      <c r="A159" s="0" t="s">
        <v>11773</v>
      </c>
      <c r="B159" s="0" t="s">
        <v>11774</v>
      </c>
      <c r="D159" s="0" t="s">
        <v>11775</v>
      </c>
      <c r="E159" s="0" t="s">
        <v>277</v>
      </c>
    </row>
    <row r="160" customFormat="false" ht="15" hidden="false" customHeight="false" outlineLevel="0" collapsed="false">
      <c r="A160" s="0" t="s">
        <v>11776</v>
      </c>
      <c r="B160" s="0" t="s">
        <v>11777</v>
      </c>
      <c r="D160" s="0" t="s">
        <v>11778</v>
      </c>
      <c r="E160" s="0" t="s">
        <v>277</v>
      </c>
    </row>
    <row r="161" customFormat="false" ht="15" hidden="false" customHeight="false" outlineLevel="0" collapsed="false">
      <c r="A161" s="0" t="s">
        <v>11779</v>
      </c>
      <c r="B161" s="0" t="s">
        <v>11780</v>
      </c>
      <c r="D161" s="0" t="s">
        <v>11781</v>
      </c>
      <c r="E161" s="0" t="s">
        <v>277</v>
      </c>
    </row>
    <row r="162" customFormat="false" ht="15" hidden="false" customHeight="false" outlineLevel="0" collapsed="false">
      <c r="A162" s="0" t="s">
        <v>11782</v>
      </c>
      <c r="B162" s="0" t="s">
        <v>11783</v>
      </c>
      <c r="D162" s="0" t="s">
        <v>11784</v>
      </c>
      <c r="E162" s="0" t="s">
        <v>277</v>
      </c>
    </row>
    <row r="163" customFormat="false" ht="15" hidden="false" customHeight="false" outlineLevel="0" collapsed="false">
      <c r="A163" s="0" t="s">
        <v>11785</v>
      </c>
      <c r="B163" s="0" t="s">
        <v>11786</v>
      </c>
      <c r="D163" s="0" t="s">
        <v>11787</v>
      </c>
      <c r="E163" s="0" t="s">
        <v>277</v>
      </c>
    </row>
    <row r="164" customFormat="false" ht="15" hidden="false" customHeight="false" outlineLevel="0" collapsed="false">
      <c r="A164" s="0" t="s">
        <v>11788</v>
      </c>
      <c r="B164" s="0" t="s">
        <v>11789</v>
      </c>
      <c r="D164" s="0" t="s">
        <v>11790</v>
      </c>
      <c r="E164" s="0" t="s">
        <v>277</v>
      </c>
    </row>
    <row r="165" customFormat="false" ht="15" hidden="false" customHeight="false" outlineLevel="0" collapsed="false">
      <c r="A165" s="0" t="s">
        <v>11791</v>
      </c>
      <c r="B165" s="0" t="s">
        <v>11695</v>
      </c>
      <c r="D165" s="0" t="s">
        <v>11792</v>
      </c>
      <c r="E165" s="0" t="s">
        <v>277</v>
      </c>
    </row>
    <row r="166" customFormat="false" ht="15" hidden="false" customHeight="false" outlineLevel="0" collapsed="false">
      <c r="A166" s="0" t="s">
        <v>11793</v>
      </c>
      <c r="D166" s="0" t="s">
        <v>11794</v>
      </c>
      <c r="E166" s="0" t="s">
        <v>277</v>
      </c>
    </row>
    <row r="167" customFormat="false" ht="15" hidden="false" customHeight="false" outlineLevel="0" collapsed="false">
      <c r="A167" s="0" t="s">
        <v>11795</v>
      </c>
      <c r="B167" s="0" t="s">
        <v>11695</v>
      </c>
      <c r="D167" s="0" t="s">
        <v>11796</v>
      </c>
      <c r="E167" s="0" t="s">
        <v>277</v>
      </c>
    </row>
    <row r="168" customFormat="false" ht="15" hidden="false" customHeight="false" outlineLevel="0" collapsed="false">
      <c r="A168" s="0" t="s">
        <v>11797</v>
      </c>
      <c r="B168" s="0" t="s">
        <v>11798</v>
      </c>
      <c r="D168" s="0" t="s">
        <v>11799</v>
      </c>
      <c r="E168" s="0" t="s">
        <v>277</v>
      </c>
    </row>
    <row r="169" customFormat="false" ht="15" hidden="false" customHeight="false" outlineLevel="0" collapsed="false">
      <c r="A169" s="0" t="s">
        <v>11800</v>
      </c>
      <c r="D169" s="0" t="s">
        <v>11801</v>
      </c>
      <c r="E169" s="0" t="s">
        <v>277</v>
      </c>
    </row>
    <row r="170" customFormat="false" ht="15" hidden="false" customHeight="false" outlineLevel="0" collapsed="false">
      <c r="A170" s="0" t="s">
        <v>11802</v>
      </c>
      <c r="B170" s="0" t="s">
        <v>11695</v>
      </c>
      <c r="D170" s="0" t="s">
        <v>11803</v>
      </c>
      <c r="E170" s="0" t="s">
        <v>277</v>
      </c>
    </row>
    <row r="171" customFormat="false" ht="15" hidden="false" customHeight="false" outlineLevel="0" collapsed="false">
      <c r="A171" s="0" t="s">
        <v>11804</v>
      </c>
      <c r="B171" s="0" t="s">
        <v>11805</v>
      </c>
      <c r="D171" s="0" t="s">
        <v>11806</v>
      </c>
      <c r="E171" s="0" t="s">
        <v>277</v>
      </c>
    </row>
    <row r="172" customFormat="false" ht="15" hidden="false" customHeight="false" outlineLevel="0" collapsed="false">
      <c r="A172" s="0" t="s">
        <v>11807</v>
      </c>
      <c r="B172" s="0" t="s">
        <v>11695</v>
      </c>
      <c r="D172" s="0" t="s">
        <v>11808</v>
      </c>
      <c r="E172" s="0" t="s">
        <v>277</v>
      </c>
    </row>
    <row r="173" customFormat="false" ht="15" hidden="false" customHeight="false" outlineLevel="0" collapsed="false">
      <c r="A173" s="0" t="s">
        <v>11809</v>
      </c>
      <c r="D173" s="0" t="s">
        <v>11810</v>
      </c>
      <c r="E173" s="0" t="s">
        <v>277</v>
      </c>
    </row>
    <row r="174" customFormat="false" ht="15" hidden="false" customHeight="false" outlineLevel="0" collapsed="false">
      <c r="A174" s="0" t="s">
        <v>11811</v>
      </c>
      <c r="B174" s="0" t="s">
        <v>11695</v>
      </c>
      <c r="D174" s="0" t="s">
        <v>11812</v>
      </c>
      <c r="E174" s="0" t="s">
        <v>277</v>
      </c>
    </row>
    <row r="175" customFormat="false" ht="15" hidden="false" customHeight="false" outlineLevel="0" collapsed="false">
      <c r="A175" s="0" t="s">
        <v>11813</v>
      </c>
      <c r="B175" s="0" t="s">
        <v>11814</v>
      </c>
      <c r="D175" s="0" t="s">
        <v>11815</v>
      </c>
      <c r="E175" s="0" t="s">
        <v>277</v>
      </c>
    </row>
    <row r="176" customFormat="false" ht="15" hidden="false" customHeight="false" outlineLevel="0" collapsed="false">
      <c r="A176" s="0" t="s">
        <v>11816</v>
      </c>
      <c r="D176" s="0" t="s">
        <v>11817</v>
      </c>
      <c r="E176" s="0" t="s">
        <v>277</v>
      </c>
    </row>
    <row r="177" customFormat="false" ht="15" hidden="false" customHeight="false" outlineLevel="0" collapsed="false">
      <c r="A177" s="0" t="s">
        <v>11818</v>
      </c>
      <c r="B177" s="0" t="s">
        <v>11819</v>
      </c>
      <c r="D177" s="0" t="s">
        <v>11820</v>
      </c>
      <c r="E177" s="0" t="s">
        <v>277</v>
      </c>
    </row>
    <row r="178" customFormat="false" ht="15" hidden="false" customHeight="false" outlineLevel="0" collapsed="false">
      <c r="A178" s="0" t="s">
        <v>11821</v>
      </c>
      <c r="B178" s="0" t="s">
        <v>11822</v>
      </c>
      <c r="D178" s="0" t="s">
        <v>11823</v>
      </c>
      <c r="E178" s="0" t="s">
        <v>277</v>
      </c>
    </row>
    <row r="179" customFormat="false" ht="15" hidden="false" customHeight="false" outlineLevel="0" collapsed="false">
      <c r="A179" s="0" t="s">
        <v>11824</v>
      </c>
      <c r="B179" s="0" t="s">
        <v>11825</v>
      </c>
      <c r="D179" s="0" t="s">
        <v>11826</v>
      </c>
      <c r="E179" s="0" t="s">
        <v>277</v>
      </c>
    </row>
    <row r="180" customFormat="false" ht="15" hidden="false" customHeight="false" outlineLevel="0" collapsed="false">
      <c r="A180" s="0" t="s">
        <v>11827</v>
      </c>
      <c r="B180" s="0" t="s">
        <v>11828</v>
      </c>
      <c r="D180" s="0" t="s">
        <v>11829</v>
      </c>
      <c r="E180" s="0" t="s">
        <v>277</v>
      </c>
    </row>
    <row r="181" customFormat="false" ht="15" hidden="false" customHeight="false" outlineLevel="0" collapsed="false">
      <c r="A181" s="0" t="s">
        <v>11830</v>
      </c>
      <c r="D181" s="0" t="s">
        <v>11831</v>
      </c>
      <c r="E181" s="0" t="s">
        <v>277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36"/>
    <col collapsed="false" customWidth="true" hidden="false" outlineLevel="0" max="3" min="3" style="0" width="17"/>
    <col collapsed="false" customWidth="true" hidden="false" outlineLevel="0" max="4" min="4" style="0" width="60"/>
    <col collapsed="false" customWidth="true" hidden="false" outlineLevel="0" max="5" min="5" style="0" width="12"/>
  </cols>
  <sheetData>
    <row r="1" customFormat="false" ht="15" hidden="false" customHeight="false" outlineLevel="0" collapsed="false">
      <c r="A1" s="1" t="s">
        <v>11272</v>
      </c>
      <c r="B1" s="1" t="s">
        <v>11832</v>
      </c>
      <c r="C1" s="1" t="s">
        <v>11833</v>
      </c>
      <c r="D1" s="1" t="s">
        <v>11834</v>
      </c>
      <c r="E1" s="1" t="s">
        <v>11277</v>
      </c>
    </row>
    <row r="2" customFormat="false" ht="15" hidden="false" customHeight="false" outlineLevel="0" collapsed="false">
      <c r="A2" s="0" t="s">
        <v>11835</v>
      </c>
      <c r="B2" s="0" t="s">
        <v>11836</v>
      </c>
      <c r="C2" s="0" t="s">
        <v>27</v>
      </c>
      <c r="D2" s="0" t="s">
        <v>26</v>
      </c>
      <c r="E2" s="0" t="s">
        <v>277</v>
      </c>
    </row>
    <row r="3" customFormat="false" ht="15" hidden="false" customHeight="false" outlineLevel="0" collapsed="false">
      <c r="A3" s="0" t="s">
        <v>11837</v>
      </c>
      <c r="B3" s="0" t="s">
        <v>11836</v>
      </c>
      <c r="C3" s="0" t="s">
        <v>27</v>
      </c>
      <c r="D3" s="0" t="s">
        <v>36</v>
      </c>
      <c r="E3" s="0" t="s">
        <v>277</v>
      </c>
    </row>
    <row r="4" customFormat="false" ht="15" hidden="false" customHeight="false" outlineLevel="0" collapsed="false">
      <c r="A4" s="0" t="s">
        <v>11838</v>
      </c>
      <c r="B4" s="0" t="s">
        <v>11836</v>
      </c>
      <c r="C4" s="0" t="s">
        <v>39</v>
      </c>
      <c r="D4" s="0" t="s">
        <v>43</v>
      </c>
      <c r="E4" s="0" t="s">
        <v>277</v>
      </c>
    </row>
    <row r="5" customFormat="false" ht="15" hidden="false" customHeight="false" outlineLevel="0" collapsed="false">
      <c r="A5" s="0" t="s">
        <v>11839</v>
      </c>
      <c r="B5" s="0" t="s">
        <v>11836</v>
      </c>
      <c r="C5" s="0" t="s">
        <v>27</v>
      </c>
      <c r="D5" s="0" t="s">
        <v>11840</v>
      </c>
      <c r="E5" s="0" t="s">
        <v>277</v>
      </c>
    </row>
    <row r="6" customFormat="false" ht="15" hidden="false" customHeight="false" outlineLevel="0" collapsed="false">
      <c r="A6" s="0" t="s">
        <v>11841</v>
      </c>
      <c r="B6" s="0" t="s">
        <v>11836</v>
      </c>
      <c r="C6" s="0" t="s">
        <v>39</v>
      </c>
      <c r="D6" s="0" t="s">
        <v>40</v>
      </c>
      <c r="E6" s="0" t="s">
        <v>277</v>
      </c>
    </row>
    <row r="7" customFormat="false" ht="15" hidden="false" customHeight="false" outlineLevel="0" collapsed="false">
      <c r="A7" s="0" t="s">
        <v>11842</v>
      </c>
      <c r="B7" s="0" t="s">
        <v>11836</v>
      </c>
      <c r="C7" s="0" t="s">
        <v>39</v>
      </c>
      <c r="D7" s="0" t="s">
        <v>38</v>
      </c>
      <c r="E7" s="0" t="s">
        <v>277</v>
      </c>
    </row>
    <row r="8" customFormat="false" ht="15" hidden="false" customHeight="false" outlineLevel="0" collapsed="false">
      <c r="A8" s="0" t="s">
        <v>11843</v>
      </c>
      <c r="B8" s="0" t="s">
        <v>11836</v>
      </c>
      <c r="C8" s="0" t="s">
        <v>30</v>
      </c>
      <c r="D8" s="0" t="s">
        <v>29</v>
      </c>
      <c r="E8" s="0" t="s">
        <v>277</v>
      </c>
    </row>
    <row r="9" customFormat="false" ht="15" hidden="false" customHeight="false" outlineLevel="0" collapsed="false">
      <c r="A9" s="0" t="s">
        <v>11844</v>
      </c>
      <c r="B9" s="0" t="s">
        <v>11836</v>
      </c>
      <c r="C9" s="0" t="s">
        <v>27</v>
      </c>
      <c r="D9" s="0" t="s">
        <v>49</v>
      </c>
      <c r="E9" s="0" t="s">
        <v>277</v>
      </c>
    </row>
    <row r="10" customFormat="false" ht="15" hidden="false" customHeight="false" outlineLevel="0" collapsed="false">
      <c r="A10" s="0" t="s">
        <v>11845</v>
      </c>
      <c r="B10" s="0" t="s">
        <v>11836</v>
      </c>
      <c r="C10" s="0" t="s">
        <v>30</v>
      </c>
      <c r="D10" s="0" t="s">
        <v>52</v>
      </c>
      <c r="E10" s="0" t="s">
        <v>277</v>
      </c>
    </row>
    <row r="11" customFormat="false" ht="15" hidden="false" customHeight="false" outlineLevel="0" collapsed="false">
      <c r="A11" s="0" t="s">
        <v>11846</v>
      </c>
      <c r="B11" s="0" t="s">
        <v>11836</v>
      </c>
      <c r="C11" s="0" t="s">
        <v>30</v>
      </c>
      <c r="D11" s="0" t="s">
        <v>41</v>
      </c>
      <c r="E11" s="0" t="s">
        <v>277</v>
      </c>
    </row>
    <row r="12" customFormat="false" ht="15" hidden="false" customHeight="false" outlineLevel="0" collapsed="false">
      <c r="A12" s="0" t="s">
        <v>11847</v>
      </c>
      <c r="B12" s="0" t="s">
        <v>11836</v>
      </c>
      <c r="C12" s="0" t="s">
        <v>30</v>
      </c>
      <c r="D12" s="0" t="s">
        <v>11848</v>
      </c>
      <c r="E12" s="0" t="s">
        <v>277</v>
      </c>
    </row>
    <row r="13" customFormat="false" ht="15" hidden="false" customHeight="false" outlineLevel="0" collapsed="false">
      <c r="A13" s="0" t="s">
        <v>11849</v>
      </c>
      <c r="B13" s="0" t="s">
        <v>11836</v>
      </c>
      <c r="C13" s="0" t="s">
        <v>27</v>
      </c>
      <c r="D13" s="0" t="s">
        <v>50</v>
      </c>
      <c r="E13" s="0" t="s">
        <v>277</v>
      </c>
    </row>
    <row r="14" customFormat="false" ht="15" hidden="false" customHeight="false" outlineLevel="0" collapsed="false">
      <c r="A14" s="0" t="s">
        <v>11850</v>
      </c>
      <c r="B14" s="0" t="s">
        <v>11836</v>
      </c>
      <c r="C14" s="0" t="s">
        <v>39</v>
      </c>
      <c r="D14" s="0" t="s">
        <v>61</v>
      </c>
      <c r="E14" s="0" t="s">
        <v>277</v>
      </c>
    </row>
    <row r="15" customFormat="false" ht="15" hidden="false" customHeight="false" outlineLevel="0" collapsed="false">
      <c r="A15" s="0" t="s">
        <v>11851</v>
      </c>
      <c r="B15" s="0" t="s">
        <v>11836</v>
      </c>
      <c r="C15" s="0" t="s">
        <v>27</v>
      </c>
      <c r="D15" s="0" t="s">
        <v>63</v>
      </c>
      <c r="E15" s="0" t="s">
        <v>277</v>
      </c>
    </row>
    <row r="16" customFormat="false" ht="15" hidden="false" customHeight="false" outlineLevel="0" collapsed="false">
      <c r="A16" s="0" t="s">
        <v>11852</v>
      </c>
      <c r="B16" s="0" t="s">
        <v>11836</v>
      </c>
      <c r="C16" s="0" t="s">
        <v>27</v>
      </c>
      <c r="D16" s="0" t="s">
        <v>59</v>
      </c>
      <c r="E16" s="0" t="s">
        <v>277</v>
      </c>
    </row>
    <row r="17" customFormat="false" ht="15" hidden="false" customHeight="false" outlineLevel="0" collapsed="false">
      <c r="A17" s="0" t="s">
        <v>11853</v>
      </c>
      <c r="B17" s="0" t="s">
        <v>11836</v>
      </c>
      <c r="C17" s="0" t="s">
        <v>27</v>
      </c>
      <c r="D17" s="0" t="s">
        <v>63</v>
      </c>
      <c r="E17" s="0" t="s">
        <v>277</v>
      </c>
    </row>
    <row r="18" customFormat="false" ht="15" hidden="false" customHeight="false" outlineLevel="0" collapsed="false">
      <c r="A18" s="0" t="s">
        <v>11854</v>
      </c>
      <c r="B18" s="0" t="s">
        <v>11836</v>
      </c>
      <c r="C18" s="0" t="s">
        <v>30</v>
      </c>
      <c r="D18" s="0" t="s">
        <v>59</v>
      </c>
      <c r="E18" s="0" t="s">
        <v>277</v>
      </c>
    </row>
    <row r="19" customFormat="false" ht="15" hidden="false" customHeight="false" outlineLevel="0" collapsed="false">
      <c r="A19" s="0" t="s">
        <v>11855</v>
      </c>
      <c r="B19" s="0" t="s">
        <v>11836</v>
      </c>
      <c r="C19" s="0" t="s">
        <v>30</v>
      </c>
      <c r="D19" s="0" t="s">
        <v>71</v>
      </c>
      <c r="E19" s="0" t="s">
        <v>277</v>
      </c>
    </row>
    <row r="20" customFormat="false" ht="15" hidden="false" customHeight="false" outlineLevel="0" collapsed="false">
      <c r="A20" s="0" t="s">
        <v>11856</v>
      </c>
      <c r="B20" s="0" t="s">
        <v>11836</v>
      </c>
      <c r="C20" s="0" t="s">
        <v>39</v>
      </c>
      <c r="D20" s="0" t="s">
        <v>77</v>
      </c>
      <c r="E20" s="0" t="s">
        <v>277</v>
      </c>
    </row>
    <row r="21" customFormat="false" ht="15" hidden="false" customHeight="false" outlineLevel="0" collapsed="false">
      <c r="A21" s="0" t="s">
        <v>11329</v>
      </c>
      <c r="B21" s="0" t="s">
        <v>11836</v>
      </c>
      <c r="C21" s="0" t="s">
        <v>39</v>
      </c>
      <c r="D21" s="0" t="s">
        <v>77</v>
      </c>
      <c r="E21" s="0" t="s">
        <v>277</v>
      </c>
    </row>
    <row r="22" customFormat="false" ht="15" hidden="false" customHeight="false" outlineLevel="0" collapsed="false">
      <c r="A22" s="0" t="s">
        <v>11857</v>
      </c>
      <c r="B22" s="0" t="s">
        <v>11836</v>
      </c>
      <c r="C22" s="0" t="s">
        <v>39</v>
      </c>
      <c r="D22" s="0" t="s">
        <v>78</v>
      </c>
      <c r="E22" s="0" t="s">
        <v>277</v>
      </c>
    </row>
    <row r="23" customFormat="false" ht="15" hidden="false" customHeight="false" outlineLevel="0" collapsed="false">
      <c r="A23" s="0" t="s">
        <v>11858</v>
      </c>
      <c r="B23" s="0" t="s">
        <v>11836</v>
      </c>
      <c r="C23" s="0" t="s">
        <v>27</v>
      </c>
      <c r="D23" s="0" t="s">
        <v>81</v>
      </c>
      <c r="E23" s="0" t="s">
        <v>277</v>
      </c>
    </row>
    <row r="24" customFormat="false" ht="15" hidden="false" customHeight="false" outlineLevel="0" collapsed="false">
      <c r="A24" s="0" t="s">
        <v>11859</v>
      </c>
      <c r="B24" s="0" t="s">
        <v>11836</v>
      </c>
      <c r="C24" s="0" t="s">
        <v>27</v>
      </c>
      <c r="D24" s="0" t="s">
        <v>81</v>
      </c>
      <c r="E24" s="0" t="s">
        <v>277</v>
      </c>
    </row>
    <row r="25" customFormat="false" ht="15" hidden="false" customHeight="false" outlineLevel="0" collapsed="false">
      <c r="A25" s="0" t="s">
        <v>11860</v>
      </c>
      <c r="B25" s="0" t="s">
        <v>11836</v>
      </c>
      <c r="C25" s="0" t="s">
        <v>30</v>
      </c>
      <c r="D25" s="0" t="s">
        <v>86</v>
      </c>
      <c r="E25" s="0" t="s">
        <v>277</v>
      </c>
    </row>
    <row r="26" customFormat="false" ht="15" hidden="false" customHeight="false" outlineLevel="0" collapsed="false">
      <c r="A26" s="0" t="s">
        <v>11861</v>
      </c>
      <c r="B26" s="0" t="s">
        <v>11836</v>
      </c>
      <c r="C26" s="0" t="s">
        <v>39</v>
      </c>
      <c r="D26" s="0" t="s">
        <v>93</v>
      </c>
      <c r="E26" s="0" t="s">
        <v>277</v>
      </c>
    </row>
    <row r="27" customFormat="false" ht="15" hidden="false" customHeight="false" outlineLevel="0" collapsed="false">
      <c r="A27" s="0" t="s">
        <v>11335</v>
      </c>
      <c r="B27" s="0" t="s">
        <v>11836</v>
      </c>
      <c r="C27" s="0" t="s">
        <v>30</v>
      </c>
      <c r="D27" s="0" t="s">
        <v>86</v>
      </c>
      <c r="E27" s="0" t="s">
        <v>277</v>
      </c>
    </row>
    <row r="28" customFormat="false" ht="15" hidden="false" customHeight="false" outlineLevel="0" collapsed="false">
      <c r="A28" s="0" t="s">
        <v>11862</v>
      </c>
      <c r="B28" s="0" t="s">
        <v>11836</v>
      </c>
      <c r="C28" s="0" t="s">
        <v>30</v>
      </c>
      <c r="D28" s="0" t="s">
        <v>84</v>
      </c>
      <c r="E28" s="0" t="s">
        <v>277</v>
      </c>
    </row>
    <row r="29" customFormat="false" ht="15" hidden="false" customHeight="false" outlineLevel="0" collapsed="false">
      <c r="A29" s="0" t="s">
        <v>11863</v>
      </c>
      <c r="B29" s="0" t="s">
        <v>11836</v>
      </c>
      <c r="C29" s="0" t="s">
        <v>30</v>
      </c>
      <c r="D29" s="0" t="s">
        <v>95</v>
      </c>
      <c r="E29" s="0" t="s">
        <v>277</v>
      </c>
    </row>
    <row r="30" customFormat="false" ht="15" hidden="false" customHeight="false" outlineLevel="0" collapsed="false">
      <c r="A30" s="0" t="s">
        <v>11864</v>
      </c>
      <c r="B30" s="0" t="s">
        <v>11836</v>
      </c>
      <c r="C30" s="0" t="s">
        <v>27</v>
      </c>
      <c r="D30" s="0" t="s">
        <v>104</v>
      </c>
      <c r="E30" s="0" t="s">
        <v>277</v>
      </c>
    </row>
    <row r="31" customFormat="false" ht="15" hidden="false" customHeight="false" outlineLevel="0" collapsed="false">
      <c r="A31" s="0" t="s">
        <v>11865</v>
      </c>
      <c r="B31" s="0" t="s">
        <v>11836</v>
      </c>
      <c r="C31" s="0" t="s">
        <v>30</v>
      </c>
      <c r="D31" s="0" t="s">
        <v>103</v>
      </c>
      <c r="E31" s="0" t="s">
        <v>277</v>
      </c>
    </row>
    <row r="32" customFormat="false" ht="15" hidden="false" customHeight="false" outlineLevel="0" collapsed="false">
      <c r="A32" s="0" t="s">
        <v>11866</v>
      </c>
      <c r="B32" s="0" t="s">
        <v>11836</v>
      </c>
      <c r="C32" s="0" t="s">
        <v>39</v>
      </c>
      <c r="D32" s="0" t="s">
        <v>103</v>
      </c>
      <c r="E32" s="0" t="s">
        <v>277</v>
      </c>
    </row>
    <row r="33" customFormat="false" ht="15" hidden="false" customHeight="false" outlineLevel="0" collapsed="false">
      <c r="A33" s="0" t="s">
        <v>11867</v>
      </c>
      <c r="B33" s="0" t="s">
        <v>11836</v>
      </c>
      <c r="C33" s="0" t="s">
        <v>39</v>
      </c>
      <c r="D33" s="0" t="s">
        <v>109</v>
      </c>
      <c r="E33" s="0" t="s">
        <v>277</v>
      </c>
    </row>
    <row r="34" customFormat="false" ht="15" hidden="false" customHeight="false" outlineLevel="0" collapsed="false">
      <c r="A34" s="0" t="s">
        <v>11868</v>
      </c>
      <c r="B34" s="0" t="s">
        <v>11836</v>
      </c>
      <c r="C34" s="0" t="s">
        <v>30</v>
      </c>
      <c r="D34" s="0" t="s">
        <v>107</v>
      </c>
      <c r="E34" s="0" t="s">
        <v>277</v>
      </c>
    </row>
    <row r="35" customFormat="false" ht="15" hidden="false" customHeight="false" outlineLevel="0" collapsed="false">
      <c r="A35" s="0" t="s">
        <v>11869</v>
      </c>
      <c r="B35" s="0" t="s">
        <v>11836</v>
      </c>
      <c r="C35" s="0" t="s">
        <v>106</v>
      </c>
      <c r="D35" s="0" t="s">
        <v>105</v>
      </c>
      <c r="E35" s="0" t="s">
        <v>277</v>
      </c>
    </row>
    <row r="36" customFormat="false" ht="15" hidden="false" customHeight="false" outlineLevel="0" collapsed="false">
      <c r="A36" s="0" t="s">
        <v>11870</v>
      </c>
      <c r="B36" s="0" t="s">
        <v>11836</v>
      </c>
      <c r="C36" s="0" t="s">
        <v>30</v>
      </c>
      <c r="D36" s="0" t="s">
        <v>107</v>
      </c>
      <c r="E36" s="0" t="s">
        <v>277</v>
      </c>
    </row>
    <row r="37" customFormat="false" ht="15" hidden="false" customHeight="false" outlineLevel="0" collapsed="false">
      <c r="A37" s="0" t="s">
        <v>11871</v>
      </c>
      <c r="B37" s="0" t="s">
        <v>11836</v>
      </c>
      <c r="C37" s="0" t="s">
        <v>30</v>
      </c>
      <c r="D37" s="0" t="s">
        <v>110</v>
      </c>
      <c r="E37" s="0" t="s">
        <v>277</v>
      </c>
    </row>
    <row r="38" customFormat="false" ht="15" hidden="false" customHeight="false" outlineLevel="0" collapsed="false">
      <c r="A38" s="0" t="s">
        <v>11872</v>
      </c>
      <c r="B38" s="0" t="s">
        <v>11836</v>
      </c>
      <c r="C38" s="0" t="s">
        <v>39</v>
      </c>
      <c r="E38" s="0" t="s">
        <v>277</v>
      </c>
    </row>
    <row r="39" customFormat="false" ht="15" hidden="false" customHeight="false" outlineLevel="0" collapsed="false">
      <c r="A39" s="0" t="s">
        <v>11873</v>
      </c>
      <c r="B39" s="0" t="s">
        <v>11836</v>
      </c>
      <c r="C39" s="0" t="s">
        <v>39</v>
      </c>
      <c r="E39" s="0" t="s">
        <v>277</v>
      </c>
    </row>
    <row r="40" customFormat="false" ht="15" hidden="false" customHeight="false" outlineLevel="0" collapsed="false">
      <c r="A40" s="0" t="s">
        <v>11874</v>
      </c>
      <c r="B40" s="0" t="s">
        <v>11836</v>
      </c>
      <c r="C40" s="0" t="s">
        <v>39</v>
      </c>
      <c r="E40" s="0" t="s">
        <v>277</v>
      </c>
    </row>
    <row r="41" customFormat="false" ht="15" hidden="false" customHeight="false" outlineLevel="0" collapsed="false">
      <c r="A41" s="0" t="s">
        <v>11875</v>
      </c>
      <c r="B41" s="0" t="s">
        <v>11836</v>
      </c>
      <c r="C41" s="0" t="s">
        <v>39</v>
      </c>
      <c r="E41" s="0" t="s">
        <v>277</v>
      </c>
    </row>
    <row r="42" customFormat="false" ht="15" hidden="false" customHeight="false" outlineLevel="0" collapsed="false">
      <c r="A42" s="0" t="s">
        <v>11876</v>
      </c>
      <c r="B42" s="0" t="s">
        <v>11836</v>
      </c>
      <c r="C42" s="0" t="s">
        <v>39</v>
      </c>
      <c r="E42" s="0" t="s">
        <v>277</v>
      </c>
    </row>
    <row r="43" customFormat="false" ht="15" hidden="false" customHeight="false" outlineLevel="0" collapsed="false">
      <c r="A43" s="0" t="s">
        <v>11877</v>
      </c>
      <c r="B43" s="0" t="s">
        <v>11836</v>
      </c>
      <c r="C43" s="0" t="s">
        <v>39</v>
      </c>
      <c r="E43" s="0" t="s">
        <v>277</v>
      </c>
    </row>
    <row r="44" customFormat="false" ht="15" hidden="false" customHeight="false" outlineLevel="0" collapsed="false">
      <c r="A44" s="0" t="s">
        <v>11878</v>
      </c>
      <c r="B44" s="0" t="s">
        <v>11836</v>
      </c>
      <c r="C44" s="0" t="s">
        <v>39</v>
      </c>
      <c r="E44" s="0" t="s">
        <v>277</v>
      </c>
    </row>
    <row r="45" customFormat="false" ht="15" hidden="false" customHeight="false" outlineLevel="0" collapsed="false">
      <c r="A45" s="0" t="s">
        <v>11879</v>
      </c>
      <c r="B45" s="0" t="s">
        <v>11836</v>
      </c>
      <c r="C45" s="0" t="s">
        <v>106</v>
      </c>
      <c r="E45" s="0" t="s">
        <v>277</v>
      </c>
    </row>
    <row r="46" customFormat="false" ht="15" hidden="false" customHeight="false" outlineLevel="0" collapsed="false">
      <c r="A46" s="0" t="s">
        <v>11880</v>
      </c>
      <c r="B46" s="0" t="s">
        <v>11836</v>
      </c>
      <c r="C46" s="0" t="s">
        <v>106</v>
      </c>
      <c r="E46" s="0" t="s">
        <v>277</v>
      </c>
    </row>
    <row r="47" customFormat="false" ht="15" hidden="false" customHeight="false" outlineLevel="0" collapsed="false">
      <c r="A47" s="0" t="s">
        <v>11881</v>
      </c>
      <c r="B47" s="0" t="s">
        <v>11836</v>
      </c>
      <c r="C47" s="0" t="s">
        <v>39</v>
      </c>
      <c r="E47" s="0" t="s">
        <v>277</v>
      </c>
    </row>
    <row r="48" customFormat="false" ht="15" hidden="false" customHeight="false" outlineLevel="0" collapsed="false">
      <c r="A48" s="0" t="s">
        <v>11882</v>
      </c>
      <c r="B48" s="0" t="s">
        <v>11836</v>
      </c>
      <c r="C48" s="0" t="s">
        <v>39</v>
      </c>
      <c r="E48" s="0" t="s">
        <v>277</v>
      </c>
    </row>
    <row r="49" customFormat="false" ht="15" hidden="false" customHeight="false" outlineLevel="0" collapsed="false">
      <c r="A49" s="0" t="s">
        <v>11883</v>
      </c>
      <c r="B49" s="0" t="s">
        <v>11836</v>
      </c>
      <c r="C49" s="0" t="s">
        <v>39</v>
      </c>
      <c r="E49" s="0" t="s">
        <v>277</v>
      </c>
    </row>
    <row r="50" customFormat="false" ht="15" hidden="false" customHeight="false" outlineLevel="0" collapsed="false">
      <c r="A50" s="0" t="s">
        <v>11884</v>
      </c>
      <c r="B50" s="0" t="s">
        <v>11836</v>
      </c>
      <c r="C50" s="0" t="s">
        <v>39</v>
      </c>
      <c r="E50" s="0" t="s">
        <v>277</v>
      </c>
    </row>
    <row r="51" customFormat="false" ht="15" hidden="false" customHeight="false" outlineLevel="0" collapsed="false">
      <c r="A51" s="0" t="s">
        <v>11885</v>
      </c>
      <c r="B51" s="0" t="s">
        <v>11836</v>
      </c>
      <c r="C51" s="0" t="s">
        <v>30</v>
      </c>
      <c r="D51" s="0" t="s">
        <v>115</v>
      </c>
      <c r="E51" s="0" t="s">
        <v>277</v>
      </c>
    </row>
    <row r="52" customFormat="false" ht="15" hidden="false" customHeight="false" outlineLevel="0" collapsed="false">
      <c r="A52" s="0" t="s">
        <v>11835</v>
      </c>
      <c r="B52" s="0" t="s">
        <v>11886</v>
      </c>
      <c r="C52" s="0" t="s">
        <v>11887</v>
      </c>
      <c r="E52" s="0" t="s">
        <v>277</v>
      </c>
    </row>
    <row r="53" customFormat="false" ht="15" hidden="false" customHeight="false" outlineLevel="0" collapsed="false">
      <c r="A53" s="0" t="s">
        <v>11837</v>
      </c>
      <c r="B53" s="0" t="s">
        <v>11886</v>
      </c>
      <c r="C53" s="0" t="s">
        <v>11887</v>
      </c>
      <c r="E53" s="0" t="s">
        <v>277</v>
      </c>
    </row>
    <row r="54" customFormat="false" ht="15" hidden="false" customHeight="false" outlineLevel="0" collapsed="false">
      <c r="A54" s="0" t="s">
        <v>11849</v>
      </c>
      <c r="B54" s="0" t="s">
        <v>11886</v>
      </c>
      <c r="C54" s="0" t="s">
        <v>11887</v>
      </c>
      <c r="E54" s="0" t="s">
        <v>277</v>
      </c>
    </row>
    <row r="55" customFormat="false" ht="15" hidden="false" customHeight="false" outlineLevel="0" collapsed="false">
      <c r="A55" s="0" t="s">
        <v>11847</v>
      </c>
      <c r="B55" s="0" t="s">
        <v>11886</v>
      </c>
      <c r="C55" s="0" t="s">
        <v>11887</v>
      </c>
      <c r="E55" s="0" t="s">
        <v>277</v>
      </c>
    </row>
    <row r="56" customFormat="false" ht="15" hidden="false" customHeight="false" outlineLevel="0" collapsed="false">
      <c r="A56" s="0" t="s">
        <v>11839</v>
      </c>
      <c r="B56" s="0" t="s">
        <v>11886</v>
      </c>
      <c r="C56" s="0" t="s">
        <v>11887</v>
      </c>
      <c r="E56" s="0" t="s">
        <v>277</v>
      </c>
    </row>
    <row r="57" customFormat="false" ht="15" hidden="false" customHeight="false" outlineLevel="0" collapsed="false">
      <c r="A57" s="0" t="s">
        <v>11839</v>
      </c>
      <c r="B57" s="0" t="s">
        <v>11886</v>
      </c>
      <c r="C57" s="0" t="s">
        <v>11887</v>
      </c>
      <c r="E57" s="0" t="s">
        <v>277</v>
      </c>
    </row>
    <row r="58" customFormat="false" ht="15" hidden="false" customHeight="false" outlineLevel="0" collapsed="false">
      <c r="A58" s="0" t="s">
        <v>11835</v>
      </c>
      <c r="B58" s="0" t="s">
        <v>11888</v>
      </c>
      <c r="C58" s="0" t="s">
        <v>11889</v>
      </c>
      <c r="E58" s="0" t="s">
        <v>277</v>
      </c>
    </row>
    <row r="59" customFormat="false" ht="15" hidden="false" customHeight="false" outlineLevel="0" collapsed="false">
      <c r="A59" s="0" t="s">
        <v>11837</v>
      </c>
      <c r="B59" s="0" t="s">
        <v>11888</v>
      </c>
      <c r="C59" s="0" t="s">
        <v>11889</v>
      </c>
      <c r="E59" s="0" t="s">
        <v>277</v>
      </c>
    </row>
    <row r="60" customFormat="false" ht="15" hidden="false" customHeight="false" outlineLevel="0" collapsed="false">
      <c r="A60" s="0" t="s">
        <v>11890</v>
      </c>
      <c r="B60" s="0" t="s">
        <v>11888</v>
      </c>
      <c r="C60" s="0" t="s">
        <v>11889</v>
      </c>
      <c r="E60" s="0" t="s">
        <v>277</v>
      </c>
    </row>
    <row r="61" customFormat="false" ht="15" hidden="false" customHeight="false" outlineLevel="0" collapsed="false">
      <c r="A61" s="0" t="s">
        <v>11844</v>
      </c>
      <c r="B61" s="0" t="s">
        <v>11888</v>
      </c>
      <c r="C61" s="0" t="s">
        <v>11889</v>
      </c>
      <c r="E61" s="0" t="s">
        <v>277</v>
      </c>
    </row>
    <row r="62" customFormat="false" ht="15" hidden="false" customHeight="false" outlineLevel="0" collapsed="false">
      <c r="A62" s="0" t="s">
        <v>11839</v>
      </c>
      <c r="B62" s="0" t="s">
        <v>11888</v>
      </c>
      <c r="C62" s="0" t="s">
        <v>11889</v>
      </c>
      <c r="E62" s="0" t="s">
        <v>277</v>
      </c>
    </row>
    <row r="63" customFormat="false" ht="15" hidden="false" customHeight="false" outlineLevel="0" collapsed="false">
      <c r="A63" s="0" t="s">
        <v>11891</v>
      </c>
      <c r="B63" s="0" t="s">
        <v>11888</v>
      </c>
      <c r="C63" s="0" t="s">
        <v>11889</v>
      </c>
      <c r="E63" s="0" t="s">
        <v>277</v>
      </c>
    </row>
    <row r="64" customFormat="false" ht="15" hidden="false" customHeight="false" outlineLevel="0" collapsed="false">
      <c r="A64" s="0" t="s">
        <v>11844</v>
      </c>
      <c r="B64" s="0" t="s">
        <v>11886</v>
      </c>
      <c r="C64" s="0" t="s">
        <v>11887</v>
      </c>
      <c r="E64" s="0" t="s">
        <v>277</v>
      </c>
    </row>
    <row r="65" customFormat="false" ht="15" hidden="false" customHeight="false" outlineLevel="0" collapsed="false">
      <c r="A65" s="0" t="s">
        <v>11844</v>
      </c>
      <c r="B65" s="0" t="s">
        <v>11892</v>
      </c>
      <c r="C65" s="0" t="s">
        <v>11889</v>
      </c>
      <c r="E65" s="0" t="s">
        <v>277</v>
      </c>
    </row>
    <row r="66" customFormat="false" ht="15" hidden="false" customHeight="false" outlineLevel="0" collapsed="false">
      <c r="A66" s="0" t="s">
        <v>11849</v>
      </c>
      <c r="B66" s="0" t="s">
        <v>11886</v>
      </c>
      <c r="C66" s="0" t="s">
        <v>11887</v>
      </c>
      <c r="E66" s="0" t="s">
        <v>277</v>
      </c>
    </row>
    <row r="67" customFormat="false" ht="15" hidden="false" customHeight="false" outlineLevel="0" collapsed="false">
      <c r="A67" s="0" t="s">
        <v>11844</v>
      </c>
      <c r="B67" s="0" t="s">
        <v>11888</v>
      </c>
      <c r="C67" s="0" t="s">
        <v>11889</v>
      </c>
      <c r="E67" s="0" t="s">
        <v>277</v>
      </c>
    </row>
    <row r="68" customFormat="false" ht="15" hidden="false" customHeight="false" outlineLevel="0" collapsed="false">
      <c r="A68" s="0" t="s">
        <v>11851</v>
      </c>
      <c r="B68" s="0" t="s">
        <v>11886</v>
      </c>
      <c r="C68" s="0" t="s">
        <v>11887</v>
      </c>
      <c r="E68" s="0" t="s">
        <v>277</v>
      </c>
    </row>
    <row r="69" customFormat="false" ht="15" hidden="false" customHeight="false" outlineLevel="0" collapsed="false">
      <c r="A69" s="0" t="s">
        <v>11852</v>
      </c>
      <c r="B69" s="0" t="s">
        <v>11886</v>
      </c>
      <c r="C69" s="0" t="s">
        <v>11887</v>
      </c>
      <c r="E69" s="0" t="s">
        <v>277</v>
      </c>
    </row>
    <row r="70" customFormat="false" ht="15" hidden="false" customHeight="false" outlineLevel="0" collapsed="false">
      <c r="A70" s="0" t="s">
        <v>11853</v>
      </c>
      <c r="B70" s="0" t="s">
        <v>11886</v>
      </c>
      <c r="C70" s="0" t="s">
        <v>11887</v>
      </c>
      <c r="E70" s="0" t="s">
        <v>277</v>
      </c>
    </row>
    <row r="71" customFormat="false" ht="15" hidden="false" customHeight="false" outlineLevel="0" collapsed="false">
      <c r="A71" s="0" t="s">
        <v>11858</v>
      </c>
      <c r="B71" s="0" t="s">
        <v>11886</v>
      </c>
      <c r="C71" s="0" t="s">
        <v>11887</v>
      </c>
      <c r="E71" s="0" t="s">
        <v>277</v>
      </c>
    </row>
    <row r="72" customFormat="false" ht="15" hidden="false" customHeight="false" outlineLevel="0" collapsed="false">
      <c r="A72" s="0" t="s">
        <v>11839</v>
      </c>
      <c r="B72" s="0" t="s">
        <v>11886</v>
      </c>
      <c r="C72" s="0" t="s">
        <v>11887</v>
      </c>
      <c r="E72" s="0" t="s">
        <v>277</v>
      </c>
    </row>
    <row r="73" customFormat="false" ht="15" hidden="false" customHeight="false" outlineLevel="0" collapsed="false">
      <c r="A73" s="0" t="s">
        <v>11859</v>
      </c>
      <c r="B73" s="0" t="s">
        <v>11886</v>
      </c>
      <c r="C73" s="0" t="s">
        <v>11887</v>
      </c>
      <c r="E73" s="0" t="s">
        <v>277</v>
      </c>
    </row>
    <row r="74" customFormat="false" ht="15" hidden="false" customHeight="false" outlineLevel="0" collapsed="false">
      <c r="A74" s="0" t="s">
        <v>11844</v>
      </c>
      <c r="B74" s="0" t="s">
        <v>11888</v>
      </c>
      <c r="C74" s="0" t="s">
        <v>11889</v>
      </c>
      <c r="E74" s="0" t="s">
        <v>277</v>
      </c>
    </row>
    <row r="75" customFormat="false" ht="15" hidden="false" customHeight="false" outlineLevel="0" collapsed="false">
      <c r="A75" s="0" t="s">
        <v>11851</v>
      </c>
      <c r="B75" s="0" t="s">
        <v>11888</v>
      </c>
      <c r="C75" s="0" t="s">
        <v>11889</v>
      </c>
      <c r="E75" s="0" t="s">
        <v>277</v>
      </c>
    </row>
    <row r="76" customFormat="false" ht="15" hidden="false" customHeight="false" outlineLevel="0" collapsed="false">
      <c r="A76" s="0" t="s">
        <v>11852</v>
      </c>
      <c r="B76" s="0" t="s">
        <v>11888</v>
      </c>
      <c r="C76" s="0" t="s">
        <v>11889</v>
      </c>
      <c r="E76" s="0" t="s">
        <v>277</v>
      </c>
    </row>
    <row r="77" customFormat="false" ht="15" hidden="false" customHeight="false" outlineLevel="0" collapsed="false">
      <c r="A77" s="0" t="s">
        <v>11853</v>
      </c>
      <c r="B77" s="0" t="s">
        <v>11888</v>
      </c>
      <c r="C77" s="0" t="s">
        <v>11889</v>
      </c>
      <c r="E77" s="0" t="s">
        <v>277</v>
      </c>
    </row>
    <row r="78" customFormat="false" ht="15" hidden="false" customHeight="false" outlineLevel="0" collapsed="false">
      <c r="A78" s="0" t="s">
        <v>11858</v>
      </c>
      <c r="B78" s="0" t="s">
        <v>11888</v>
      </c>
      <c r="C78" s="0" t="s">
        <v>11889</v>
      </c>
      <c r="E78" s="0" t="s">
        <v>277</v>
      </c>
    </row>
    <row r="79" customFormat="false" ht="15" hidden="false" customHeight="false" outlineLevel="0" collapsed="false">
      <c r="A79" s="0" t="s">
        <v>11839</v>
      </c>
      <c r="B79" s="0" t="s">
        <v>11888</v>
      </c>
      <c r="C79" s="0" t="s">
        <v>11889</v>
      </c>
      <c r="E79" s="0" t="s">
        <v>277</v>
      </c>
    </row>
    <row r="80" customFormat="false" ht="15" hidden="false" customHeight="false" outlineLevel="0" collapsed="false">
      <c r="A80" s="0" t="s">
        <v>11859</v>
      </c>
      <c r="B80" s="0" t="s">
        <v>11888</v>
      </c>
      <c r="C80" s="0" t="s">
        <v>11889</v>
      </c>
      <c r="E80" s="0" t="s">
        <v>277</v>
      </c>
    </row>
    <row r="81" customFormat="false" ht="15" hidden="false" customHeight="false" outlineLevel="0" collapsed="false">
      <c r="A81" s="0" t="s">
        <v>11864</v>
      </c>
      <c r="B81" s="0" t="s">
        <v>11886</v>
      </c>
      <c r="C81" s="0" t="s">
        <v>11887</v>
      </c>
      <c r="E81" s="0" t="s">
        <v>277</v>
      </c>
    </row>
    <row r="82" customFormat="false" ht="15" hidden="false" customHeight="false" outlineLevel="0" collapsed="false">
      <c r="A82" s="0" t="s">
        <v>11869</v>
      </c>
      <c r="B82" s="0" t="s">
        <v>11888</v>
      </c>
      <c r="C82" s="0" t="s">
        <v>11893</v>
      </c>
      <c r="E82" s="0" t="s">
        <v>277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18"/>
    <col collapsed="false" customWidth="true" hidden="false" outlineLevel="0" max="2" min="2" style="0" width="8"/>
    <col collapsed="false" customWidth="true" hidden="false" outlineLevel="0" max="3" min="3" style="0" width="80"/>
    <col collapsed="false" customWidth="true" hidden="false" outlineLevel="0" max="4" min="4" style="0" width="12"/>
  </cols>
  <sheetData>
    <row r="1" customFormat="false" ht="15" hidden="false" customHeight="false" outlineLevel="0" collapsed="false">
      <c r="A1" s="1" t="s">
        <v>11277</v>
      </c>
      <c r="B1" s="1" t="s">
        <v>11894</v>
      </c>
      <c r="C1" s="1" t="s">
        <v>11420</v>
      </c>
      <c r="D1" s="1" t="s">
        <v>11895</v>
      </c>
    </row>
    <row r="2" customFormat="false" ht="15" hidden="false" customHeight="false" outlineLevel="0" collapsed="false">
      <c r="A2" s="0" t="s">
        <v>11896</v>
      </c>
      <c r="B2" s="0" t="s">
        <v>11897</v>
      </c>
      <c r="C2" s="0" t="s">
        <v>11898</v>
      </c>
      <c r="D2" s="0" t="s">
        <v>11899</v>
      </c>
    </row>
    <row r="3" customFormat="false" ht="15" hidden="false" customHeight="false" outlineLevel="0" collapsed="false">
      <c r="A3" s="0" t="s">
        <v>11900</v>
      </c>
      <c r="B3" s="0" t="s">
        <v>11897</v>
      </c>
      <c r="C3" s="0" t="s">
        <v>11898</v>
      </c>
      <c r="D3" s="0" t="s">
        <v>11901</v>
      </c>
    </row>
    <row r="4" customFormat="false" ht="15" hidden="false" customHeight="false" outlineLevel="0" collapsed="false">
      <c r="A4" s="0" t="s">
        <v>11902</v>
      </c>
      <c r="B4" s="0" t="s">
        <v>11903</v>
      </c>
      <c r="C4" s="0" t="s">
        <v>11904</v>
      </c>
      <c r="D4" s="0" t="s">
        <v>11905</v>
      </c>
    </row>
    <row r="5" customFormat="false" ht="15" hidden="false" customHeight="false" outlineLevel="0" collapsed="false">
      <c r="A5" s="0" t="s">
        <v>11906</v>
      </c>
      <c r="B5" s="0" t="s">
        <v>11903</v>
      </c>
      <c r="C5" s="0" t="s">
        <v>11907</v>
      </c>
      <c r="D5" s="0" t="s">
        <v>11908</v>
      </c>
    </row>
    <row r="6" customFormat="false" ht="15" hidden="false" customHeight="false" outlineLevel="0" collapsed="false">
      <c r="A6" s="0" t="s">
        <v>11909</v>
      </c>
      <c r="B6" s="0" t="s">
        <v>11910</v>
      </c>
      <c r="C6" s="0" t="s">
        <v>11911</v>
      </c>
      <c r="D6" s="0" t="s">
        <v>11908</v>
      </c>
    </row>
    <row r="7" customFormat="false" ht="15" hidden="false" customHeight="false" outlineLevel="0" collapsed="false">
      <c r="A7" s="0" t="s">
        <v>11912</v>
      </c>
      <c r="B7" s="0" t="s">
        <v>11903</v>
      </c>
      <c r="C7" s="0" t="s">
        <v>11913</v>
      </c>
      <c r="D7" s="0" t="s">
        <v>11914</v>
      </c>
    </row>
    <row r="8" customFormat="false" ht="15" hidden="false" customHeight="false" outlineLevel="0" collapsed="false">
      <c r="A8" s="0" t="s">
        <v>11915</v>
      </c>
      <c r="B8" s="0" t="s">
        <v>11903</v>
      </c>
      <c r="C8" s="0" t="s">
        <v>11916</v>
      </c>
      <c r="D8" s="0" t="s">
        <v>11917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2026-10-04T23:29:30Z</dcterms:created>
  <dc:creator>openpyxl</dc:creator>
  <dc:description/>
  <dc:language>en-US</dc:language>
  <cp:lastModifiedBy/>
  <dcterms:modified xsi:type="dcterms:W3CDTF">2026-10-04T23:29:31Z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